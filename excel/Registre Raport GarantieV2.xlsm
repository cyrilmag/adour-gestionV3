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e82c3d61c0854249/Documenten/GitHub/adour-gestionV3/excel/"/>
    </mc:Choice>
  </mc:AlternateContent>
  <xr:revisionPtr revIDLastSave="17" documentId="13_ncr:1_{F1D7E77E-5567-408C-A410-99D9BF86115E}" xr6:coauthVersionLast="47" xr6:coauthVersionMax="47" xr10:uidLastSave="{990F4A7B-D98E-4E0C-A49C-3B69BE5C2622}"/>
  <bookViews>
    <workbookView xWindow="-108" yWindow="-108" windowWidth="30936" windowHeight="16776" tabRatio="707" activeTab="6" xr2:uid="{50DAD740-CA6C-469F-8A47-AB79EDD984C3}"/>
  </bookViews>
  <sheets>
    <sheet name="LISTE" sheetId="1" r:id="rId1"/>
    <sheet name="Synthese" sheetId="11" r:id="rId2"/>
    <sheet name="LISTEOR" sheetId="8" state="hidden" r:id="rId3"/>
    <sheet name="Synthèse" sheetId="10" r:id="rId4"/>
    <sheet name="Historique OR Narrosse" sheetId="2" r:id="rId5"/>
    <sheet name="Historique OR Peyrehorade" sheetId="3" r:id="rId6"/>
    <sheet name="Registre_Garantie" sheetId="4" r:id="rId7"/>
    <sheet name="Feuil1" sheetId="9" r:id="rId8"/>
    <sheet name="Calcul date" sheetId="5" r:id="rId9"/>
  </sheets>
  <definedNames>
    <definedName name="DonnéesExternes_1" localSheetId="2" hidden="1">LISTEOR!$A$1:$C$2962</definedName>
    <definedName name="Etat">LISTE!$A$2:$A$30</definedName>
    <definedName name="Etat_RG">#REF!</definedName>
    <definedName name="EtatRG">LISTE!$C$2:$C$30</definedName>
    <definedName name="NumDG">Registre_Garantie!$AG$2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71" i="4" l="1"/>
  <c r="R671" i="4"/>
  <c r="T671" i="4"/>
  <c r="AA671" i="4" s="1"/>
  <c r="V671" i="4"/>
  <c r="W671" i="4"/>
  <c r="X671" i="4"/>
  <c r="Y671" i="4" s="1"/>
  <c r="AD671" i="4"/>
  <c r="O664" i="4"/>
  <c r="R664" i="4"/>
  <c r="T664" i="4"/>
  <c r="AA664" i="4" s="1"/>
  <c r="V664" i="4"/>
  <c r="W664" i="4"/>
  <c r="X664" i="4"/>
  <c r="Y664" i="4" s="1"/>
  <c r="AD664" i="4"/>
  <c r="O593" i="4"/>
  <c r="R593" i="4"/>
  <c r="T593" i="4"/>
  <c r="AA593" i="4" s="1"/>
  <c r="V593" i="4"/>
  <c r="W593" i="4"/>
  <c r="X593" i="4"/>
  <c r="Y593" i="4" s="1"/>
  <c r="AD593" i="4"/>
  <c r="O631" i="4"/>
  <c r="R631" i="4"/>
  <c r="T631" i="4"/>
  <c r="AA631" i="4" s="1"/>
  <c r="V631" i="4"/>
  <c r="W631" i="4"/>
  <c r="X631" i="4"/>
  <c r="Y631" i="4" s="1"/>
  <c r="AD631" i="4"/>
  <c r="O660" i="4"/>
  <c r="R660" i="4"/>
  <c r="T660" i="4"/>
  <c r="AA660" i="4" s="1"/>
  <c r="V660" i="4"/>
  <c r="W660" i="4"/>
  <c r="X660" i="4"/>
  <c r="Y660" i="4" s="1"/>
  <c r="AD660" i="4"/>
  <c r="O624" i="4"/>
  <c r="R624" i="4"/>
  <c r="V624" i="4"/>
  <c r="W624" i="4"/>
  <c r="X624" i="4"/>
  <c r="AD624" i="4"/>
  <c r="O622" i="4"/>
  <c r="R622" i="4"/>
  <c r="V622" i="4"/>
  <c r="W622" i="4"/>
  <c r="X622" i="4"/>
  <c r="Y622" i="4" s="1"/>
  <c r="AD622" i="4"/>
  <c r="W618" i="4"/>
  <c r="W617" i="4"/>
  <c r="W616" i="4"/>
  <c r="W613" i="4"/>
  <c r="W608" i="4"/>
  <c r="W607" i="4"/>
  <c r="W606" i="4"/>
  <c r="W599" i="4"/>
  <c r="W596" i="4"/>
  <c r="W594" i="4"/>
  <c r="W587" i="4"/>
  <c r="W585" i="4"/>
  <c r="W573" i="4"/>
  <c r="W571" i="4"/>
  <c r="W567" i="4"/>
  <c r="W565" i="4"/>
  <c r="W564" i="4"/>
  <c r="W563" i="4"/>
  <c r="W550" i="4"/>
  <c r="W546" i="4"/>
  <c r="W518" i="4"/>
  <c r="W367" i="4"/>
  <c r="W410" i="4"/>
  <c r="W455" i="4"/>
  <c r="V613" i="4"/>
  <c r="V614" i="4"/>
  <c r="V615" i="4"/>
  <c r="V616" i="4"/>
  <c r="V617" i="4"/>
  <c r="V618" i="4"/>
  <c r="V603" i="4"/>
  <c r="V604" i="4"/>
  <c r="V605" i="4"/>
  <c r="V606" i="4"/>
  <c r="V607" i="4"/>
  <c r="V608" i="4"/>
  <c r="V609" i="4"/>
  <c r="V610" i="4"/>
  <c r="V611" i="4"/>
  <c r="V602" i="4"/>
  <c r="V595" i="4"/>
  <c r="V596" i="4"/>
  <c r="V597" i="4"/>
  <c r="V598" i="4"/>
  <c r="V599" i="4"/>
  <c r="V600" i="4"/>
  <c r="V601" i="4"/>
  <c r="V562" i="4"/>
  <c r="V563" i="4"/>
  <c r="V564" i="4"/>
  <c r="V565" i="4"/>
  <c r="V566" i="4"/>
  <c r="V567" i="4"/>
  <c r="V568" i="4"/>
  <c r="V569" i="4"/>
  <c r="V570" i="4"/>
  <c r="V571" i="4"/>
  <c r="V572" i="4"/>
  <c r="V573" i="4"/>
  <c r="V574" i="4"/>
  <c r="V575" i="4"/>
  <c r="V576" i="4"/>
  <c r="V577" i="4"/>
  <c r="V578" i="4"/>
  <c r="V579" i="4"/>
  <c r="V580" i="4"/>
  <c r="V581" i="4"/>
  <c r="V582" i="4"/>
  <c r="V583" i="4"/>
  <c r="V584" i="4"/>
  <c r="V585" i="4"/>
  <c r="V586" i="4"/>
  <c r="V587" i="4"/>
  <c r="V588" i="4"/>
  <c r="V589" i="4"/>
  <c r="V590" i="4"/>
  <c r="V591" i="4"/>
  <c r="V561" i="4"/>
  <c r="V560" i="4"/>
  <c r="V543" i="4"/>
  <c r="V544" i="4"/>
  <c r="V545" i="4"/>
  <c r="V546" i="4"/>
  <c r="V547" i="4"/>
  <c r="V548" i="4"/>
  <c r="V549" i="4"/>
  <c r="V550" i="4"/>
  <c r="V551" i="4"/>
  <c r="V552" i="4"/>
  <c r="V553" i="4"/>
  <c r="V554" i="4"/>
  <c r="V555" i="4"/>
  <c r="V556" i="4"/>
  <c r="V557" i="4"/>
  <c r="V492" i="4"/>
  <c r="V496" i="4"/>
  <c r="V495" i="4"/>
  <c r="V494" i="4"/>
  <c r="V498" i="4"/>
  <c r="V499" i="4"/>
  <c r="V500" i="4"/>
  <c r="V501" i="4"/>
  <c r="V502" i="4"/>
  <c r="V503" i="4"/>
  <c r="V504" i="4"/>
  <c r="V505" i="4"/>
  <c r="V506" i="4"/>
  <c r="V507" i="4"/>
  <c r="V508" i="4"/>
  <c r="V509" i="4"/>
  <c r="V510" i="4"/>
  <c r="V511" i="4"/>
  <c r="V512" i="4"/>
  <c r="V513" i="4"/>
  <c r="V514" i="4"/>
  <c r="V515" i="4"/>
  <c r="V516" i="4"/>
  <c r="V517" i="4"/>
  <c r="V518" i="4"/>
  <c r="V519" i="4"/>
  <c r="V520" i="4"/>
  <c r="V521" i="4"/>
  <c r="V522" i="4"/>
  <c r="V523" i="4"/>
  <c r="V525" i="4"/>
  <c r="V526" i="4"/>
  <c r="V527" i="4"/>
  <c r="V529" i="4"/>
  <c r="V530" i="4"/>
  <c r="V531" i="4"/>
  <c r="V532" i="4"/>
  <c r="V533" i="4"/>
  <c r="V534" i="4"/>
  <c r="V535" i="4"/>
  <c r="V536" i="4"/>
  <c r="V537" i="4"/>
  <c r="V539" i="4"/>
  <c r="V540" i="4"/>
  <c r="V541" i="4"/>
  <c r="O612" i="4"/>
  <c r="R612" i="4"/>
  <c r="V612" i="4"/>
  <c r="W612" i="4"/>
  <c r="X612" i="4"/>
  <c r="Y612" i="4" s="1"/>
  <c r="AD612" i="4"/>
  <c r="O375" i="4"/>
  <c r="R375" i="4"/>
  <c r="T375" i="4"/>
  <c r="AA375" i="4" s="1"/>
  <c r="V375" i="4"/>
  <c r="W375" i="4"/>
  <c r="X375" i="4"/>
  <c r="Y375" i="4" s="1"/>
  <c r="AD375" i="4"/>
  <c r="O602" i="4"/>
  <c r="R602" i="4"/>
  <c r="T602" i="4"/>
  <c r="AA602" i="4" s="1"/>
  <c r="W602" i="4"/>
  <c r="X602" i="4"/>
  <c r="Y602" i="4" s="1"/>
  <c r="AD602" i="4"/>
  <c r="O561" i="4"/>
  <c r="R561" i="4"/>
  <c r="T561" i="4"/>
  <c r="AA561" i="4" s="1"/>
  <c r="W561" i="4"/>
  <c r="X561" i="4"/>
  <c r="Y561" i="4" s="1"/>
  <c r="AD561" i="4"/>
  <c r="O559" i="4"/>
  <c r="R559" i="4"/>
  <c r="T559" i="4"/>
  <c r="AA559" i="4" s="1"/>
  <c r="V559" i="4"/>
  <c r="W559" i="4"/>
  <c r="X559" i="4"/>
  <c r="Y559" i="4" s="1"/>
  <c r="AD559" i="4"/>
  <c r="O542" i="4"/>
  <c r="R542" i="4"/>
  <c r="T542" i="4"/>
  <c r="AA542" i="4" s="1"/>
  <c r="V542" i="4"/>
  <c r="W542" i="4"/>
  <c r="X542" i="4"/>
  <c r="Y542" i="4" s="1"/>
  <c r="AD542" i="4"/>
  <c r="O497" i="4"/>
  <c r="R497" i="4"/>
  <c r="V497" i="4"/>
  <c r="W497" i="4"/>
  <c r="X497" i="4"/>
  <c r="AD497" i="4"/>
  <c r="O493" i="4"/>
  <c r="R493" i="4"/>
  <c r="V493" i="4"/>
  <c r="W493" i="4"/>
  <c r="X493" i="4"/>
  <c r="AD493" i="4"/>
  <c r="O495" i="4"/>
  <c r="R495" i="4"/>
  <c r="T495" i="4"/>
  <c r="AA495" i="4" s="1"/>
  <c r="W495" i="4"/>
  <c r="X495" i="4"/>
  <c r="Y495" i="4" s="1"/>
  <c r="AD49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7" i="4"/>
  <c r="V258" i="4"/>
  <c r="V259" i="4"/>
  <c r="V260" i="4"/>
  <c r="V261" i="4"/>
  <c r="V262" i="4"/>
  <c r="V263" i="4"/>
  <c r="V264" i="4"/>
  <c r="V265" i="4"/>
  <c r="V266" i="4"/>
  <c r="V267" i="4"/>
  <c r="V268" i="4"/>
  <c r="V269" i="4"/>
  <c r="V270" i="4"/>
  <c r="V271" i="4"/>
  <c r="V272"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6" i="4"/>
  <c r="V377" i="4"/>
  <c r="V378" i="4"/>
  <c r="V379" i="4"/>
  <c r="V380" i="4"/>
  <c r="V381" i="4"/>
  <c r="V382" i="4"/>
  <c r="V383" i="4"/>
  <c r="V384" i="4"/>
  <c r="V385" i="4"/>
  <c r="V386" i="4"/>
  <c r="V387" i="4"/>
  <c r="V388" i="4"/>
  <c r="V389" i="4"/>
  <c r="V390" i="4"/>
  <c r="V391" i="4"/>
  <c r="V392" i="4"/>
  <c r="V393" i="4"/>
  <c r="V394" i="4"/>
  <c r="V395" i="4"/>
  <c r="V396" i="4"/>
  <c r="V397" i="4"/>
  <c r="V398" i="4"/>
  <c r="V399" i="4"/>
  <c r="V400" i="4"/>
  <c r="V401" i="4"/>
  <c r="V402" i="4"/>
  <c r="V403" i="4"/>
  <c r="V404" i="4"/>
  <c r="V405" i="4"/>
  <c r="V406" i="4"/>
  <c r="V407" i="4"/>
  <c r="V408" i="4"/>
  <c r="V409" i="4"/>
  <c r="V410" i="4"/>
  <c r="V411" i="4"/>
  <c r="V412" i="4"/>
  <c r="V413" i="4"/>
  <c r="V414" i="4"/>
  <c r="V415" i="4"/>
  <c r="V416" i="4"/>
  <c r="V417" i="4"/>
  <c r="V418" i="4"/>
  <c r="V419" i="4"/>
  <c r="V420" i="4"/>
  <c r="V421" i="4"/>
  <c r="V422" i="4"/>
  <c r="V423" i="4"/>
  <c r="V424" i="4"/>
  <c r="V425" i="4"/>
  <c r="V426" i="4"/>
  <c r="V427" i="4"/>
  <c r="V428" i="4"/>
  <c r="V429" i="4"/>
  <c r="V430" i="4"/>
  <c r="V431" i="4"/>
  <c r="V432" i="4"/>
  <c r="V433" i="4"/>
  <c r="V434" i="4"/>
  <c r="V435" i="4"/>
  <c r="V436" i="4"/>
  <c r="V437" i="4"/>
  <c r="V438" i="4"/>
  <c r="V439" i="4"/>
  <c r="V440" i="4"/>
  <c r="V441" i="4"/>
  <c r="V442" i="4"/>
  <c r="V443" i="4"/>
  <c r="V444" i="4"/>
  <c r="V445" i="4"/>
  <c r="V446" i="4"/>
  <c r="V447" i="4"/>
  <c r="V448" i="4"/>
  <c r="V449" i="4"/>
  <c r="V450" i="4"/>
  <c r="V451" i="4"/>
  <c r="V452" i="4"/>
  <c r="V453" i="4"/>
  <c r="V469" i="4"/>
  <c r="V470" i="4"/>
  <c r="V471" i="4"/>
  <c r="V472" i="4"/>
  <c r="V473" i="4"/>
  <c r="V474" i="4"/>
  <c r="V475" i="4"/>
  <c r="V476" i="4"/>
  <c r="V477" i="4"/>
  <c r="V478" i="4"/>
  <c r="V479" i="4"/>
  <c r="V461" i="4"/>
  <c r="V462" i="4"/>
  <c r="V463" i="4"/>
  <c r="V464" i="4"/>
  <c r="V465" i="4"/>
  <c r="V466" i="4"/>
  <c r="V467" i="4"/>
  <c r="V468" i="4"/>
  <c r="V460" i="4"/>
  <c r="V455" i="4"/>
  <c r="V456" i="4"/>
  <c r="V457" i="4"/>
  <c r="V458" i="4"/>
  <c r="V459" i="4"/>
  <c r="V454" i="4"/>
  <c r="V481" i="4"/>
  <c r="V482" i="4"/>
  <c r="V483" i="4"/>
  <c r="V484" i="4"/>
  <c r="V485" i="4"/>
  <c r="V486" i="4"/>
  <c r="V558" i="4"/>
  <c r="V592" i="4"/>
  <c r="V594" i="4"/>
  <c r="V670" i="4"/>
  <c r="V490" i="4"/>
  <c r="V491" i="4"/>
  <c r="O489" i="4"/>
  <c r="R489" i="4"/>
  <c r="T489" i="4"/>
  <c r="AA489" i="4" s="1"/>
  <c r="V489" i="4"/>
  <c r="W489" i="4"/>
  <c r="X489" i="4"/>
  <c r="Y489" i="4" s="1"/>
  <c r="AD489" i="4"/>
  <c r="O487" i="4"/>
  <c r="R487" i="4"/>
  <c r="T487" i="4"/>
  <c r="AA487" i="4" s="1"/>
  <c r="V487" i="4"/>
  <c r="W487" i="4"/>
  <c r="X487" i="4"/>
  <c r="Y487" i="4" s="1"/>
  <c r="AD487" i="4"/>
  <c r="AD482" i="4"/>
  <c r="X482" i="4"/>
  <c r="Y482" i="4" s="1"/>
  <c r="W482" i="4"/>
  <c r="T482" i="4"/>
  <c r="AA482" i="4" s="1"/>
  <c r="R482" i="4"/>
  <c r="O482" i="4"/>
  <c r="O480" i="4"/>
  <c r="R480" i="4"/>
  <c r="T480" i="4"/>
  <c r="AA480" i="4" s="1"/>
  <c r="V480" i="4"/>
  <c r="W480" i="4"/>
  <c r="X480" i="4"/>
  <c r="Y480" i="4" s="1"/>
  <c r="AD480" i="4"/>
  <c r="O470" i="4"/>
  <c r="R470" i="4"/>
  <c r="T470" i="4"/>
  <c r="AA470" i="4" s="1"/>
  <c r="W470" i="4"/>
  <c r="X470" i="4"/>
  <c r="Y470" i="4" s="1"/>
  <c r="AD470" i="4"/>
  <c r="T624" i="4" l="1"/>
  <c r="AA624" i="4" s="1"/>
  <c r="Y624" i="4"/>
  <c r="T612" i="4"/>
  <c r="AA612" i="4" s="1"/>
  <c r="T622" i="4"/>
  <c r="AA622" i="4" s="1"/>
  <c r="T493" i="4"/>
  <c r="AA493" i="4" s="1"/>
  <c r="Y493" i="4"/>
  <c r="T497" i="4"/>
  <c r="AA497" i="4" s="1"/>
  <c r="Y497" i="4"/>
  <c r="AD2" i="4"/>
  <c r="AD3"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D76" i="4"/>
  <c r="AD77" i="4"/>
  <c r="AD78" i="4"/>
  <c r="AD79" i="4"/>
  <c r="AD80" i="4"/>
  <c r="AD81" i="4"/>
  <c r="AD82" i="4"/>
  <c r="AD83" i="4"/>
  <c r="AD84" i="4"/>
  <c r="AD85" i="4"/>
  <c r="AD86" i="4"/>
  <c r="AD87" i="4"/>
  <c r="AD88" i="4"/>
  <c r="AD89" i="4"/>
  <c r="AD90" i="4"/>
  <c r="AD91" i="4"/>
  <c r="AD92" i="4"/>
  <c r="AD93" i="4"/>
  <c r="AD94" i="4"/>
  <c r="AD95" i="4"/>
  <c r="AD96" i="4"/>
  <c r="AD97" i="4"/>
  <c r="AD98" i="4"/>
  <c r="AD99" i="4"/>
  <c r="AD100" i="4"/>
  <c r="AD101" i="4"/>
  <c r="AD102" i="4"/>
  <c r="AD103" i="4"/>
  <c r="AD104" i="4"/>
  <c r="AD105" i="4"/>
  <c r="AD106" i="4"/>
  <c r="AD107" i="4"/>
  <c r="AD108" i="4"/>
  <c r="AD109" i="4"/>
  <c r="AD110" i="4"/>
  <c r="AD111" i="4"/>
  <c r="AD112" i="4"/>
  <c r="AD113" i="4"/>
  <c r="AD114" i="4"/>
  <c r="AD115" i="4"/>
  <c r="AD116" i="4"/>
  <c r="AD117" i="4"/>
  <c r="AD118" i="4"/>
  <c r="AD119" i="4"/>
  <c r="AD120" i="4"/>
  <c r="AD121" i="4"/>
  <c r="AD122" i="4"/>
  <c r="AD123" i="4"/>
  <c r="AD124" i="4"/>
  <c r="AD125" i="4"/>
  <c r="AD126" i="4"/>
  <c r="AD127" i="4"/>
  <c r="AD128" i="4"/>
  <c r="AD129" i="4"/>
  <c r="AD130" i="4"/>
  <c r="AD131" i="4"/>
  <c r="AD132" i="4"/>
  <c r="AD133" i="4"/>
  <c r="AD134" i="4"/>
  <c r="AD135" i="4"/>
  <c r="AD136" i="4"/>
  <c r="AD137" i="4"/>
  <c r="AD138" i="4"/>
  <c r="AD139" i="4"/>
  <c r="AD140" i="4"/>
  <c r="AD141" i="4"/>
  <c r="AD142" i="4"/>
  <c r="AD143" i="4"/>
  <c r="AD144" i="4"/>
  <c r="AD145" i="4"/>
  <c r="AD146" i="4"/>
  <c r="AD147" i="4"/>
  <c r="AD148" i="4"/>
  <c r="AD149" i="4"/>
  <c r="AD150" i="4"/>
  <c r="AD151" i="4"/>
  <c r="AD152" i="4"/>
  <c r="AD153" i="4"/>
  <c r="AD154" i="4"/>
  <c r="AD155" i="4"/>
  <c r="AD156" i="4"/>
  <c r="AD157" i="4"/>
  <c r="AD158" i="4"/>
  <c r="AD159" i="4"/>
  <c r="AD160" i="4"/>
  <c r="AD161" i="4"/>
  <c r="AD162" i="4"/>
  <c r="AD163" i="4"/>
  <c r="AD164" i="4"/>
  <c r="AD165" i="4"/>
  <c r="AD166" i="4"/>
  <c r="AD167" i="4"/>
  <c r="AD168" i="4"/>
  <c r="AD169" i="4"/>
  <c r="AD170" i="4"/>
  <c r="AD171" i="4"/>
  <c r="AD172" i="4"/>
  <c r="AD173" i="4"/>
  <c r="AD174" i="4"/>
  <c r="AD175" i="4"/>
  <c r="AD176" i="4"/>
  <c r="AD177" i="4"/>
  <c r="AD178" i="4"/>
  <c r="AD179" i="4"/>
  <c r="AD180" i="4"/>
  <c r="AD181" i="4"/>
  <c r="AD182" i="4"/>
  <c r="AD183" i="4"/>
  <c r="AD184" i="4"/>
  <c r="AD185" i="4"/>
  <c r="AD186" i="4"/>
  <c r="AD187" i="4"/>
  <c r="AD188" i="4"/>
  <c r="AD189" i="4"/>
  <c r="AD190" i="4"/>
  <c r="AD191" i="4"/>
  <c r="AD192" i="4"/>
  <c r="AD193" i="4"/>
  <c r="AD194" i="4"/>
  <c r="AD195" i="4"/>
  <c r="AD196" i="4"/>
  <c r="AD197" i="4"/>
  <c r="AD198" i="4"/>
  <c r="AD199" i="4"/>
  <c r="AD200" i="4"/>
  <c r="AD201" i="4"/>
  <c r="AD202" i="4"/>
  <c r="AD203" i="4"/>
  <c r="AD204" i="4"/>
  <c r="AD205" i="4"/>
  <c r="AD206" i="4"/>
  <c r="AD207" i="4"/>
  <c r="AD208" i="4"/>
  <c r="AD209" i="4"/>
  <c r="AD210" i="4"/>
  <c r="AD211" i="4"/>
  <c r="AD212" i="4"/>
  <c r="AD213" i="4"/>
  <c r="AD214" i="4"/>
  <c r="AD215" i="4"/>
  <c r="AD216" i="4"/>
  <c r="AD217" i="4"/>
  <c r="AD218" i="4"/>
  <c r="AD219" i="4"/>
  <c r="AD220" i="4"/>
  <c r="AD221" i="4"/>
  <c r="AD222" i="4"/>
  <c r="AD223" i="4"/>
  <c r="AD224" i="4"/>
  <c r="AD225" i="4"/>
  <c r="AD226" i="4"/>
  <c r="AD227" i="4"/>
  <c r="AD228" i="4"/>
  <c r="AD229" i="4"/>
  <c r="AD230" i="4"/>
  <c r="AD231" i="4"/>
  <c r="AD232" i="4"/>
  <c r="AD233" i="4"/>
  <c r="AD234" i="4"/>
  <c r="AD235" i="4"/>
  <c r="AD236" i="4"/>
  <c r="AD237" i="4"/>
  <c r="AD238" i="4"/>
  <c r="AD239" i="4"/>
  <c r="AD240" i="4"/>
  <c r="AD241" i="4"/>
  <c r="AD242" i="4"/>
  <c r="AD243" i="4"/>
  <c r="AD244" i="4"/>
  <c r="AD245" i="4"/>
  <c r="AD246" i="4"/>
  <c r="AD247" i="4"/>
  <c r="AD248" i="4"/>
  <c r="AD249" i="4"/>
  <c r="AD250" i="4"/>
  <c r="AD251" i="4"/>
  <c r="AD252" i="4"/>
  <c r="AD253" i="4"/>
  <c r="AD254" i="4"/>
  <c r="AD255" i="4"/>
  <c r="AD256" i="4"/>
  <c r="AD257" i="4"/>
  <c r="AD258" i="4"/>
  <c r="AD259" i="4"/>
  <c r="AD260" i="4"/>
  <c r="AD261" i="4"/>
  <c r="AD262" i="4"/>
  <c r="AD263" i="4"/>
  <c r="AD264" i="4"/>
  <c r="AD265" i="4"/>
  <c r="AD266" i="4"/>
  <c r="AD267" i="4"/>
  <c r="AD268" i="4"/>
  <c r="AD269" i="4"/>
  <c r="AD270" i="4"/>
  <c r="AD271" i="4"/>
  <c r="AD272" i="4"/>
  <c r="AD273" i="4"/>
  <c r="AD274" i="4"/>
  <c r="AD275" i="4"/>
  <c r="AD276" i="4"/>
  <c r="AD277" i="4"/>
  <c r="AD278" i="4"/>
  <c r="AD279" i="4"/>
  <c r="AD280" i="4"/>
  <c r="AD281" i="4"/>
  <c r="AD282" i="4"/>
  <c r="AD283" i="4"/>
  <c r="AD284" i="4"/>
  <c r="AD285" i="4"/>
  <c r="AD286" i="4"/>
  <c r="AD287" i="4"/>
  <c r="AD288" i="4"/>
  <c r="AD289" i="4"/>
  <c r="AD290" i="4"/>
  <c r="AD291" i="4"/>
  <c r="AD292" i="4"/>
  <c r="AD293" i="4"/>
  <c r="AD294" i="4"/>
  <c r="AD295" i="4"/>
  <c r="AD296" i="4"/>
  <c r="AD297" i="4"/>
  <c r="AD298" i="4"/>
  <c r="AD299" i="4"/>
  <c r="AD300" i="4"/>
  <c r="AD301" i="4"/>
  <c r="AD302" i="4"/>
  <c r="AD303" i="4"/>
  <c r="AD304" i="4"/>
  <c r="AD305" i="4"/>
  <c r="AD306" i="4"/>
  <c r="AD307" i="4"/>
  <c r="AD308" i="4"/>
  <c r="AD309" i="4"/>
  <c r="AD310" i="4"/>
  <c r="AD311" i="4"/>
  <c r="AD312" i="4"/>
  <c r="AD313" i="4"/>
  <c r="AD314" i="4"/>
  <c r="AD315" i="4"/>
  <c r="AD316" i="4"/>
  <c r="AD317" i="4"/>
  <c r="AD318" i="4"/>
  <c r="AD319" i="4"/>
  <c r="AD320" i="4"/>
  <c r="AD321" i="4"/>
  <c r="AD322" i="4"/>
  <c r="AD323" i="4"/>
  <c r="AD324" i="4"/>
  <c r="AD325" i="4"/>
  <c r="AD326" i="4"/>
  <c r="AD327" i="4"/>
  <c r="AD328" i="4"/>
  <c r="AD329" i="4"/>
  <c r="AD330" i="4"/>
  <c r="AD331" i="4"/>
  <c r="AD332" i="4"/>
  <c r="AD333" i="4"/>
  <c r="AD334" i="4"/>
  <c r="AD335" i="4"/>
  <c r="AD336" i="4"/>
  <c r="AD337" i="4"/>
  <c r="AD338" i="4"/>
  <c r="AD339" i="4"/>
  <c r="AD340" i="4"/>
  <c r="AD341" i="4"/>
  <c r="AD342" i="4"/>
  <c r="AD343" i="4"/>
  <c r="AD344" i="4"/>
  <c r="AD345" i="4"/>
  <c r="AD346" i="4"/>
  <c r="AD347" i="4"/>
  <c r="AD348" i="4"/>
  <c r="AD349" i="4"/>
  <c r="AD350" i="4"/>
  <c r="AD351" i="4"/>
  <c r="AD352" i="4"/>
  <c r="AD353" i="4"/>
  <c r="AD354" i="4"/>
  <c r="AD355" i="4"/>
  <c r="AD356" i="4"/>
  <c r="AD357" i="4"/>
  <c r="AD358" i="4"/>
  <c r="AD359" i="4"/>
  <c r="AD360" i="4"/>
  <c r="AD361" i="4"/>
  <c r="AD362" i="4"/>
  <c r="AD363" i="4"/>
  <c r="AD364" i="4"/>
  <c r="AD365" i="4"/>
  <c r="AD366" i="4"/>
  <c r="AD367" i="4"/>
  <c r="AD368" i="4"/>
  <c r="AD369" i="4"/>
  <c r="AD370" i="4"/>
  <c r="AD371" i="4"/>
  <c r="AD372" i="4"/>
  <c r="AD373" i="4"/>
  <c r="AD374" i="4"/>
  <c r="AD376" i="4"/>
  <c r="AD377" i="4"/>
  <c r="AD378" i="4"/>
  <c r="AD379" i="4"/>
  <c r="AD380" i="4"/>
  <c r="AD381" i="4"/>
  <c r="AD382" i="4"/>
  <c r="AD383" i="4"/>
  <c r="AD384" i="4"/>
  <c r="AD385" i="4"/>
  <c r="AD386" i="4"/>
  <c r="AD387" i="4"/>
  <c r="AD388" i="4"/>
  <c r="AD389" i="4"/>
  <c r="AD390" i="4"/>
  <c r="AD391" i="4"/>
  <c r="AD392" i="4"/>
  <c r="AD393" i="4"/>
  <c r="AD394" i="4"/>
  <c r="AD395" i="4"/>
  <c r="AD396" i="4"/>
  <c r="AD397" i="4"/>
  <c r="AD398" i="4"/>
  <c r="AD399" i="4"/>
  <c r="AD400" i="4"/>
  <c r="AD401" i="4"/>
  <c r="AD402" i="4"/>
  <c r="AD403" i="4"/>
  <c r="AD404" i="4"/>
  <c r="AD405" i="4"/>
  <c r="AD406" i="4"/>
  <c r="AD407" i="4"/>
  <c r="AD408" i="4"/>
  <c r="AD409" i="4"/>
  <c r="AD410" i="4"/>
  <c r="AD411" i="4"/>
  <c r="AD412" i="4"/>
  <c r="AD413" i="4"/>
  <c r="AD414" i="4"/>
  <c r="AD415" i="4"/>
  <c r="AD416" i="4"/>
  <c r="AD417" i="4"/>
  <c r="AD418" i="4"/>
  <c r="AD419" i="4"/>
  <c r="AD420" i="4"/>
  <c r="AD421" i="4"/>
  <c r="AD422" i="4"/>
  <c r="AD423" i="4"/>
  <c r="AD424" i="4"/>
  <c r="AD425" i="4"/>
  <c r="AD426" i="4"/>
  <c r="AD427" i="4"/>
  <c r="AD428" i="4"/>
  <c r="AD429" i="4"/>
  <c r="AD430" i="4"/>
  <c r="AD431" i="4"/>
  <c r="AD432" i="4"/>
  <c r="AD433" i="4"/>
  <c r="AD434" i="4"/>
  <c r="AD435" i="4"/>
  <c r="AD436" i="4"/>
  <c r="AD437" i="4"/>
  <c r="AD438" i="4"/>
  <c r="AD439" i="4"/>
  <c r="AD440" i="4"/>
  <c r="AD441" i="4"/>
  <c r="AD442" i="4"/>
  <c r="AD443" i="4"/>
  <c r="AD444" i="4"/>
  <c r="AD445" i="4"/>
  <c r="AD446" i="4"/>
  <c r="AD447" i="4"/>
  <c r="AD448" i="4"/>
  <c r="AD449" i="4"/>
  <c r="AD450" i="4"/>
  <c r="AD451" i="4"/>
  <c r="AD452" i="4"/>
  <c r="AD453" i="4"/>
  <c r="AD454" i="4"/>
  <c r="AD455" i="4"/>
  <c r="AD456" i="4"/>
  <c r="AD457" i="4"/>
  <c r="AD458" i="4"/>
  <c r="AD459" i="4"/>
  <c r="AD460" i="4"/>
  <c r="AD461" i="4"/>
  <c r="AD462" i="4"/>
  <c r="AD463" i="4"/>
  <c r="AD464" i="4"/>
  <c r="AD465" i="4"/>
  <c r="AD466" i="4"/>
  <c r="AD467" i="4"/>
  <c r="AD468" i="4"/>
  <c r="AD469" i="4"/>
  <c r="AD471" i="4"/>
  <c r="AD472" i="4"/>
  <c r="AD473" i="4"/>
  <c r="AD474" i="4"/>
  <c r="AD475" i="4"/>
  <c r="AD476" i="4"/>
  <c r="AD477" i="4"/>
  <c r="AD478" i="4"/>
  <c r="AD479" i="4"/>
  <c r="AD481" i="4"/>
  <c r="AD483" i="4"/>
  <c r="AD484" i="4"/>
  <c r="AD485" i="4"/>
  <c r="AD486" i="4"/>
  <c r="AD488" i="4"/>
  <c r="AD490" i="4"/>
  <c r="AD491" i="4"/>
  <c r="AD492" i="4"/>
  <c r="AD494" i="4"/>
  <c r="AD496" i="4"/>
  <c r="AD498" i="4"/>
  <c r="AD499" i="4"/>
  <c r="AD500" i="4"/>
  <c r="AD501" i="4"/>
  <c r="AD502" i="4"/>
  <c r="AD503" i="4"/>
  <c r="AD504" i="4"/>
  <c r="AD505" i="4"/>
  <c r="AD506" i="4"/>
  <c r="AD507" i="4"/>
  <c r="AD508" i="4"/>
  <c r="AD509" i="4"/>
  <c r="AD510" i="4"/>
  <c r="AD511" i="4"/>
  <c r="AD512" i="4"/>
  <c r="AD513" i="4"/>
  <c r="AD514" i="4"/>
  <c r="AD515" i="4"/>
  <c r="AD516" i="4"/>
  <c r="AD517" i="4"/>
  <c r="AD518" i="4"/>
  <c r="AD519" i="4"/>
  <c r="AD520" i="4"/>
  <c r="AD521" i="4"/>
  <c r="AD522" i="4"/>
  <c r="AD523" i="4"/>
  <c r="AD524" i="4"/>
  <c r="AD525" i="4"/>
  <c r="AD526" i="4"/>
  <c r="AD527" i="4"/>
  <c r="AD528" i="4"/>
  <c r="AD529" i="4"/>
  <c r="AD530" i="4"/>
  <c r="AD531" i="4"/>
  <c r="AD532" i="4"/>
  <c r="AD533" i="4"/>
  <c r="AD534" i="4"/>
  <c r="AD535" i="4"/>
  <c r="AD536" i="4"/>
  <c r="AD537" i="4"/>
  <c r="AD538" i="4"/>
  <c r="AD539" i="4"/>
  <c r="AD540" i="4"/>
  <c r="AD541" i="4"/>
  <c r="AD543" i="4"/>
  <c r="AD544" i="4"/>
  <c r="AD545" i="4"/>
  <c r="AD546" i="4"/>
  <c r="AD547" i="4"/>
  <c r="AD548" i="4"/>
  <c r="AD549" i="4"/>
  <c r="AD550" i="4"/>
  <c r="AD551" i="4"/>
  <c r="AD552" i="4"/>
  <c r="AD553" i="4"/>
  <c r="AD554" i="4"/>
  <c r="AD555" i="4"/>
  <c r="AD556" i="4"/>
  <c r="AD557" i="4"/>
  <c r="AD558" i="4"/>
  <c r="AD560" i="4"/>
  <c r="AD562" i="4"/>
  <c r="AD563" i="4"/>
  <c r="AD564" i="4"/>
  <c r="AD565" i="4"/>
  <c r="AD566" i="4"/>
  <c r="AD567" i="4"/>
  <c r="AD568" i="4"/>
  <c r="AD569" i="4"/>
  <c r="AD570" i="4"/>
  <c r="AD571" i="4"/>
  <c r="AD572" i="4"/>
  <c r="AD573" i="4"/>
  <c r="AD574" i="4"/>
  <c r="AD575" i="4"/>
  <c r="AD576" i="4"/>
  <c r="AD577" i="4"/>
  <c r="AD578" i="4"/>
  <c r="AD579" i="4"/>
  <c r="AD580" i="4"/>
  <c r="AD581" i="4"/>
  <c r="AD582" i="4"/>
  <c r="AD583" i="4"/>
  <c r="AD584" i="4"/>
  <c r="AD585" i="4"/>
  <c r="AD586" i="4"/>
  <c r="AD587" i="4"/>
  <c r="AD588" i="4"/>
  <c r="AD589" i="4"/>
  <c r="AD590" i="4"/>
  <c r="AD591" i="4"/>
  <c r="AD592" i="4"/>
  <c r="AD594" i="4"/>
  <c r="AD595" i="4"/>
  <c r="AD596" i="4"/>
  <c r="AD597" i="4"/>
  <c r="AD598" i="4"/>
  <c r="AD599" i="4"/>
  <c r="AD600" i="4"/>
  <c r="AD601" i="4"/>
  <c r="AD603" i="4"/>
  <c r="AD604" i="4"/>
  <c r="AD605" i="4"/>
  <c r="AD606" i="4"/>
  <c r="AD607" i="4"/>
  <c r="AD608" i="4"/>
  <c r="AD609" i="4"/>
  <c r="AD610" i="4"/>
  <c r="AD611" i="4"/>
  <c r="AD613" i="4"/>
  <c r="AD614" i="4"/>
  <c r="AD615" i="4"/>
  <c r="AD616" i="4"/>
  <c r="AD617" i="4"/>
  <c r="AD618" i="4"/>
  <c r="AD619" i="4"/>
  <c r="AD620" i="4"/>
  <c r="AD621" i="4"/>
  <c r="AD623" i="4"/>
  <c r="AD625" i="4"/>
  <c r="AD626" i="4"/>
  <c r="AD627" i="4"/>
  <c r="AD628" i="4"/>
  <c r="AD629" i="4"/>
  <c r="AD630" i="4"/>
  <c r="AD632" i="4"/>
  <c r="AD633" i="4"/>
  <c r="AD634" i="4"/>
  <c r="AD635" i="4"/>
  <c r="AD636" i="4"/>
  <c r="AD637" i="4"/>
  <c r="AD638" i="4"/>
  <c r="AD639" i="4"/>
  <c r="AD640" i="4"/>
  <c r="AD641" i="4"/>
  <c r="AD642" i="4"/>
  <c r="AD643" i="4"/>
  <c r="AD644" i="4"/>
  <c r="AD645" i="4"/>
  <c r="AD646" i="4"/>
  <c r="AD647" i="4"/>
  <c r="AD648" i="4"/>
  <c r="AD649" i="4"/>
  <c r="AD650" i="4"/>
  <c r="AD651" i="4"/>
  <c r="AD652" i="4"/>
  <c r="AD653" i="4"/>
  <c r="AD654" i="4"/>
  <c r="AD655" i="4"/>
  <c r="AD656" i="4"/>
  <c r="AD657" i="4"/>
  <c r="AD658" i="4"/>
  <c r="AD659" i="4"/>
  <c r="AD661" i="4"/>
  <c r="AD662" i="4"/>
  <c r="AD663" i="4"/>
  <c r="AD665" i="4"/>
  <c r="AD666" i="4"/>
  <c r="AD667" i="4"/>
  <c r="AD668" i="4"/>
  <c r="AD669" i="4"/>
  <c r="AD670" i="4"/>
  <c r="AD672" i="4"/>
  <c r="AD673" i="4"/>
  <c r="AD674" i="4"/>
  <c r="AD675" i="4"/>
  <c r="AD676" i="4"/>
  <c r="AD677" i="4"/>
  <c r="AD678" i="4"/>
  <c r="AD679" i="4"/>
  <c r="O471" i="4"/>
  <c r="O472" i="4"/>
  <c r="O473" i="4"/>
  <c r="O474" i="4"/>
  <c r="O475" i="4"/>
  <c r="O476" i="4"/>
  <c r="O477" i="4"/>
  <c r="O478" i="4"/>
  <c r="O479" i="4"/>
  <c r="O481" i="4"/>
  <c r="O483" i="4"/>
  <c r="O484" i="4"/>
  <c r="O485" i="4"/>
  <c r="O486" i="4"/>
  <c r="O488" i="4"/>
  <c r="O490" i="4"/>
  <c r="O491" i="4"/>
  <c r="O492" i="4"/>
  <c r="O494" i="4"/>
  <c r="O496"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3" i="4"/>
  <c r="O544" i="4"/>
  <c r="O545" i="4"/>
  <c r="O546" i="4"/>
  <c r="O547" i="4"/>
  <c r="O548" i="4"/>
  <c r="O549" i="4"/>
  <c r="O550" i="4"/>
  <c r="O551" i="4"/>
  <c r="O552" i="4"/>
  <c r="O553" i="4"/>
  <c r="O554" i="4"/>
  <c r="O555" i="4"/>
  <c r="O556" i="4"/>
  <c r="O557" i="4"/>
  <c r="O558" i="4"/>
  <c r="O560"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4" i="4"/>
  <c r="O595" i="4"/>
  <c r="O596" i="4"/>
  <c r="O597" i="4"/>
  <c r="O598" i="4"/>
  <c r="O599" i="4"/>
  <c r="O600" i="4"/>
  <c r="O601" i="4"/>
  <c r="O603" i="4"/>
  <c r="O604" i="4"/>
  <c r="O605" i="4"/>
  <c r="O606" i="4"/>
  <c r="O607" i="4"/>
  <c r="O608" i="4"/>
  <c r="O609" i="4"/>
  <c r="O610" i="4"/>
  <c r="O611" i="4"/>
  <c r="O613" i="4"/>
  <c r="O614" i="4"/>
  <c r="O615" i="4"/>
  <c r="O616" i="4"/>
  <c r="O617" i="4"/>
  <c r="O618" i="4"/>
  <c r="O619" i="4"/>
  <c r="O620" i="4"/>
  <c r="O621" i="4"/>
  <c r="O623" i="4"/>
  <c r="O625" i="4"/>
  <c r="O626" i="4"/>
  <c r="O627" i="4"/>
  <c r="O628" i="4"/>
  <c r="O629" i="4"/>
  <c r="O630"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1" i="4"/>
  <c r="O662" i="4"/>
  <c r="O663" i="4"/>
  <c r="O665" i="4"/>
  <c r="O666" i="4"/>
  <c r="O667" i="4"/>
  <c r="O668" i="4"/>
  <c r="O669" i="4"/>
  <c r="O670" i="4"/>
  <c r="O672" i="4"/>
  <c r="O673" i="4"/>
  <c r="O674" i="4"/>
  <c r="O675" i="4"/>
  <c r="O676" i="4"/>
  <c r="O677" i="4"/>
  <c r="O678" i="4"/>
  <c r="O679" i="4"/>
  <c r="R471" i="4"/>
  <c r="R472" i="4"/>
  <c r="R473" i="4"/>
  <c r="R474" i="4"/>
  <c r="R475" i="4"/>
  <c r="R476" i="4"/>
  <c r="R477" i="4"/>
  <c r="R478" i="4"/>
  <c r="R479" i="4"/>
  <c r="R481" i="4"/>
  <c r="R483" i="4"/>
  <c r="R484" i="4"/>
  <c r="R485" i="4"/>
  <c r="R486" i="4"/>
  <c r="R488" i="4"/>
  <c r="R490" i="4"/>
  <c r="R491" i="4"/>
  <c r="R492" i="4"/>
  <c r="R494" i="4"/>
  <c r="R496" i="4"/>
  <c r="R498" i="4"/>
  <c r="R499" i="4"/>
  <c r="R500" i="4"/>
  <c r="R501" i="4"/>
  <c r="R502" i="4"/>
  <c r="R503" i="4"/>
  <c r="R504" i="4"/>
  <c r="R505" i="4"/>
  <c r="R506" i="4"/>
  <c r="R507" i="4"/>
  <c r="R508" i="4"/>
  <c r="R509" i="4"/>
  <c r="R510" i="4"/>
  <c r="R511" i="4"/>
  <c r="R512" i="4"/>
  <c r="R513" i="4"/>
  <c r="R514" i="4"/>
  <c r="R515" i="4"/>
  <c r="R516" i="4"/>
  <c r="R517" i="4"/>
  <c r="R518" i="4"/>
  <c r="R519" i="4"/>
  <c r="R520" i="4"/>
  <c r="R521" i="4"/>
  <c r="R522" i="4"/>
  <c r="R523" i="4"/>
  <c r="R524" i="4"/>
  <c r="R525" i="4"/>
  <c r="R526" i="4"/>
  <c r="R527" i="4"/>
  <c r="R528" i="4"/>
  <c r="R529" i="4"/>
  <c r="R530" i="4"/>
  <c r="R531" i="4"/>
  <c r="T531" i="4" s="1"/>
  <c r="AA531" i="4" s="1"/>
  <c r="R532" i="4"/>
  <c r="R533" i="4"/>
  <c r="R534" i="4"/>
  <c r="R535" i="4"/>
  <c r="R536" i="4"/>
  <c r="R537" i="4"/>
  <c r="R538" i="4"/>
  <c r="R539" i="4"/>
  <c r="R540" i="4"/>
  <c r="R541" i="4"/>
  <c r="R543" i="4"/>
  <c r="R544" i="4"/>
  <c r="R545" i="4"/>
  <c r="R546" i="4"/>
  <c r="R547" i="4"/>
  <c r="R548" i="4"/>
  <c r="R549" i="4"/>
  <c r="R550" i="4"/>
  <c r="R551" i="4"/>
  <c r="R552" i="4"/>
  <c r="R553" i="4"/>
  <c r="R554" i="4"/>
  <c r="R555" i="4"/>
  <c r="R556" i="4"/>
  <c r="R557" i="4"/>
  <c r="R558" i="4"/>
  <c r="R560" i="4"/>
  <c r="R562" i="4"/>
  <c r="R563" i="4"/>
  <c r="R564" i="4"/>
  <c r="R565" i="4"/>
  <c r="R566" i="4"/>
  <c r="R567" i="4"/>
  <c r="R568" i="4"/>
  <c r="R569" i="4"/>
  <c r="R570" i="4"/>
  <c r="R571" i="4"/>
  <c r="R572" i="4"/>
  <c r="R573" i="4"/>
  <c r="R574" i="4"/>
  <c r="R575" i="4"/>
  <c r="R576" i="4"/>
  <c r="R577" i="4"/>
  <c r="R578" i="4"/>
  <c r="R579" i="4"/>
  <c r="R580" i="4"/>
  <c r="R581" i="4"/>
  <c r="R582" i="4"/>
  <c r="R583" i="4"/>
  <c r="R584" i="4"/>
  <c r="R585" i="4"/>
  <c r="R586" i="4"/>
  <c r="R587" i="4"/>
  <c r="R588" i="4"/>
  <c r="R589" i="4"/>
  <c r="R590" i="4"/>
  <c r="R591" i="4"/>
  <c r="R592" i="4"/>
  <c r="R594" i="4"/>
  <c r="R595" i="4"/>
  <c r="R596" i="4"/>
  <c r="R597" i="4"/>
  <c r="R598" i="4"/>
  <c r="R599" i="4"/>
  <c r="R600" i="4"/>
  <c r="R601" i="4"/>
  <c r="R603" i="4"/>
  <c r="R604" i="4"/>
  <c r="R605" i="4"/>
  <c r="R606" i="4"/>
  <c r="R607" i="4"/>
  <c r="R608" i="4"/>
  <c r="R609" i="4"/>
  <c r="R610" i="4"/>
  <c r="R611" i="4"/>
  <c r="R613" i="4"/>
  <c r="R614" i="4"/>
  <c r="R615" i="4"/>
  <c r="R616" i="4"/>
  <c r="R617" i="4"/>
  <c r="R618" i="4"/>
  <c r="R619" i="4"/>
  <c r="R620" i="4"/>
  <c r="R621" i="4"/>
  <c r="R623" i="4"/>
  <c r="R625" i="4"/>
  <c r="R626" i="4"/>
  <c r="R627" i="4"/>
  <c r="R628" i="4"/>
  <c r="R629" i="4"/>
  <c r="R630" i="4"/>
  <c r="R632" i="4"/>
  <c r="R633" i="4"/>
  <c r="R634" i="4"/>
  <c r="R635" i="4"/>
  <c r="R636" i="4"/>
  <c r="R637" i="4"/>
  <c r="R638" i="4"/>
  <c r="R639" i="4"/>
  <c r="R640" i="4"/>
  <c r="R641" i="4"/>
  <c r="R642" i="4"/>
  <c r="R643" i="4"/>
  <c r="R644" i="4"/>
  <c r="R645" i="4"/>
  <c r="R646" i="4"/>
  <c r="R647" i="4"/>
  <c r="R648" i="4"/>
  <c r="R649" i="4"/>
  <c r="R650" i="4"/>
  <c r="R651" i="4"/>
  <c r="R652" i="4"/>
  <c r="R653" i="4"/>
  <c r="R654" i="4"/>
  <c r="R655" i="4"/>
  <c r="R656" i="4"/>
  <c r="R657" i="4"/>
  <c r="R658" i="4"/>
  <c r="R659" i="4"/>
  <c r="R661" i="4"/>
  <c r="R662" i="4"/>
  <c r="R663" i="4"/>
  <c r="R665" i="4"/>
  <c r="R666" i="4"/>
  <c r="R667" i="4"/>
  <c r="R668" i="4"/>
  <c r="R669" i="4"/>
  <c r="R670" i="4"/>
  <c r="R672" i="4"/>
  <c r="R673" i="4"/>
  <c r="R674" i="4"/>
  <c r="R675" i="4"/>
  <c r="R676" i="4"/>
  <c r="R677" i="4"/>
  <c r="R678" i="4"/>
  <c r="R679" i="4"/>
  <c r="T478" i="4"/>
  <c r="AA478" i="4" s="1"/>
  <c r="T479" i="4"/>
  <c r="AA479" i="4" s="1"/>
  <c r="T481" i="4"/>
  <c r="AA481" i="4" s="1"/>
  <c r="T486" i="4"/>
  <c r="AA486" i="4" s="1"/>
  <c r="T488" i="4"/>
  <c r="AA488" i="4" s="1"/>
  <c r="T490" i="4"/>
  <c r="AA490" i="4" s="1"/>
  <c r="T492" i="4"/>
  <c r="AA492" i="4" s="1"/>
  <c r="T494" i="4"/>
  <c r="AA494" i="4" s="1"/>
  <c r="T496" i="4"/>
  <c r="AA496" i="4" s="1"/>
  <c r="T503" i="4"/>
  <c r="AA503" i="4" s="1"/>
  <c r="T518" i="4"/>
  <c r="AA518" i="4" s="1"/>
  <c r="T523" i="4"/>
  <c r="AA523" i="4" s="1"/>
  <c r="T524" i="4"/>
  <c r="AA524" i="4" s="1"/>
  <c r="T526" i="4"/>
  <c r="AA526" i="4" s="1"/>
  <c r="T528" i="4"/>
  <c r="AA528" i="4" s="1"/>
  <c r="T536" i="4"/>
  <c r="AA536" i="4" s="1"/>
  <c r="T538" i="4"/>
  <c r="T539" i="4"/>
  <c r="AA539" i="4" s="1"/>
  <c r="T540" i="4"/>
  <c r="AA540" i="4" s="1"/>
  <c r="T543" i="4"/>
  <c r="AA543" i="4" s="1"/>
  <c r="T544" i="4"/>
  <c r="AA544" i="4" s="1"/>
  <c r="T545" i="4"/>
  <c r="AA545" i="4" s="1"/>
  <c r="T558" i="4"/>
  <c r="AA558" i="4" s="1"/>
  <c r="T560" i="4"/>
  <c r="AA560" i="4" s="1"/>
  <c r="T563" i="4"/>
  <c r="AA563" i="4" s="1"/>
  <c r="T565" i="4"/>
  <c r="AA565" i="4" s="1"/>
  <c r="T566" i="4"/>
  <c r="AA566" i="4" s="1"/>
  <c r="T567" i="4"/>
  <c r="AA567" i="4" s="1"/>
  <c r="T568" i="4"/>
  <c r="AA568" i="4" s="1"/>
  <c r="T569" i="4"/>
  <c r="AA569" i="4" s="1"/>
  <c r="T570" i="4"/>
  <c r="AA570" i="4" s="1"/>
  <c r="T571" i="4"/>
  <c r="AA571" i="4" s="1"/>
  <c r="T572" i="4"/>
  <c r="AA572" i="4" s="1"/>
  <c r="T573" i="4"/>
  <c r="AA573" i="4" s="1"/>
  <c r="T575" i="4"/>
  <c r="T579" i="4"/>
  <c r="AA579" i="4" s="1"/>
  <c r="T580" i="4"/>
  <c r="AA580" i="4" s="1"/>
  <c r="T581" i="4"/>
  <c r="AA581" i="4" s="1"/>
  <c r="T582" i="4"/>
  <c r="AA582" i="4" s="1"/>
  <c r="T583" i="4"/>
  <c r="AA583" i="4" s="1"/>
  <c r="T584" i="4"/>
  <c r="AA584" i="4" s="1"/>
  <c r="T585" i="4"/>
  <c r="AA585" i="4" s="1"/>
  <c r="T589" i="4"/>
  <c r="AA589" i="4" s="1"/>
  <c r="T590" i="4"/>
  <c r="AA590" i="4" s="1"/>
  <c r="T591" i="4"/>
  <c r="AA591" i="4" s="1"/>
  <c r="T598" i="4"/>
  <c r="AA598" i="4" s="1"/>
  <c r="T601" i="4"/>
  <c r="AA601" i="4" s="1"/>
  <c r="T604" i="4"/>
  <c r="AA604" i="4" s="1"/>
  <c r="T607" i="4"/>
  <c r="AA607" i="4" s="1"/>
  <c r="T615" i="4"/>
  <c r="AA615" i="4" s="1"/>
  <c r="T619" i="4"/>
  <c r="AA619" i="4" s="1"/>
  <c r="T620" i="4"/>
  <c r="AA620" i="4" s="1"/>
  <c r="T623" i="4"/>
  <c r="AA623" i="4" s="1"/>
  <c r="T630" i="4"/>
  <c r="AA630" i="4" s="1"/>
  <c r="T634" i="4"/>
  <c r="AA634" i="4" s="1"/>
  <c r="T636" i="4"/>
  <c r="AA636" i="4" s="1"/>
  <c r="T637" i="4"/>
  <c r="AA637" i="4" s="1"/>
  <c r="T638" i="4"/>
  <c r="AA638" i="4" s="1"/>
  <c r="T639" i="4"/>
  <c r="AA639" i="4" s="1"/>
  <c r="T640" i="4"/>
  <c r="AA640" i="4" s="1"/>
  <c r="T641" i="4"/>
  <c r="AA641" i="4" s="1"/>
  <c r="T642" i="4"/>
  <c r="AA642" i="4" s="1"/>
  <c r="T643" i="4"/>
  <c r="AA643" i="4" s="1"/>
  <c r="T644" i="4"/>
  <c r="AA644" i="4" s="1"/>
  <c r="T645" i="4"/>
  <c r="AA645" i="4" s="1"/>
  <c r="T646" i="4"/>
  <c r="AA646" i="4" s="1"/>
  <c r="T647" i="4"/>
  <c r="AA647" i="4" s="1"/>
  <c r="T648" i="4"/>
  <c r="AA648" i="4" s="1"/>
  <c r="T649" i="4"/>
  <c r="AA649" i="4" s="1"/>
  <c r="T650" i="4"/>
  <c r="AA650" i="4" s="1"/>
  <c r="T651" i="4"/>
  <c r="AA651" i="4" s="1"/>
  <c r="T652" i="4"/>
  <c r="AA652" i="4" s="1"/>
  <c r="T653" i="4"/>
  <c r="AA653" i="4" s="1"/>
  <c r="T654" i="4"/>
  <c r="AA654" i="4" s="1"/>
  <c r="T655" i="4"/>
  <c r="AA655" i="4" s="1"/>
  <c r="T656" i="4"/>
  <c r="T657" i="4"/>
  <c r="AA657" i="4" s="1"/>
  <c r="T658" i="4"/>
  <c r="AA658" i="4" s="1"/>
  <c r="T659" i="4"/>
  <c r="AA659" i="4" s="1"/>
  <c r="T661" i="4"/>
  <c r="AA661" i="4" s="1"/>
  <c r="T662" i="4"/>
  <c r="AA662" i="4" s="1"/>
  <c r="T663" i="4"/>
  <c r="AA663" i="4" s="1"/>
  <c r="T665" i="4"/>
  <c r="AA665" i="4" s="1"/>
  <c r="T666" i="4"/>
  <c r="AA666" i="4" s="1"/>
  <c r="T667" i="4"/>
  <c r="AA667" i="4" s="1"/>
  <c r="T668" i="4"/>
  <c r="AA668" i="4" s="1"/>
  <c r="T669" i="4"/>
  <c r="AA669" i="4" s="1"/>
  <c r="T670" i="4"/>
  <c r="AA670" i="4" s="1"/>
  <c r="T672" i="4"/>
  <c r="AA672" i="4" s="1"/>
  <c r="T673" i="4"/>
  <c r="AA673" i="4" s="1"/>
  <c r="T674" i="4"/>
  <c r="AA674" i="4" s="1"/>
  <c r="T675" i="4"/>
  <c r="AA675" i="4" s="1"/>
  <c r="T676" i="4"/>
  <c r="AA676" i="4" s="1"/>
  <c r="T677" i="4"/>
  <c r="AA677" i="4" s="1"/>
  <c r="T678" i="4"/>
  <c r="AA678" i="4" s="1"/>
  <c r="T679" i="4"/>
  <c r="AA679" i="4" s="1"/>
  <c r="V488" i="4"/>
  <c r="W471" i="4"/>
  <c r="W472" i="4"/>
  <c r="W473" i="4"/>
  <c r="W474" i="4"/>
  <c r="W475" i="4"/>
  <c r="W476" i="4"/>
  <c r="W477" i="4"/>
  <c r="W478" i="4"/>
  <c r="W479" i="4"/>
  <c r="W481" i="4"/>
  <c r="W483" i="4"/>
  <c r="W484" i="4"/>
  <c r="W485" i="4"/>
  <c r="W486" i="4"/>
  <c r="W488" i="4"/>
  <c r="W490" i="4"/>
  <c r="W491" i="4"/>
  <c r="W492" i="4"/>
  <c r="W494" i="4"/>
  <c r="W496" i="4"/>
  <c r="W498" i="4"/>
  <c r="W499" i="4"/>
  <c r="W500" i="4"/>
  <c r="W501" i="4"/>
  <c r="W502" i="4"/>
  <c r="W503" i="4"/>
  <c r="W504" i="4"/>
  <c r="W505" i="4"/>
  <c r="W506" i="4"/>
  <c r="W507" i="4"/>
  <c r="W508" i="4"/>
  <c r="W509" i="4"/>
  <c r="W510" i="4"/>
  <c r="W511" i="4"/>
  <c r="W512" i="4"/>
  <c r="W513" i="4"/>
  <c r="W514" i="4"/>
  <c r="W515" i="4"/>
  <c r="W516" i="4"/>
  <c r="W517" i="4"/>
  <c r="W519" i="4"/>
  <c r="W520" i="4"/>
  <c r="W521" i="4"/>
  <c r="W522" i="4"/>
  <c r="W523" i="4"/>
  <c r="W524" i="4"/>
  <c r="W525" i="4"/>
  <c r="W526" i="4"/>
  <c r="W527" i="4"/>
  <c r="W528" i="4"/>
  <c r="W529" i="4"/>
  <c r="W530" i="4"/>
  <c r="W531" i="4"/>
  <c r="W532" i="4"/>
  <c r="W533" i="4"/>
  <c r="W534" i="4"/>
  <c r="W535" i="4"/>
  <c r="W536" i="4"/>
  <c r="W537" i="4"/>
  <c r="W538" i="4"/>
  <c r="W539" i="4"/>
  <c r="W540" i="4"/>
  <c r="W541" i="4"/>
  <c r="W543" i="4"/>
  <c r="W544" i="4"/>
  <c r="W545" i="4"/>
  <c r="W547" i="4"/>
  <c r="W548" i="4"/>
  <c r="W549" i="4"/>
  <c r="W551" i="4"/>
  <c r="W552" i="4"/>
  <c r="W553" i="4"/>
  <c r="W554" i="4"/>
  <c r="W555" i="4"/>
  <c r="W556" i="4"/>
  <c r="W557" i="4"/>
  <c r="W558" i="4"/>
  <c r="W560" i="4"/>
  <c r="W562" i="4"/>
  <c r="W566" i="4"/>
  <c r="W568" i="4"/>
  <c r="W569" i="4"/>
  <c r="W570" i="4"/>
  <c r="W572" i="4"/>
  <c r="W574" i="4"/>
  <c r="W575" i="4"/>
  <c r="W576" i="4"/>
  <c r="W577" i="4"/>
  <c r="W578" i="4"/>
  <c r="W579" i="4"/>
  <c r="W580" i="4"/>
  <c r="W581" i="4"/>
  <c r="W582" i="4"/>
  <c r="W583" i="4"/>
  <c r="W584" i="4"/>
  <c r="W586" i="4"/>
  <c r="W588" i="4"/>
  <c r="W589" i="4"/>
  <c r="W590" i="4"/>
  <c r="W591" i="4"/>
  <c r="W592" i="4"/>
  <c r="W595" i="4"/>
  <c r="W597" i="4"/>
  <c r="W598" i="4"/>
  <c r="W600" i="4"/>
  <c r="W601" i="4"/>
  <c r="W603" i="4"/>
  <c r="W604" i="4"/>
  <c r="W605" i="4"/>
  <c r="W609" i="4"/>
  <c r="W610" i="4"/>
  <c r="W611" i="4"/>
  <c r="W614" i="4"/>
  <c r="W615" i="4"/>
  <c r="W619" i="4"/>
  <c r="W620" i="4"/>
  <c r="W621" i="4"/>
  <c r="W623" i="4"/>
  <c r="W625" i="4"/>
  <c r="W626" i="4"/>
  <c r="W627" i="4"/>
  <c r="W628" i="4"/>
  <c r="W629" i="4"/>
  <c r="W630"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1" i="4"/>
  <c r="W662" i="4"/>
  <c r="W663" i="4"/>
  <c r="W665" i="4"/>
  <c r="W666" i="4"/>
  <c r="W667" i="4"/>
  <c r="W668" i="4"/>
  <c r="W669" i="4"/>
  <c r="W670" i="4"/>
  <c r="W672" i="4"/>
  <c r="W673" i="4"/>
  <c r="W674" i="4"/>
  <c r="W675" i="4"/>
  <c r="W676" i="4"/>
  <c r="W677" i="4"/>
  <c r="W678" i="4"/>
  <c r="W679" i="4"/>
  <c r="X471" i="4"/>
  <c r="X472" i="4"/>
  <c r="X473" i="4"/>
  <c r="X474" i="4"/>
  <c r="X475" i="4"/>
  <c r="X476" i="4"/>
  <c r="X477" i="4"/>
  <c r="Y477" i="4" s="1"/>
  <c r="X478" i="4"/>
  <c r="Y478" i="4" s="1"/>
  <c r="X479" i="4"/>
  <c r="Y479" i="4" s="1"/>
  <c r="X481" i="4"/>
  <c r="Y481" i="4" s="1"/>
  <c r="X483" i="4"/>
  <c r="X484" i="4"/>
  <c r="X485" i="4"/>
  <c r="Y485" i="4" s="1"/>
  <c r="X486" i="4"/>
  <c r="Y486" i="4" s="1"/>
  <c r="X488" i="4"/>
  <c r="Y488" i="4" s="1"/>
  <c r="X490" i="4"/>
  <c r="Y490" i="4" s="1"/>
  <c r="X491" i="4"/>
  <c r="X492" i="4"/>
  <c r="Y492" i="4" s="1"/>
  <c r="X494" i="4"/>
  <c r="Y494" i="4" s="1"/>
  <c r="X496" i="4"/>
  <c r="Y496" i="4" s="1"/>
  <c r="X498" i="4"/>
  <c r="X499" i="4"/>
  <c r="X500" i="4"/>
  <c r="Y500" i="4" s="1"/>
  <c r="X501" i="4"/>
  <c r="Y501" i="4" s="1"/>
  <c r="X502" i="4"/>
  <c r="X503" i="4"/>
  <c r="Y503" i="4" s="1"/>
  <c r="X504" i="4"/>
  <c r="Y504" i="4" s="1"/>
  <c r="X505" i="4"/>
  <c r="Y505" i="4" s="1"/>
  <c r="X506" i="4"/>
  <c r="Y506" i="4" s="1"/>
  <c r="X507" i="4"/>
  <c r="Y507" i="4" s="1"/>
  <c r="X508" i="4"/>
  <c r="Y508" i="4" s="1"/>
  <c r="X509" i="4"/>
  <c r="Y509" i="4" s="1"/>
  <c r="X510" i="4"/>
  <c r="Y510" i="4" s="1"/>
  <c r="X511" i="4"/>
  <c r="Y511" i="4" s="1"/>
  <c r="X512" i="4"/>
  <c r="X513" i="4"/>
  <c r="Y513" i="4" s="1"/>
  <c r="X514" i="4"/>
  <c r="Y514" i="4" s="1"/>
  <c r="X515" i="4"/>
  <c r="Y515" i="4" s="1"/>
  <c r="X516" i="4"/>
  <c r="Y516" i="4" s="1"/>
  <c r="X517" i="4"/>
  <c r="Y517" i="4" s="1"/>
  <c r="X518" i="4"/>
  <c r="Y518" i="4" s="1"/>
  <c r="X519" i="4"/>
  <c r="Y519" i="4" s="1"/>
  <c r="X520" i="4"/>
  <c r="Y520" i="4" s="1"/>
  <c r="X521" i="4"/>
  <c r="Y521" i="4" s="1"/>
  <c r="X522" i="4"/>
  <c r="Y522" i="4" s="1"/>
  <c r="X523" i="4"/>
  <c r="Y523" i="4" s="1"/>
  <c r="X524" i="4"/>
  <c r="Y524" i="4" s="1"/>
  <c r="X525" i="4"/>
  <c r="Y525" i="4" s="1"/>
  <c r="X526" i="4"/>
  <c r="Y526" i="4" s="1"/>
  <c r="X527" i="4"/>
  <c r="Y527" i="4" s="1"/>
  <c r="X528" i="4"/>
  <c r="Y528" i="4" s="1"/>
  <c r="X529" i="4"/>
  <c r="Y529" i="4" s="1"/>
  <c r="X530" i="4"/>
  <c r="Y530" i="4" s="1"/>
  <c r="X531" i="4"/>
  <c r="Y531" i="4" s="1"/>
  <c r="X532" i="4"/>
  <c r="Y532" i="4" s="1"/>
  <c r="X533" i="4"/>
  <c r="Y533" i="4" s="1"/>
  <c r="X534" i="4"/>
  <c r="Y534" i="4" s="1"/>
  <c r="X535" i="4"/>
  <c r="Y535" i="4" s="1"/>
  <c r="X536" i="4"/>
  <c r="Y536" i="4" s="1"/>
  <c r="X537" i="4"/>
  <c r="Y537" i="4" s="1"/>
  <c r="X538" i="4"/>
  <c r="Y538" i="4" s="1"/>
  <c r="X539" i="4"/>
  <c r="Y539" i="4" s="1"/>
  <c r="X540" i="4"/>
  <c r="Y540" i="4" s="1"/>
  <c r="X541" i="4"/>
  <c r="Y541" i="4" s="1"/>
  <c r="X543" i="4"/>
  <c r="Y543" i="4" s="1"/>
  <c r="X544" i="4"/>
  <c r="Y544" i="4" s="1"/>
  <c r="X545" i="4"/>
  <c r="Y545" i="4" s="1"/>
  <c r="X546" i="4"/>
  <c r="Y546" i="4" s="1"/>
  <c r="X547" i="4"/>
  <c r="Y547" i="4" s="1"/>
  <c r="X548" i="4"/>
  <c r="X549" i="4"/>
  <c r="Y549" i="4" s="1"/>
  <c r="X550" i="4"/>
  <c r="Y550" i="4" s="1"/>
  <c r="X551" i="4"/>
  <c r="Y551" i="4" s="1"/>
  <c r="X552" i="4"/>
  <c r="Y552" i="4" s="1"/>
  <c r="X553" i="4"/>
  <c r="Y553" i="4" s="1"/>
  <c r="X554" i="4"/>
  <c r="Y554" i="4" s="1"/>
  <c r="X555" i="4"/>
  <c r="Y555" i="4" s="1"/>
  <c r="X556" i="4"/>
  <c r="X557" i="4"/>
  <c r="Y557" i="4" s="1"/>
  <c r="X558" i="4"/>
  <c r="Y558" i="4" s="1"/>
  <c r="X560" i="4"/>
  <c r="Y560" i="4" s="1"/>
  <c r="X562" i="4"/>
  <c r="Y562" i="4" s="1"/>
  <c r="X563" i="4"/>
  <c r="Y563" i="4" s="1"/>
  <c r="X564" i="4"/>
  <c r="X565" i="4"/>
  <c r="Y565" i="4" s="1"/>
  <c r="X566" i="4"/>
  <c r="Y566" i="4" s="1"/>
  <c r="X567" i="4"/>
  <c r="Y567" i="4" s="1"/>
  <c r="X568" i="4"/>
  <c r="Y568" i="4" s="1"/>
  <c r="X569" i="4"/>
  <c r="Y569" i="4" s="1"/>
  <c r="X570" i="4"/>
  <c r="Y570" i="4" s="1"/>
  <c r="X571" i="4"/>
  <c r="Y571" i="4" s="1"/>
  <c r="X572" i="4"/>
  <c r="Y572" i="4" s="1"/>
  <c r="X573" i="4"/>
  <c r="Y573" i="4" s="1"/>
  <c r="X574" i="4"/>
  <c r="Y574" i="4" s="1"/>
  <c r="X575" i="4"/>
  <c r="Y575" i="4" s="1"/>
  <c r="X576" i="4"/>
  <c r="Y576" i="4" s="1"/>
  <c r="X577" i="4"/>
  <c r="Y577" i="4" s="1"/>
  <c r="X578" i="4"/>
  <c r="Y578" i="4" s="1"/>
  <c r="X579" i="4"/>
  <c r="Y579" i="4" s="1"/>
  <c r="X580" i="4"/>
  <c r="Y580" i="4" s="1"/>
  <c r="X581" i="4"/>
  <c r="Y581" i="4" s="1"/>
  <c r="X582" i="4"/>
  <c r="Y582" i="4" s="1"/>
  <c r="X583" i="4"/>
  <c r="Y583" i="4" s="1"/>
  <c r="X584" i="4"/>
  <c r="Y584" i="4" s="1"/>
  <c r="X585" i="4"/>
  <c r="Y585" i="4" s="1"/>
  <c r="X586" i="4"/>
  <c r="Y586" i="4" s="1"/>
  <c r="X587" i="4"/>
  <c r="Y587" i="4" s="1"/>
  <c r="X588" i="4"/>
  <c r="Y588" i="4" s="1"/>
  <c r="X589" i="4"/>
  <c r="Y589" i="4" s="1"/>
  <c r="X590" i="4"/>
  <c r="Y590" i="4" s="1"/>
  <c r="X591" i="4"/>
  <c r="Y591" i="4" s="1"/>
  <c r="X592" i="4"/>
  <c r="Y592" i="4" s="1"/>
  <c r="X594" i="4"/>
  <c r="Y594" i="4" s="1"/>
  <c r="X595" i="4"/>
  <c r="Y595" i="4" s="1"/>
  <c r="X596" i="4"/>
  <c r="Y596" i="4" s="1"/>
  <c r="X597" i="4"/>
  <c r="Y597" i="4" s="1"/>
  <c r="X598" i="4"/>
  <c r="Y598" i="4" s="1"/>
  <c r="X599" i="4"/>
  <c r="Y599" i="4" s="1"/>
  <c r="X600" i="4"/>
  <c r="Y600" i="4" s="1"/>
  <c r="X601" i="4"/>
  <c r="Y601" i="4" s="1"/>
  <c r="X603" i="4"/>
  <c r="Y603" i="4" s="1"/>
  <c r="X604" i="4"/>
  <c r="Y604" i="4" s="1"/>
  <c r="X605" i="4"/>
  <c r="Y605" i="4" s="1"/>
  <c r="X606" i="4"/>
  <c r="X607" i="4"/>
  <c r="Y607" i="4" s="1"/>
  <c r="X608" i="4"/>
  <c r="Y608" i="4" s="1"/>
  <c r="X609" i="4"/>
  <c r="Y609" i="4" s="1"/>
  <c r="X610" i="4"/>
  <c r="Y610" i="4" s="1"/>
  <c r="X611" i="4"/>
  <c r="Y611" i="4" s="1"/>
  <c r="X613" i="4"/>
  <c r="Y613" i="4" s="1"/>
  <c r="X614" i="4"/>
  <c r="Y614" i="4" s="1"/>
  <c r="X615" i="4"/>
  <c r="Y615" i="4" s="1"/>
  <c r="X616" i="4"/>
  <c r="Y616" i="4" s="1"/>
  <c r="X617" i="4"/>
  <c r="Y617" i="4" s="1"/>
  <c r="X618" i="4"/>
  <c r="Y618" i="4" s="1"/>
  <c r="X619" i="4"/>
  <c r="Y619" i="4" s="1"/>
  <c r="X620" i="4"/>
  <c r="Y620" i="4" s="1"/>
  <c r="X621" i="4"/>
  <c r="Y621" i="4" s="1"/>
  <c r="X623" i="4"/>
  <c r="Y623" i="4" s="1"/>
  <c r="X625" i="4"/>
  <c r="Y625" i="4" s="1"/>
  <c r="X626" i="4"/>
  <c r="X627" i="4"/>
  <c r="Y627" i="4" s="1"/>
  <c r="X628" i="4"/>
  <c r="X629" i="4"/>
  <c r="X630" i="4"/>
  <c r="Y630" i="4" s="1"/>
  <c r="X632" i="4"/>
  <c r="X633" i="4"/>
  <c r="X634" i="4"/>
  <c r="Y634" i="4" s="1"/>
  <c r="X635" i="4"/>
  <c r="X636" i="4"/>
  <c r="Y636" i="4" s="1"/>
  <c r="X637" i="4"/>
  <c r="Y637" i="4" s="1"/>
  <c r="X638" i="4"/>
  <c r="Y638" i="4" s="1"/>
  <c r="X639" i="4"/>
  <c r="Y639" i="4" s="1"/>
  <c r="X640" i="4"/>
  <c r="Y640" i="4" s="1"/>
  <c r="X641" i="4"/>
  <c r="Y641" i="4" s="1"/>
  <c r="X642" i="4"/>
  <c r="Y642" i="4" s="1"/>
  <c r="X643" i="4"/>
  <c r="Y643" i="4" s="1"/>
  <c r="X644" i="4"/>
  <c r="Y644" i="4" s="1"/>
  <c r="X645" i="4"/>
  <c r="Y645" i="4" s="1"/>
  <c r="X646" i="4"/>
  <c r="Y646" i="4" s="1"/>
  <c r="X647" i="4"/>
  <c r="Y647" i="4" s="1"/>
  <c r="X648" i="4"/>
  <c r="Y648" i="4" s="1"/>
  <c r="X649" i="4"/>
  <c r="Y649" i="4" s="1"/>
  <c r="X650" i="4"/>
  <c r="Y650" i="4" s="1"/>
  <c r="X651" i="4"/>
  <c r="Y651" i="4" s="1"/>
  <c r="X652" i="4"/>
  <c r="Y652" i="4" s="1"/>
  <c r="X653" i="4"/>
  <c r="Y653" i="4" s="1"/>
  <c r="X654" i="4"/>
  <c r="Y654" i="4" s="1"/>
  <c r="X655" i="4"/>
  <c r="Y655" i="4" s="1"/>
  <c r="X656" i="4"/>
  <c r="Y656" i="4" s="1"/>
  <c r="X657" i="4"/>
  <c r="Y657" i="4" s="1"/>
  <c r="X658" i="4"/>
  <c r="Y658" i="4" s="1"/>
  <c r="X659" i="4"/>
  <c r="Y659" i="4" s="1"/>
  <c r="X661" i="4"/>
  <c r="Y661" i="4" s="1"/>
  <c r="X662" i="4"/>
  <c r="Y662" i="4" s="1"/>
  <c r="X663" i="4"/>
  <c r="Y663" i="4" s="1"/>
  <c r="X665" i="4"/>
  <c r="Y665" i="4" s="1"/>
  <c r="X666" i="4"/>
  <c r="Y666" i="4" s="1"/>
  <c r="X667" i="4"/>
  <c r="Y667" i="4" s="1"/>
  <c r="X668" i="4"/>
  <c r="Y668" i="4" s="1"/>
  <c r="X669" i="4"/>
  <c r="Y669" i="4" s="1"/>
  <c r="X670" i="4"/>
  <c r="Y670" i="4" s="1"/>
  <c r="X672" i="4"/>
  <c r="Y672" i="4" s="1"/>
  <c r="X673" i="4"/>
  <c r="Y673" i="4" s="1"/>
  <c r="X674" i="4"/>
  <c r="Y674" i="4" s="1"/>
  <c r="X675" i="4"/>
  <c r="Y675" i="4" s="1"/>
  <c r="X676" i="4"/>
  <c r="Y676" i="4" s="1"/>
  <c r="X677" i="4"/>
  <c r="Y677" i="4" s="1"/>
  <c r="X678" i="4"/>
  <c r="Y678" i="4" s="1"/>
  <c r="X679" i="4"/>
  <c r="Y679" i="4" s="1"/>
  <c r="AA538" i="4"/>
  <c r="AA575" i="4"/>
  <c r="AA656" i="4"/>
  <c r="O469" i="4"/>
  <c r="R469" i="4"/>
  <c r="T469" i="4"/>
  <c r="AA469" i="4" s="1"/>
  <c r="W469" i="4"/>
  <c r="X469" i="4"/>
  <c r="Y469" i="4" s="1"/>
  <c r="T635" i="4" l="1"/>
  <c r="AA635" i="4" s="1"/>
  <c r="T592" i="4"/>
  <c r="AA592" i="4" s="1"/>
  <c r="T605" i="4"/>
  <c r="AA605" i="4" s="1"/>
  <c r="T519" i="4"/>
  <c r="AA519" i="4" s="1"/>
  <c r="T534" i="4"/>
  <c r="AA534" i="4" s="1"/>
  <c r="T606" i="4"/>
  <c r="AA606" i="4" s="1"/>
  <c r="T554" i="4"/>
  <c r="AA554" i="4" s="1"/>
  <c r="T529" i="4"/>
  <c r="AA529" i="4" s="1"/>
  <c r="T614" i="4"/>
  <c r="AA614" i="4" s="1"/>
  <c r="T633" i="4"/>
  <c r="AA633" i="4" s="1"/>
  <c r="T618" i="4"/>
  <c r="AA618" i="4" s="1"/>
  <c r="T632" i="4"/>
  <c r="AA632" i="4" s="1"/>
  <c r="T617" i="4"/>
  <c r="AA617" i="4" s="1"/>
  <c r="T625" i="4"/>
  <c r="AA625" i="4" s="1"/>
  <c r="T610" i="4"/>
  <c r="AA610" i="4" s="1"/>
  <c r="T546" i="4"/>
  <c r="AA546" i="4" s="1"/>
  <c r="T600" i="4"/>
  <c r="AA600" i="4" s="1"/>
  <c r="T587" i="4"/>
  <c r="AA587" i="4" s="1"/>
  <c r="T521" i="4"/>
  <c r="AA521" i="4" s="1"/>
  <c r="T621" i="4"/>
  <c r="AA621" i="4" s="1"/>
  <c r="T608" i="4"/>
  <c r="AA608" i="4" s="1"/>
  <c r="T626" i="4"/>
  <c r="AA626" i="4" s="1"/>
  <c r="T611" i="4"/>
  <c r="AA611" i="4" s="1"/>
  <c r="Y626" i="4"/>
  <c r="Y629" i="4"/>
  <c r="T627" i="4"/>
  <c r="AA627" i="4" s="1"/>
  <c r="T599" i="4"/>
  <c r="AA599" i="4" s="1"/>
  <c r="T594" i="4"/>
  <c r="AA594" i="4" s="1"/>
  <c r="Y633" i="4"/>
  <c r="T629" i="4"/>
  <c r="AA629" i="4" s="1"/>
  <c r="T564" i="4"/>
  <c r="AA564" i="4" s="1"/>
  <c r="T550" i="4"/>
  <c r="AA550" i="4" s="1"/>
  <c r="Y632" i="4"/>
  <c r="T628" i="4"/>
  <c r="AA628" i="4" s="1"/>
  <c r="T537" i="4"/>
  <c r="AA537" i="4" s="1"/>
  <c r="Y635" i="4"/>
  <c r="Y628" i="4"/>
  <c r="T616" i="4"/>
  <c r="AA616" i="4" s="1"/>
  <c r="T613" i="4"/>
  <c r="AA613" i="4" s="1"/>
  <c r="T596" i="4"/>
  <c r="AA596" i="4" s="1"/>
  <c r="T533" i="4"/>
  <c r="AA533" i="4" s="1"/>
  <c r="T532" i="4"/>
  <c r="AA532" i="4" s="1"/>
  <c r="T525" i="4"/>
  <c r="AA525" i="4" s="1"/>
  <c r="T603" i="4"/>
  <c r="AA603" i="4" s="1"/>
  <c r="T527" i="4"/>
  <c r="AA527" i="4" s="1"/>
  <c r="Y564" i="4"/>
  <c r="T530" i="4"/>
  <c r="AA530" i="4" s="1"/>
  <c r="Y556" i="4"/>
  <c r="T609" i="4"/>
  <c r="AA609" i="4" s="1"/>
  <c r="T557" i="4"/>
  <c r="AA557" i="4" s="1"/>
  <c r="T555" i="4"/>
  <c r="AA555" i="4" s="1"/>
  <c r="Y606" i="4"/>
  <c r="T574" i="4"/>
  <c r="AA574" i="4" s="1"/>
  <c r="T562" i="4"/>
  <c r="AA562" i="4" s="1"/>
  <c r="T595" i="4"/>
  <c r="AA595" i="4" s="1"/>
  <c r="T556" i="4"/>
  <c r="AA556" i="4" s="1"/>
  <c r="T520" i="4"/>
  <c r="AA520" i="4" s="1"/>
  <c r="T547" i="4"/>
  <c r="AA547" i="4" s="1"/>
  <c r="T535" i="4"/>
  <c r="AA535" i="4" s="1"/>
  <c r="T511" i="4"/>
  <c r="AA511" i="4" s="1"/>
  <c r="T499" i="4"/>
  <c r="AA499" i="4" s="1"/>
  <c r="T597" i="4"/>
  <c r="AA597" i="4" s="1"/>
  <c r="T522" i="4"/>
  <c r="AA522" i="4" s="1"/>
  <c r="T510" i="4"/>
  <c r="AA510" i="4" s="1"/>
  <c r="T509" i="4"/>
  <c r="AA509" i="4" s="1"/>
  <c r="T577" i="4"/>
  <c r="AA577" i="4" s="1"/>
  <c r="T548" i="4"/>
  <c r="AA548" i="4" s="1"/>
  <c r="T512" i="4"/>
  <c r="AA512" i="4" s="1"/>
  <c r="T586" i="4"/>
  <c r="AA586" i="4" s="1"/>
  <c r="T588" i="4"/>
  <c r="AA588" i="4" s="1"/>
  <c r="T576" i="4"/>
  <c r="AA576" i="4" s="1"/>
  <c r="T514" i="4"/>
  <c r="AA514" i="4" s="1"/>
  <c r="T502" i="4"/>
  <c r="AA502" i="4" s="1"/>
  <c r="T485" i="4"/>
  <c r="AA485" i="4" s="1"/>
  <c r="T578" i="4"/>
  <c r="AA578" i="4" s="1"/>
  <c r="T549" i="4"/>
  <c r="AA549" i="4" s="1"/>
  <c r="T513" i="4"/>
  <c r="AA513" i="4" s="1"/>
  <c r="T501" i="4"/>
  <c r="AA501" i="4" s="1"/>
  <c r="T484" i="4"/>
  <c r="AA484" i="4" s="1"/>
  <c r="Y502" i="4"/>
  <c r="T515" i="4"/>
  <c r="AA515" i="4" s="1"/>
  <c r="Y548" i="4"/>
  <c r="T552" i="4"/>
  <c r="AA552" i="4" s="1"/>
  <c r="T500" i="4"/>
  <c r="AA500" i="4" s="1"/>
  <c r="Y499" i="4"/>
  <c r="T553" i="4"/>
  <c r="AA553" i="4" s="1"/>
  <c r="T541" i="4"/>
  <c r="AA541" i="4" s="1"/>
  <c r="T551" i="4"/>
  <c r="AA551" i="4" s="1"/>
  <c r="Y484" i="4"/>
  <c r="T517" i="4"/>
  <c r="AA517" i="4" s="1"/>
  <c r="T505" i="4"/>
  <c r="AA505" i="4" s="1"/>
  <c r="T516" i="4"/>
  <c r="AA516" i="4" s="1"/>
  <c r="T504" i="4"/>
  <c r="AA504" i="4" s="1"/>
  <c r="T498" i="4"/>
  <c r="AA498" i="4" s="1"/>
  <c r="T507" i="4"/>
  <c r="AA507" i="4" s="1"/>
  <c r="T508" i="4"/>
  <c r="AA508" i="4" s="1"/>
  <c r="T506" i="4"/>
  <c r="AA506" i="4" s="1"/>
  <c r="Y498" i="4"/>
  <c r="Y512" i="4"/>
  <c r="T472" i="4"/>
  <c r="AA472" i="4" s="1"/>
  <c r="T471" i="4"/>
  <c r="AA471" i="4" s="1"/>
  <c r="T491" i="4"/>
  <c r="AA491" i="4" s="1"/>
  <c r="T475" i="4"/>
  <c r="AA475" i="4" s="1"/>
  <c r="Y474" i="4"/>
  <c r="Y471" i="4"/>
  <c r="T483" i="4"/>
  <c r="AA483" i="4" s="1"/>
  <c r="Y491" i="4"/>
  <c r="Y475" i="4"/>
  <c r="T474" i="4"/>
  <c r="AA474" i="4" s="1"/>
  <c r="Y483" i="4"/>
  <c r="T473" i="4"/>
  <c r="AA473" i="4" s="1"/>
  <c r="T477" i="4"/>
  <c r="AA477" i="4" s="1"/>
  <c r="T476" i="4"/>
  <c r="AA476" i="4" s="1"/>
  <c r="Y473" i="4"/>
  <c r="Y476" i="4"/>
  <c r="Y472" i="4"/>
  <c r="O460" i="4"/>
  <c r="R460" i="4"/>
  <c r="T460" i="4"/>
  <c r="AA460" i="4" s="1"/>
  <c r="W460" i="4"/>
  <c r="X460" i="4"/>
  <c r="Y460" i="4" s="1"/>
  <c r="X454" i="4" l="1"/>
  <c r="Y454" i="4" s="1"/>
  <c r="W454" i="4"/>
  <c r="T454" i="4"/>
  <c r="AA454" i="4" s="1"/>
  <c r="R454" i="4"/>
  <c r="O454" i="4"/>
  <c r="X420" i="4"/>
  <c r="W420" i="4"/>
  <c r="R420" i="4"/>
  <c r="O420" i="4"/>
  <c r="X444" i="4"/>
  <c r="Y444" i="4" s="1"/>
  <c r="W444" i="4"/>
  <c r="R444" i="4"/>
  <c r="O444" i="4"/>
  <c r="X446" i="4"/>
  <c r="Y446" i="4" s="1"/>
  <c r="W446" i="4"/>
  <c r="T446" i="4"/>
  <c r="AA446" i="4" s="1"/>
  <c r="R446" i="4"/>
  <c r="O446" i="4"/>
  <c r="X441" i="4"/>
  <c r="Y441" i="4" s="1"/>
  <c r="W441" i="4"/>
  <c r="R441" i="4"/>
  <c r="O441" i="4"/>
  <c r="O438" i="4"/>
  <c r="R438" i="4"/>
  <c r="T438" i="4"/>
  <c r="AA438" i="4" s="1"/>
  <c r="W438" i="4"/>
  <c r="X438" i="4"/>
  <c r="Y438" i="4" s="1"/>
  <c r="O436" i="4"/>
  <c r="R436" i="4"/>
  <c r="T436" i="4"/>
  <c r="AA436" i="4" s="1"/>
  <c r="W436" i="4"/>
  <c r="X436" i="4"/>
  <c r="Y436" i="4" s="1"/>
  <c r="O435" i="4"/>
  <c r="R435" i="4"/>
  <c r="T435" i="4"/>
  <c r="AA435" i="4" s="1"/>
  <c r="W435" i="4"/>
  <c r="X435" i="4"/>
  <c r="Y435" i="4" s="1"/>
  <c r="X429" i="4"/>
  <c r="W429" i="4"/>
  <c r="R429" i="4"/>
  <c r="O429" i="4"/>
  <c r="X408" i="4"/>
  <c r="W408" i="4"/>
  <c r="R408" i="4"/>
  <c r="O408" i="4"/>
  <c r="O414" i="4"/>
  <c r="R414" i="4"/>
  <c r="T414" i="4"/>
  <c r="AA414" i="4" s="1"/>
  <c r="W414" i="4"/>
  <c r="X414" i="4"/>
  <c r="Y414" i="4" s="1"/>
  <c r="B5" i="5"/>
  <c r="B4" i="5"/>
  <c r="X468" i="4"/>
  <c r="Y468" i="4" s="1"/>
  <c r="W468" i="4"/>
  <c r="T468" i="4"/>
  <c r="AA468" i="4" s="1"/>
  <c r="R468" i="4"/>
  <c r="O468" i="4"/>
  <c r="X467" i="4"/>
  <c r="Y467" i="4" s="1"/>
  <c r="W467" i="4"/>
  <c r="T467" i="4"/>
  <c r="AA467" i="4" s="1"/>
  <c r="R467" i="4"/>
  <c r="O467" i="4"/>
  <c r="X466" i="4"/>
  <c r="Y466" i="4" s="1"/>
  <c r="W466" i="4"/>
  <c r="T466" i="4"/>
  <c r="AA466" i="4" s="1"/>
  <c r="R466" i="4"/>
  <c r="O466" i="4"/>
  <c r="X465" i="4"/>
  <c r="Y465" i="4" s="1"/>
  <c r="W465" i="4"/>
  <c r="T465" i="4"/>
  <c r="AA465" i="4" s="1"/>
  <c r="R465" i="4"/>
  <c r="O465" i="4"/>
  <c r="X464" i="4"/>
  <c r="W464" i="4"/>
  <c r="R464" i="4"/>
  <c r="O464" i="4"/>
  <c r="X463" i="4"/>
  <c r="Y463" i="4" s="1"/>
  <c r="W463" i="4"/>
  <c r="T463" i="4"/>
  <c r="AA463" i="4" s="1"/>
  <c r="R463" i="4"/>
  <c r="O463" i="4"/>
  <c r="X462" i="4"/>
  <c r="W462" i="4"/>
  <c r="R462" i="4"/>
  <c r="O462" i="4"/>
  <c r="X461" i="4"/>
  <c r="Y461" i="4" s="1"/>
  <c r="W461" i="4"/>
  <c r="R461" i="4"/>
  <c r="O461" i="4"/>
  <c r="X459" i="4"/>
  <c r="Y459" i="4" s="1"/>
  <c r="W459" i="4"/>
  <c r="T459" i="4"/>
  <c r="AA459" i="4" s="1"/>
  <c r="R459" i="4"/>
  <c r="O459" i="4"/>
  <c r="X458" i="4"/>
  <c r="W458" i="4"/>
  <c r="R458" i="4"/>
  <c r="O458" i="4"/>
  <c r="X457" i="4"/>
  <c r="W457" i="4"/>
  <c r="R457" i="4"/>
  <c r="O457" i="4"/>
  <c r="X456" i="4"/>
  <c r="W456" i="4"/>
  <c r="R456" i="4"/>
  <c r="O456" i="4"/>
  <c r="X453" i="4"/>
  <c r="Y453" i="4" s="1"/>
  <c r="W453" i="4"/>
  <c r="T453" i="4"/>
  <c r="AA453" i="4" s="1"/>
  <c r="R453" i="4"/>
  <c r="O453" i="4"/>
  <c r="X452" i="4"/>
  <c r="Y452" i="4" s="1"/>
  <c r="W452" i="4"/>
  <c r="T452" i="4"/>
  <c r="AA452" i="4" s="1"/>
  <c r="R452" i="4"/>
  <c r="O452" i="4"/>
  <c r="X451" i="4"/>
  <c r="Y451" i="4" s="1"/>
  <c r="W451" i="4"/>
  <c r="T451" i="4"/>
  <c r="AA451" i="4" s="1"/>
  <c r="R451" i="4"/>
  <c r="O451" i="4"/>
  <c r="X450" i="4"/>
  <c r="Y450" i="4" s="1"/>
  <c r="W450" i="4"/>
  <c r="T450" i="4"/>
  <c r="AA450" i="4" s="1"/>
  <c r="R450" i="4"/>
  <c r="O450" i="4"/>
  <c r="X449" i="4"/>
  <c r="W449" i="4"/>
  <c r="R449" i="4"/>
  <c r="O449" i="4"/>
  <c r="X448" i="4"/>
  <c r="Y448" i="4" s="1"/>
  <c r="W448" i="4"/>
  <c r="R448" i="4"/>
  <c r="O448" i="4"/>
  <c r="X447" i="4"/>
  <c r="W447" i="4"/>
  <c r="R447" i="4"/>
  <c r="O447" i="4"/>
  <c r="X445" i="4"/>
  <c r="W445" i="4"/>
  <c r="R445" i="4"/>
  <c r="O445" i="4"/>
  <c r="X443" i="4"/>
  <c r="Y443" i="4" s="1"/>
  <c r="W443" i="4"/>
  <c r="T443" i="4"/>
  <c r="AA443" i="4" s="1"/>
  <c r="R443" i="4"/>
  <c r="O443" i="4"/>
  <c r="X442" i="4"/>
  <c r="Y442" i="4" s="1"/>
  <c r="W442" i="4"/>
  <c r="R442" i="4"/>
  <c r="O442" i="4"/>
  <c r="X440" i="4"/>
  <c r="Y440" i="4" s="1"/>
  <c r="W440" i="4"/>
  <c r="R440" i="4"/>
  <c r="O440" i="4"/>
  <c r="X439" i="4"/>
  <c r="W439" i="4"/>
  <c r="R439" i="4"/>
  <c r="O439" i="4"/>
  <c r="X437" i="4"/>
  <c r="W437" i="4"/>
  <c r="R437" i="4"/>
  <c r="O437" i="4"/>
  <c r="X434" i="4"/>
  <c r="Y434" i="4" s="1"/>
  <c r="W434" i="4"/>
  <c r="T434" i="4"/>
  <c r="AA434" i="4" s="1"/>
  <c r="R434" i="4"/>
  <c r="O434" i="4"/>
  <c r="X433" i="4"/>
  <c r="Y433" i="4" s="1"/>
  <c r="W433" i="4"/>
  <c r="T433" i="4"/>
  <c r="AA433" i="4" s="1"/>
  <c r="R433" i="4"/>
  <c r="O433" i="4"/>
  <c r="X432" i="4"/>
  <c r="W432" i="4"/>
  <c r="R432" i="4"/>
  <c r="O432" i="4"/>
  <c r="X431" i="4"/>
  <c r="Y431" i="4" s="1"/>
  <c r="W431" i="4"/>
  <c r="T431" i="4"/>
  <c r="AA431" i="4" s="1"/>
  <c r="R431" i="4"/>
  <c r="O431" i="4"/>
  <c r="X430" i="4"/>
  <c r="Y430" i="4" s="1"/>
  <c r="W430" i="4"/>
  <c r="R430" i="4"/>
  <c r="O430" i="4"/>
  <c r="X428" i="4"/>
  <c r="Y428" i="4" s="1"/>
  <c r="W428" i="4"/>
  <c r="T428" i="4"/>
  <c r="AA428" i="4" s="1"/>
  <c r="R428" i="4"/>
  <c r="O428" i="4"/>
  <c r="X427" i="4"/>
  <c r="W427" i="4"/>
  <c r="R427" i="4"/>
  <c r="O427" i="4"/>
  <c r="X426" i="4"/>
  <c r="Y426" i="4" s="1"/>
  <c r="W426" i="4"/>
  <c r="T426" i="4"/>
  <c r="AA426" i="4" s="1"/>
  <c r="R426" i="4"/>
  <c r="O426" i="4"/>
  <c r="X425" i="4"/>
  <c r="Y425" i="4" s="1"/>
  <c r="W425" i="4"/>
  <c r="R425" i="4"/>
  <c r="O425" i="4"/>
  <c r="T425" i="4" s="1"/>
  <c r="AA425" i="4" s="1"/>
  <c r="X424" i="4"/>
  <c r="W424" i="4"/>
  <c r="R424" i="4"/>
  <c r="O424" i="4"/>
  <c r="X423" i="4"/>
  <c r="W423" i="4"/>
  <c r="R423" i="4"/>
  <c r="O423" i="4"/>
  <c r="X422" i="4"/>
  <c r="Y422" i="4" s="1"/>
  <c r="W422" i="4"/>
  <c r="R422" i="4"/>
  <c r="O422" i="4"/>
  <c r="X421" i="4"/>
  <c r="W421" i="4"/>
  <c r="R421" i="4"/>
  <c r="O421" i="4"/>
  <c r="X419" i="4"/>
  <c r="Y419" i="4" s="1"/>
  <c r="W419" i="4"/>
  <c r="T419" i="4"/>
  <c r="AA419" i="4" s="1"/>
  <c r="R419" i="4"/>
  <c r="O419" i="4"/>
  <c r="X418" i="4"/>
  <c r="Y418" i="4" s="1"/>
  <c r="W418" i="4"/>
  <c r="R418" i="4"/>
  <c r="O418" i="4"/>
  <c r="X417" i="4"/>
  <c r="W417" i="4"/>
  <c r="R417" i="4"/>
  <c r="O417" i="4"/>
  <c r="X416" i="4"/>
  <c r="Y416" i="4" s="1"/>
  <c r="W416" i="4"/>
  <c r="T416" i="4"/>
  <c r="AA416" i="4" s="1"/>
  <c r="R416" i="4"/>
  <c r="O416" i="4"/>
  <c r="X415" i="4"/>
  <c r="W415" i="4"/>
  <c r="R415" i="4"/>
  <c r="O415" i="4"/>
  <c r="X413" i="4"/>
  <c r="Y413" i="4" s="1"/>
  <c r="W413" i="4"/>
  <c r="R413" i="4"/>
  <c r="T413" i="4" s="1"/>
  <c r="AA413" i="4" s="1"/>
  <c r="O413" i="4"/>
  <c r="X412" i="4"/>
  <c r="W412" i="4"/>
  <c r="R412" i="4"/>
  <c r="O412" i="4"/>
  <c r="X411" i="4"/>
  <c r="Y411" i="4" s="1"/>
  <c r="W411" i="4"/>
  <c r="R411" i="4"/>
  <c r="O411" i="4"/>
  <c r="X410" i="4"/>
  <c r="R410" i="4"/>
  <c r="O410" i="4"/>
  <c r="X409" i="4"/>
  <c r="Y409" i="4" s="1"/>
  <c r="W409" i="4"/>
  <c r="R409" i="4"/>
  <c r="O409" i="4"/>
  <c r="X407" i="4"/>
  <c r="W407" i="4"/>
  <c r="R407" i="4"/>
  <c r="O407" i="4"/>
  <c r="X406" i="4"/>
  <c r="Y406" i="4" s="1"/>
  <c r="W406" i="4"/>
  <c r="T406" i="4"/>
  <c r="AA406" i="4" s="1"/>
  <c r="R406" i="4"/>
  <c r="O406" i="4"/>
  <c r="X405" i="4"/>
  <c r="Y405" i="4" s="1"/>
  <c r="W405" i="4"/>
  <c r="T405" i="4"/>
  <c r="AA405" i="4" s="1"/>
  <c r="R405" i="4"/>
  <c r="O405" i="4"/>
  <c r="X404" i="4"/>
  <c r="W404" i="4"/>
  <c r="R404" i="4"/>
  <c r="O404" i="4"/>
  <c r="X403" i="4"/>
  <c r="Y403" i="4" s="1"/>
  <c r="W403" i="4"/>
  <c r="T403" i="4"/>
  <c r="AA403" i="4" s="1"/>
  <c r="R403" i="4"/>
  <c r="O403" i="4"/>
  <c r="X402" i="4"/>
  <c r="Y402" i="4" s="1"/>
  <c r="W402" i="4"/>
  <c r="T402" i="4"/>
  <c r="AA402" i="4" s="1"/>
  <c r="R402" i="4"/>
  <c r="O402" i="4"/>
  <c r="X401" i="4"/>
  <c r="W401" i="4"/>
  <c r="R401" i="4"/>
  <c r="O401" i="4"/>
  <c r="X400" i="4"/>
  <c r="W400" i="4"/>
  <c r="R400" i="4"/>
  <c r="O400" i="4"/>
  <c r="X399" i="4"/>
  <c r="W399" i="4"/>
  <c r="R399" i="4"/>
  <c r="O399" i="4"/>
  <c r="X398" i="4"/>
  <c r="Y398" i="4" s="1"/>
  <c r="W398" i="4"/>
  <c r="T398" i="4"/>
  <c r="AA398" i="4" s="1"/>
  <c r="R398" i="4"/>
  <c r="O398" i="4"/>
  <c r="X397" i="4"/>
  <c r="Y397" i="4" s="1"/>
  <c r="W397" i="4"/>
  <c r="T397" i="4"/>
  <c r="AA397" i="4" s="1"/>
  <c r="R397" i="4"/>
  <c r="O397" i="4"/>
  <c r="X396" i="4"/>
  <c r="Y396" i="4" s="1"/>
  <c r="W396" i="4"/>
  <c r="R396" i="4"/>
  <c r="O396" i="4"/>
  <c r="X395" i="4"/>
  <c r="Y395" i="4" s="1"/>
  <c r="W395" i="4"/>
  <c r="T395" i="4"/>
  <c r="AA395" i="4" s="1"/>
  <c r="R395" i="4"/>
  <c r="O395" i="4"/>
  <c r="X394" i="4"/>
  <c r="W394" i="4"/>
  <c r="R394" i="4"/>
  <c r="O394" i="4"/>
  <c r="X393" i="4"/>
  <c r="W393" i="4"/>
  <c r="R393" i="4"/>
  <c r="O393" i="4"/>
  <c r="X392" i="4"/>
  <c r="W392" i="4"/>
  <c r="R392" i="4"/>
  <c r="O392" i="4"/>
  <c r="X391" i="4"/>
  <c r="Y391" i="4" s="1"/>
  <c r="W391" i="4"/>
  <c r="R391" i="4"/>
  <c r="O391" i="4"/>
  <c r="X390" i="4"/>
  <c r="Y390" i="4" s="1"/>
  <c r="W390" i="4"/>
  <c r="R390" i="4"/>
  <c r="O390" i="4"/>
  <c r="X389" i="4"/>
  <c r="Y389" i="4" s="1"/>
  <c r="W389" i="4"/>
  <c r="T389" i="4"/>
  <c r="AA389" i="4" s="1"/>
  <c r="R389" i="4"/>
  <c r="O389" i="4"/>
  <c r="X388" i="4"/>
  <c r="Y388" i="4" s="1"/>
  <c r="W388" i="4"/>
  <c r="T388" i="4"/>
  <c r="AA388" i="4" s="1"/>
  <c r="R388" i="4"/>
  <c r="O388" i="4"/>
  <c r="X387" i="4"/>
  <c r="W387" i="4"/>
  <c r="R387" i="4"/>
  <c r="O387" i="4"/>
  <c r="X386" i="4"/>
  <c r="Y386" i="4" s="1"/>
  <c r="W386" i="4"/>
  <c r="R386" i="4"/>
  <c r="O386" i="4"/>
  <c r="X385" i="4"/>
  <c r="Y385" i="4" s="1"/>
  <c r="W385" i="4"/>
  <c r="R385" i="4"/>
  <c r="O385" i="4"/>
  <c r="X384" i="4"/>
  <c r="W384" i="4"/>
  <c r="R384" i="4"/>
  <c r="O384" i="4"/>
  <c r="X383" i="4"/>
  <c r="Y383" i="4" s="1"/>
  <c r="W383" i="4"/>
  <c r="T383" i="4"/>
  <c r="AA383" i="4" s="1"/>
  <c r="R383" i="4"/>
  <c r="O383" i="4"/>
  <c r="X382" i="4"/>
  <c r="W382" i="4"/>
  <c r="R382" i="4"/>
  <c r="O382" i="4"/>
  <c r="X381" i="4"/>
  <c r="Y381" i="4" s="1"/>
  <c r="W381" i="4"/>
  <c r="T381" i="4"/>
  <c r="AA381" i="4" s="1"/>
  <c r="R381" i="4"/>
  <c r="O381" i="4"/>
  <c r="X380" i="4"/>
  <c r="Y380" i="4" s="1"/>
  <c r="W380" i="4"/>
  <c r="T380" i="4"/>
  <c r="AA380" i="4" s="1"/>
  <c r="R380" i="4"/>
  <c r="O380" i="4"/>
  <c r="X379" i="4"/>
  <c r="Y379" i="4" s="1"/>
  <c r="W379" i="4"/>
  <c r="T379" i="4"/>
  <c r="AA379" i="4" s="1"/>
  <c r="R379" i="4"/>
  <c r="O379" i="4"/>
  <c r="X378" i="4"/>
  <c r="W378" i="4"/>
  <c r="R378" i="4"/>
  <c r="O378" i="4"/>
  <c r="X377" i="4"/>
  <c r="W377" i="4"/>
  <c r="R377" i="4"/>
  <c r="O377" i="4"/>
  <c r="X376" i="4"/>
  <c r="W376" i="4"/>
  <c r="R376" i="4"/>
  <c r="O376" i="4"/>
  <c r="X374" i="4"/>
  <c r="Y374" i="4" s="1"/>
  <c r="W374" i="4"/>
  <c r="R374" i="4"/>
  <c r="O374" i="4"/>
  <c r="X373" i="4"/>
  <c r="W373" i="4"/>
  <c r="R373" i="4"/>
  <c r="O373" i="4"/>
  <c r="X372" i="4"/>
  <c r="W372" i="4"/>
  <c r="R372" i="4"/>
  <c r="O372" i="4"/>
  <c r="X371" i="4"/>
  <c r="W371" i="4"/>
  <c r="R371" i="4"/>
  <c r="O371" i="4"/>
  <c r="X370" i="4"/>
  <c r="W370" i="4"/>
  <c r="R370" i="4"/>
  <c r="O370" i="4"/>
  <c r="X369" i="4"/>
  <c r="Y369" i="4" s="1"/>
  <c r="W369" i="4"/>
  <c r="T369" i="4"/>
  <c r="AA369" i="4" s="1"/>
  <c r="R369" i="4"/>
  <c r="O369" i="4"/>
  <c r="X368" i="4"/>
  <c r="W368" i="4"/>
  <c r="R368" i="4"/>
  <c r="O368" i="4"/>
  <c r="X367" i="4"/>
  <c r="Y367" i="4" s="1"/>
  <c r="T367" i="4"/>
  <c r="AA367" i="4" s="1"/>
  <c r="R367" i="4"/>
  <c r="O367" i="4"/>
  <c r="X366" i="4"/>
  <c r="Y366" i="4" s="1"/>
  <c r="W366" i="4"/>
  <c r="T366" i="4"/>
  <c r="AA366" i="4" s="1"/>
  <c r="R366" i="4"/>
  <c r="O366" i="4"/>
  <c r="X365" i="4"/>
  <c r="Y365" i="4" s="1"/>
  <c r="W365" i="4"/>
  <c r="T365" i="4"/>
  <c r="AA365" i="4" s="1"/>
  <c r="R365" i="4"/>
  <c r="O365" i="4"/>
  <c r="X364" i="4"/>
  <c r="W364" i="4"/>
  <c r="R364" i="4"/>
  <c r="O364" i="4"/>
  <c r="X363" i="4"/>
  <c r="Y363" i="4" s="1"/>
  <c r="W363" i="4"/>
  <c r="T363" i="4"/>
  <c r="AA363" i="4" s="1"/>
  <c r="R363" i="4"/>
  <c r="O363" i="4"/>
  <c r="X362" i="4"/>
  <c r="W362" i="4"/>
  <c r="R362" i="4"/>
  <c r="O362" i="4"/>
  <c r="X361" i="4"/>
  <c r="W361" i="4"/>
  <c r="R361" i="4"/>
  <c r="O361" i="4"/>
  <c r="X360" i="4"/>
  <c r="Y360" i="4" s="1"/>
  <c r="W360" i="4"/>
  <c r="R360" i="4"/>
  <c r="O360" i="4"/>
  <c r="X359" i="4"/>
  <c r="Y359" i="4" s="1"/>
  <c r="W359" i="4"/>
  <c r="R359" i="4"/>
  <c r="O359" i="4"/>
  <c r="X358" i="4"/>
  <c r="Y358" i="4" s="1"/>
  <c r="W358" i="4"/>
  <c r="R358" i="4"/>
  <c r="O358" i="4"/>
  <c r="X357" i="4"/>
  <c r="Y357" i="4" s="1"/>
  <c r="W357" i="4"/>
  <c r="R357" i="4"/>
  <c r="O357" i="4"/>
  <c r="X356" i="4"/>
  <c r="Y356" i="4" s="1"/>
  <c r="W356" i="4"/>
  <c r="R356" i="4"/>
  <c r="O356" i="4"/>
  <c r="X355" i="4"/>
  <c r="Y355" i="4" s="1"/>
  <c r="W355" i="4"/>
  <c r="R355" i="4"/>
  <c r="O355" i="4"/>
  <c r="X354" i="4"/>
  <c r="Y354" i="4" s="1"/>
  <c r="W354" i="4"/>
  <c r="R354" i="4"/>
  <c r="O354" i="4"/>
  <c r="X353" i="4"/>
  <c r="Y353" i="4" s="1"/>
  <c r="W353" i="4"/>
  <c r="R353" i="4"/>
  <c r="O353" i="4"/>
  <c r="X352" i="4"/>
  <c r="Y352" i="4" s="1"/>
  <c r="W352" i="4"/>
  <c r="R352" i="4"/>
  <c r="O352" i="4"/>
  <c r="X351" i="4"/>
  <c r="Y351" i="4" s="1"/>
  <c r="W351" i="4"/>
  <c r="R351" i="4"/>
  <c r="O351" i="4"/>
  <c r="X350" i="4"/>
  <c r="Y350" i="4" s="1"/>
  <c r="W350" i="4"/>
  <c r="R350" i="4"/>
  <c r="O350" i="4"/>
  <c r="X349" i="4"/>
  <c r="Y349" i="4" s="1"/>
  <c r="W349" i="4"/>
  <c r="R349" i="4"/>
  <c r="O349" i="4"/>
  <c r="X348" i="4"/>
  <c r="Y348" i="4" s="1"/>
  <c r="W348" i="4"/>
  <c r="R348" i="4"/>
  <c r="O348" i="4"/>
  <c r="X347" i="4"/>
  <c r="Y347" i="4" s="1"/>
  <c r="W347" i="4"/>
  <c r="R347" i="4"/>
  <c r="O347" i="4"/>
  <c r="X346" i="4"/>
  <c r="Y346" i="4" s="1"/>
  <c r="W346" i="4"/>
  <c r="T346" i="4"/>
  <c r="AA346" i="4" s="1"/>
  <c r="R346" i="4"/>
  <c r="O346" i="4"/>
  <c r="X345" i="4"/>
  <c r="Y345" i="4" s="1"/>
  <c r="W345" i="4"/>
  <c r="T345" i="4"/>
  <c r="AA345" i="4" s="1"/>
  <c r="R345" i="4"/>
  <c r="O345" i="4"/>
  <c r="X344" i="4"/>
  <c r="W344" i="4"/>
  <c r="R344" i="4"/>
  <c r="O344" i="4"/>
  <c r="X343" i="4"/>
  <c r="W343" i="4"/>
  <c r="R343" i="4"/>
  <c r="O343" i="4"/>
  <c r="X342" i="4"/>
  <c r="W342" i="4"/>
  <c r="R342" i="4"/>
  <c r="O342" i="4"/>
  <c r="X341" i="4"/>
  <c r="Y341" i="4" s="1"/>
  <c r="W341" i="4"/>
  <c r="R341" i="4"/>
  <c r="O341" i="4"/>
  <c r="X340" i="4"/>
  <c r="Y340" i="4" s="1"/>
  <c r="W340" i="4"/>
  <c r="R340" i="4"/>
  <c r="O340" i="4"/>
  <c r="X339" i="4"/>
  <c r="Y339" i="4" s="1"/>
  <c r="W339" i="4"/>
  <c r="T339" i="4"/>
  <c r="AA339" i="4" s="1"/>
  <c r="R339" i="4"/>
  <c r="O339" i="4"/>
  <c r="X338" i="4"/>
  <c r="Y338" i="4" s="1"/>
  <c r="W338" i="4"/>
  <c r="R338" i="4"/>
  <c r="O338" i="4"/>
  <c r="X337" i="4"/>
  <c r="Y337" i="4" s="1"/>
  <c r="W337" i="4"/>
  <c r="R337" i="4"/>
  <c r="O337" i="4"/>
  <c r="X336" i="4"/>
  <c r="W336" i="4"/>
  <c r="R336" i="4"/>
  <c r="O336" i="4"/>
  <c r="X335" i="4"/>
  <c r="Y335" i="4" s="1"/>
  <c r="W335" i="4"/>
  <c r="R335" i="4"/>
  <c r="O335" i="4"/>
  <c r="X334" i="4"/>
  <c r="W334" i="4"/>
  <c r="R334" i="4"/>
  <c r="O334" i="4"/>
  <c r="X333" i="4"/>
  <c r="Y333" i="4" s="1"/>
  <c r="W333" i="4"/>
  <c r="T333" i="4"/>
  <c r="AA333" i="4" s="1"/>
  <c r="R333" i="4"/>
  <c r="O333" i="4"/>
  <c r="X332" i="4"/>
  <c r="W332" i="4"/>
  <c r="R332" i="4"/>
  <c r="O332" i="4"/>
  <c r="X331" i="4"/>
  <c r="W331" i="4"/>
  <c r="R331" i="4"/>
  <c r="O331" i="4"/>
  <c r="X330" i="4"/>
  <c r="W330" i="4"/>
  <c r="R330" i="4"/>
  <c r="O330" i="4"/>
  <c r="X329" i="4"/>
  <c r="Y329" i="4" s="1"/>
  <c r="W329" i="4"/>
  <c r="R329" i="4"/>
  <c r="O329" i="4"/>
  <c r="X328" i="4"/>
  <c r="W328" i="4"/>
  <c r="R328" i="4"/>
  <c r="O328" i="4"/>
  <c r="X327" i="4"/>
  <c r="W327" i="4"/>
  <c r="R327" i="4"/>
  <c r="O327" i="4"/>
  <c r="X326" i="4"/>
  <c r="Y326" i="4" s="1"/>
  <c r="W326" i="4"/>
  <c r="R326" i="4"/>
  <c r="O326" i="4"/>
  <c r="X325" i="4"/>
  <c r="Y325" i="4" s="1"/>
  <c r="W325" i="4"/>
  <c r="T325" i="4"/>
  <c r="AA325" i="4" s="1"/>
  <c r="R325" i="4"/>
  <c r="O325" i="4"/>
  <c r="X324" i="4"/>
  <c r="Y324" i="4" s="1"/>
  <c r="W324" i="4"/>
  <c r="R324" i="4"/>
  <c r="O324" i="4"/>
  <c r="X323" i="4"/>
  <c r="Y323" i="4" s="1"/>
  <c r="W323" i="4"/>
  <c r="T323" i="4"/>
  <c r="AA323" i="4" s="1"/>
  <c r="R323" i="4"/>
  <c r="O323" i="4"/>
  <c r="X322" i="4"/>
  <c r="Y322" i="4" s="1"/>
  <c r="W322" i="4"/>
  <c r="T322" i="4"/>
  <c r="AA322" i="4" s="1"/>
  <c r="R322" i="4"/>
  <c r="O322" i="4"/>
  <c r="X321" i="4"/>
  <c r="Y321" i="4" s="1"/>
  <c r="W321" i="4"/>
  <c r="R321" i="4"/>
  <c r="O321" i="4"/>
  <c r="X320" i="4"/>
  <c r="Y320" i="4" s="1"/>
  <c r="W320" i="4"/>
  <c r="T320" i="4"/>
  <c r="AA320" i="4" s="1"/>
  <c r="R320" i="4"/>
  <c r="O320" i="4"/>
  <c r="X319" i="4"/>
  <c r="Y319" i="4" s="1"/>
  <c r="W319" i="4"/>
  <c r="T319" i="4"/>
  <c r="AA319" i="4" s="1"/>
  <c r="R319" i="4"/>
  <c r="O319" i="4"/>
  <c r="X318" i="4"/>
  <c r="Y318" i="4" s="1"/>
  <c r="W318" i="4"/>
  <c r="T318" i="4"/>
  <c r="AA318" i="4" s="1"/>
  <c r="R318" i="4"/>
  <c r="O318" i="4"/>
  <c r="X317" i="4"/>
  <c r="W317" i="4"/>
  <c r="R317" i="4"/>
  <c r="O317" i="4"/>
  <c r="X316" i="4"/>
  <c r="W316" i="4"/>
  <c r="R316" i="4"/>
  <c r="O316" i="4"/>
  <c r="X315" i="4"/>
  <c r="Y315" i="4" s="1"/>
  <c r="W315" i="4"/>
  <c r="R315" i="4"/>
  <c r="O315" i="4"/>
  <c r="X314" i="4"/>
  <c r="W314" i="4"/>
  <c r="R314" i="4"/>
  <c r="O314" i="4"/>
  <c r="X313" i="4"/>
  <c r="W313" i="4"/>
  <c r="R313" i="4"/>
  <c r="O313" i="4"/>
  <c r="X312" i="4"/>
  <c r="W312" i="4"/>
  <c r="R312" i="4"/>
  <c r="O312" i="4"/>
  <c r="X311" i="4"/>
  <c r="Y311" i="4" s="1"/>
  <c r="W311" i="4"/>
  <c r="T311" i="4"/>
  <c r="AA311" i="4" s="1"/>
  <c r="R311" i="4"/>
  <c r="O311" i="4"/>
  <c r="X310" i="4"/>
  <c r="W310" i="4"/>
  <c r="R310" i="4"/>
  <c r="O310" i="4"/>
  <c r="X309" i="4"/>
  <c r="W309" i="4"/>
  <c r="R309" i="4"/>
  <c r="O309" i="4"/>
  <c r="X308" i="4"/>
  <c r="Y308" i="4" s="1"/>
  <c r="W308" i="4"/>
  <c r="R308" i="4"/>
  <c r="O308" i="4"/>
  <c r="X307" i="4"/>
  <c r="Y307" i="4" s="1"/>
  <c r="W307" i="4"/>
  <c r="T307" i="4"/>
  <c r="AA307" i="4" s="1"/>
  <c r="R307" i="4"/>
  <c r="O307" i="4"/>
  <c r="X306" i="4"/>
  <c r="W306" i="4"/>
  <c r="R306" i="4"/>
  <c r="O306" i="4"/>
  <c r="X305" i="4"/>
  <c r="Y305" i="4" s="1"/>
  <c r="W305" i="4"/>
  <c r="T305" i="4"/>
  <c r="AA305" i="4" s="1"/>
  <c r="R305" i="4"/>
  <c r="O305" i="4"/>
  <c r="X304" i="4"/>
  <c r="Y304" i="4" s="1"/>
  <c r="W304" i="4"/>
  <c r="T304" i="4"/>
  <c r="AA304" i="4" s="1"/>
  <c r="R304" i="4"/>
  <c r="O304" i="4"/>
  <c r="X303" i="4"/>
  <c r="Y303" i="4" s="1"/>
  <c r="W303" i="4"/>
  <c r="T303" i="4"/>
  <c r="AA303" i="4" s="1"/>
  <c r="R303" i="4"/>
  <c r="O303" i="4"/>
  <c r="X302" i="4"/>
  <c r="W302" i="4"/>
  <c r="R302" i="4"/>
  <c r="O302" i="4"/>
  <c r="X301" i="4"/>
  <c r="Y301" i="4" s="1"/>
  <c r="W301" i="4"/>
  <c r="T301" i="4"/>
  <c r="AA301" i="4" s="1"/>
  <c r="R301" i="4"/>
  <c r="O301" i="4"/>
  <c r="X300" i="4"/>
  <c r="Y300" i="4" s="1"/>
  <c r="W300" i="4"/>
  <c r="T300" i="4"/>
  <c r="AA300" i="4" s="1"/>
  <c r="R300" i="4"/>
  <c r="O300" i="4"/>
  <c r="X299" i="4"/>
  <c r="W299" i="4"/>
  <c r="R299" i="4"/>
  <c r="O299" i="4"/>
  <c r="X298" i="4"/>
  <c r="Y298" i="4" s="1"/>
  <c r="W298" i="4"/>
  <c r="T298" i="4"/>
  <c r="AA298" i="4" s="1"/>
  <c r="R298" i="4"/>
  <c r="O298" i="4"/>
  <c r="X297" i="4"/>
  <c r="Y297" i="4" s="1"/>
  <c r="W297" i="4"/>
  <c r="T297" i="4"/>
  <c r="AA297" i="4" s="1"/>
  <c r="R297" i="4"/>
  <c r="O297" i="4"/>
  <c r="X296" i="4"/>
  <c r="W296" i="4"/>
  <c r="R296" i="4"/>
  <c r="O296" i="4"/>
  <c r="X295" i="4"/>
  <c r="Y295" i="4" s="1"/>
  <c r="W295" i="4"/>
  <c r="R295" i="4"/>
  <c r="O295" i="4"/>
  <c r="X294" i="4"/>
  <c r="Y294" i="4" s="1"/>
  <c r="W294" i="4"/>
  <c r="R294" i="4"/>
  <c r="O294" i="4"/>
  <c r="X293" i="4"/>
  <c r="W293" i="4"/>
  <c r="R293" i="4"/>
  <c r="O293" i="4"/>
  <c r="X292" i="4"/>
  <c r="W292" i="4"/>
  <c r="R292" i="4"/>
  <c r="O292" i="4"/>
  <c r="X291" i="4"/>
  <c r="W291" i="4"/>
  <c r="R291" i="4"/>
  <c r="O291" i="4"/>
  <c r="X290" i="4"/>
  <c r="W290" i="4"/>
  <c r="R290" i="4"/>
  <c r="O290" i="4"/>
  <c r="X289" i="4"/>
  <c r="Y289" i="4" s="1"/>
  <c r="W289" i="4"/>
  <c r="R289" i="4"/>
  <c r="O289" i="4"/>
  <c r="X288" i="4"/>
  <c r="Y288" i="4" s="1"/>
  <c r="W288" i="4"/>
  <c r="T288" i="4"/>
  <c r="AA288" i="4" s="1"/>
  <c r="R288" i="4"/>
  <c r="O288" i="4"/>
  <c r="X287" i="4"/>
  <c r="W287" i="4"/>
  <c r="R287" i="4"/>
  <c r="O287" i="4"/>
  <c r="X286" i="4"/>
  <c r="Y286" i="4" s="1"/>
  <c r="W286" i="4"/>
  <c r="R286" i="4"/>
  <c r="O286" i="4"/>
  <c r="X285" i="4"/>
  <c r="Y285" i="4" s="1"/>
  <c r="W285" i="4"/>
  <c r="R285" i="4"/>
  <c r="O285" i="4"/>
  <c r="X284" i="4"/>
  <c r="Y284" i="4" s="1"/>
  <c r="W284" i="4"/>
  <c r="R284" i="4"/>
  <c r="O284" i="4"/>
  <c r="X283" i="4"/>
  <c r="Y283" i="4" s="1"/>
  <c r="W283" i="4"/>
  <c r="R283" i="4"/>
  <c r="O283" i="4"/>
  <c r="X282" i="4"/>
  <c r="Y282" i="4" s="1"/>
  <c r="W282" i="4"/>
  <c r="T282" i="4"/>
  <c r="AA282" i="4" s="1"/>
  <c r="R282" i="4"/>
  <c r="O282" i="4"/>
  <c r="X281" i="4"/>
  <c r="Y281" i="4" s="1"/>
  <c r="W281" i="4"/>
  <c r="R281" i="4"/>
  <c r="O281" i="4"/>
  <c r="X280" i="4"/>
  <c r="Y280" i="4" s="1"/>
  <c r="W280" i="4"/>
  <c r="R280" i="4"/>
  <c r="O280" i="4"/>
  <c r="X279" i="4"/>
  <c r="Y279" i="4" s="1"/>
  <c r="W279" i="4"/>
  <c r="R279" i="4"/>
  <c r="O279" i="4"/>
  <c r="X278" i="4"/>
  <c r="Y278" i="4" s="1"/>
  <c r="W278" i="4"/>
  <c r="R278" i="4"/>
  <c r="O278" i="4"/>
  <c r="X277" i="4"/>
  <c r="Y277" i="4" s="1"/>
  <c r="W277" i="4"/>
  <c r="R277" i="4"/>
  <c r="O277" i="4"/>
  <c r="X276" i="4"/>
  <c r="Y276" i="4" s="1"/>
  <c r="W276" i="4"/>
  <c r="R276" i="4"/>
  <c r="O276" i="4"/>
  <c r="X275" i="4"/>
  <c r="Y275" i="4" s="1"/>
  <c r="W275" i="4"/>
  <c r="R275" i="4"/>
  <c r="O275" i="4"/>
  <c r="X274" i="4"/>
  <c r="Y274" i="4" s="1"/>
  <c r="W274" i="4"/>
  <c r="R274" i="4"/>
  <c r="O274" i="4"/>
  <c r="X273" i="4"/>
  <c r="Y273" i="4" s="1"/>
  <c r="W273" i="4"/>
  <c r="R273" i="4"/>
  <c r="O273" i="4"/>
  <c r="X272" i="4"/>
  <c r="Y272" i="4" s="1"/>
  <c r="W272" i="4"/>
  <c r="R272" i="4"/>
  <c r="O272" i="4"/>
  <c r="X271" i="4"/>
  <c r="Y271" i="4" s="1"/>
  <c r="W271" i="4"/>
  <c r="R271" i="4"/>
  <c r="O271" i="4"/>
  <c r="X270" i="4"/>
  <c r="Y270" i="4" s="1"/>
  <c r="W270" i="4"/>
  <c r="R270" i="4"/>
  <c r="O270" i="4"/>
  <c r="X269" i="4"/>
  <c r="Y269" i="4" s="1"/>
  <c r="W269" i="4"/>
  <c r="T269" i="4"/>
  <c r="AA269" i="4" s="1"/>
  <c r="R269" i="4"/>
  <c r="O269" i="4"/>
  <c r="X268" i="4"/>
  <c r="W268" i="4"/>
  <c r="R268" i="4"/>
  <c r="O268" i="4"/>
  <c r="X267" i="4"/>
  <c r="W267" i="4"/>
  <c r="R267" i="4"/>
  <c r="O267" i="4"/>
  <c r="X266" i="4"/>
  <c r="W266" i="4"/>
  <c r="R266" i="4"/>
  <c r="O266" i="4"/>
  <c r="X265" i="4"/>
  <c r="W265" i="4"/>
  <c r="R265" i="4"/>
  <c r="O265" i="4"/>
  <c r="X264" i="4"/>
  <c r="W264" i="4"/>
  <c r="R264" i="4"/>
  <c r="O264" i="4"/>
  <c r="X263" i="4"/>
  <c r="W263" i="4"/>
  <c r="R263" i="4"/>
  <c r="O263" i="4"/>
  <c r="X262" i="4"/>
  <c r="Y262" i="4" s="1"/>
  <c r="W262" i="4"/>
  <c r="T262" i="4"/>
  <c r="AA262" i="4" s="1"/>
  <c r="R262" i="4"/>
  <c r="O262" i="4"/>
  <c r="X261" i="4"/>
  <c r="W261" i="4"/>
  <c r="R261" i="4"/>
  <c r="O261" i="4"/>
  <c r="X260" i="4"/>
  <c r="W260" i="4"/>
  <c r="R260" i="4"/>
  <c r="O260" i="4"/>
  <c r="X259" i="4"/>
  <c r="Y259" i="4" s="1"/>
  <c r="W259" i="4"/>
  <c r="R259" i="4"/>
  <c r="O259" i="4"/>
  <c r="X258" i="4"/>
  <c r="W258" i="4"/>
  <c r="R258" i="4"/>
  <c r="O258" i="4"/>
  <c r="X257" i="4"/>
  <c r="Y257" i="4" s="1"/>
  <c r="W257" i="4"/>
  <c r="R257" i="4"/>
  <c r="O257" i="4"/>
  <c r="X256" i="4"/>
  <c r="W256" i="4"/>
  <c r="R256" i="4"/>
  <c r="O256" i="4"/>
  <c r="X255" i="4"/>
  <c r="Y255" i="4" s="1"/>
  <c r="W255" i="4"/>
  <c r="T255" i="4"/>
  <c r="AA255" i="4" s="1"/>
  <c r="R255" i="4"/>
  <c r="O255" i="4"/>
  <c r="X254" i="4"/>
  <c r="Y254" i="4" s="1"/>
  <c r="W254" i="4"/>
  <c r="T254" i="4"/>
  <c r="AA254" i="4" s="1"/>
  <c r="R254" i="4"/>
  <c r="O254" i="4"/>
  <c r="X253" i="4"/>
  <c r="Y253" i="4" s="1"/>
  <c r="W253" i="4"/>
  <c r="R253" i="4"/>
  <c r="O253" i="4"/>
  <c r="X252" i="4"/>
  <c r="Y252" i="4" s="1"/>
  <c r="W252" i="4"/>
  <c r="R252" i="4"/>
  <c r="O252" i="4"/>
  <c r="X251" i="4"/>
  <c r="Y251" i="4" s="1"/>
  <c r="W251" i="4"/>
  <c r="T251" i="4"/>
  <c r="AA251" i="4" s="1"/>
  <c r="R251" i="4"/>
  <c r="O251" i="4"/>
  <c r="X250" i="4"/>
  <c r="Y250" i="4" s="1"/>
  <c r="W250" i="4"/>
  <c r="T250" i="4"/>
  <c r="AA250" i="4" s="1"/>
  <c r="R250" i="4"/>
  <c r="O250" i="4"/>
  <c r="X249" i="4"/>
  <c r="Y249" i="4" s="1"/>
  <c r="W249" i="4"/>
  <c r="R249" i="4"/>
  <c r="O249" i="4"/>
  <c r="X248" i="4"/>
  <c r="Y248" i="4" s="1"/>
  <c r="W248" i="4"/>
  <c r="T248" i="4"/>
  <c r="AA248" i="4" s="1"/>
  <c r="R248" i="4"/>
  <c r="O248" i="4"/>
  <c r="X247" i="4"/>
  <c r="Y247" i="4" s="1"/>
  <c r="W247" i="4"/>
  <c r="R247" i="4"/>
  <c r="O247" i="4"/>
  <c r="X246" i="4"/>
  <c r="Y246" i="4" s="1"/>
  <c r="W246" i="4"/>
  <c r="T246" i="4"/>
  <c r="AA246" i="4" s="1"/>
  <c r="R246" i="4"/>
  <c r="O246" i="4"/>
  <c r="X245" i="4"/>
  <c r="Y245" i="4" s="1"/>
  <c r="W245" i="4"/>
  <c r="T245" i="4"/>
  <c r="AA245" i="4" s="1"/>
  <c r="R245" i="4"/>
  <c r="O245" i="4"/>
  <c r="X244" i="4"/>
  <c r="W244" i="4"/>
  <c r="R244" i="4"/>
  <c r="O244" i="4"/>
  <c r="X243" i="4"/>
  <c r="Y243" i="4" s="1"/>
  <c r="W243" i="4"/>
  <c r="R243" i="4"/>
  <c r="O243" i="4"/>
  <c r="X242" i="4"/>
  <c r="Y242" i="4" s="1"/>
  <c r="W242" i="4"/>
  <c r="R242" i="4"/>
  <c r="O242" i="4"/>
  <c r="X241" i="4"/>
  <c r="Y241" i="4" s="1"/>
  <c r="W241" i="4"/>
  <c r="R241" i="4"/>
  <c r="O241" i="4"/>
  <c r="X240" i="4"/>
  <c r="W240" i="4"/>
  <c r="R240" i="4"/>
  <c r="O240" i="4"/>
  <c r="X239" i="4"/>
  <c r="Y239" i="4" s="1"/>
  <c r="W239" i="4"/>
  <c r="T239" i="4"/>
  <c r="AA239" i="4" s="1"/>
  <c r="R239" i="4"/>
  <c r="O239" i="4"/>
  <c r="X238" i="4"/>
  <c r="W238" i="4"/>
  <c r="R238" i="4"/>
  <c r="O238" i="4"/>
  <c r="X237" i="4"/>
  <c r="Y237" i="4" s="1"/>
  <c r="W237" i="4"/>
  <c r="T237" i="4"/>
  <c r="AA237" i="4" s="1"/>
  <c r="R237" i="4"/>
  <c r="O237" i="4"/>
  <c r="X236" i="4"/>
  <c r="W236" i="4"/>
  <c r="R236" i="4"/>
  <c r="O236" i="4"/>
  <c r="X235" i="4"/>
  <c r="Y235" i="4" s="1"/>
  <c r="W235" i="4"/>
  <c r="T235" i="4"/>
  <c r="AA235" i="4" s="1"/>
  <c r="R235" i="4"/>
  <c r="O235" i="4"/>
  <c r="X234" i="4"/>
  <c r="Y234" i="4" s="1"/>
  <c r="W234" i="4"/>
  <c r="T234" i="4"/>
  <c r="AA234" i="4" s="1"/>
  <c r="R234" i="4"/>
  <c r="O234" i="4"/>
  <c r="X233" i="4"/>
  <c r="Y233" i="4" s="1"/>
  <c r="W233" i="4"/>
  <c r="T233" i="4"/>
  <c r="AA233" i="4" s="1"/>
  <c r="R233" i="4"/>
  <c r="O233" i="4"/>
  <c r="X232" i="4"/>
  <c r="Y232" i="4" s="1"/>
  <c r="W232" i="4"/>
  <c r="T232" i="4"/>
  <c r="AA232" i="4" s="1"/>
  <c r="R232" i="4"/>
  <c r="O232" i="4"/>
  <c r="X231" i="4"/>
  <c r="Y231" i="4" s="1"/>
  <c r="W231" i="4"/>
  <c r="T231" i="4"/>
  <c r="AA231" i="4" s="1"/>
  <c r="R231" i="4"/>
  <c r="O231" i="4"/>
  <c r="X230" i="4"/>
  <c r="W230" i="4"/>
  <c r="R230" i="4"/>
  <c r="O230" i="4"/>
  <c r="X229" i="4"/>
  <c r="Y229" i="4" s="1"/>
  <c r="W229" i="4"/>
  <c r="T229" i="4"/>
  <c r="AA229" i="4" s="1"/>
  <c r="R229" i="4"/>
  <c r="O229" i="4"/>
  <c r="X228" i="4"/>
  <c r="Y228" i="4" s="1"/>
  <c r="W228" i="4"/>
  <c r="R228" i="4"/>
  <c r="O228" i="4"/>
  <c r="X227" i="4"/>
  <c r="W227" i="4"/>
  <c r="R227" i="4"/>
  <c r="O227" i="4"/>
  <c r="X226" i="4"/>
  <c r="Y226" i="4" s="1"/>
  <c r="W226" i="4"/>
  <c r="T226" i="4"/>
  <c r="AA226" i="4" s="1"/>
  <c r="R226" i="4"/>
  <c r="O226" i="4"/>
  <c r="X225" i="4"/>
  <c r="Y225" i="4" s="1"/>
  <c r="W225" i="4"/>
  <c r="R225" i="4"/>
  <c r="O225" i="4"/>
  <c r="X224" i="4"/>
  <c r="W224" i="4"/>
  <c r="R224" i="4"/>
  <c r="O224" i="4"/>
  <c r="X223" i="4"/>
  <c r="W223" i="4"/>
  <c r="R223" i="4"/>
  <c r="O223" i="4"/>
  <c r="X222" i="4"/>
  <c r="Y222" i="4" s="1"/>
  <c r="W222" i="4"/>
  <c r="T222" i="4"/>
  <c r="AA222" i="4" s="1"/>
  <c r="R222" i="4"/>
  <c r="O222" i="4"/>
  <c r="X221" i="4"/>
  <c r="W221" i="4"/>
  <c r="R221" i="4"/>
  <c r="O221" i="4"/>
  <c r="X220" i="4"/>
  <c r="Y220" i="4" s="1"/>
  <c r="W220" i="4"/>
  <c r="R220" i="4"/>
  <c r="O220" i="4"/>
  <c r="X219" i="4"/>
  <c r="Y219" i="4" s="1"/>
  <c r="W219" i="4"/>
  <c r="T219" i="4"/>
  <c r="AA219" i="4" s="1"/>
  <c r="R219" i="4"/>
  <c r="O219" i="4"/>
  <c r="X218" i="4"/>
  <c r="Y218" i="4" s="1"/>
  <c r="W218" i="4"/>
  <c r="T218" i="4"/>
  <c r="AA218" i="4" s="1"/>
  <c r="R218" i="4"/>
  <c r="O218" i="4"/>
  <c r="X217" i="4"/>
  <c r="Y217" i="4" s="1"/>
  <c r="W217" i="4"/>
  <c r="T217" i="4"/>
  <c r="AA217" i="4" s="1"/>
  <c r="R217" i="4"/>
  <c r="O217" i="4"/>
  <c r="X216" i="4"/>
  <c r="Y216" i="4" s="1"/>
  <c r="W216" i="4"/>
  <c r="R216" i="4"/>
  <c r="O216" i="4"/>
  <c r="X215" i="4"/>
  <c r="W215" i="4"/>
  <c r="R215" i="4"/>
  <c r="O215" i="4"/>
  <c r="X214" i="4"/>
  <c r="W214" i="4"/>
  <c r="R214" i="4"/>
  <c r="O214" i="4"/>
  <c r="X213" i="4"/>
  <c r="W213" i="4"/>
  <c r="R213" i="4"/>
  <c r="O213" i="4"/>
  <c r="X212" i="4"/>
  <c r="Y212" i="4" s="1"/>
  <c r="W212" i="4"/>
  <c r="R212" i="4"/>
  <c r="O212" i="4"/>
  <c r="X211" i="4"/>
  <c r="Y211" i="4" s="1"/>
  <c r="W211" i="4"/>
  <c r="R211" i="4"/>
  <c r="O211" i="4"/>
  <c r="X210" i="4"/>
  <c r="Y210" i="4" s="1"/>
  <c r="W210" i="4"/>
  <c r="T210" i="4"/>
  <c r="AA210" i="4" s="1"/>
  <c r="R210" i="4"/>
  <c r="O210" i="4"/>
  <c r="X209" i="4"/>
  <c r="Y209" i="4" s="1"/>
  <c r="W209" i="4"/>
  <c r="T209" i="4"/>
  <c r="AA209" i="4" s="1"/>
  <c r="R209" i="4"/>
  <c r="O209" i="4"/>
  <c r="X208" i="4"/>
  <c r="W208" i="4"/>
  <c r="R208" i="4"/>
  <c r="O208" i="4"/>
  <c r="X207" i="4"/>
  <c r="Y207" i="4" s="1"/>
  <c r="W207" i="4"/>
  <c r="T207" i="4"/>
  <c r="AA207" i="4" s="1"/>
  <c r="R207" i="4"/>
  <c r="O207" i="4"/>
  <c r="X206" i="4"/>
  <c r="Y206" i="4" s="1"/>
  <c r="W206" i="4"/>
  <c r="T206" i="4"/>
  <c r="AA206" i="4" s="1"/>
  <c r="R206" i="4"/>
  <c r="O206" i="4"/>
  <c r="X205" i="4"/>
  <c r="W205" i="4"/>
  <c r="R205" i="4"/>
  <c r="O205" i="4"/>
  <c r="X204" i="4"/>
  <c r="W204" i="4"/>
  <c r="R204" i="4"/>
  <c r="O204" i="4"/>
  <c r="X203" i="4"/>
  <c r="W203" i="4"/>
  <c r="R203" i="4"/>
  <c r="O203" i="4"/>
  <c r="X202" i="4"/>
  <c r="Y202" i="4" s="1"/>
  <c r="W202" i="4"/>
  <c r="R202" i="4"/>
  <c r="O202" i="4"/>
  <c r="X201" i="4"/>
  <c r="W201" i="4"/>
  <c r="R201" i="4"/>
  <c r="O201" i="4"/>
  <c r="X200" i="4"/>
  <c r="Y200" i="4" s="1"/>
  <c r="W200" i="4"/>
  <c r="R200" i="4"/>
  <c r="O200" i="4"/>
  <c r="X199" i="4"/>
  <c r="Y199" i="4" s="1"/>
  <c r="W199" i="4"/>
  <c r="T199" i="4"/>
  <c r="AA199" i="4" s="1"/>
  <c r="R199" i="4"/>
  <c r="O199" i="4"/>
  <c r="X198" i="4"/>
  <c r="Y198" i="4" s="1"/>
  <c r="W198" i="4"/>
  <c r="T198" i="4"/>
  <c r="AA198" i="4" s="1"/>
  <c r="R198" i="4"/>
  <c r="O198" i="4"/>
  <c r="X197" i="4"/>
  <c r="Y197" i="4" s="1"/>
  <c r="W197" i="4"/>
  <c r="T197" i="4"/>
  <c r="AA197" i="4" s="1"/>
  <c r="R197" i="4"/>
  <c r="O197" i="4"/>
  <c r="X196" i="4"/>
  <c r="Y196" i="4" s="1"/>
  <c r="W196" i="4"/>
  <c r="R196" i="4"/>
  <c r="O196" i="4"/>
  <c r="X195" i="4"/>
  <c r="Y195" i="4" s="1"/>
  <c r="W195" i="4"/>
  <c r="R195" i="4"/>
  <c r="O195" i="4"/>
  <c r="X194" i="4"/>
  <c r="Y194" i="4" s="1"/>
  <c r="W194" i="4"/>
  <c r="R194" i="4"/>
  <c r="O194" i="4"/>
  <c r="X193" i="4"/>
  <c r="Y193" i="4" s="1"/>
  <c r="W193" i="4"/>
  <c r="R193" i="4"/>
  <c r="O193" i="4"/>
  <c r="X192" i="4"/>
  <c r="Y192" i="4" s="1"/>
  <c r="W192" i="4"/>
  <c r="R192" i="4"/>
  <c r="O192" i="4"/>
  <c r="X191" i="4"/>
  <c r="Y191" i="4" s="1"/>
  <c r="W191" i="4"/>
  <c r="R191" i="4"/>
  <c r="O191" i="4"/>
  <c r="X190" i="4"/>
  <c r="Y190" i="4" s="1"/>
  <c r="W190" i="4"/>
  <c r="R190" i="4"/>
  <c r="O190" i="4"/>
  <c r="X189" i="4"/>
  <c r="Y189" i="4" s="1"/>
  <c r="W189" i="4"/>
  <c r="T189" i="4"/>
  <c r="AA189" i="4" s="1"/>
  <c r="R189" i="4"/>
  <c r="O189" i="4"/>
  <c r="X188" i="4"/>
  <c r="Y188" i="4" s="1"/>
  <c r="W188" i="4"/>
  <c r="T188" i="4"/>
  <c r="AA188" i="4" s="1"/>
  <c r="R188" i="4"/>
  <c r="O188" i="4"/>
  <c r="X187" i="4"/>
  <c r="Y187" i="4" s="1"/>
  <c r="W187" i="4"/>
  <c r="R187" i="4"/>
  <c r="O187" i="4"/>
  <c r="X186" i="4"/>
  <c r="Y186" i="4" s="1"/>
  <c r="W186" i="4"/>
  <c r="R186" i="4"/>
  <c r="O186" i="4"/>
  <c r="X185" i="4"/>
  <c r="Y185" i="4" s="1"/>
  <c r="W185" i="4"/>
  <c r="T185" i="4"/>
  <c r="AA185" i="4" s="1"/>
  <c r="R185" i="4"/>
  <c r="O185" i="4"/>
  <c r="X184" i="4"/>
  <c r="Y184" i="4" s="1"/>
  <c r="W184" i="4"/>
  <c r="R184" i="4"/>
  <c r="O184" i="4"/>
  <c r="X183" i="4"/>
  <c r="Y183" i="4" s="1"/>
  <c r="W183" i="4"/>
  <c r="R183" i="4"/>
  <c r="O183" i="4"/>
  <c r="X182" i="4"/>
  <c r="Y182" i="4" s="1"/>
  <c r="W182" i="4"/>
  <c r="R182" i="4"/>
  <c r="O182" i="4"/>
  <c r="X181" i="4"/>
  <c r="Y181" i="4" s="1"/>
  <c r="W181" i="4"/>
  <c r="R181" i="4"/>
  <c r="O181" i="4"/>
  <c r="X180" i="4"/>
  <c r="Y180" i="4" s="1"/>
  <c r="W180" i="4"/>
  <c r="T180" i="4"/>
  <c r="AA180" i="4" s="1"/>
  <c r="R180" i="4"/>
  <c r="O180" i="4"/>
  <c r="X179" i="4"/>
  <c r="W179" i="4"/>
  <c r="R179" i="4"/>
  <c r="O179" i="4"/>
  <c r="X178" i="4"/>
  <c r="Y178" i="4" s="1"/>
  <c r="W178" i="4"/>
  <c r="R178" i="4"/>
  <c r="O178" i="4"/>
  <c r="X177" i="4"/>
  <c r="Y177" i="4" s="1"/>
  <c r="W177" i="4"/>
  <c r="R177" i="4"/>
  <c r="O177" i="4"/>
  <c r="X176" i="4"/>
  <c r="Y176" i="4" s="1"/>
  <c r="W176" i="4"/>
  <c r="R176" i="4"/>
  <c r="O176" i="4"/>
  <c r="X175" i="4"/>
  <c r="Y175" i="4" s="1"/>
  <c r="W175" i="4"/>
  <c r="R175" i="4"/>
  <c r="O175" i="4"/>
  <c r="X174" i="4"/>
  <c r="W174" i="4"/>
  <c r="R174" i="4"/>
  <c r="O174" i="4"/>
  <c r="X173" i="4"/>
  <c r="W173" i="4"/>
  <c r="R173" i="4"/>
  <c r="O173" i="4"/>
  <c r="X172" i="4"/>
  <c r="W172" i="4"/>
  <c r="R172" i="4"/>
  <c r="O172" i="4"/>
  <c r="X171" i="4"/>
  <c r="Y171" i="4" s="1"/>
  <c r="W171" i="4"/>
  <c r="R171" i="4"/>
  <c r="O171" i="4"/>
  <c r="X170" i="4"/>
  <c r="Y170" i="4" s="1"/>
  <c r="W170" i="4"/>
  <c r="R170" i="4"/>
  <c r="O170" i="4"/>
  <c r="X169" i="4"/>
  <c r="W169" i="4"/>
  <c r="R169" i="4"/>
  <c r="O169" i="4"/>
  <c r="X168" i="4"/>
  <c r="Y168" i="4" s="1"/>
  <c r="W168" i="4"/>
  <c r="R168" i="4"/>
  <c r="O168" i="4"/>
  <c r="X167" i="4"/>
  <c r="Y167" i="4" s="1"/>
  <c r="W167" i="4"/>
  <c r="R167" i="4"/>
  <c r="O167" i="4"/>
  <c r="X166" i="4"/>
  <c r="W166" i="4"/>
  <c r="R166" i="4"/>
  <c r="O166" i="4"/>
  <c r="X165" i="4"/>
  <c r="W165" i="4"/>
  <c r="R165" i="4"/>
  <c r="O165" i="4"/>
  <c r="X164" i="4"/>
  <c r="Y164" i="4" s="1"/>
  <c r="W164" i="4"/>
  <c r="R164" i="4"/>
  <c r="O164" i="4"/>
  <c r="X163" i="4"/>
  <c r="Y163" i="4" s="1"/>
  <c r="W163" i="4"/>
  <c r="T163" i="4"/>
  <c r="AA163" i="4" s="1"/>
  <c r="R163" i="4"/>
  <c r="O163" i="4"/>
  <c r="X162" i="4"/>
  <c r="Y162" i="4" s="1"/>
  <c r="W162" i="4"/>
  <c r="R162" i="4"/>
  <c r="O162" i="4"/>
  <c r="X161" i="4"/>
  <c r="W161" i="4"/>
  <c r="R161" i="4"/>
  <c r="O161" i="4"/>
  <c r="X160" i="4"/>
  <c r="W160" i="4"/>
  <c r="R160" i="4"/>
  <c r="O160" i="4"/>
  <c r="X159" i="4"/>
  <c r="Y159" i="4" s="1"/>
  <c r="W159" i="4"/>
  <c r="R159" i="4"/>
  <c r="O159" i="4"/>
  <c r="X157" i="4"/>
  <c r="W157" i="4"/>
  <c r="R157" i="4"/>
  <c r="O157" i="4"/>
  <c r="X156" i="4"/>
  <c r="Y156" i="4" s="1"/>
  <c r="W156" i="4"/>
  <c r="T156" i="4"/>
  <c r="AA156" i="4" s="1"/>
  <c r="R156" i="4"/>
  <c r="O156" i="4"/>
  <c r="X155" i="4"/>
  <c r="Y155" i="4" s="1"/>
  <c r="W155" i="4"/>
  <c r="T155" i="4"/>
  <c r="AA155" i="4" s="1"/>
  <c r="R155" i="4"/>
  <c r="O155" i="4"/>
  <c r="X154" i="4"/>
  <c r="W154" i="4"/>
  <c r="R154" i="4"/>
  <c r="O154" i="4"/>
  <c r="X153" i="4"/>
  <c r="Y153" i="4" s="1"/>
  <c r="W153" i="4"/>
  <c r="R153" i="4"/>
  <c r="O153" i="4"/>
  <c r="X152" i="4"/>
  <c r="Y152" i="4" s="1"/>
  <c r="W152" i="4"/>
  <c r="T152" i="4"/>
  <c r="AA152" i="4" s="1"/>
  <c r="R152" i="4"/>
  <c r="O152" i="4"/>
  <c r="X151" i="4"/>
  <c r="Y151" i="4" s="1"/>
  <c r="W151" i="4"/>
  <c r="R151" i="4"/>
  <c r="O151" i="4"/>
  <c r="X150" i="4"/>
  <c r="Y150" i="4" s="1"/>
  <c r="W150" i="4"/>
  <c r="R150" i="4"/>
  <c r="O150" i="4"/>
  <c r="X149" i="4"/>
  <c r="Y149" i="4" s="1"/>
  <c r="W149" i="4"/>
  <c r="R149" i="4"/>
  <c r="O149" i="4"/>
  <c r="X148" i="4"/>
  <c r="Y148" i="4" s="1"/>
  <c r="W148" i="4"/>
  <c r="R148" i="4"/>
  <c r="O148" i="4"/>
  <c r="X147" i="4"/>
  <c r="Y147" i="4" s="1"/>
  <c r="W147" i="4"/>
  <c r="R147" i="4"/>
  <c r="O147" i="4"/>
  <c r="X146" i="4"/>
  <c r="W146" i="4"/>
  <c r="R146" i="4"/>
  <c r="O146" i="4"/>
  <c r="X145" i="4"/>
  <c r="W145" i="4"/>
  <c r="R145" i="4"/>
  <c r="O145" i="4"/>
  <c r="X144" i="4"/>
  <c r="W144" i="4"/>
  <c r="R144" i="4"/>
  <c r="O144" i="4"/>
  <c r="X143" i="4"/>
  <c r="Y143" i="4" s="1"/>
  <c r="W143" i="4"/>
  <c r="T143" i="4"/>
  <c r="AA143" i="4" s="1"/>
  <c r="R143" i="4"/>
  <c r="O143" i="4"/>
  <c r="X142" i="4"/>
  <c r="W142" i="4"/>
  <c r="R142" i="4"/>
  <c r="O142" i="4"/>
  <c r="X141" i="4"/>
  <c r="Y141" i="4" s="1"/>
  <c r="W141" i="4"/>
  <c r="T141" i="4"/>
  <c r="AA141" i="4" s="1"/>
  <c r="R141" i="4"/>
  <c r="O141" i="4"/>
  <c r="X140" i="4"/>
  <c r="W140" i="4"/>
  <c r="R140" i="4"/>
  <c r="O140" i="4"/>
  <c r="X139" i="4"/>
  <c r="Y139" i="4" s="1"/>
  <c r="W139" i="4"/>
  <c r="R139" i="4"/>
  <c r="O139" i="4"/>
  <c r="X138" i="4"/>
  <c r="W138" i="4"/>
  <c r="R138" i="4"/>
  <c r="O138" i="4"/>
  <c r="X137" i="4"/>
  <c r="W137" i="4"/>
  <c r="R137" i="4"/>
  <c r="O137" i="4"/>
  <c r="X136" i="4"/>
  <c r="Y136" i="4" s="1"/>
  <c r="W136" i="4"/>
  <c r="T136" i="4"/>
  <c r="AA136" i="4" s="1"/>
  <c r="R136" i="4"/>
  <c r="O136" i="4"/>
  <c r="X135" i="4"/>
  <c r="Y135" i="4" s="1"/>
  <c r="W135" i="4"/>
  <c r="V135" i="4"/>
  <c r="R135" i="4"/>
  <c r="O135" i="4"/>
  <c r="X134" i="4"/>
  <c r="Y134" i="4" s="1"/>
  <c r="W134" i="4"/>
  <c r="V134" i="4"/>
  <c r="R134" i="4"/>
  <c r="O134" i="4"/>
  <c r="X133" i="4"/>
  <c r="Y133" i="4" s="1"/>
  <c r="W133" i="4"/>
  <c r="V133" i="4"/>
  <c r="R133" i="4"/>
  <c r="O133" i="4"/>
  <c r="X132" i="4"/>
  <c r="Y132" i="4" s="1"/>
  <c r="W132" i="4"/>
  <c r="V132" i="4"/>
  <c r="R132" i="4"/>
  <c r="O132" i="4"/>
  <c r="X131" i="4"/>
  <c r="Y131" i="4" s="1"/>
  <c r="W131" i="4"/>
  <c r="V131" i="4"/>
  <c r="R131" i="4"/>
  <c r="O131" i="4"/>
  <c r="X130" i="4"/>
  <c r="W130" i="4"/>
  <c r="V130" i="4"/>
  <c r="R130" i="4"/>
  <c r="O130" i="4"/>
  <c r="X129" i="4"/>
  <c r="Y129" i="4" s="1"/>
  <c r="W129" i="4"/>
  <c r="V129" i="4"/>
  <c r="R129" i="4"/>
  <c r="O129" i="4"/>
  <c r="X128" i="4"/>
  <c r="W128" i="4"/>
  <c r="V128" i="4"/>
  <c r="R128" i="4"/>
  <c r="O128" i="4"/>
  <c r="X127" i="4"/>
  <c r="Y127" i="4" s="1"/>
  <c r="W127" i="4"/>
  <c r="V127" i="4"/>
  <c r="R127" i="4"/>
  <c r="O127" i="4"/>
  <c r="X126" i="4"/>
  <c r="W126" i="4"/>
  <c r="V126" i="4"/>
  <c r="R126" i="4"/>
  <c r="O126" i="4"/>
  <c r="X125" i="4"/>
  <c r="W125" i="4"/>
  <c r="V125" i="4"/>
  <c r="R125" i="4"/>
  <c r="O125" i="4"/>
  <c r="X124" i="4"/>
  <c r="Y124" i="4" s="1"/>
  <c r="W124" i="4"/>
  <c r="V124" i="4"/>
  <c r="R124" i="4"/>
  <c r="O124" i="4"/>
  <c r="X123" i="4"/>
  <c r="Y123" i="4" s="1"/>
  <c r="W123" i="4"/>
  <c r="V123" i="4"/>
  <c r="T123" i="4"/>
  <c r="AA123" i="4" s="1"/>
  <c r="R123" i="4"/>
  <c r="O123" i="4"/>
  <c r="X122" i="4"/>
  <c r="Y122" i="4" s="1"/>
  <c r="W122" i="4"/>
  <c r="V122" i="4"/>
  <c r="T122" i="4"/>
  <c r="AA122" i="4" s="1"/>
  <c r="R122" i="4"/>
  <c r="O122" i="4"/>
  <c r="X121" i="4"/>
  <c r="Y121" i="4" s="1"/>
  <c r="W121" i="4"/>
  <c r="V121" i="4"/>
  <c r="R121" i="4"/>
  <c r="O121" i="4"/>
  <c r="X120" i="4"/>
  <c r="W120" i="4"/>
  <c r="V120" i="4"/>
  <c r="R120" i="4"/>
  <c r="O120" i="4"/>
  <c r="X119" i="4"/>
  <c r="W119" i="4"/>
  <c r="V119" i="4"/>
  <c r="R119" i="4"/>
  <c r="O119" i="4"/>
  <c r="X118" i="4"/>
  <c r="Y118" i="4" s="1"/>
  <c r="W118" i="4"/>
  <c r="V118" i="4"/>
  <c r="R118" i="4"/>
  <c r="O118" i="4"/>
  <c r="X117" i="4"/>
  <c r="Y117" i="4" s="1"/>
  <c r="W117" i="4"/>
  <c r="V117" i="4"/>
  <c r="T117" i="4"/>
  <c r="AA117" i="4" s="1"/>
  <c r="R117" i="4"/>
  <c r="O117" i="4"/>
  <c r="X116" i="4"/>
  <c r="Y116" i="4" s="1"/>
  <c r="W116" i="4"/>
  <c r="V116" i="4"/>
  <c r="T116" i="4"/>
  <c r="AA116" i="4" s="1"/>
  <c r="R116" i="4"/>
  <c r="O116" i="4"/>
  <c r="X115" i="4"/>
  <c r="Y115" i="4" s="1"/>
  <c r="W115" i="4"/>
  <c r="V115" i="4"/>
  <c r="R115" i="4"/>
  <c r="O115" i="4"/>
  <c r="X114" i="4"/>
  <c r="W114" i="4"/>
  <c r="V114" i="4"/>
  <c r="R114" i="4"/>
  <c r="O114" i="4"/>
  <c r="X113" i="4"/>
  <c r="Y113" i="4" s="1"/>
  <c r="W113" i="4"/>
  <c r="V113" i="4"/>
  <c r="T113" i="4"/>
  <c r="AA113" i="4" s="1"/>
  <c r="R113" i="4"/>
  <c r="O113" i="4"/>
  <c r="X112" i="4"/>
  <c r="Y112" i="4" s="1"/>
  <c r="W112" i="4"/>
  <c r="V112" i="4"/>
  <c r="R112" i="4"/>
  <c r="O112" i="4"/>
  <c r="X111" i="4"/>
  <c r="Y111" i="4" s="1"/>
  <c r="W111" i="4"/>
  <c r="V111" i="4"/>
  <c r="T111" i="4"/>
  <c r="AA111" i="4" s="1"/>
  <c r="R111" i="4"/>
  <c r="O111" i="4"/>
  <c r="X110" i="4"/>
  <c r="Y110" i="4" s="1"/>
  <c r="W110" i="4"/>
  <c r="V110" i="4"/>
  <c r="R110" i="4"/>
  <c r="O110" i="4"/>
  <c r="X109" i="4"/>
  <c r="Y109" i="4" s="1"/>
  <c r="W109" i="4"/>
  <c r="V109" i="4"/>
  <c r="R109" i="4"/>
  <c r="O109" i="4"/>
  <c r="X108" i="4"/>
  <c r="Y108" i="4" s="1"/>
  <c r="W108" i="4"/>
  <c r="V108" i="4"/>
  <c r="R108" i="4"/>
  <c r="O108" i="4"/>
  <c r="X107" i="4"/>
  <c r="Y107" i="4" s="1"/>
  <c r="W107" i="4"/>
  <c r="V107" i="4"/>
  <c r="R107" i="4"/>
  <c r="O107" i="4"/>
  <c r="X106" i="4"/>
  <c r="Y106" i="4" s="1"/>
  <c r="W106" i="4"/>
  <c r="V106" i="4"/>
  <c r="R106" i="4"/>
  <c r="O106" i="4"/>
  <c r="X105" i="4"/>
  <c r="Y105" i="4" s="1"/>
  <c r="W105" i="4"/>
  <c r="V105" i="4"/>
  <c r="R105" i="4"/>
  <c r="O105" i="4"/>
  <c r="X104" i="4"/>
  <c r="Y104" i="4" s="1"/>
  <c r="W104" i="4"/>
  <c r="V104" i="4"/>
  <c r="R104" i="4"/>
  <c r="O104" i="4"/>
  <c r="X103" i="4"/>
  <c r="Y103" i="4" s="1"/>
  <c r="W103" i="4"/>
  <c r="V103" i="4"/>
  <c r="R103" i="4"/>
  <c r="O103" i="4"/>
  <c r="X102" i="4"/>
  <c r="Y102" i="4" s="1"/>
  <c r="W102" i="4"/>
  <c r="V102" i="4"/>
  <c r="R102" i="4"/>
  <c r="O102" i="4"/>
  <c r="X101" i="4"/>
  <c r="Y101" i="4" s="1"/>
  <c r="W101" i="4"/>
  <c r="V101" i="4"/>
  <c r="R101" i="4"/>
  <c r="O101" i="4"/>
  <c r="X100" i="4"/>
  <c r="Y100" i="4" s="1"/>
  <c r="W100" i="4"/>
  <c r="V100" i="4"/>
  <c r="R100" i="4"/>
  <c r="O100" i="4"/>
  <c r="X99" i="4"/>
  <c r="Y99" i="4" s="1"/>
  <c r="W99" i="4"/>
  <c r="V99" i="4"/>
  <c r="R99" i="4"/>
  <c r="O99" i="4"/>
  <c r="X98" i="4"/>
  <c r="Y98" i="4" s="1"/>
  <c r="W98" i="4"/>
  <c r="V98" i="4"/>
  <c r="R98" i="4"/>
  <c r="O98" i="4"/>
  <c r="X97" i="4"/>
  <c r="Y97" i="4" s="1"/>
  <c r="W97" i="4"/>
  <c r="V97" i="4"/>
  <c r="R97" i="4"/>
  <c r="O97" i="4"/>
  <c r="X96" i="4"/>
  <c r="Y96" i="4" s="1"/>
  <c r="W96" i="4"/>
  <c r="V96" i="4"/>
  <c r="T96" i="4"/>
  <c r="AA96" i="4" s="1"/>
  <c r="R96" i="4"/>
  <c r="O96" i="4"/>
  <c r="X95" i="4"/>
  <c r="Y95" i="4" s="1"/>
  <c r="W95" i="4"/>
  <c r="V95" i="4"/>
  <c r="T95" i="4"/>
  <c r="AA95" i="4" s="1"/>
  <c r="R95" i="4"/>
  <c r="O95" i="4"/>
  <c r="X94" i="4"/>
  <c r="Y94" i="4" s="1"/>
  <c r="W94" i="4"/>
  <c r="V94" i="4"/>
  <c r="T94" i="4"/>
  <c r="AA94" i="4" s="1"/>
  <c r="R94" i="4"/>
  <c r="O94" i="4"/>
  <c r="X93" i="4"/>
  <c r="Y93" i="4" s="1"/>
  <c r="W93" i="4"/>
  <c r="V93" i="4"/>
  <c r="T93" i="4"/>
  <c r="AA93" i="4" s="1"/>
  <c r="R93" i="4"/>
  <c r="O93" i="4"/>
  <c r="X92" i="4"/>
  <c r="Y92" i="4" s="1"/>
  <c r="W92" i="4"/>
  <c r="V92" i="4"/>
  <c r="T92" i="4"/>
  <c r="AA92" i="4" s="1"/>
  <c r="R92" i="4"/>
  <c r="O92" i="4"/>
  <c r="X91" i="4"/>
  <c r="Y91" i="4" s="1"/>
  <c r="W91" i="4"/>
  <c r="V91" i="4"/>
  <c r="T91" i="4"/>
  <c r="AA91" i="4" s="1"/>
  <c r="R91" i="4"/>
  <c r="O91" i="4"/>
  <c r="X90" i="4"/>
  <c r="Y90" i="4" s="1"/>
  <c r="W90" i="4"/>
  <c r="V90" i="4"/>
  <c r="T90" i="4"/>
  <c r="AA90" i="4" s="1"/>
  <c r="R90" i="4"/>
  <c r="O90" i="4"/>
  <c r="X89" i="4"/>
  <c r="W89" i="4"/>
  <c r="V89" i="4"/>
  <c r="R89" i="4"/>
  <c r="O89" i="4"/>
  <c r="X88" i="4"/>
  <c r="W88" i="4"/>
  <c r="V88" i="4"/>
  <c r="R88" i="4"/>
  <c r="O88" i="4"/>
  <c r="X87" i="4"/>
  <c r="W87" i="4"/>
  <c r="V87" i="4"/>
  <c r="R87" i="4"/>
  <c r="O87" i="4"/>
  <c r="X86" i="4"/>
  <c r="W86" i="4"/>
  <c r="V86" i="4"/>
  <c r="R86" i="4"/>
  <c r="O86" i="4"/>
  <c r="X85" i="4"/>
  <c r="W85" i="4"/>
  <c r="V85" i="4"/>
  <c r="R85" i="4"/>
  <c r="O85" i="4"/>
  <c r="X84" i="4"/>
  <c r="Y84" i="4" s="1"/>
  <c r="W84" i="4"/>
  <c r="V84" i="4"/>
  <c r="T84" i="4"/>
  <c r="AA84" i="4" s="1"/>
  <c r="R84" i="4"/>
  <c r="O84" i="4"/>
  <c r="X83" i="4"/>
  <c r="Y83" i="4" s="1"/>
  <c r="W83" i="4"/>
  <c r="V83" i="4"/>
  <c r="T83" i="4"/>
  <c r="AA83" i="4" s="1"/>
  <c r="R83" i="4"/>
  <c r="O83" i="4"/>
  <c r="X82" i="4"/>
  <c r="W82" i="4"/>
  <c r="V82" i="4"/>
  <c r="R82" i="4"/>
  <c r="O82" i="4"/>
  <c r="X81" i="4"/>
  <c r="W81" i="4"/>
  <c r="V81" i="4"/>
  <c r="R81" i="4"/>
  <c r="O81" i="4"/>
  <c r="X80" i="4"/>
  <c r="W80" i="4"/>
  <c r="V80" i="4"/>
  <c r="R80" i="4"/>
  <c r="O80" i="4"/>
  <c r="X79" i="4"/>
  <c r="W79" i="4"/>
  <c r="V79" i="4"/>
  <c r="R79" i="4"/>
  <c r="O79" i="4"/>
  <c r="X78" i="4"/>
  <c r="W78" i="4"/>
  <c r="V78" i="4"/>
  <c r="R78" i="4"/>
  <c r="O78" i="4"/>
  <c r="X77" i="4"/>
  <c r="W77" i="4"/>
  <c r="V77" i="4"/>
  <c r="R77" i="4"/>
  <c r="O77" i="4"/>
  <c r="X76" i="4"/>
  <c r="W76" i="4"/>
  <c r="V76" i="4"/>
  <c r="R76" i="4"/>
  <c r="O76" i="4"/>
  <c r="X75" i="4"/>
  <c r="Y75" i="4" s="1"/>
  <c r="W75" i="4"/>
  <c r="V75" i="4"/>
  <c r="T75" i="4"/>
  <c r="AA75" i="4" s="1"/>
  <c r="R75" i="4"/>
  <c r="O75" i="4"/>
  <c r="X74" i="4"/>
  <c r="Y74" i="4" s="1"/>
  <c r="W74" i="4"/>
  <c r="V74" i="4"/>
  <c r="R74" i="4"/>
  <c r="O74" i="4"/>
  <c r="X73" i="4"/>
  <c r="Y73" i="4" s="1"/>
  <c r="W73" i="4"/>
  <c r="V73" i="4"/>
  <c r="R73" i="4"/>
  <c r="O73" i="4"/>
  <c r="X72" i="4"/>
  <c r="W72" i="4"/>
  <c r="V72" i="4"/>
  <c r="R72" i="4"/>
  <c r="O72" i="4"/>
  <c r="X71" i="4"/>
  <c r="W71" i="4"/>
  <c r="V71" i="4"/>
  <c r="R71" i="4"/>
  <c r="O71" i="4"/>
  <c r="X70" i="4"/>
  <c r="Y70" i="4" s="1"/>
  <c r="W70" i="4"/>
  <c r="V70" i="4"/>
  <c r="R70" i="4"/>
  <c r="O70" i="4"/>
  <c r="X69" i="4"/>
  <c r="Y69" i="4" s="1"/>
  <c r="W69" i="4"/>
  <c r="V69" i="4"/>
  <c r="R69" i="4"/>
  <c r="O69" i="4"/>
  <c r="X68" i="4"/>
  <c r="W68" i="4"/>
  <c r="V68" i="4"/>
  <c r="R68" i="4"/>
  <c r="O68" i="4"/>
  <c r="X67" i="4"/>
  <c r="W67" i="4"/>
  <c r="V67" i="4"/>
  <c r="R67" i="4"/>
  <c r="O67" i="4"/>
  <c r="X66" i="4"/>
  <c r="W66" i="4"/>
  <c r="V66" i="4"/>
  <c r="R66" i="4"/>
  <c r="O66" i="4"/>
  <c r="X158" i="4"/>
  <c r="Y158" i="4" s="1"/>
  <c r="W158" i="4"/>
  <c r="R158" i="4"/>
  <c r="O158" i="4"/>
  <c r="X65" i="4"/>
  <c r="W65" i="4"/>
  <c r="V65" i="4"/>
  <c r="R65" i="4"/>
  <c r="O65" i="4"/>
  <c r="X64" i="4"/>
  <c r="Y64" i="4" s="1"/>
  <c r="W64" i="4"/>
  <c r="V64" i="4"/>
  <c r="T64" i="4"/>
  <c r="AA64" i="4" s="1"/>
  <c r="R64" i="4"/>
  <c r="O64" i="4"/>
  <c r="X63" i="4"/>
  <c r="W63" i="4"/>
  <c r="V63" i="4"/>
  <c r="R63" i="4"/>
  <c r="O63" i="4"/>
  <c r="X62" i="4"/>
  <c r="Y62" i="4" s="1"/>
  <c r="W62" i="4"/>
  <c r="V62" i="4"/>
  <c r="R62" i="4"/>
  <c r="O62" i="4"/>
  <c r="X61" i="4"/>
  <c r="W61" i="4"/>
  <c r="V61" i="4"/>
  <c r="R61" i="4"/>
  <c r="O61" i="4"/>
  <c r="X60" i="4"/>
  <c r="W60" i="4"/>
  <c r="V60" i="4"/>
  <c r="R60" i="4"/>
  <c r="O60" i="4"/>
  <c r="X59" i="4"/>
  <c r="W59" i="4"/>
  <c r="V59" i="4"/>
  <c r="R59" i="4"/>
  <c r="O59" i="4"/>
  <c r="X58" i="4"/>
  <c r="W58" i="4"/>
  <c r="V58" i="4"/>
  <c r="R58" i="4"/>
  <c r="O58" i="4"/>
  <c r="X57" i="4"/>
  <c r="W57" i="4"/>
  <c r="V57" i="4"/>
  <c r="R57" i="4"/>
  <c r="O57" i="4"/>
  <c r="X56" i="4"/>
  <c r="W56" i="4"/>
  <c r="V56" i="4"/>
  <c r="R56" i="4"/>
  <c r="O56" i="4"/>
  <c r="X55" i="4"/>
  <c r="W55" i="4"/>
  <c r="V55" i="4"/>
  <c r="R55" i="4"/>
  <c r="O55" i="4"/>
  <c r="X54" i="4"/>
  <c r="W54" i="4"/>
  <c r="V54" i="4"/>
  <c r="R54" i="4"/>
  <c r="O54" i="4"/>
  <c r="X53" i="4"/>
  <c r="W53" i="4"/>
  <c r="V53" i="4"/>
  <c r="R53" i="4"/>
  <c r="O53" i="4"/>
  <c r="X52" i="4"/>
  <c r="W52" i="4"/>
  <c r="V52" i="4"/>
  <c r="R52" i="4"/>
  <c r="O52" i="4"/>
  <c r="X51" i="4"/>
  <c r="W51" i="4"/>
  <c r="V51" i="4"/>
  <c r="R51" i="4"/>
  <c r="O51" i="4"/>
  <c r="X50" i="4"/>
  <c r="Y50" i="4" s="1"/>
  <c r="W50" i="4"/>
  <c r="V50" i="4"/>
  <c r="R50" i="4"/>
  <c r="O50" i="4"/>
  <c r="X49" i="4"/>
  <c r="W49" i="4"/>
  <c r="V49" i="4"/>
  <c r="R49" i="4"/>
  <c r="O49" i="4"/>
  <c r="X48" i="4"/>
  <c r="W48" i="4"/>
  <c r="V48" i="4"/>
  <c r="R48" i="4"/>
  <c r="O48" i="4"/>
  <c r="X47" i="4"/>
  <c r="W47" i="4"/>
  <c r="V47" i="4"/>
  <c r="R47" i="4"/>
  <c r="O47" i="4"/>
  <c r="X46" i="4"/>
  <c r="W46" i="4"/>
  <c r="V46" i="4"/>
  <c r="R46" i="4"/>
  <c r="O46" i="4"/>
  <c r="X45" i="4"/>
  <c r="Y45" i="4" s="1"/>
  <c r="W45" i="4"/>
  <c r="V45" i="4"/>
  <c r="R45" i="4"/>
  <c r="O45" i="4"/>
  <c r="X44" i="4"/>
  <c r="W44" i="4"/>
  <c r="V44" i="4"/>
  <c r="R44" i="4"/>
  <c r="O44" i="4"/>
  <c r="X43" i="4"/>
  <c r="W43" i="4"/>
  <c r="V43" i="4"/>
  <c r="R43" i="4"/>
  <c r="O43" i="4"/>
  <c r="X42" i="4"/>
  <c r="W42" i="4"/>
  <c r="V42" i="4"/>
  <c r="R42" i="4"/>
  <c r="O42" i="4"/>
  <c r="X41" i="4"/>
  <c r="W41" i="4"/>
  <c r="V41" i="4"/>
  <c r="R41" i="4"/>
  <c r="O41" i="4"/>
  <c r="X40" i="4"/>
  <c r="Y40" i="4" s="1"/>
  <c r="W40" i="4"/>
  <c r="V40" i="4"/>
  <c r="T40" i="4"/>
  <c r="AA40" i="4" s="1"/>
  <c r="R40" i="4"/>
  <c r="O40" i="4"/>
  <c r="X39" i="4"/>
  <c r="W39" i="4"/>
  <c r="V39" i="4"/>
  <c r="R39" i="4"/>
  <c r="O39" i="4"/>
  <c r="X38" i="4"/>
  <c r="W38" i="4"/>
  <c r="V38" i="4"/>
  <c r="R38" i="4"/>
  <c r="O38" i="4"/>
  <c r="X37" i="4"/>
  <c r="W37" i="4"/>
  <c r="V37" i="4"/>
  <c r="R37" i="4"/>
  <c r="O37" i="4"/>
  <c r="X36" i="4"/>
  <c r="Y36" i="4" s="1"/>
  <c r="W36" i="4"/>
  <c r="V36" i="4"/>
  <c r="R36" i="4"/>
  <c r="O36" i="4"/>
  <c r="X35" i="4"/>
  <c r="Y35" i="4" s="1"/>
  <c r="W35" i="4"/>
  <c r="V35" i="4"/>
  <c r="T35" i="4"/>
  <c r="AA35" i="4" s="1"/>
  <c r="R35" i="4"/>
  <c r="O35" i="4"/>
  <c r="X34" i="4"/>
  <c r="W34" i="4"/>
  <c r="V34" i="4"/>
  <c r="R34" i="4"/>
  <c r="O34" i="4"/>
  <c r="X33" i="4"/>
  <c r="W33" i="4"/>
  <c r="V33" i="4"/>
  <c r="R33" i="4"/>
  <c r="O33" i="4"/>
  <c r="X32" i="4"/>
  <c r="Y32" i="4" s="1"/>
  <c r="W32" i="4"/>
  <c r="V32" i="4"/>
  <c r="R32" i="4"/>
  <c r="O32" i="4"/>
  <c r="X31" i="4"/>
  <c r="Y31" i="4" s="1"/>
  <c r="W31" i="4"/>
  <c r="V31" i="4"/>
  <c r="R31" i="4"/>
  <c r="O31" i="4"/>
  <c r="X30" i="4"/>
  <c r="Y30" i="4" s="1"/>
  <c r="W30" i="4"/>
  <c r="V30" i="4"/>
  <c r="R30" i="4"/>
  <c r="O30" i="4"/>
  <c r="X29" i="4"/>
  <c r="Y29" i="4" s="1"/>
  <c r="W29" i="4"/>
  <c r="V29" i="4"/>
  <c r="R29" i="4"/>
  <c r="O29" i="4"/>
  <c r="X28" i="4"/>
  <c r="Y28" i="4" s="1"/>
  <c r="W28" i="4"/>
  <c r="V28" i="4"/>
  <c r="R28" i="4"/>
  <c r="O28" i="4"/>
  <c r="X27" i="4"/>
  <c r="Y27" i="4" s="1"/>
  <c r="W27" i="4"/>
  <c r="V27" i="4"/>
  <c r="R27" i="4"/>
  <c r="O27" i="4"/>
  <c r="X26" i="4"/>
  <c r="Y26" i="4" s="1"/>
  <c r="W26" i="4"/>
  <c r="V26" i="4"/>
  <c r="R26" i="4"/>
  <c r="O26" i="4"/>
  <c r="X25" i="4"/>
  <c r="Y25" i="4" s="1"/>
  <c r="W25" i="4"/>
  <c r="V25" i="4"/>
  <c r="R25" i="4"/>
  <c r="O25" i="4"/>
  <c r="X24" i="4"/>
  <c r="Y24" i="4" s="1"/>
  <c r="W24" i="4"/>
  <c r="V24" i="4"/>
  <c r="R24" i="4"/>
  <c r="O24" i="4"/>
  <c r="X23" i="4"/>
  <c r="Y23" i="4" s="1"/>
  <c r="W23" i="4"/>
  <c r="V23" i="4"/>
  <c r="R23" i="4"/>
  <c r="O23" i="4"/>
  <c r="X22" i="4"/>
  <c r="W22" i="4"/>
  <c r="V22" i="4"/>
  <c r="R22" i="4"/>
  <c r="O22" i="4"/>
  <c r="X21" i="4"/>
  <c r="W21" i="4"/>
  <c r="V21" i="4"/>
  <c r="R21" i="4"/>
  <c r="O21" i="4"/>
  <c r="X20" i="4"/>
  <c r="W20" i="4"/>
  <c r="V20" i="4"/>
  <c r="R20" i="4"/>
  <c r="O20" i="4"/>
  <c r="X19" i="4"/>
  <c r="Y19" i="4" s="1"/>
  <c r="W19" i="4"/>
  <c r="V19" i="4"/>
  <c r="R19" i="4"/>
  <c r="O19" i="4"/>
  <c r="X18" i="4"/>
  <c r="W18" i="4"/>
  <c r="V18" i="4"/>
  <c r="R18" i="4"/>
  <c r="O18" i="4"/>
  <c r="X17" i="4"/>
  <c r="W17" i="4"/>
  <c r="V17" i="4"/>
  <c r="R17" i="4"/>
  <c r="O17" i="4"/>
  <c r="X16" i="4"/>
  <c r="W16" i="4"/>
  <c r="V16" i="4"/>
  <c r="R16" i="4"/>
  <c r="O16" i="4"/>
  <c r="X15" i="4"/>
  <c r="W15" i="4"/>
  <c r="V15" i="4"/>
  <c r="R15" i="4"/>
  <c r="O15" i="4"/>
  <c r="X14" i="4"/>
  <c r="W14" i="4"/>
  <c r="V14" i="4"/>
  <c r="R14" i="4"/>
  <c r="O14" i="4"/>
  <c r="X13" i="4"/>
  <c r="W13" i="4"/>
  <c r="V13" i="4"/>
  <c r="R13" i="4"/>
  <c r="O13" i="4"/>
  <c r="X12" i="4"/>
  <c r="W12" i="4"/>
  <c r="V12" i="4"/>
  <c r="R12" i="4"/>
  <c r="O12" i="4"/>
  <c r="X11" i="4"/>
  <c r="W11" i="4"/>
  <c r="V11" i="4"/>
  <c r="R11" i="4"/>
  <c r="O11" i="4"/>
  <c r="X10" i="4"/>
  <c r="W10" i="4"/>
  <c r="V10" i="4"/>
  <c r="R10" i="4"/>
  <c r="O10" i="4"/>
  <c r="X9" i="4"/>
  <c r="W9" i="4"/>
  <c r="V9" i="4"/>
  <c r="R9" i="4"/>
  <c r="O9" i="4"/>
  <c r="X8" i="4"/>
  <c r="W8" i="4"/>
  <c r="V8" i="4"/>
  <c r="R8" i="4"/>
  <c r="O8" i="4"/>
  <c r="X7" i="4"/>
  <c r="W7" i="4"/>
  <c r="V7" i="4"/>
  <c r="R7" i="4"/>
  <c r="O7" i="4"/>
  <c r="X6" i="4"/>
  <c r="W6" i="4"/>
  <c r="V6" i="4"/>
  <c r="R6" i="4"/>
  <c r="O6" i="4"/>
  <c r="X5" i="4"/>
  <c r="W5" i="4"/>
  <c r="V5" i="4"/>
  <c r="R5" i="4"/>
  <c r="O5" i="4"/>
  <c r="X4" i="4"/>
  <c r="W4" i="4"/>
  <c r="V4" i="4"/>
  <c r="R4" i="4"/>
  <c r="O4" i="4"/>
  <c r="X3" i="4"/>
  <c r="W3" i="4"/>
  <c r="V3" i="4"/>
  <c r="R3" i="4"/>
  <c r="O3" i="4"/>
  <c r="X2" i="4"/>
  <c r="Y2" i="4" s="1"/>
  <c r="W2" i="4"/>
  <c r="V2" i="4"/>
  <c r="R2" i="4"/>
  <c r="O2" i="4"/>
  <c r="T441" i="4" l="1"/>
  <c r="AA441" i="4" s="1"/>
  <c r="T344" i="4"/>
  <c r="AA344" i="4" s="1"/>
  <c r="Y344" i="4"/>
  <c r="T408" i="4"/>
  <c r="AA408" i="4" s="1"/>
  <c r="Y408" i="4"/>
  <c r="Y372" i="4"/>
  <c r="T372" i="4"/>
  <c r="AA372" i="4" s="1"/>
  <c r="T356" i="4"/>
  <c r="AA356" i="4" s="1"/>
  <c r="T461" i="4"/>
  <c r="AA461" i="4" s="1"/>
  <c r="T448" i="4"/>
  <c r="AA448" i="4" s="1"/>
  <c r="Y291" i="4"/>
  <c r="T291" i="4"/>
  <c r="AA291" i="4" s="1"/>
  <c r="T287" i="4"/>
  <c r="AA287" i="4" s="1"/>
  <c r="T437" i="4"/>
  <c r="AA437" i="4" s="1"/>
  <c r="Y437" i="4"/>
  <c r="T350" i="4"/>
  <c r="AA350" i="4" s="1"/>
  <c r="T430" i="4"/>
  <c r="AA430" i="4" s="1"/>
  <c r="Y415" i="4"/>
  <c r="T273" i="4"/>
  <c r="AA273" i="4" s="1"/>
  <c r="Y287" i="4"/>
  <c r="T415" i="4"/>
  <c r="AA415" i="4" s="1"/>
  <c r="T444" i="4"/>
  <c r="AA444" i="4" s="1"/>
  <c r="Y423" i="4"/>
  <c r="T464" i="4"/>
  <c r="AA464" i="4" s="1"/>
  <c r="T423" i="4"/>
  <c r="AA423" i="4" s="1"/>
  <c r="T439" i="4"/>
  <c r="AA439" i="4" s="1"/>
  <c r="T462" i="4"/>
  <c r="AA462" i="4" s="1"/>
  <c r="Y464" i="4"/>
  <c r="Y462" i="4"/>
  <c r="Y439" i="4"/>
  <c r="T440" i="4"/>
  <c r="AA440" i="4" s="1"/>
  <c r="Y445" i="4"/>
  <c r="T409" i="4"/>
  <c r="AA409" i="4" s="1"/>
  <c r="T407" i="4"/>
  <c r="AA407" i="4" s="1"/>
  <c r="Y407" i="4"/>
  <c r="T445" i="4"/>
  <c r="AA445" i="4" s="1"/>
  <c r="T427" i="4"/>
  <c r="AA427" i="4" s="1"/>
  <c r="T371" i="4"/>
  <c r="AA371" i="4" s="1"/>
  <c r="Y371" i="4"/>
  <c r="Y427" i="4"/>
  <c r="Y457" i="4"/>
  <c r="T410" i="4"/>
  <c r="AA410" i="4" s="1"/>
  <c r="Y410" i="4"/>
  <c r="Y420" i="4"/>
  <c r="Y449" i="4"/>
  <c r="Y447" i="4"/>
  <c r="T420" i="4"/>
  <c r="AA420" i="4" s="1"/>
  <c r="T449" i="4"/>
  <c r="AA449" i="4" s="1"/>
  <c r="Y458" i="4"/>
  <c r="T447" i="4"/>
  <c r="AA447" i="4" s="1"/>
  <c r="T457" i="4"/>
  <c r="AA457" i="4" s="1"/>
  <c r="Y429" i="4"/>
  <c r="T456" i="4"/>
  <c r="AA456" i="4" s="1"/>
  <c r="Y456" i="4"/>
  <c r="T429" i="4"/>
  <c r="AA429" i="4" s="1"/>
  <c r="T458" i="4"/>
  <c r="AA458" i="4" s="1"/>
  <c r="T442" i="4"/>
  <c r="AA442" i="4" s="1"/>
  <c r="T432" i="4"/>
  <c r="AA432" i="4" s="1"/>
  <c r="Y417" i="4"/>
  <c r="T424" i="4"/>
  <c r="AA424" i="4" s="1"/>
  <c r="Y432" i="4"/>
  <c r="T330" i="4"/>
  <c r="AA330" i="4" s="1"/>
  <c r="Y330" i="4"/>
  <c r="T421" i="4"/>
  <c r="AA421" i="4" s="1"/>
  <c r="Y421" i="4"/>
  <c r="T422" i="4"/>
  <c r="AA422" i="4" s="1"/>
  <c r="T412" i="4"/>
  <c r="AA412" i="4" s="1"/>
  <c r="Y412" i="4"/>
  <c r="T417" i="4"/>
  <c r="AA417" i="4" s="1"/>
  <c r="Y424" i="4"/>
  <c r="T418" i="4"/>
  <c r="AA418" i="4" s="1"/>
  <c r="T274" i="4"/>
  <c r="AA274" i="4" s="1"/>
  <c r="T391" i="4"/>
  <c r="AA391" i="4" s="1"/>
  <c r="T399" i="4"/>
  <c r="AA399" i="4" s="1"/>
  <c r="Y399" i="4"/>
  <c r="T401" i="4"/>
  <c r="AA401" i="4" s="1"/>
  <c r="T411" i="4"/>
  <c r="AA411" i="4" s="1"/>
  <c r="T390" i="4"/>
  <c r="AA390" i="4" s="1"/>
  <c r="T393" i="4"/>
  <c r="AA393" i="4" s="1"/>
  <c r="T348" i="4"/>
  <c r="AA348" i="4" s="1"/>
  <c r="T400" i="4"/>
  <c r="AA400" i="4" s="1"/>
  <c r="T241" i="4"/>
  <c r="AA241" i="4" s="1"/>
  <c r="T354" i="4"/>
  <c r="AA354" i="4" s="1"/>
  <c r="T382" i="4"/>
  <c r="AA382" i="4" s="1"/>
  <c r="T404" i="4"/>
  <c r="AA404" i="4" s="1"/>
  <c r="Y382" i="4"/>
  <c r="Y393" i="4"/>
  <c r="Y404" i="4"/>
  <c r="T351" i="4"/>
  <c r="AA351" i="4" s="1"/>
  <c r="Y400" i="4"/>
  <c r="Y401" i="4"/>
  <c r="T384" i="4"/>
  <c r="AA384" i="4" s="1"/>
  <c r="Y364" i="4"/>
  <c r="T392" i="4"/>
  <c r="AA392" i="4" s="1"/>
  <c r="Y265" i="4"/>
  <c r="T396" i="4"/>
  <c r="AA396" i="4" s="1"/>
  <c r="T394" i="4"/>
  <c r="AA394" i="4" s="1"/>
  <c r="Y384" i="4"/>
  <c r="T387" i="4"/>
  <c r="AA387" i="4" s="1"/>
  <c r="T352" i="4"/>
  <c r="AA352" i="4" s="1"/>
  <c r="T353" i="4"/>
  <c r="AA353" i="4" s="1"/>
  <c r="T357" i="4"/>
  <c r="AA357" i="4" s="1"/>
  <c r="T374" i="4"/>
  <c r="AA374" i="4" s="1"/>
  <c r="T386" i="4"/>
  <c r="AA386" i="4" s="1"/>
  <c r="Y394" i="4"/>
  <c r="Y392" i="4"/>
  <c r="Y387" i="4"/>
  <c r="T364" i="4"/>
  <c r="AA364" i="4" s="1"/>
  <c r="T252" i="4"/>
  <c r="AA252" i="4" s="1"/>
  <c r="T240" i="4"/>
  <c r="AA240" i="4" s="1"/>
  <c r="T82" i="4"/>
  <c r="AA82" i="4" s="1"/>
  <c r="T285" i="4"/>
  <c r="AA285" i="4" s="1"/>
  <c r="T294" i="4"/>
  <c r="AA294" i="4" s="1"/>
  <c r="Y223" i="4"/>
  <c r="T20" i="4"/>
  <c r="AA20" i="4" s="1"/>
  <c r="Y238" i="4"/>
  <c r="T335" i="4"/>
  <c r="AA335" i="4" s="1"/>
  <c r="T342" i="4"/>
  <c r="AA342" i="4" s="1"/>
  <c r="T30" i="4"/>
  <c r="AA30" i="4" s="1"/>
  <c r="Y53" i="4"/>
  <c r="T56" i="4"/>
  <c r="AA56" i="4" s="1"/>
  <c r="T264" i="4"/>
  <c r="AA264" i="4" s="1"/>
  <c r="Y306" i="4"/>
  <c r="T331" i="4"/>
  <c r="AA331" i="4" s="1"/>
  <c r="T362" i="4"/>
  <c r="AA362" i="4" s="1"/>
  <c r="T368" i="4"/>
  <c r="AA368" i="4" s="1"/>
  <c r="T41" i="4"/>
  <c r="AA41" i="4" s="1"/>
  <c r="Y244" i="4"/>
  <c r="T341" i="4"/>
  <c r="AA341" i="4" s="1"/>
  <c r="T317" i="4"/>
  <c r="AA317" i="4" s="1"/>
  <c r="Y376" i="4"/>
  <c r="T4" i="4"/>
  <c r="AA4" i="4" s="1"/>
  <c r="Y18" i="4"/>
  <c r="T158" i="4"/>
  <c r="AA158" i="4" s="1"/>
  <c r="Y4" i="4"/>
  <c r="T104" i="4"/>
  <c r="AA104" i="4" s="1"/>
  <c r="T118" i="4"/>
  <c r="AA118" i="4" s="1"/>
  <c r="Y215" i="4"/>
  <c r="T236" i="4"/>
  <c r="AA236" i="4" s="1"/>
  <c r="T276" i="4"/>
  <c r="AA276" i="4" s="1"/>
  <c r="Y46" i="4"/>
  <c r="T49" i="4"/>
  <c r="AA49" i="4" s="1"/>
  <c r="T67" i="4"/>
  <c r="AA67" i="4" s="1"/>
  <c r="T290" i="4"/>
  <c r="AA290" i="4" s="1"/>
  <c r="Y336" i="4"/>
  <c r="Y169" i="4"/>
  <c r="T214" i="4"/>
  <c r="AA214" i="4" s="1"/>
  <c r="T261" i="4"/>
  <c r="AA261" i="4" s="1"/>
  <c r="Y334" i="4"/>
  <c r="Y214" i="4"/>
  <c r="Y310" i="4"/>
  <c r="T385" i="4"/>
  <c r="AA385" i="4" s="1"/>
  <c r="T17" i="4"/>
  <c r="AA17" i="4" s="1"/>
  <c r="Y172" i="4"/>
  <c r="Y261" i="4"/>
  <c r="Y268" i="4"/>
  <c r="T296" i="4"/>
  <c r="AA296" i="4" s="1"/>
  <c r="Y328" i="4"/>
  <c r="T213" i="4"/>
  <c r="AA213" i="4" s="1"/>
  <c r="T19" i="4"/>
  <c r="AA19" i="4" s="1"/>
  <c r="T10" i="4"/>
  <c r="AA10" i="4" s="1"/>
  <c r="T73" i="4"/>
  <c r="AA73" i="4" s="1"/>
  <c r="T80" i="4"/>
  <c r="AA80" i="4" s="1"/>
  <c r="Y230" i="4"/>
  <c r="T265" i="4"/>
  <c r="AA265" i="4" s="1"/>
  <c r="T373" i="4"/>
  <c r="AA373" i="4" s="1"/>
  <c r="T223" i="4"/>
  <c r="AA223" i="4" s="1"/>
  <c r="T263" i="4"/>
  <c r="AA263" i="4" s="1"/>
  <c r="Y80" i="4"/>
  <c r="T110" i="4"/>
  <c r="AA110" i="4" s="1"/>
  <c r="T150" i="4"/>
  <c r="AA150" i="4" s="1"/>
  <c r="Y302" i="4"/>
  <c r="T6" i="4"/>
  <c r="AA6" i="4" s="1"/>
  <c r="T51" i="4"/>
  <c r="AA51" i="4" s="1"/>
  <c r="T63" i="4"/>
  <c r="AA63" i="4" s="1"/>
  <c r="T76" i="4"/>
  <c r="AA76" i="4" s="1"/>
  <c r="Y87" i="4"/>
  <c r="T133" i="4"/>
  <c r="AA133" i="4" s="1"/>
  <c r="T142" i="4"/>
  <c r="AA142" i="4" s="1"/>
  <c r="T187" i="4"/>
  <c r="AA187" i="4" s="1"/>
  <c r="T227" i="4"/>
  <c r="AA227" i="4" s="1"/>
  <c r="T327" i="4"/>
  <c r="AA327" i="4" s="1"/>
  <c r="T338" i="4"/>
  <c r="AA338" i="4" s="1"/>
  <c r="Y128" i="4"/>
  <c r="T299" i="4"/>
  <c r="AA299" i="4" s="1"/>
  <c r="T54" i="4"/>
  <c r="AA54" i="4" s="1"/>
  <c r="Y63" i="4"/>
  <c r="T106" i="4"/>
  <c r="AA106" i="4" s="1"/>
  <c r="Y119" i="4"/>
  <c r="T332" i="4"/>
  <c r="AA332" i="4" s="1"/>
  <c r="T321" i="4"/>
  <c r="AA321" i="4" s="1"/>
  <c r="Y140" i="4"/>
  <c r="T169" i="4"/>
  <c r="AA169" i="4" s="1"/>
  <c r="T181" i="4"/>
  <c r="AA181" i="4" s="1"/>
  <c r="T211" i="4"/>
  <c r="AA211" i="4" s="1"/>
  <c r="T293" i="4"/>
  <c r="AA293" i="4" s="1"/>
  <c r="Y299" i="4"/>
  <c r="T378" i="4"/>
  <c r="AA378" i="4" s="1"/>
  <c r="Y9" i="4"/>
  <c r="T45" i="4"/>
  <c r="AA45" i="4" s="1"/>
  <c r="Y79" i="4"/>
  <c r="T109" i="4"/>
  <c r="AA109" i="4" s="1"/>
  <c r="T134" i="4"/>
  <c r="AA134" i="4" s="1"/>
  <c r="Y138" i="4"/>
  <c r="T260" i="4"/>
  <c r="AA260" i="4" s="1"/>
  <c r="Y264" i="4"/>
  <c r="T267" i="4"/>
  <c r="AA267" i="4" s="1"/>
  <c r="Y312" i="4"/>
  <c r="Y332" i="4"/>
  <c r="Y86" i="4"/>
  <c r="T177" i="4"/>
  <c r="AA177" i="4" s="1"/>
  <c r="Y51" i="4"/>
  <c r="T72" i="4"/>
  <c r="AA72" i="4" s="1"/>
  <c r="Y137" i="4"/>
  <c r="T5" i="4"/>
  <c r="AA5" i="4" s="1"/>
  <c r="Y21" i="4"/>
  <c r="Y33" i="4"/>
  <c r="Y59" i="4"/>
  <c r="T68" i="4"/>
  <c r="AA68" i="4" s="1"/>
  <c r="T120" i="4"/>
  <c r="AA120" i="4" s="1"/>
  <c r="T127" i="4"/>
  <c r="AA127" i="4" s="1"/>
  <c r="T201" i="4"/>
  <c r="AA201" i="4" s="1"/>
  <c r="Y208" i="4"/>
  <c r="Y221" i="4"/>
  <c r="T224" i="4"/>
  <c r="AA224" i="4" s="1"/>
  <c r="T258" i="4"/>
  <c r="AA258" i="4" s="1"/>
  <c r="T278" i="4"/>
  <c r="AA278" i="4" s="1"/>
  <c r="Y316" i="4"/>
  <c r="Y342" i="4"/>
  <c r="T359" i="4"/>
  <c r="AA359" i="4" s="1"/>
  <c r="Y373" i="4"/>
  <c r="Y57" i="4"/>
  <c r="T15" i="4"/>
  <c r="AA15" i="4" s="1"/>
  <c r="T34" i="4"/>
  <c r="AA34" i="4" s="1"/>
  <c r="T53" i="4"/>
  <c r="AA53" i="4" s="1"/>
  <c r="Y68" i="4"/>
  <c r="T71" i="4"/>
  <c r="AA71" i="4" s="1"/>
  <c r="T100" i="4"/>
  <c r="AA100" i="4" s="1"/>
  <c r="T107" i="4"/>
  <c r="AA107" i="4" s="1"/>
  <c r="T139" i="4"/>
  <c r="AA139" i="4" s="1"/>
  <c r="T147" i="4"/>
  <c r="AA147" i="4" s="1"/>
  <c r="Y160" i="4"/>
  <c r="T195" i="4"/>
  <c r="AA195" i="4" s="1"/>
  <c r="Y213" i="4"/>
  <c r="T244" i="4"/>
  <c r="AA244" i="4" s="1"/>
  <c r="Y258" i="4"/>
  <c r="T377" i="4"/>
  <c r="AA377" i="4" s="1"/>
  <c r="Y17" i="4"/>
  <c r="T32" i="4"/>
  <c r="AA32" i="4" s="1"/>
  <c r="Y89" i="4"/>
  <c r="T182" i="4"/>
  <c r="AA182" i="4" s="1"/>
  <c r="T204" i="4"/>
  <c r="AA204" i="4" s="1"/>
  <c r="T216" i="4"/>
  <c r="AA216" i="4" s="1"/>
  <c r="Y224" i="4"/>
  <c r="T281" i="4"/>
  <c r="AA281" i="4" s="1"/>
  <c r="T302" i="4"/>
  <c r="AA302" i="4" s="1"/>
  <c r="T315" i="4"/>
  <c r="AA315" i="4" s="1"/>
  <c r="T347" i="4"/>
  <c r="AA347" i="4" s="1"/>
  <c r="Y361" i="4"/>
  <c r="T60" i="4"/>
  <c r="AA60" i="4" s="1"/>
  <c r="T186" i="4"/>
  <c r="AA186" i="4" s="1"/>
  <c r="T256" i="4"/>
  <c r="AA256" i="4" s="1"/>
  <c r="Y125" i="4"/>
  <c r="T168" i="4"/>
  <c r="AA168" i="4" s="1"/>
  <c r="T225" i="4"/>
  <c r="AA225" i="4" s="1"/>
  <c r="T279" i="4"/>
  <c r="AA279" i="4" s="1"/>
  <c r="Y377" i="4"/>
  <c r="Y38" i="4"/>
  <c r="T16" i="4"/>
  <c r="AA16" i="4" s="1"/>
  <c r="T23" i="4"/>
  <c r="AA23" i="4" s="1"/>
  <c r="T159" i="4"/>
  <c r="AA159" i="4" s="1"/>
  <c r="T212" i="4"/>
  <c r="AA212" i="4" s="1"/>
  <c r="T309" i="4"/>
  <c r="AA309" i="4" s="1"/>
  <c r="T324" i="4"/>
  <c r="AA324" i="4" s="1"/>
  <c r="T88" i="4"/>
  <c r="AA88" i="4" s="1"/>
  <c r="Y11" i="4"/>
  <c r="T33" i="4"/>
  <c r="AA33" i="4" s="1"/>
  <c r="Y37" i="4"/>
  <c r="T131" i="4"/>
  <c r="AA131" i="4" s="1"/>
  <c r="T171" i="4"/>
  <c r="AA171" i="4" s="1"/>
  <c r="T205" i="4"/>
  <c r="AA205" i="4" s="1"/>
  <c r="T221" i="4"/>
  <c r="AA221" i="4" s="1"/>
  <c r="T243" i="4"/>
  <c r="AA243" i="4" s="1"/>
  <c r="T247" i="4"/>
  <c r="AA247" i="4" s="1"/>
  <c r="T275" i="4"/>
  <c r="AA275" i="4" s="1"/>
  <c r="Y313" i="4"/>
  <c r="Y362" i="4"/>
  <c r="T2" i="4"/>
  <c r="AA2" i="4" s="1"/>
  <c r="T14" i="4"/>
  <c r="AA14" i="4" s="1"/>
  <c r="T26" i="4"/>
  <c r="AA26" i="4" s="1"/>
  <c r="Y42" i="4"/>
  <c r="Y61" i="4"/>
  <c r="Y67" i="4"/>
  <c r="Y72" i="4"/>
  <c r="T86" i="4"/>
  <c r="AA86" i="4" s="1"/>
  <c r="T99" i="4"/>
  <c r="AA99" i="4" s="1"/>
  <c r="T124" i="4"/>
  <c r="AA124" i="4" s="1"/>
  <c r="T146" i="4"/>
  <c r="AA146" i="4" s="1"/>
  <c r="T162" i="4"/>
  <c r="AA162" i="4" s="1"/>
  <c r="Y166" i="4"/>
  <c r="T176" i="4"/>
  <c r="AA176" i="4" s="1"/>
  <c r="T215" i="4"/>
  <c r="AA215" i="4" s="1"/>
  <c r="T329" i="4"/>
  <c r="AA329" i="4" s="1"/>
  <c r="T376" i="4"/>
  <c r="AA376" i="4" s="1"/>
  <c r="T306" i="4"/>
  <c r="AA306" i="4" s="1"/>
  <c r="T31" i="4"/>
  <c r="AA31" i="4" s="1"/>
  <c r="T38" i="4"/>
  <c r="AA38" i="4" s="1"/>
  <c r="T52" i="4"/>
  <c r="AA52" i="4" s="1"/>
  <c r="Y56" i="4"/>
  <c r="T59" i="4"/>
  <c r="AA59" i="4" s="1"/>
  <c r="Y65" i="4"/>
  <c r="Y82" i="4"/>
  <c r="T145" i="4"/>
  <c r="AA145" i="4" s="1"/>
  <c r="Y157" i="4"/>
  <c r="T165" i="4"/>
  <c r="AA165" i="4" s="1"/>
  <c r="T191" i="4"/>
  <c r="AA191" i="4" s="1"/>
  <c r="T193" i="4"/>
  <c r="AA193" i="4" s="1"/>
  <c r="T220" i="4"/>
  <c r="AA220" i="4" s="1"/>
  <c r="T313" i="4"/>
  <c r="AA313" i="4" s="1"/>
  <c r="T337" i="4"/>
  <c r="AA337" i="4" s="1"/>
  <c r="T355" i="4"/>
  <c r="AA355" i="4" s="1"/>
  <c r="T361" i="4"/>
  <c r="AA361" i="4" s="1"/>
  <c r="Y370" i="4"/>
  <c r="T8" i="4"/>
  <c r="AA8" i="4" s="1"/>
  <c r="Y66" i="4"/>
  <c r="Y8" i="4"/>
  <c r="Y15" i="4"/>
  <c r="T18" i="4"/>
  <c r="AA18" i="4" s="1"/>
  <c r="T29" i="4"/>
  <c r="AA29" i="4" s="1"/>
  <c r="Y47" i="4"/>
  <c r="T50" i="4"/>
  <c r="AA50" i="4" s="1"/>
  <c r="T57" i="4"/>
  <c r="AA57" i="4" s="1"/>
  <c r="T85" i="4"/>
  <c r="AA85" i="4" s="1"/>
  <c r="T98" i="4"/>
  <c r="AA98" i="4" s="1"/>
  <c r="Y126" i="4"/>
  <c r="T140" i="4"/>
  <c r="AA140" i="4" s="1"/>
  <c r="Y145" i="4"/>
  <c r="T161" i="4"/>
  <c r="AA161" i="4" s="1"/>
  <c r="T170" i="4"/>
  <c r="AA170" i="4" s="1"/>
  <c r="Y174" i="4"/>
  <c r="T179" i="4"/>
  <c r="AA179" i="4" s="1"/>
  <c r="T183" i="4"/>
  <c r="AA183" i="4" s="1"/>
  <c r="T203" i="4"/>
  <c r="AA203" i="4" s="1"/>
  <c r="T208" i="4"/>
  <c r="AA208" i="4" s="1"/>
  <c r="Y240" i="4"/>
  <c r="T271" i="4"/>
  <c r="AA271" i="4" s="1"/>
  <c r="Y317" i="4"/>
  <c r="Y343" i="4"/>
  <c r="Y6" i="4"/>
  <c r="T9" i="4"/>
  <c r="AA9" i="4" s="1"/>
  <c r="Y22" i="4"/>
  <c r="T27" i="4"/>
  <c r="AA27" i="4" s="1"/>
  <c r="T39" i="4"/>
  <c r="AA39" i="4" s="1"/>
  <c r="T48" i="4"/>
  <c r="AA48" i="4" s="1"/>
  <c r="T62" i="4"/>
  <c r="AA62" i="4" s="1"/>
  <c r="T70" i="4"/>
  <c r="AA70" i="4" s="1"/>
  <c r="T103" i="4"/>
  <c r="AA103" i="4" s="1"/>
  <c r="T112" i="4"/>
  <c r="AA112" i="4" s="1"/>
  <c r="Y120" i="4"/>
  <c r="T125" i="4"/>
  <c r="AA125" i="4" s="1"/>
  <c r="T138" i="4"/>
  <c r="AA138" i="4" s="1"/>
  <c r="T154" i="4"/>
  <c r="AA154" i="4" s="1"/>
  <c r="T175" i="4"/>
  <c r="AA175" i="4" s="1"/>
  <c r="Y203" i="4"/>
  <c r="Y205" i="4"/>
  <c r="T249" i="4"/>
  <c r="AA249" i="4" s="1"/>
  <c r="Y256" i="4"/>
  <c r="Y309" i="4"/>
  <c r="T314" i="4"/>
  <c r="AA314" i="4" s="1"/>
  <c r="T316" i="4"/>
  <c r="AA316" i="4" s="1"/>
  <c r="Y327" i="4"/>
  <c r="Y331" i="4"/>
  <c r="Y44" i="4"/>
  <c r="T102" i="4"/>
  <c r="AA102" i="4" s="1"/>
  <c r="Y3" i="4"/>
  <c r="T47" i="4"/>
  <c r="AA47" i="4" s="1"/>
  <c r="T12" i="4"/>
  <c r="AA12" i="4" s="1"/>
  <c r="Y34" i="4"/>
  <c r="Y43" i="4"/>
  <c r="Y81" i="4"/>
  <c r="Y114" i="4"/>
  <c r="T121" i="4"/>
  <c r="AA121" i="4" s="1"/>
  <c r="T144" i="4"/>
  <c r="AA144" i="4" s="1"/>
  <c r="T151" i="4"/>
  <c r="AA151" i="4" s="1"/>
  <c r="T173" i="4"/>
  <c r="AA173" i="4" s="1"/>
  <c r="T192" i="4"/>
  <c r="AA192" i="4" s="1"/>
  <c r="T194" i="4"/>
  <c r="AA194" i="4" s="1"/>
  <c r="Y201" i="4"/>
  <c r="T230" i="4"/>
  <c r="AA230" i="4" s="1"/>
  <c r="T257" i="4"/>
  <c r="AA257" i="4" s="1"/>
  <c r="Y267" i="4"/>
  <c r="T272" i="4"/>
  <c r="AA272" i="4" s="1"/>
  <c r="T284" i="4"/>
  <c r="AA284" i="4" s="1"/>
  <c r="Y292" i="4"/>
  <c r="T308" i="4"/>
  <c r="AA308" i="4" s="1"/>
  <c r="T310" i="4"/>
  <c r="AA310" i="4" s="1"/>
  <c r="T312" i="4"/>
  <c r="AA312" i="4" s="1"/>
  <c r="T326" i="4"/>
  <c r="AA326" i="4" s="1"/>
  <c r="T328" i="4"/>
  <c r="AA328" i="4" s="1"/>
  <c r="T334" i="4"/>
  <c r="AA334" i="4" s="1"/>
  <c r="T336" i="4"/>
  <c r="AA336" i="4" s="1"/>
  <c r="T340" i="4"/>
  <c r="AA340" i="4" s="1"/>
  <c r="T358" i="4"/>
  <c r="AA358" i="4" s="1"/>
  <c r="T360" i="4"/>
  <c r="AA360" i="4" s="1"/>
  <c r="Y5" i="4"/>
  <c r="T174" i="4"/>
  <c r="AA174" i="4" s="1"/>
  <c r="Y14" i="4"/>
  <c r="T44" i="4"/>
  <c r="AA44" i="4" s="1"/>
  <c r="Y60" i="4"/>
  <c r="T97" i="4"/>
  <c r="AA97" i="4" s="1"/>
  <c r="T115" i="4"/>
  <c r="AA115" i="4" s="1"/>
  <c r="T119" i="4"/>
  <c r="AA119" i="4" s="1"/>
  <c r="T130" i="4"/>
  <c r="AA130" i="4" s="1"/>
  <c r="T149" i="4"/>
  <c r="AA149" i="4" s="1"/>
  <c r="T160" i="4"/>
  <c r="AA160" i="4" s="1"/>
  <c r="T184" i="4"/>
  <c r="AA184" i="4" s="1"/>
  <c r="T190" i="4"/>
  <c r="AA190" i="4" s="1"/>
  <c r="T200" i="4"/>
  <c r="AA200" i="4" s="1"/>
  <c r="T202" i="4"/>
  <c r="AA202" i="4" s="1"/>
  <c r="T228" i="4"/>
  <c r="AA228" i="4" s="1"/>
  <c r="T266" i="4"/>
  <c r="AA266" i="4" s="1"/>
  <c r="T268" i="4"/>
  <c r="AA268" i="4" s="1"/>
  <c r="T270" i="4"/>
  <c r="AA270" i="4" s="1"/>
  <c r="T280" i="4"/>
  <c r="AA280" i="4" s="1"/>
  <c r="T295" i="4"/>
  <c r="AA295" i="4" s="1"/>
  <c r="Y314" i="4"/>
  <c r="T126" i="4"/>
  <c r="AA126" i="4" s="1"/>
  <c r="T135" i="4"/>
  <c r="AA135" i="4" s="1"/>
  <c r="T167" i="4"/>
  <c r="AA167" i="4" s="1"/>
  <c r="Y58" i="4"/>
  <c r="T137" i="4"/>
  <c r="AA137" i="4" s="1"/>
  <c r="T242" i="4"/>
  <c r="AA242" i="4" s="1"/>
  <c r="Y10" i="4"/>
  <c r="Y12" i="4"/>
  <c r="T21" i="4"/>
  <c r="AA21" i="4" s="1"/>
  <c r="T42" i="4"/>
  <c r="AA42" i="4" s="1"/>
  <c r="Y48" i="4"/>
  <c r="T55" i="4"/>
  <c r="AA55" i="4" s="1"/>
  <c r="T77" i="4"/>
  <c r="AA77" i="4" s="1"/>
  <c r="Y85" i="4"/>
  <c r="T128" i="4"/>
  <c r="AA128" i="4" s="1"/>
  <c r="T132" i="4"/>
  <c r="AA132" i="4" s="1"/>
  <c r="Y144" i="4"/>
  <c r="Y146" i="4"/>
  <c r="T13" i="4"/>
  <c r="AA13" i="4" s="1"/>
  <c r="T25" i="4"/>
  <c r="AA25" i="4" s="1"/>
  <c r="T11" i="4"/>
  <c r="AA11" i="4" s="1"/>
  <c r="T3" i="4"/>
  <c r="AA3" i="4" s="1"/>
  <c r="T36" i="4"/>
  <c r="AA36" i="4" s="1"/>
  <c r="Y55" i="4"/>
  <c r="T69" i="4"/>
  <c r="AA69" i="4" s="1"/>
  <c r="Y77" i="4"/>
  <c r="T105" i="4"/>
  <c r="AA105" i="4" s="1"/>
  <c r="Y130" i="4"/>
  <c r="Y204" i="4"/>
  <c r="Y227" i="4"/>
  <c r="T238" i="4"/>
  <c r="AA238" i="4" s="1"/>
  <c r="Y263" i="4"/>
  <c r="T286" i="4"/>
  <c r="AA286" i="4" s="1"/>
  <c r="Y293" i="4"/>
  <c r="Y13" i="4"/>
  <c r="Y71" i="4"/>
  <c r="Y142" i="4"/>
  <c r="Y154" i="4"/>
  <c r="Y161" i="4"/>
  <c r="Y173" i="4"/>
  <c r="T196" i="4"/>
  <c r="AA196" i="4" s="1"/>
  <c r="T292" i="4"/>
  <c r="AA292" i="4" s="1"/>
  <c r="T370" i="4"/>
  <c r="AA370" i="4" s="1"/>
  <c r="Y378" i="4"/>
  <c r="T22" i="4"/>
  <c r="AA22" i="4" s="1"/>
  <c r="T28" i="4"/>
  <c r="AA28" i="4" s="1"/>
  <c r="T43" i="4"/>
  <c r="AA43" i="4" s="1"/>
  <c r="T74" i="4"/>
  <c r="AA74" i="4" s="1"/>
  <c r="Y88" i="4"/>
  <c r="T101" i="4"/>
  <c r="AA101" i="4" s="1"/>
  <c r="T129" i="4"/>
  <c r="AA129" i="4" s="1"/>
  <c r="Y165" i="4"/>
  <c r="Y179" i="4"/>
  <c r="Y236" i="4"/>
  <c r="T253" i="4"/>
  <c r="AA253" i="4" s="1"/>
  <c r="Y260" i="4"/>
  <c r="T277" i="4"/>
  <c r="AA277" i="4" s="1"/>
  <c r="T343" i="4"/>
  <c r="AA343" i="4" s="1"/>
  <c r="T78" i="4"/>
  <c r="AA78" i="4" s="1"/>
  <c r="Y7" i="4"/>
  <c r="T24" i="4"/>
  <c r="AA24" i="4" s="1"/>
  <c r="T37" i="4"/>
  <c r="AA37" i="4" s="1"/>
  <c r="Y78" i="4"/>
  <c r="T87" i="4"/>
  <c r="AA87" i="4" s="1"/>
  <c r="T89" i="4"/>
  <c r="AA89" i="4" s="1"/>
  <c r="T108" i="4"/>
  <c r="AA108" i="4" s="1"/>
  <c r="T114" i="4"/>
  <c r="AA114" i="4" s="1"/>
  <c r="T148" i="4"/>
  <c r="AA148" i="4" s="1"/>
  <c r="T153" i="4"/>
  <c r="AA153" i="4" s="1"/>
  <c r="T157" i="4"/>
  <c r="AA157" i="4" s="1"/>
  <c r="T164" i="4"/>
  <c r="AA164" i="4" s="1"/>
  <c r="T166" i="4"/>
  <c r="AA166" i="4" s="1"/>
  <c r="T172" i="4"/>
  <c r="AA172" i="4" s="1"/>
  <c r="T178" i="4"/>
  <c r="AA178" i="4" s="1"/>
  <c r="T259" i="4"/>
  <c r="AA259" i="4" s="1"/>
  <c r="T283" i="4"/>
  <c r="AA283" i="4" s="1"/>
  <c r="Y290" i="4"/>
  <c r="Y368" i="4"/>
  <c r="T7" i="4"/>
  <c r="AA7" i="4" s="1"/>
  <c r="T58" i="4"/>
  <c r="AA58" i="4" s="1"/>
  <c r="Y49" i="4"/>
  <c r="Y16" i="4"/>
  <c r="Y20" i="4"/>
  <c r="Y39" i="4"/>
  <c r="Y41" i="4"/>
  <c r="T46" i="4"/>
  <c r="AA46" i="4" s="1"/>
  <c r="Y52" i="4"/>
  <c r="Y54" i="4"/>
  <c r="T61" i="4"/>
  <c r="AA61" i="4" s="1"/>
  <c r="T65" i="4"/>
  <c r="AA65" i="4" s="1"/>
  <c r="T66" i="4"/>
  <c r="AA66" i="4" s="1"/>
  <c r="Y76" i="4"/>
  <c r="T79" i="4"/>
  <c r="AA79" i="4" s="1"/>
  <c r="T81" i="4"/>
  <c r="AA81" i="4" s="1"/>
  <c r="Y266" i="4"/>
  <c r="T289" i="4"/>
  <c r="AA289" i="4" s="1"/>
  <c r="Y296" i="4"/>
  <c r="T349" i="4"/>
  <c r="AA349"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9B222D-2DA0-482E-8EDE-31E55E1617ED}" keepAlive="1" name="Requête - LISTE_OR" description="Connexion à la requête « LISTE_OR » dans le classeur." type="5" refreshedVersion="8" background="1" saveData="1">
    <dbPr connection="Provider=Microsoft.Mashup.OleDb.1;Data Source=$Workbook$;Location=LISTE_OR;Extended Properties=&quot;&quot;" command="SELECT * FROM [LISTE_OR]"/>
  </connection>
  <connection id="2" xr16:uid="{BA9BEF26-B089-4543-991D-864863DF4FD9}" keepAlive="1" name="Requête - OR_Narrosse" description="Connexion à la requête « OR_Narrosse » dans le classeur." type="5" refreshedVersion="0" background="1">
    <dbPr connection="Provider=Microsoft.Mashup.OleDb.1;Data Source=$Workbook$;Location=OR_Narrosse;Extended Properties=&quot;&quot;" command="SELECT * FROM [OR_Narrosse]"/>
  </connection>
  <connection id="3" xr16:uid="{CE6D1D15-746D-4810-90B0-C122BD248978}" keepAlive="1" name="Requête - OR_Peyrehorade" description="Connexion à la requête « OR_Peyrehorade » dans le classeur." type="5" refreshedVersion="0" background="1">
    <dbPr connection="Provider=Microsoft.Mashup.OleDb.1;Data Source=$Workbook$;Location=OR_Peyrehorade;Extended Properties=&quot;&quot;" command="SELECT * FROM [OR_Peyrehorade]"/>
  </connection>
</connections>
</file>

<file path=xl/sharedStrings.xml><?xml version="1.0" encoding="utf-8"?>
<sst xmlns="http://schemas.openxmlformats.org/spreadsheetml/2006/main" count="28570" uniqueCount="2871">
  <si>
    <t>Etat</t>
  </si>
  <si>
    <t>FACTURABLE</t>
  </si>
  <si>
    <t>GARANTIE</t>
  </si>
  <si>
    <t>MAXI CARE</t>
  </si>
  <si>
    <t>CESSION</t>
  </si>
  <si>
    <t>OS</t>
  </si>
  <si>
    <t>ENTRETIEN PREVENTIF</t>
  </si>
  <si>
    <t>AVOIR</t>
  </si>
  <si>
    <t>MALFACON</t>
  </si>
  <si>
    <t>AFFAIRE COMMERCIALE</t>
  </si>
  <si>
    <t>SUPPRIMER</t>
  </si>
  <si>
    <t>CAMPA CARE</t>
  </si>
  <si>
    <t>LOCATION CLAAS</t>
  </si>
  <si>
    <t>GARANTIE OCCASION</t>
  </si>
  <si>
    <t>Etat_RG</t>
  </si>
  <si>
    <t>GARANTIE PIECES</t>
  </si>
  <si>
    <t>PARTICIPATION COMMERCIALE</t>
  </si>
  <si>
    <t>GARANTIE COMMERCIALE</t>
  </si>
  <si>
    <t>MOL</t>
  </si>
  <si>
    <t>SOL</t>
  </si>
  <si>
    <t>INCIDENT</t>
  </si>
  <si>
    <t>GARANTIE AMAZONE</t>
  </si>
  <si>
    <t>GARANTIE MASHIO</t>
  </si>
  <si>
    <t>MOL CLAAS LOCATION</t>
  </si>
  <si>
    <t>SOL CLAAS LOCATION</t>
  </si>
  <si>
    <t xml:space="preserve">CUMA DES 3 VILLAGES </t>
  </si>
  <si>
    <t>FAUCHEUSE</t>
  </si>
  <si>
    <t>CARDAN</t>
  </si>
  <si>
    <t>GARCIA JEREMY</t>
  </si>
  <si>
    <t>CERES</t>
  </si>
  <si>
    <t>POMPETTE</t>
  </si>
  <si>
    <t xml:space="preserve">LAMARQUE </t>
  </si>
  <si>
    <t>ARION 430</t>
  </si>
  <si>
    <t>CLIM+FREINS</t>
  </si>
  <si>
    <t>BERDOYES PATRICK</t>
  </si>
  <si>
    <t>COURROIE + GALETS</t>
  </si>
  <si>
    <t>BOSAGRI</t>
  </si>
  <si>
    <t>PANTERA 4504</t>
  </si>
  <si>
    <t>CAPTEUR ULTRA SON</t>
  </si>
  <si>
    <t>RAMPE</t>
  </si>
  <si>
    <t>GPS</t>
  </si>
  <si>
    <t>ADOUR MOTOCULTURE</t>
  </si>
  <si>
    <t xml:space="preserve">COMICE </t>
  </si>
  <si>
    <t>MUGRON</t>
  </si>
  <si>
    <t>GRAZIANNI GILLES</t>
  </si>
  <si>
    <t>ARION 630</t>
  </si>
  <si>
    <t>FUITE FIOUL</t>
  </si>
  <si>
    <t>AXION 930</t>
  </si>
  <si>
    <t>GRILLE CAPOT</t>
  </si>
  <si>
    <t>SCEA JOUANCERRE</t>
  </si>
  <si>
    <t>AXOS</t>
  </si>
  <si>
    <t>FLEXIBLE DIVISEUR</t>
  </si>
  <si>
    <t>DECHAUMEUR</t>
  </si>
  <si>
    <t>EFFACE TRACE</t>
  </si>
  <si>
    <t>SERVEAUX ALAIN</t>
  </si>
  <si>
    <t>CIRCUIT GASOIL</t>
  </si>
  <si>
    <t>MAIRIE DE TARTAS</t>
  </si>
  <si>
    <t>ARION 420 M</t>
  </si>
  <si>
    <t>REV 100H</t>
  </si>
  <si>
    <t>GPT VERSAILLE - BEAU SOLEIL</t>
  </si>
  <si>
    <t>155-54</t>
  </si>
  <si>
    <t>AILES AR</t>
  </si>
  <si>
    <t>BESSET PASCAL</t>
  </si>
  <si>
    <t>ARION 450</t>
  </si>
  <si>
    <t xml:space="preserve">PRISE DE FORCE </t>
  </si>
  <si>
    <t>EARL DE CAMPOT</t>
  </si>
  <si>
    <t>CELTIS 446</t>
  </si>
  <si>
    <t>ARBRE DE ROUE AVANT GAUCHE</t>
  </si>
  <si>
    <t>SCEA BERTOLASO</t>
  </si>
  <si>
    <t>DISKACROP EVO 500</t>
  </si>
  <si>
    <t>ECLAIRAGE</t>
  </si>
  <si>
    <t>COMMUNAUTE D'AGGLOMERATION GRAND DAX</t>
  </si>
  <si>
    <t>VITRE TOIT</t>
  </si>
  <si>
    <t>SCEA DE MONDENX</t>
  </si>
  <si>
    <t>LASSEGUE BAPTISTE</t>
  </si>
  <si>
    <t>ARION 650</t>
  </si>
  <si>
    <t>PVED - ORBITROL</t>
  </si>
  <si>
    <t>UF 2002</t>
  </si>
  <si>
    <t>AMATRON 4</t>
  </si>
  <si>
    <t>EARL DE LA PLAINE</t>
  </si>
  <si>
    <t>REV FIN GARANTIE</t>
  </si>
  <si>
    <t>MAIRIE DE ST GEOURS DE MARENNE</t>
  </si>
  <si>
    <t>EPAREUSE ROUSSEAU</t>
  </si>
  <si>
    <t>LABEYRIE REMI</t>
  </si>
  <si>
    <t>BOURGOIN</t>
  </si>
  <si>
    <t>REVISION</t>
  </si>
  <si>
    <t>CUMA MIESPOSA</t>
  </si>
  <si>
    <t>SOUDE COLMATAGE</t>
  </si>
  <si>
    <t>ECURIE DES CASSOUS</t>
  </si>
  <si>
    <t>SOUDURE CHASSIS</t>
  </si>
  <si>
    <t>SARL LESBARRERES TRAVAUX AGRICOLES</t>
  </si>
  <si>
    <t>HERSE MASCHIO 6000</t>
  </si>
  <si>
    <t>JEUX SUR LES ARBRES DE CARDANS</t>
  </si>
  <si>
    <t>MAIRIE DE ARENGOSSE</t>
  </si>
  <si>
    <t>ARION 410</t>
  </si>
  <si>
    <t>DISTRIBUTEUR CHARGEUR</t>
  </si>
  <si>
    <t>EARL CAMPOT</t>
  </si>
  <si>
    <t>PULVE AMAZONE</t>
  </si>
  <si>
    <t>PREPA OCCASION</t>
  </si>
  <si>
    <t>MAIRIE DE SORT EN CHALOSSE</t>
  </si>
  <si>
    <t>70-12</t>
  </si>
  <si>
    <t>VITRE INFERIEUR PORTE DROITE</t>
  </si>
  <si>
    <t>LABAT ALAIN</t>
  </si>
  <si>
    <t>75-12</t>
  </si>
  <si>
    <t>ALTERNATEUR</t>
  </si>
  <si>
    <t>FRITSCH JEROME</t>
  </si>
  <si>
    <t>ARION 420</t>
  </si>
  <si>
    <t>REV 1100H</t>
  </si>
  <si>
    <t>CUMA LA TAOUZIOLE</t>
  </si>
  <si>
    <t>AXOS 430</t>
  </si>
  <si>
    <t>VIS PONT AVANT</t>
  </si>
  <si>
    <t>EARL FERME DE LE HOUR</t>
  </si>
  <si>
    <t>PALES 240</t>
  </si>
  <si>
    <t>FREIN A MAIN</t>
  </si>
  <si>
    <t>MAIRIE DE SAUGNACQ ET CAMBRAN</t>
  </si>
  <si>
    <t>BROYEUR ACCOTEMENT</t>
  </si>
  <si>
    <t>JOINT DE VERIN</t>
  </si>
  <si>
    <t>DOUX CHRISTIANE</t>
  </si>
  <si>
    <t>RENAULT 681</t>
  </si>
  <si>
    <t xml:space="preserve">CHAMBRE A AIR AVANT </t>
  </si>
  <si>
    <t>BROYEUR MASCHIO</t>
  </si>
  <si>
    <t>PREPA NEUF</t>
  </si>
  <si>
    <t>MAIRIE DE NAROSSE</t>
  </si>
  <si>
    <t>EPAREUSE KUHN</t>
  </si>
  <si>
    <t>PIVOT</t>
  </si>
  <si>
    <t>CERGOS 330</t>
  </si>
  <si>
    <t>VITRE PORTE GAUCHE</t>
  </si>
  <si>
    <t>DISQUE ANDAIN</t>
  </si>
  <si>
    <t>MAIRIE DE AUREILHAN</t>
  </si>
  <si>
    <t>ERGOS 436</t>
  </si>
  <si>
    <t>DETECTEUR DE POSITION</t>
  </si>
  <si>
    <t>DISCO 2750</t>
  </si>
  <si>
    <t>DUGUINE ERIC</t>
  </si>
  <si>
    <t>ARION 510</t>
  </si>
  <si>
    <t>BOITE DE VITESSE</t>
  </si>
  <si>
    <t>COVER CROP</t>
  </si>
  <si>
    <t>ECROU DISQUES</t>
  </si>
  <si>
    <t>MAIRIE DE YZOSSE</t>
  </si>
  <si>
    <t>BROYEUR KUHN</t>
  </si>
  <si>
    <t xml:space="preserve">ATTELAGE </t>
  </si>
  <si>
    <t>RENAULT 751</t>
  </si>
  <si>
    <t>EARL PAILLAS</t>
  </si>
  <si>
    <t>VITRE DROITE</t>
  </si>
  <si>
    <t>INVERSEUR BRUTAL</t>
  </si>
  <si>
    <t>EARL LAUDOUAR</t>
  </si>
  <si>
    <t>CLIM</t>
  </si>
  <si>
    <t>FUITE HYDRAULIQUE</t>
  </si>
  <si>
    <t>FUITE CHARGEUR</t>
  </si>
  <si>
    <t>ARION 610</t>
  </si>
  <si>
    <t>DURITE MOTEUR</t>
  </si>
  <si>
    <t>EARL DE DOUE</t>
  </si>
  <si>
    <t>UF 1602</t>
  </si>
  <si>
    <t>FUITE BAC INCORPORATEUR</t>
  </si>
  <si>
    <t>RELEVAGE AR</t>
  </si>
  <si>
    <t>AXOS 330</t>
  </si>
  <si>
    <t>EARL DE VERSAILLE</t>
  </si>
  <si>
    <t>CLIO</t>
  </si>
  <si>
    <t>LANGOUANNERE BERNARD</t>
  </si>
  <si>
    <t xml:space="preserve">LANDINI </t>
  </si>
  <si>
    <t>INVERSEUR</t>
  </si>
  <si>
    <t>SCEA PETAILLADE</t>
  </si>
  <si>
    <t>ROLLANT 520</t>
  </si>
  <si>
    <t>ARES 715</t>
  </si>
  <si>
    <t>SIEGE</t>
  </si>
  <si>
    <t>LAGRAULA AURELIEN</t>
  </si>
  <si>
    <t>ENROULEUR</t>
  </si>
  <si>
    <t>DARRIGADE BERNADETTE</t>
  </si>
  <si>
    <t>RENAULT 95-12</t>
  </si>
  <si>
    <t>GASOIL</t>
  </si>
  <si>
    <t>RENAULT 75-12</t>
  </si>
  <si>
    <t>RENAULT 155-54</t>
  </si>
  <si>
    <t>PEINTURE AILES AR</t>
  </si>
  <si>
    <t>PDF</t>
  </si>
  <si>
    <t>NIVEAU</t>
  </si>
  <si>
    <t>MASSE ADDITIONNELLE</t>
  </si>
  <si>
    <t>CERES 345</t>
  </si>
  <si>
    <t>EMBRAYAGE</t>
  </si>
  <si>
    <t>INSPECTION PILOT</t>
  </si>
  <si>
    <t>BIDORET ALAIN</t>
  </si>
  <si>
    <t>ARION 620</t>
  </si>
  <si>
    <t>DUPOUY JEAN CLAUDE</t>
  </si>
  <si>
    <t>AXION 830</t>
  </si>
  <si>
    <t>REVISION 2000H</t>
  </si>
  <si>
    <t>PREPA</t>
  </si>
  <si>
    <t>SAS WEA</t>
  </si>
  <si>
    <t>BROYEUR</t>
  </si>
  <si>
    <t>COURROIE</t>
  </si>
  <si>
    <t>EARL DE COSTEMALE</t>
  </si>
  <si>
    <t xml:space="preserve">REVISION </t>
  </si>
  <si>
    <t>SCEA DES MOURELLES</t>
  </si>
  <si>
    <t>RENAULT 160-94</t>
  </si>
  <si>
    <t>COMETS THIERRY</t>
  </si>
  <si>
    <t>ROLLAND 45</t>
  </si>
  <si>
    <t>AMAZONE CERTOS</t>
  </si>
  <si>
    <t>LAHARY CLAUDE</t>
  </si>
  <si>
    <t>EARL DE GRACIANDON</t>
  </si>
  <si>
    <t>PLANTE FRANCIS</t>
  </si>
  <si>
    <t>ROLLAND 520RF</t>
  </si>
  <si>
    <t xml:space="preserve">PIVOT PORTE </t>
  </si>
  <si>
    <t>LALANNE STEPHANE</t>
  </si>
  <si>
    <t>ATOS 330</t>
  </si>
  <si>
    <t>REDUCTEUR</t>
  </si>
  <si>
    <t>FUITE SUSPENSION</t>
  </si>
  <si>
    <t>DUBES ROLAND</t>
  </si>
  <si>
    <t>ARES 697</t>
  </si>
  <si>
    <t>CLAIRANT PATRICIA</t>
  </si>
  <si>
    <t>RENAULT CELTIS 436</t>
  </si>
  <si>
    <t>MOTEUR</t>
  </si>
  <si>
    <t>EARL LE BELLOCQ</t>
  </si>
  <si>
    <t>CASTREUSE FREMA</t>
  </si>
  <si>
    <t>EARL DE PEYROUX</t>
  </si>
  <si>
    <t>ARES 640</t>
  </si>
  <si>
    <t xml:space="preserve">AVANCEMENT </t>
  </si>
  <si>
    <t>CUMA L'UNION</t>
  </si>
  <si>
    <t>PLAQUE IMMATRICULATION</t>
  </si>
  <si>
    <t>PORTE GAUCHE</t>
  </si>
  <si>
    <t>REVISION FIN DE GARANTIE</t>
  </si>
  <si>
    <t>AXION 850</t>
  </si>
  <si>
    <t>GYROPHARE</t>
  </si>
  <si>
    <t>COMICE MUGRON</t>
  </si>
  <si>
    <t>BAYER SEED</t>
  </si>
  <si>
    <t>TURBO</t>
  </si>
  <si>
    <t>EARL DE MENAOUDE</t>
  </si>
  <si>
    <t>ARES 540</t>
  </si>
  <si>
    <t>SECURITE</t>
  </si>
  <si>
    <t>GAEC L'YDEAL</t>
  </si>
  <si>
    <t>PAILLEUSE TEAGLE</t>
  </si>
  <si>
    <t>AXION 810</t>
  </si>
  <si>
    <t>COMMANDE CUEILLEUR</t>
  </si>
  <si>
    <t>EARL POUY DU MOULIN</t>
  </si>
  <si>
    <t>DISQUE LIMITEUR CARDAN</t>
  </si>
  <si>
    <t>EARL DUCASSE SERGE</t>
  </si>
  <si>
    <t>PRECEA 4500</t>
  </si>
  <si>
    <t>AUGEROLLE MELANIE</t>
  </si>
  <si>
    <t>BROYEUR DELMORINO</t>
  </si>
  <si>
    <t>DUPIN GABRIEL</t>
  </si>
  <si>
    <t>EARL DU PETIT CABE</t>
  </si>
  <si>
    <t>CUMA DU PONT ROUGE</t>
  </si>
  <si>
    <t>MOUVEMENT TREMIE</t>
  </si>
  <si>
    <t>FORESTIERE LAPEGUE</t>
  </si>
  <si>
    <t>SCORPION</t>
  </si>
  <si>
    <t>OS 15829</t>
  </si>
  <si>
    <t>FENDEUSE BOIS</t>
  </si>
  <si>
    <t>LESBORDES MARC</t>
  </si>
  <si>
    <t>RENAULT 103-54</t>
  </si>
  <si>
    <t>ELECTRICITE</t>
  </si>
  <si>
    <t>MAYSONNAVE YVES</t>
  </si>
  <si>
    <t>ARES 617</t>
  </si>
  <si>
    <t>SCEA LARRIBIERE</t>
  </si>
  <si>
    <t>ARES 550</t>
  </si>
  <si>
    <t xml:space="preserve">FUITE REDUCTEUR </t>
  </si>
  <si>
    <t>GAILLARDET MARIE CLAUDE</t>
  </si>
  <si>
    <t>RENAULT 651</t>
  </si>
  <si>
    <t>FRANCOIS REGIS</t>
  </si>
  <si>
    <t>AXION 800</t>
  </si>
  <si>
    <t>PONT AVANT</t>
  </si>
  <si>
    <t>SCEA DU HOUSSAT</t>
  </si>
  <si>
    <t>VITESSE 1 ET 2</t>
  </si>
  <si>
    <t>RENAULT 70-1</t>
  </si>
  <si>
    <t>COUVOIR DE LA HAUTE CHALOSSE</t>
  </si>
  <si>
    <t>RENAULT 90-34</t>
  </si>
  <si>
    <t>BROYEURS DESVOYS</t>
  </si>
  <si>
    <t>DONAGRI</t>
  </si>
  <si>
    <t>PRECEA 6000</t>
  </si>
  <si>
    <t>COUREAU</t>
  </si>
  <si>
    <t>CUEILLEUR 7 RANGS</t>
  </si>
  <si>
    <t>CUMA DE SORT EN CHALOSSE</t>
  </si>
  <si>
    <t>BROYEUR VICON</t>
  </si>
  <si>
    <t>JOINT A LEVRES</t>
  </si>
  <si>
    <t>COMMANDE ELECTRIQUE</t>
  </si>
  <si>
    <t>OS 15812</t>
  </si>
  <si>
    <t>GROCQ ERIC</t>
  </si>
  <si>
    <t>TONNE MAUGUIN</t>
  </si>
  <si>
    <t xml:space="preserve">ENFOUISSEUR </t>
  </si>
  <si>
    <t>BRISEBOIS JEAN</t>
  </si>
  <si>
    <t>CASE CS 94</t>
  </si>
  <si>
    <t>PREUILH LUCIE</t>
  </si>
  <si>
    <t>ARES 547</t>
  </si>
  <si>
    <t>EARL LE NOY</t>
  </si>
  <si>
    <t>MB NEW HOLLANDE</t>
  </si>
  <si>
    <t>CUEILLEUR MAIS</t>
  </si>
  <si>
    <t>CAMBOT FRANCINE</t>
  </si>
  <si>
    <t>RENAULT 851-4S</t>
  </si>
  <si>
    <t>VERIN DIRECTION</t>
  </si>
  <si>
    <t>SONDE COLMATAGE AVOIR</t>
  </si>
  <si>
    <t>SONDE COLMATAGE</t>
  </si>
  <si>
    <t>EARL L'ENCANTADE</t>
  </si>
  <si>
    <t>ARES 816</t>
  </si>
  <si>
    <t>SUPPORT DE PRISE DISTRIBUTEUR HYDRAULIQUE</t>
  </si>
  <si>
    <t>OS 15728</t>
  </si>
  <si>
    <t>DAGES JEAN MARC</t>
  </si>
  <si>
    <t>GPT DES MONTS - BELLOCQ</t>
  </si>
  <si>
    <t>EARL DOUS AOUCHETS</t>
  </si>
  <si>
    <t>ARION 460</t>
  </si>
  <si>
    <t>LAMARQUE JEAN JACQUES</t>
  </si>
  <si>
    <t>RENAULT 110-54</t>
  </si>
  <si>
    <t>FREIN DROIT</t>
  </si>
  <si>
    <t>BRUIT MOTEUR</t>
  </si>
  <si>
    <t>SARL TRAVAUX FORESTIERS LINXOIS</t>
  </si>
  <si>
    <t>ARES 616</t>
  </si>
  <si>
    <t>FUITE DE GASOIL</t>
  </si>
  <si>
    <t>PAILLEUSE SILOFARMER</t>
  </si>
  <si>
    <t>PLANCHER</t>
  </si>
  <si>
    <t>GPT GUILHEMJOUAN C- EARL DE NABARRE -SEMOIR</t>
  </si>
  <si>
    <t>MF 6270</t>
  </si>
  <si>
    <t>BROYEUR LAGARDE</t>
  </si>
  <si>
    <t>MAIRIE DE BEGAAR</t>
  </si>
  <si>
    <t>GAMME BLOQUEES</t>
  </si>
  <si>
    <t>ROLLAND 520 RC</t>
  </si>
  <si>
    <t>MBB</t>
  </si>
  <si>
    <t>VERIN DE REMORQUE</t>
  </si>
  <si>
    <t>SCEA TUC DE GOULICQ</t>
  </si>
  <si>
    <t>GRUE PALMS</t>
  </si>
  <si>
    <t>AVL SERVICES</t>
  </si>
  <si>
    <t>EPANDEUR AMAZONE ZA-TS</t>
  </si>
  <si>
    <t>REGULATION</t>
  </si>
  <si>
    <t>CARDAN BROYEUR</t>
  </si>
  <si>
    <t>CARTE GRISE</t>
  </si>
  <si>
    <t xml:space="preserve">CULTURE JARDIN </t>
  </si>
  <si>
    <t>ROULEMENT</t>
  </si>
  <si>
    <t>EARL LA PALUE</t>
  </si>
  <si>
    <t>EARL DUPRAT FERME LANETTE</t>
  </si>
  <si>
    <t>OURI MAQUINAS LDA</t>
  </si>
  <si>
    <t>JD 6110</t>
  </si>
  <si>
    <t>JANTES</t>
  </si>
  <si>
    <t>EARL LE BELICQ</t>
  </si>
  <si>
    <t>SCA DU HOURIE</t>
  </si>
  <si>
    <t>BENNE DISTRIBUTRICE</t>
  </si>
  <si>
    <t>EARL MORA</t>
  </si>
  <si>
    <t>CHARGEUR FL120</t>
  </si>
  <si>
    <t>MOTEUR/POMPE INJECTION</t>
  </si>
  <si>
    <t>SCORPION 741</t>
  </si>
  <si>
    <t>REV 2000H</t>
  </si>
  <si>
    <t>SCEA DU PONT D'UGNE</t>
  </si>
  <si>
    <t>ELIOS 210</t>
  </si>
  <si>
    <t>ACCELERATION</t>
  </si>
  <si>
    <t>MEILHAN PAYSAGE</t>
  </si>
  <si>
    <t>CUZACQ SANDRA</t>
  </si>
  <si>
    <t>PROVISION GPS</t>
  </si>
  <si>
    <t>MONDENX JEAN LUC</t>
  </si>
  <si>
    <t>CODE a75ch</t>
  </si>
  <si>
    <t>CONVOYEUR</t>
  </si>
  <si>
    <t>SEIZE CHRISTOPHE</t>
  </si>
  <si>
    <t>CUMA CANTONALE DE MUGRON</t>
  </si>
  <si>
    <t>FAUCHEUSE CLAAS DISCO 2800</t>
  </si>
  <si>
    <t>IRATCABAL DANIEL</t>
  </si>
  <si>
    <t>MANQUE DE PUISSANCE MOTEUR</t>
  </si>
  <si>
    <t>CODE ERREUR VENTILO</t>
  </si>
  <si>
    <t>AMAZONE CATROS</t>
  </si>
  <si>
    <t>BARRE SUPPORT</t>
  </si>
  <si>
    <t>EARL NAHIKARI</t>
  </si>
  <si>
    <t>AXOS 340</t>
  </si>
  <si>
    <t>COMMANDE DISTRIBUTEUR AUXILIAIRE</t>
  </si>
  <si>
    <t>MAIRIE DE TARNOS</t>
  </si>
  <si>
    <t>MAXI FUSIBLE</t>
  </si>
  <si>
    <t xml:space="preserve">CLOTURE </t>
  </si>
  <si>
    <t>REPROGRAMMATION</t>
  </si>
  <si>
    <t>EARL DE CARDIAYRE</t>
  </si>
  <si>
    <t>AMAZONE UF1201</t>
  </si>
  <si>
    <t>MEMBRANE</t>
  </si>
  <si>
    <t>NOUTARY PATRICK</t>
  </si>
  <si>
    <t>PINCE RABAUD</t>
  </si>
  <si>
    <t>BROYEUR DESVOYS</t>
  </si>
  <si>
    <t>SCEA MONDENX</t>
  </si>
  <si>
    <t>DTC:7721</t>
  </si>
  <si>
    <t>EARL DU BLANC</t>
  </si>
  <si>
    <t>BRUIT ANORMAL TRANSMISSION</t>
  </si>
  <si>
    <t>ARION 660</t>
  </si>
  <si>
    <t>FORET DE HIGAS</t>
  </si>
  <si>
    <t>RENAULT 106-54</t>
  </si>
  <si>
    <t>EARL LANNEMAYOU</t>
  </si>
  <si>
    <t>CODE 324</t>
  </si>
  <si>
    <t>DISTRIBUTEUR AUXILIAIRE</t>
  </si>
  <si>
    <t>POMPE HYDRAULIQUE</t>
  </si>
  <si>
    <t>SUPPORT DE DISQUE</t>
  </si>
  <si>
    <t>EARL MENAOUT</t>
  </si>
  <si>
    <t>CODE A5EC</t>
  </si>
  <si>
    <t>DEPOUILLEUSE</t>
  </si>
  <si>
    <t>CUMA D'ARSAGUE</t>
  </si>
  <si>
    <t>ARES 656</t>
  </si>
  <si>
    <t>DIRECTION</t>
  </si>
  <si>
    <t>LABEYRIE JEAN MARC</t>
  </si>
  <si>
    <t>SHU ERIC</t>
  </si>
  <si>
    <t>FUITE ORBITROL</t>
  </si>
  <si>
    <t>CUMA LE PROGRES</t>
  </si>
  <si>
    <t>BENNE MAITRE</t>
  </si>
  <si>
    <t>BENNAGE</t>
  </si>
  <si>
    <t>GPT PELLEGRUE-OUSTOU</t>
  </si>
  <si>
    <t>BROYEUR THENOS</t>
  </si>
  <si>
    <t>LANDE MATERIAUX</t>
  </si>
  <si>
    <t>JCB</t>
  </si>
  <si>
    <t>PIVOT GAUCHE</t>
  </si>
  <si>
    <t>RENAULT 70-12</t>
  </si>
  <si>
    <t>DEBA ROBERT</t>
  </si>
  <si>
    <t>CUMA LOCALE DE SOUSTONS</t>
  </si>
  <si>
    <t>RENAULT 656</t>
  </si>
  <si>
    <t>BERCEAU CHARGEUR</t>
  </si>
  <si>
    <t>ECHELLE ATTELAGE</t>
  </si>
  <si>
    <t>LALOYE NATHALIE</t>
  </si>
  <si>
    <t>EARL AUX 6 MAGRETS</t>
  </si>
  <si>
    <t>RENAULT 80-14</t>
  </si>
  <si>
    <t>FUITE GASOIL</t>
  </si>
  <si>
    <t>EARL LE BLANC</t>
  </si>
  <si>
    <t>FREIN</t>
  </si>
  <si>
    <t>EARL MARCADE</t>
  </si>
  <si>
    <t>KARCHER</t>
  </si>
  <si>
    <t>DUCASSE SERGE</t>
  </si>
  <si>
    <t>JD6620</t>
  </si>
  <si>
    <t>CELTIS 456</t>
  </si>
  <si>
    <t>MAIRIE DE CARCEN PONSON</t>
  </si>
  <si>
    <t>HAYON AR</t>
  </si>
  <si>
    <t>SCEA DE BOUHETTE</t>
  </si>
  <si>
    <t>ARION 520</t>
  </si>
  <si>
    <t>LACADEE SAS</t>
  </si>
  <si>
    <t>TRANSBORDEUR</t>
  </si>
  <si>
    <t>VIDANGE</t>
  </si>
  <si>
    <t>TOIT</t>
  </si>
  <si>
    <t>MOISSONNEUSE CX8030</t>
  </si>
  <si>
    <t>BOURGOIN B620</t>
  </si>
  <si>
    <t>VITESSE EXTRACTEUR</t>
  </si>
  <si>
    <t>CUMA DE HEUGAS</t>
  </si>
  <si>
    <t>ARRACHEUSE PATATE</t>
  </si>
  <si>
    <t>ROULEMENT DISQUE GUIDAGE</t>
  </si>
  <si>
    <t>OTS 15806</t>
  </si>
  <si>
    <t>REV 600H</t>
  </si>
  <si>
    <t>DEMO</t>
  </si>
  <si>
    <t>CUMA DES 4 CHEMINS</t>
  </si>
  <si>
    <t>UF1501</t>
  </si>
  <si>
    <t>FAISCEAU ISOBUS</t>
  </si>
  <si>
    <t>PUSSACQ MICHAEL</t>
  </si>
  <si>
    <t>VÉRIN</t>
  </si>
  <si>
    <t>SEMOIR MONOSEM</t>
  </si>
  <si>
    <t>CUMA DE SAINT CLAMENS</t>
  </si>
  <si>
    <t>BOURGOIN JLD 410</t>
  </si>
  <si>
    <t>EARL DES DEUX RUISSEAUX</t>
  </si>
  <si>
    <t>PULVE UH1602</t>
  </si>
  <si>
    <t>PULVE UF901</t>
  </si>
  <si>
    <t>FUITE D'HUILE PONT ARRIERE GAUCHE</t>
  </si>
  <si>
    <t>SCEAU DU PONT D'UGNE</t>
  </si>
  <si>
    <t>EARL POUPON</t>
  </si>
  <si>
    <t>ARION 440</t>
  </si>
  <si>
    <t>EARL DE BROUSTE</t>
  </si>
  <si>
    <t>ARES 610</t>
  </si>
  <si>
    <t>SAS FERME DE LA HOUN</t>
  </si>
  <si>
    <t>ARES 556</t>
  </si>
  <si>
    <t>PNEU AVANT ET ARRIERE</t>
  </si>
  <si>
    <t>SCEA DE BORDENAVE</t>
  </si>
  <si>
    <t>NEW HOLLAND T6050</t>
  </si>
  <si>
    <t>SCEA LE SARGA</t>
  </si>
  <si>
    <t>CLIM ET REFROIDISSEMENT MOTEUR</t>
  </si>
  <si>
    <t>SCEA DU GRAND HITTE</t>
  </si>
  <si>
    <t>RAMPE DISTANCE CONTROL</t>
  </si>
  <si>
    <t>BOUCHE VENTILATION</t>
  </si>
  <si>
    <t>ARION 640</t>
  </si>
  <si>
    <t>SCEA ESPERANZA</t>
  </si>
  <si>
    <t>TREMIE FRONTALE AMAZONE</t>
  </si>
  <si>
    <t xml:space="preserve">PREPA NEUF </t>
  </si>
  <si>
    <t>GPT SCEA DU HOURNET - NASSIET</t>
  </si>
  <si>
    <t>AMAZONE</t>
  </si>
  <si>
    <t xml:space="preserve">LIVRAISON </t>
  </si>
  <si>
    <t>GPT EARL PETIT CABE/ NAURIS</t>
  </si>
  <si>
    <t>PULVEJUSTE</t>
  </si>
  <si>
    <t>POMPE SEMOIR</t>
  </si>
  <si>
    <t>CONFECTION PIECE</t>
  </si>
  <si>
    <t>CERGOS</t>
  </si>
  <si>
    <t>SCEA DES LAURIERS</t>
  </si>
  <si>
    <t>PRECEA</t>
  </si>
  <si>
    <t>GALETS</t>
  </si>
  <si>
    <t>LOUSTAUNAU ALEXANDRE</t>
  </si>
  <si>
    <t>VERIN</t>
  </si>
  <si>
    <t>EARL DE MENAUTON</t>
  </si>
  <si>
    <t>PRESSION HYDRAULIQUE</t>
  </si>
  <si>
    <t>CATROS DEMO</t>
  </si>
  <si>
    <t>SUPPORT DISQUE CENTRAL</t>
  </si>
  <si>
    <t>MONET JEAN PIERRE</t>
  </si>
  <si>
    <t>MAIRIE DE CASSEN</t>
  </si>
  <si>
    <t>EARL DE LA LANERE</t>
  </si>
  <si>
    <t>PRECEA 450</t>
  </si>
  <si>
    <t>POUTOIRE LUCAS</t>
  </si>
  <si>
    <t>CHALAND MICHEL</t>
  </si>
  <si>
    <t>TIGE VERIN ET JOINTS</t>
  </si>
  <si>
    <t xml:space="preserve">SEIZE </t>
  </si>
  <si>
    <t>DUBOURDIEU ALAIN</t>
  </si>
  <si>
    <t>FUITE PDF</t>
  </si>
  <si>
    <t>CARTER DU PONT ARRIÉRE</t>
  </si>
  <si>
    <t>REV 3000H</t>
  </si>
  <si>
    <t>EARL DES MONTS</t>
  </si>
  <si>
    <t>AXION 920</t>
  </si>
  <si>
    <t>REV 1200</t>
  </si>
  <si>
    <t>GPS S10</t>
  </si>
  <si>
    <t>GPT LASSEGUE / ESPERANZA</t>
  </si>
  <si>
    <t>PHARE</t>
  </si>
  <si>
    <t>CAISSE A OUTIL</t>
  </si>
  <si>
    <t>SUPPORT TEL</t>
  </si>
  <si>
    <t>CELTIS 446 RX</t>
  </si>
  <si>
    <t>CHARGEUR</t>
  </si>
  <si>
    <t xml:space="preserve">AVL SERVICES </t>
  </si>
  <si>
    <t>PULVE UF1602</t>
  </si>
  <si>
    <t>SARL DECES</t>
  </si>
  <si>
    <t>CODE ERREUR A48CH</t>
  </si>
  <si>
    <t>ABDE</t>
  </si>
  <si>
    <t>BEQUILLE REMORQUE</t>
  </si>
  <si>
    <t>DOUPOUY JOEL</t>
  </si>
  <si>
    <t>TABLEAU DE BORD</t>
  </si>
  <si>
    <t>CHINON GUILLAUME</t>
  </si>
  <si>
    <t>INJECTEURS</t>
  </si>
  <si>
    <t>EARL DE SARRET</t>
  </si>
  <si>
    <t>MASHIO</t>
  </si>
  <si>
    <t>VOLTO 800</t>
  </si>
  <si>
    <t>GAEC LESCLAOUZON</t>
  </si>
  <si>
    <t>RMC 1</t>
  </si>
  <si>
    <t>GUILLEMOTONIA</t>
  </si>
  <si>
    <t>PULVE</t>
  </si>
  <si>
    <t>PASSE CLOISON</t>
  </si>
  <si>
    <t>SARL FORESTIERE 40</t>
  </si>
  <si>
    <t>PREPA MASCHIO</t>
  </si>
  <si>
    <t>EARL CAPLANNE</t>
  </si>
  <si>
    <t>PREPA CHARGEUR</t>
  </si>
  <si>
    <t>FERME DE LA HOUN</t>
  </si>
  <si>
    <t>CHANDELLE</t>
  </si>
  <si>
    <t>SCEA DE MONDEX</t>
  </si>
  <si>
    <t>EARL DE BOUHETTE</t>
  </si>
  <si>
    <t>REV 3500H + PREPA OCCATION</t>
  </si>
  <si>
    <t>EARL FERME DUCAMP</t>
  </si>
  <si>
    <t>ARES 626</t>
  </si>
  <si>
    <t>JOINT DE CULASSE</t>
  </si>
  <si>
    <t>FANEUSE LELY</t>
  </si>
  <si>
    <t>CUMA D'ORIST</t>
  </si>
  <si>
    <t>PULVE MICRON</t>
  </si>
  <si>
    <t>MASTER</t>
  </si>
  <si>
    <t>REMPLACEMENT TETE FILTRE GASOIL</t>
  </si>
  <si>
    <t>JOHN DEERE 6430</t>
  </si>
  <si>
    <t>ISOBUS</t>
  </si>
  <si>
    <t>ARION 420M</t>
  </si>
  <si>
    <t>REVISION 500H</t>
  </si>
  <si>
    <t>EARL DE BIRAN</t>
  </si>
  <si>
    <t>MASCHIO 5000</t>
  </si>
  <si>
    <t>BOITIER PRINCIPALE</t>
  </si>
  <si>
    <t>PREPA NEUF GPS</t>
  </si>
  <si>
    <t>ASF DRE PROVENCE CAMARGUE</t>
  </si>
  <si>
    <t>ARION 400</t>
  </si>
  <si>
    <t>ARION 420 M (11027)</t>
  </si>
  <si>
    <t>CONTACTEUR Z202</t>
  </si>
  <si>
    <t>GRIHON BERNARD</t>
  </si>
  <si>
    <t>RENAULT 551</t>
  </si>
  <si>
    <t>FUITE D'HUILE MANETON RELEVAGE</t>
  </si>
  <si>
    <t>XERION 5000</t>
  </si>
  <si>
    <t>EARL DE TAMBOURIN</t>
  </si>
  <si>
    <t>ZA-V SUPER</t>
  </si>
  <si>
    <t>MISE EN ROUTE</t>
  </si>
  <si>
    <t>DUBOSQ JEAN PIERRE</t>
  </si>
  <si>
    <t>EARL DE DAISY</t>
  </si>
  <si>
    <t>ROTATIVE GABBIANA</t>
  </si>
  <si>
    <t>CARDANS</t>
  </si>
  <si>
    <t>CROISILLON CARDAN</t>
  </si>
  <si>
    <t>DOUE</t>
  </si>
  <si>
    <t>GARANTIE GOUPILLON</t>
  </si>
  <si>
    <t>REVISION 4700H</t>
  </si>
  <si>
    <t>OS 16008</t>
  </si>
  <si>
    <t>MLE</t>
  </si>
  <si>
    <t>LYCEE DE MUGRON</t>
  </si>
  <si>
    <t>EARL DES AOUCHETS</t>
  </si>
  <si>
    <t>SCEA DU PASTOU</t>
  </si>
  <si>
    <t>ARION 550</t>
  </si>
  <si>
    <t>OTS 16008</t>
  </si>
  <si>
    <t>PROCEA 6000</t>
  </si>
  <si>
    <t>CANULE</t>
  </si>
  <si>
    <t>LAFARGUE DENIS</t>
  </si>
  <si>
    <t>ARION 540</t>
  </si>
  <si>
    <t>SUSPENSION PONT AVANT</t>
  </si>
  <si>
    <t>SCEA LES LAURIERS</t>
  </si>
  <si>
    <t>CLIM + FUITE HUILE</t>
  </si>
  <si>
    <t>ARION 600</t>
  </si>
  <si>
    <t>SCEA LOPPOU</t>
  </si>
  <si>
    <t>AMATRON ZA-M 1502</t>
  </si>
  <si>
    <t>SEMOIR TRACEUR GAUCHE</t>
  </si>
  <si>
    <t>BARROUILLET VINCENT</t>
  </si>
  <si>
    <t>PULVE SEMOIR</t>
  </si>
  <si>
    <t>CODE ERREUR a75c</t>
  </si>
  <si>
    <t>EPANDEUR LEBOULCH</t>
  </si>
  <si>
    <t>FLEXIBLE</t>
  </si>
  <si>
    <t>LACOMME THIERRY</t>
  </si>
  <si>
    <t>REMPLACEMENT MEMBRANCE</t>
  </si>
  <si>
    <t>FUITE REDUCTEUR ET SUSPENSION</t>
  </si>
  <si>
    <t xml:space="preserve">SARL COUREAU </t>
  </si>
  <si>
    <t>MONTAGE CARDAN</t>
  </si>
  <si>
    <t>VOLTO 1100T</t>
  </si>
  <si>
    <t>ANDAINEUR LINER 2700</t>
  </si>
  <si>
    <t>UF 1501</t>
  </si>
  <si>
    <t>JOYSTICK</t>
  </si>
  <si>
    <t>STABILISATEUR</t>
  </si>
  <si>
    <t>LAUGAREIL CYRIL</t>
  </si>
  <si>
    <t>VITRE PORTE DROITE</t>
  </si>
  <si>
    <t>DISTRIBUTEUR HYDRO</t>
  </si>
  <si>
    <t>SARL DONAGRI</t>
  </si>
  <si>
    <t>SUPPORT DE ROUE</t>
  </si>
  <si>
    <t>CUVE FRONTALE AMAZONE</t>
  </si>
  <si>
    <t xml:space="preserve">DEBITMETRE ENGRAIS </t>
  </si>
  <si>
    <t>COMPRESSEUR CLIM</t>
  </si>
  <si>
    <t>AMAZONE ZA-V 3500</t>
  </si>
  <si>
    <t xml:space="preserve">SARL AVL SERVICES </t>
  </si>
  <si>
    <t>SUPPORT FILTRE ASPIRATION</t>
  </si>
  <si>
    <t>EARL MENAUTON</t>
  </si>
  <si>
    <t>ROULEMENT ROULEAU</t>
  </si>
  <si>
    <t>ARES 525</t>
  </si>
  <si>
    <t>GRAISSAGE TURBO</t>
  </si>
  <si>
    <t>EX BOUHETTE</t>
  </si>
  <si>
    <t>FUITE + DEMARRAGE</t>
  </si>
  <si>
    <t>SCEA DU HITTE</t>
  </si>
  <si>
    <t>VANNE EGR</t>
  </si>
  <si>
    <t>EARL CLAUZET</t>
  </si>
  <si>
    <t>EARL ESPAGNE</t>
  </si>
  <si>
    <t>POMPE ELECTRIQUE</t>
  </si>
  <si>
    <t>GARANTIE POMPE</t>
  </si>
  <si>
    <t>SARL PETRAU ET FILS</t>
  </si>
  <si>
    <t>DEMARRAGE</t>
  </si>
  <si>
    <t>EARL DE HURLEMENT</t>
  </si>
  <si>
    <t>COSSE BATTERIE</t>
  </si>
  <si>
    <t>ROUE DE JAUGE ELEMENT 16</t>
  </si>
  <si>
    <t>EARL DE PIQUETTE</t>
  </si>
  <si>
    <t>MOTEUR ELEMENT SEMEUR</t>
  </si>
  <si>
    <t>DEMARRAGE + CLIM</t>
  </si>
  <si>
    <t>EARL LAFITTON</t>
  </si>
  <si>
    <t>ROTATIVE MASCHIO</t>
  </si>
  <si>
    <t xml:space="preserve">FUITE HUILE BOITIER LATERALE </t>
  </si>
  <si>
    <t>PRECEA SUPER</t>
  </si>
  <si>
    <t>GALET PRECEA</t>
  </si>
  <si>
    <t>CUMA DE TARTAS</t>
  </si>
  <si>
    <t>CULTIROTOR KUHN</t>
  </si>
  <si>
    <t>BINEUSE</t>
  </si>
  <si>
    <t>LAGEYRE CEDRIC</t>
  </si>
  <si>
    <t>HERSE ROTATIVE AMAZONE</t>
  </si>
  <si>
    <t>PIGNON</t>
  </si>
  <si>
    <t xml:space="preserve">CODE ERREUR </t>
  </si>
  <si>
    <t>BUSE</t>
  </si>
  <si>
    <t>CUMA DE LAUREDE</t>
  </si>
  <si>
    <t>LINER 680</t>
  </si>
  <si>
    <t>ROUE DE SECOUR</t>
  </si>
  <si>
    <t>LUBET DENIS</t>
  </si>
  <si>
    <t>EARL DE LAMARE</t>
  </si>
  <si>
    <t>RELEVAGE ARRIERE</t>
  </si>
  <si>
    <t>CLAPET POMPE</t>
  </si>
  <si>
    <t>ARION 420 M (8111)</t>
  </si>
  <si>
    <t xml:space="preserve">BOUTON AILE GAUCHE RELEVAGE </t>
  </si>
  <si>
    <t>BERNAJUSANG DAVID</t>
  </si>
  <si>
    <t>CARDAN FAUCHEUSE</t>
  </si>
  <si>
    <t>MANQUE DE PUISSANCE TURBO</t>
  </si>
  <si>
    <t>EARL DE BROC</t>
  </si>
  <si>
    <t>TREMIE MASCHIO</t>
  </si>
  <si>
    <t>MOTEUR ELECTRIQUE</t>
  </si>
  <si>
    <t>SEMOIR PRECEA</t>
  </si>
  <si>
    <t>AXE RELEVAGE ARRIERE DROIT</t>
  </si>
  <si>
    <t>EARL DE LA NOY</t>
  </si>
  <si>
    <t>EARL DE PELLEGRUE</t>
  </si>
  <si>
    <t xml:space="preserve">ARION 410 </t>
  </si>
  <si>
    <t>CAPTEUR GAUCHE PONT AVANT SUSPENSION</t>
  </si>
  <si>
    <t>BOBARD</t>
  </si>
  <si>
    <t>EARL DES MASCAREIGNES</t>
  </si>
  <si>
    <t>PULVE KUHN</t>
  </si>
  <si>
    <t>BIDORET GUY</t>
  </si>
  <si>
    <t>REPARATION PNEU</t>
  </si>
  <si>
    <t xml:space="preserve">EARL LEBORDE </t>
  </si>
  <si>
    <t>FREINS</t>
  </si>
  <si>
    <t>FUITE CLOCHE EMBRAYAGE</t>
  </si>
  <si>
    <t>COMORGUE JEAN JACQUES</t>
  </si>
  <si>
    <t>EPNDEUR KUHN</t>
  </si>
  <si>
    <t>GUILHEMJOUAN</t>
  </si>
  <si>
    <t>PNEU ENFOUISSEUR AZOTE</t>
  </si>
  <si>
    <t>BINEUSE SCHMOTZER</t>
  </si>
  <si>
    <t>EARL LARRAT</t>
  </si>
  <si>
    <t>MEMBRANE POMPE</t>
  </si>
  <si>
    <t>REV 1000H</t>
  </si>
  <si>
    <t>EARL DU SERPOLET</t>
  </si>
  <si>
    <t>REGENERATION</t>
  </si>
  <si>
    <t>EARL MARINOT</t>
  </si>
  <si>
    <t>SEMOIR MASCHIO</t>
  </si>
  <si>
    <t>SCEA MAURA</t>
  </si>
  <si>
    <t>ARES 557</t>
  </si>
  <si>
    <t>EARL DU 6 MAGRETS</t>
  </si>
  <si>
    <t>CARDAN TONDEUSE</t>
  </si>
  <si>
    <t>OTS 15992</t>
  </si>
  <si>
    <t>GRAZIANI GILLES</t>
  </si>
  <si>
    <t>OS 15940</t>
  </si>
  <si>
    <t>PRISE HYDRAULIQUE</t>
  </si>
  <si>
    <t>ATHENA AGRICOLE</t>
  </si>
  <si>
    <t>CERES 335</t>
  </si>
  <si>
    <t>COMPTE TOUR</t>
  </si>
  <si>
    <t>SAS GANADERA NOGUES</t>
  </si>
  <si>
    <t>ARES 710</t>
  </si>
  <si>
    <t>CAMPING D'ALBERT</t>
  </si>
  <si>
    <t>OS 16140</t>
  </si>
  <si>
    <t>OS 16154</t>
  </si>
  <si>
    <t>MERLOT</t>
  </si>
  <si>
    <t>GODET</t>
  </si>
  <si>
    <t>ROUE DE RAPPUI</t>
  </si>
  <si>
    <t xml:space="preserve">ARION 610 </t>
  </si>
  <si>
    <t>CODE ERREUR 7726</t>
  </si>
  <si>
    <t>LINER 650</t>
  </si>
  <si>
    <t>CONTACTEUR BOC</t>
  </si>
  <si>
    <t xml:space="preserve">CAPTEUR D'ANGLE </t>
  </si>
  <si>
    <t>MAIRIE DE CARCARES</t>
  </si>
  <si>
    <t>OS 15992</t>
  </si>
  <si>
    <t>EARL Espagne</t>
  </si>
  <si>
    <t>CODE ERREUR A4FA</t>
  </si>
  <si>
    <t>PULVE BINEUSE</t>
  </si>
  <si>
    <t>SAS DUGUINE ERIC</t>
  </si>
  <si>
    <t>HERSE MASCHIO 5000</t>
  </si>
  <si>
    <t>AXE REPLIAGE</t>
  </si>
  <si>
    <t>LALANNE DENIS</t>
  </si>
  <si>
    <t>CATROS 5003</t>
  </si>
  <si>
    <t>NOTICE UTILISATEUR ET LIVRE D'ENTRETIEN</t>
  </si>
  <si>
    <t>MAIRIE DE MEZOS</t>
  </si>
  <si>
    <t>ERGOS 85</t>
  </si>
  <si>
    <t>LABORDE JEAN</t>
  </si>
  <si>
    <t>PALES</t>
  </si>
  <si>
    <t>CHARGEUR CLAAS</t>
  </si>
  <si>
    <t>SUITE PONT ARRIERE</t>
  </si>
  <si>
    <t>PORTE JET</t>
  </si>
  <si>
    <t>ARION 530</t>
  </si>
  <si>
    <t>OTS 16002</t>
  </si>
  <si>
    <t>FILTRE</t>
  </si>
  <si>
    <t>SARL LOUS CHIVAUS</t>
  </si>
  <si>
    <t xml:space="preserve"> </t>
  </si>
  <si>
    <t>ROULEMENT DE ROUE</t>
  </si>
  <si>
    <t>SCEA ANE APURNA</t>
  </si>
  <si>
    <t>MOTEUR ET FREIN</t>
  </si>
  <si>
    <t>REMPLACEMENT PARE BRISE</t>
  </si>
  <si>
    <t>FAUCHEUSE DISCO 3600</t>
  </si>
  <si>
    <t>MODULE ASSIETE</t>
  </si>
  <si>
    <t>SCEA DUCOURNAU LARRIBAU</t>
  </si>
  <si>
    <t>FUSIBLE VENTILATION</t>
  </si>
  <si>
    <t>REV 2024</t>
  </si>
  <si>
    <t>TOC BOC</t>
  </si>
  <si>
    <t>CHAMBRE A AIR</t>
  </si>
  <si>
    <t>SOUDER 1 POINTE DE SOC</t>
  </si>
  <si>
    <t>CALLEDE JEAN JOSEPH</t>
  </si>
  <si>
    <t>JOINTS DE VERIN DIRECTION</t>
  </si>
  <si>
    <t>CLIM + SUSPENSION CABINE</t>
  </si>
  <si>
    <t>CASTREUSE</t>
  </si>
  <si>
    <t xml:space="preserve">LACROIX </t>
  </si>
  <si>
    <t xml:space="preserve">VERIN REMORQUE </t>
  </si>
  <si>
    <t>CHAUFFAGE ET CLIM</t>
  </si>
  <si>
    <t>REDUCTEUR AVANT GAUCHE</t>
  </si>
  <si>
    <t>INDIVISION DUFORT</t>
  </si>
  <si>
    <t>JOINTS VERIN</t>
  </si>
  <si>
    <t>CUMA DE MISSON</t>
  </si>
  <si>
    <t>EARL ESCAZAOUS</t>
  </si>
  <si>
    <t>MASSE ADDITIONNEL</t>
  </si>
  <si>
    <t>CUMA LA TILHOISE</t>
  </si>
  <si>
    <t>FAUCHEUSE DISCO 3200</t>
  </si>
  <si>
    <t>ROULEMENT CONDITIONNEUR</t>
  </si>
  <si>
    <t>EARL DIDIER SAINT CRICQ</t>
  </si>
  <si>
    <t>ARES 566</t>
  </si>
  <si>
    <t>CAPTEUR PDF ET CLIM</t>
  </si>
  <si>
    <t>ARES 628</t>
  </si>
  <si>
    <t>FUITE HUILE</t>
  </si>
  <si>
    <t>EARL DE MOURAS</t>
  </si>
  <si>
    <t>EMBRAYAGE DE CARDAN</t>
  </si>
  <si>
    <t>CUMA MOUSTACHON</t>
  </si>
  <si>
    <t>COMPTEUR ESSIEU</t>
  </si>
  <si>
    <t>BRAS SUPPORT</t>
  </si>
  <si>
    <t>LESBARRERES TRAVAUX AGRICOLES</t>
  </si>
  <si>
    <t>CABLE RAMPE</t>
  </si>
  <si>
    <t>ARES</t>
  </si>
  <si>
    <t xml:space="preserve">EPAREUSE </t>
  </si>
  <si>
    <t>SOUDURE</t>
  </si>
  <si>
    <t>ROUE PLEINE</t>
  </si>
  <si>
    <t>DISQUE ENFOUISSEUR</t>
  </si>
  <si>
    <t xml:space="preserve">BAGUE </t>
  </si>
  <si>
    <t>ARION 150</t>
  </si>
  <si>
    <t>JAUGE AD BLUE</t>
  </si>
  <si>
    <t>DESQUERRE JEAN MICHEL</t>
  </si>
  <si>
    <t>BOITIER FAUCHEUSE</t>
  </si>
  <si>
    <t>TPSL</t>
  </si>
  <si>
    <t>SUBERCHICOT ROGER</t>
  </si>
  <si>
    <t>RENAULT 103-12</t>
  </si>
  <si>
    <t>FUSEE</t>
  </si>
  <si>
    <t>FUITE LIQUIDE REFROIDISSEMENT</t>
  </si>
  <si>
    <t>GAEC LARRIBERE</t>
  </si>
  <si>
    <t>PUISSANCE MOTEUR</t>
  </si>
  <si>
    <t>DUGENE CLAUDE</t>
  </si>
  <si>
    <t>FENDWIK</t>
  </si>
  <si>
    <t>FANEUSE VICON</t>
  </si>
  <si>
    <t>MAITRE CYLINDRE</t>
  </si>
  <si>
    <t>REV 500H</t>
  </si>
  <si>
    <t>MARSALEIX CHRISTOPHE</t>
  </si>
  <si>
    <t>CASE 845 XL</t>
  </si>
  <si>
    <t>BOITE DE TRANSFERT</t>
  </si>
  <si>
    <t>MOTEUR HYDRAULIQUE</t>
  </si>
  <si>
    <t>LYCEE MUGRON</t>
  </si>
  <si>
    <t>CAP MAT FERRY</t>
  </si>
  <si>
    <t>NEXOS</t>
  </si>
  <si>
    <t>SAINT GERMAINT PIERRETTE</t>
  </si>
  <si>
    <t>FIAT 85-90</t>
  </si>
  <si>
    <t>CUMA DE BEGAAR</t>
  </si>
  <si>
    <t>ATLAS 18T</t>
  </si>
  <si>
    <t>PERPA NEUF</t>
  </si>
  <si>
    <t>UF 1302</t>
  </si>
  <si>
    <t>AMATRON</t>
  </si>
  <si>
    <t>EARL FERME DE LE HOUN</t>
  </si>
  <si>
    <t>BOC ET ECHAPPEMENT</t>
  </si>
  <si>
    <t>POMPE A EAU</t>
  </si>
  <si>
    <t>BOUET JEAN PAUL</t>
  </si>
  <si>
    <t>RENAULT 461</t>
  </si>
  <si>
    <t>COURT CIRCUIT FAISCEAU</t>
  </si>
  <si>
    <t>MAIRIE DE LAUREDE</t>
  </si>
  <si>
    <t>REPARATION DIRECTION</t>
  </si>
  <si>
    <t>ETALONNAGE</t>
  </si>
  <si>
    <t>SCEA LES OLIVIERS</t>
  </si>
  <si>
    <t>RENAULT 75-32</t>
  </si>
  <si>
    <t>CUEILLEUR DOMINONI</t>
  </si>
  <si>
    <t>GPT PETIT CABE MENAUTON</t>
  </si>
  <si>
    <t>PINIOCCHIO</t>
  </si>
  <si>
    <t>KERDOEN</t>
  </si>
  <si>
    <t>LAMBORGHINI</t>
  </si>
  <si>
    <t>CHAUFFE MOTEUR</t>
  </si>
  <si>
    <t>VASE EXPENSION</t>
  </si>
  <si>
    <t>CASTET FRANCOISE</t>
  </si>
  <si>
    <t>ROUE</t>
  </si>
  <si>
    <t>JOINTS DE VERIN CHARGEUR</t>
  </si>
  <si>
    <t>RENAULT 556</t>
  </si>
  <si>
    <t xml:space="preserve">FUITE GASOIL COUPE CIRCUIT </t>
  </si>
  <si>
    <t>SECURITE CARDAN</t>
  </si>
  <si>
    <t>COUPLEUR HYDRAULIQUE</t>
  </si>
  <si>
    <t>COMPLEMENT PORTE GAUCHE</t>
  </si>
  <si>
    <t>SCEA BERNET</t>
  </si>
  <si>
    <t>103-54</t>
  </si>
  <si>
    <t>EARL DE BERTRINE</t>
  </si>
  <si>
    <t>MONTAGE PRISE</t>
  </si>
  <si>
    <t>CAPTEUR B635</t>
  </si>
  <si>
    <t>SCEA TAMBOURE</t>
  </si>
  <si>
    <t>RENAULT 851-4</t>
  </si>
  <si>
    <t>DEMARREUR</t>
  </si>
  <si>
    <t>COMPLEMENT RÉPARATION</t>
  </si>
  <si>
    <t>BACHE FRANCOISE</t>
  </si>
  <si>
    <t>LEGLISE ISABELLE</t>
  </si>
  <si>
    <t>MASCHIO JOLLY</t>
  </si>
  <si>
    <t>POUSTIS PHILIPPE</t>
  </si>
  <si>
    <t>MASCHIO TIGRE</t>
  </si>
  <si>
    <t>FOIRE DE MUGRON</t>
  </si>
  <si>
    <t>REV 3613H</t>
  </si>
  <si>
    <t>PORTE DROITE</t>
  </si>
  <si>
    <t>REV 12MOIS</t>
  </si>
  <si>
    <t>COUPE CIRCUIT</t>
  </si>
  <si>
    <t>PDF AVANT</t>
  </si>
  <si>
    <t>MAIRIE DE HINX</t>
  </si>
  <si>
    <t>MOTEUR TOURNE PAS</t>
  </si>
  <si>
    <t>EARL FERME BASTEBIELLE</t>
  </si>
  <si>
    <t>PIVOT AVANT</t>
  </si>
  <si>
    <t>CAZAUX CLAUDE</t>
  </si>
  <si>
    <t>JOINT RELEVAGE</t>
  </si>
  <si>
    <t>DARRIAU JEAN BERNARD</t>
  </si>
  <si>
    <t>ROTULE BRAS INFÉRIEUR</t>
  </si>
  <si>
    <t>LASSERE LIONEL</t>
  </si>
  <si>
    <t>JOHN DEERE</t>
  </si>
  <si>
    <t>DEMARRAGE MOTEUR IMPOSSIBLE</t>
  </si>
  <si>
    <t>FTENDER</t>
  </si>
  <si>
    <t>REV FIN DE GARANTIE</t>
  </si>
  <si>
    <t>SARL MLE</t>
  </si>
  <si>
    <t>EPAREUSE FULGOR  7500</t>
  </si>
  <si>
    <t>FLECHE</t>
  </si>
  <si>
    <t>CLIM + SUSPENSION PONT AVANT</t>
  </si>
  <si>
    <t>EPAREUSE</t>
  </si>
  <si>
    <t>REVISION 50H</t>
  </si>
  <si>
    <t>CAPDEVILLE JEAN LOUIS</t>
  </si>
  <si>
    <t>PONT AVANT ET ARBRE 4RM</t>
  </si>
  <si>
    <t>EARL KERDOEN</t>
  </si>
  <si>
    <t>RENAULT 85-12</t>
  </si>
  <si>
    <t>DEYRIS DENIS</t>
  </si>
  <si>
    <t>JOINT VERIN DIRECTION</t>
  </si>
  <si>
    <t>LESPARRE JEAN MARC</t>
  </si>
  <si>
    <t>JOINT DE DISTRIBUTEURS</t>
  </si>
  <si>
    <t>AXION 630</t>
  </si>
  <si>
    <t>PRÊT TRACTEUR DEMO</t>
  </si>
  <si>
    <t>FUITE PONT AVANT</t>
  </si>
  <si>
    <t>PUYO JEAN MARIE</t>
  </si>
  <si>
    <t>PALIER ENTRAINEMENT</t>
  </si>
  <si>
    <t>RENAULT 761</t>
  </si>
  <si>
    <t>PNEU</t>
  </si>
  <si>
    <t>RENAULT 50-12</t>
  </si>
  <si>
    <t>BATTERIE</t>
  </si>
  <si>
    <t>EARL GUITON</t>
  </si>
  <si>
    <t>ENTRAINEMENT COURROIE</t>
  </si>
  <si>
    <t>REMORQUE CARGO</t>
  </si>
  <si>
    <t>PORTE</t>
  </si>
  <si>
    <t>ECHAPPEMENT</t>
  </si>
  <si>
    <t>COVER CROP QUIVOGNE</t>
  </si>
  <si>
    <t>CATROS</t>
  </si>
  <si>
    <t>TETE RÉPARTITION</t>
  </si>
  <si>
    <t>FREINS À MAIN ET CABLE CHARGEUR</t>
  </si>
  <si>
    <t>EARL LACAMESURE</t>
  </si>
  <si>
    <t>COMPRESSEUR AIR</t>
  </si>
  <si>
    <t>BERGEZ PHILIPPE</t>
  </si>
  <si>
    <t>COMMANDE DISTRIBUTEUR</t>
  </si>
  <si>
    <t>LAHILLADE ERIC</t>
  </si>
  <si>
    <t>TARIS EMMANUEL</t>
  </si>
  <si>
    <t>RENAULT PALES</t>
  </si>
  <si>
    <t>LANCEMENT PDF</t>
  </si>
  <si>
    <t>REV 13000H</t>
  </si>
  <si>
    <t>REV 10000H</t>
  </si>
  <si>
    <t>DEHEZ JEAN LOUIS</t>
  </si>
  <si>
    <t>CASTAINGS MARC</t>
  </si>
  <si>
    <t>RELAIS</t>
  </si>
  <si>
    <t>LAVIGNE JACQUES</t>
  </si>
  <si>
    <t>CHARGEUR MAILLEUX</t>
  </si>
  <si>
    <t>PONT AVANT ET MAT</t>
  </si>
  <si>
    <t>TENDOBROYEUR</t>
  </si>
  <si>
    <t>REV 3600H</t>
  </si>
  <si>
    <t>SCEA DE COURNET</t>
  </si>
  <si>
    <t>CELTIS 426</t>
  </si>
  <si>
    <t>CABLE CHARGEUR ET ACCÉLÉRATEUR</t>
  </si>
  <si>
    <t>DUCASSE THIERRY</t>
  </si>
  <si>
    <t>ATOS 340</t>
  </si>
  <si>
    <t>PRESSION FREIN</t>
  </si>
  <si>
    <t>CUMA DE NARROSSE</t>
  </si>
  <si>
    <t>TONNE A LISIER</t>
  </si>
  <si>
    <t>COMPRESSEUR</t>
  </si>
  <si>
    <t>SB PAYSAGE</t>
  </si>
  <si>
    <t>VERIN FREIN REMORQUE</t>
  </si>
  <si>
    <t>CUMA LA BIENVENUE</t>
  </si>
  <si>
    <t>DUVICQ MICHEL</t>
  </si>
  <si>
    <t>JOINT DE VERIN DIRECTION</t>
  </si>
  <si>
    <t>CAPTEUR NOX</t>
  </si>
  <si>
    <t>CODE ERREUR 7F4AE</t>
  </si>
  <si>
    <t>CELTIS 436</t>
  </si>
  <si>
    <t>VERROUILLAGE GODET ET DÉMARRAGE</t>
  </si>
  <si>
    <t>CONTACTEUR GAMME</t>
  </si>
  <si>
    <t>RELEVAGE</t>
  </si>
  <si>
    <t xml:space="preserve">ELECTRO VANNE </t>
  </si>
  <si>
    <t>MONTAGE OPTIONS</t>
  </si>
  <si>
    <t>SCORPION 746 VP STAGE V</t>
  </si>
  <si>
    <t>CHAINE GUIDE FAISCEAU</t>
  </si>
  <si>
    <t>JOINT CONDENSEUR ET CONTACTEUR FREIN</t>
  </si>
  <si>
    <t>JOINT VERIN</t>
  </si>
  <si>
    <t>JOINT DE CHARGEUR</t>
  </si>
  <si>
    <t>GPT EARL DU CARIAYRE NORDLAND</t>
  </si>
  <si>
    <t>PLAQUE REMORQUE</t>
  </si>
  <si>
    <t>CIRUS DEMO</t>
  </si>
  <si>
    <t>JANTE AVANT</t>
  </si>
  <si>
    <t>PRÊT MENAOUT</t>
  </si>
  <si>
    <t>REV 2500H</t>
  </si>
  <si>
    <t>MAIRIE DE CLERMONT</t>
  </si>
  <si>
    <t>MASSEY FERGUSON 5445</t>
  </si>
  <si>
    <t>SIEGE ET CLIM</t>
  </si>
  <si>
    <t>CHAINE DEPOUILLEUSE</t>
  </si>
  <si>
    <t>LINER 2700</t>
  </si>
  <si>
    <t>CAPOT</t>
  </si>
  <si>
    <t>BOITIER MOTEUR</t>
  </si>
  <si>
    <t>CR9080</t>
  </si>
  <si>
    <t>REV 2 MAXI CARE</t>
  </si>
  <si>
    <t>POIGNÉE</t>
  </si>
  <si>
    <t>MAIRIE DE ST VINCENT DE PAUL</t>
  </si>
  <si>
    <t>ALIMENTATION GASOIL</t>
  </si>
  <si>
    <t>DUPLE MICHEL</t>
  </si>
  <si>
    <t>VITRE ARRIERE</t>
  </si>
  <si>
    <t>HAYON ARRIÉRE</t>
  </si>
  <si>
    <t>DUPRAT BERNARD</t>
  </si>
  <si>
    <t>CABLE ACCÉLÉRATEUR</t>
  </si>
  <si>
    <t>ROTOR</t>
  </si>
  <si>
    <t>ELEVATEUR</t>
  </si>
  <si>
    <t>OTS</t>
  </si>
  <si>
    <t>POUTOIR LUCAS</t>
  </si>
  <si>
    <t>CUMA DU BIELE DE GAUJACQ</t>
  </si>
  <si>
    <t>gARANTIE</t>
  </si>
  <si>
    <t>PIVOT DE FLECHE</t>
  </si>
  <si>
    <t xml:space="preserve">PASQUARET </t>
  </si>
  <si>
    <t>FIAT 540</t>
  </si>
  <si>
    <t>RENAULT 547</t>
  </si>
  <si>
    <t>ARBRE TRANSMISSION PONT AVANT</t>
  </si>
  <si>
    <t>DENT SOUS SOLEUSE</t>
  </si>
  <si>
    <t>ROUND BALLER DEMO</t>
  </si>
  <si>
    <t>FOURGON JULIEN</t>
  </si>
  <si>
    <t>REVISION 220000KM</t>
  </si>
  <si>
    <t>CALCULATEUR ISOBUS</t>
  </si>
  <si>
    <t>FAISCEAU INIAKI</t>
  </si>
  <si>
    <t>SCEA BORDENAVE</t>
  </si>
  <si>
    <t>REDRESSER ET SOUDER BRAS RELEVAGE</t>
  </si>
  <si>
    <t>EARL LA DEESSE DES GOURMETS</t>
  </si>
  <si>
    <t>TWINSHIFT</t>
  </si>
  <si>
    <t>TREUIL</t>
  </si>
  <si>
    <t>BOURGOIN B510</t>
  </si>
  <si>
    <t>ACCOUDOIR</t>
  </si>
  <si>
    <t>VALTRA</t>
  </si>
  <si>
    <t>ROULEMENT COTÉ DROIT</t>
  </si>
  <si>
    <t>OTS 16236</t>
  </si>
  <si>
    <t>SCEA DE MARLUS</t>
  </si>
  <si>
    <t>ARES 630</t>
  </si>
  <si>
    <t>EARL LABAT</t>
  </si>
  <si>
    <t>REV 1900H</t>
  </si>
  <si>
    <t>PEINTURE</t>
  </si>
  <si>
    <t>NEXOS 240</t>
  </si>
  <si>
    <t>REV 2800H</t>
  </si>
  <si>
    <t>HYDRAULIQUE</t>
  </si>
  <si>
    <t>EARL LADOUAR</t>
  </si>
  <si>
    <t>FUITE HUILE RÉDUCTEUR</t>
  </si>
  <si>
    <t>EARL DES CHÊNES</t>
  </si>
  <si>
    <t>EARL DU DIOS</t>
  </si>
  <si>
    <t>LAGRAULA</t>
  </si>
  <si>
    <t>PNEUX</t>
  </si>
  <si>
    <t>VÉRIN RELEVAGE</t>
  </si>
  <si>
    <t>ARES 657</t>
  </si>
  <si>
    <t>POMPE INJECTION</t>
  </si>
  <si>
    <t>CODE A4D9</t>
  </si>
  <si>
    <t>EARL DU CAILLAOU</t>
  </si>
  <si>
    <t>MORA JEAN</t>
  </si>
  <si>
    <t>PUSH PULL</t>
  </si>
  <si>
    <t>DISTRIBUTEUR RELEVAGE AVANT</t>
  </si>
  <si>
    <t>ARBRE DEPOUILLEUSE</t>
  </si>
  <si>
    <t>REV 800H</t>
  </si>
  <si>
    <t xml:space="preserve">SARL DU TASTET </t>
  </si>
  <si>
    <t>AVANCEMENT</t>
  </si>
  <si>
    <t>SIEGE ET EXTRACTEURS</t>
  </si>
  <si>
    <t>REV 1800H</t>
  </si>
  <si>
    <t>ATLAS 21</t>
  </si>
  <si>
    <t>GARANTIE MAITRE</t>
  </si>
  <si>
    <t>TRANSPALETTE</t>
  </si>
  <si>
    <t>BATTERIE ET PDF</t>
  </si>
  <si>
    <t>GIRAFFA 185 XL</t>
  </si>
  <si>
    <t>DESSILEUSE</t>
  </si>
  <si>
    <t>BRAS DE CHARGEMENT</t>
  </si>
  <si>
    <t>MME DARNAUDET BRIGITTE</t>
  </si>
  <si>
    <t>RENAULT 85-32</t>
  </si>
  <si>
    <t>DÉMARRAGE</t>
  </si>
  <si>
    <t>MASCHIO BRAVA</t>
  </si>
  <si>
    <t>BOITIER PDF</t>
  </si>
  <si>
    <t>CODE A514/A69F</t>
  </si>
  <si>
    <t>R2N RAGT</t>
  </si>
  <si>
    <t>CUMA DE ESTIBEAUX</t>
  </si>
  <si>
    <t>COUTEAU</t>
  </si>
  <si>
    <t>GPT BOUHETTE LAURINCAZEAUX</t>
  </si>
  <si>
    <t>EARL LA BIENVENUE</t>
  </si>
  <si>
    <t>ESSIEU AVANT DROIT</t>
  </si>
  <si>
    <t>EI SAINT SARDOS JULIEN</t>
  </si>
  <si>
    <t>RENAULT 854</t>
  </si>
  <si>
    <t>CODE ERREUR AD87</t>
  </si>
  <si>
    <t>EARL DU PEYROUX</t>
  </si>
  <si>
    <t>LARRAT FRANCIS</t>
  </si>
  <si>
    <t>STABILISATEUR ET GYROPHARE</t>
  </si>
  <si>
    <t>SCEA LA BAMBOULA</t>
  </si>
  <si>
    <t>SULKY X36</t>
  </si>
  <si>
    <t>DRT</t>
  </si>
  <si>
    <t>EARL PETIT CABE</t>
  </si>
  <si>
    <t>ROUSSEAU</t>
  </si>
  <si>
    <t>MOUVEMENT FLECHE</t>
  </si>
  <si>
    <t>CODE A4F4</t>
  </si>
  <si>
    <t>JAUGE GASOIL</t>
  </si>
  <si>
    <t>GIRAFFA</t>
  </si>
  <si>
    <t xml:space="preserve">ROULEMENT </t>
  </si>
  <si>
    <t>FREINS À MAIN</t>
  </si>
  <si>
    <t>CLIMATISATION</t>
  </si>
  <si>
    <t>CODE 7728H</t>
  </si>
  <si>
    <t>ROULEMENT ROTOR ET PATINS</t>
  </si>
  <si>
    <t>VICON IXTER</t>
  </si>
  <si>
    <t>CX 780</t>
  </si>
  <si>
    <t>ARES 567</t>
  </si>
  <si>
    <t>MORYS FRANCK</t>
  </si>
  <si>
    <t>CODE 75E4</t>
  </si>
  <si>
    <t>ARION 810</t>
  </si>
  <si>
    <t>CONSO LIQUIDE REFROIDISSEMENT</t>
  </si>
  <si>
    <t>EARL BELLOCQ</t>
  </si>
  <si>
    <t>REV 2200H</t>
  </si>
  <si>
    <t>DARNAUDET BRIGITTE</t>
  </si>
  <si>
    <t>INFILTRATION D'EAU</t>
  </si>
  <si>
    <t>BOUISSE</t>
  </si>
  <si>
    <t>AXOS 300</t>
  </si>
  <si>
    <t>3°FONCTION CHARGEUR</t>
  </si>
  <si>
    <t>ARRIBEHAUTE ANDRE</t>
  </si>
  <si>
    <t>OS 16313</t>
  </si>
  <si>
    <t>REV 12 MOIS</t>
  </si>
  <si>
    <t>PUSSACQ STEPHANE</t>
  </si>
  <si>
    <t>BARRE DE TORSION</t>
  </si>
  <si>
    <t>EARL GARESTE JEAN PIERRE</t>
  </si>
  <si>
    <t>ROTULE DE DIRECTION</t>
  </si>
  <si>
    <t>EURL DES 4 CHENES</t>
  </si>
  <si>
    <t>DISTRIBUTEUR N°1</t>
  </si>
  <si>
    <t>SCEA LA SARGA</t>
  </si>
  <si>
    <t>CODE AB3D</t>
  </si>
  <si>
    <t>ROULEMENT ROTOR</t>
  </si>
  <si>
    <t>PORTE ET ELECTROVANNE</t>
  </si>
  <si>
    <t>SONDE TEMPERATURE</t>
  </si>
  <si>
    <t>REMPLACEMENT ROULEMENT DISQUE SOC SEMOIR</t>
  </si>
  <si>
    <t>SARL LESBARRERE TRAVAUX AGRICOLES</t>
  </si>
  <si>
    <t>EARL DUBLANC</t>
  </si>
  <si>
    <t>KARCHER 9/20</t>
  </si>
  <si>
    <t>CODE 7622</t>
  </si>
  <si>
    <t>BOC</t>
  </si>
  <si>
    <t>FUITE TOIT</t>
  </si>
  <si>
    <t>LLANO ROBERTO</t>
  </si>
  <si>
    <t>FUITE HUILE HYDRAULIQUE</t>
  </si>
  <si>
    <t>OTS 16287</t>
  </si>
  <si>
    <t>EARL LEBORDE</t>
  </si>
  <si>
    <t>INTERUPTEUR PDF</t>
  </si>
  <si>
    <t>FIXATION ATTELAGE</t>
  </si>
  <si>
    <t>CABLE DISTRIBUTEUR</t>
  </si>
  <si>
    <t>CHARGEUR FRONTAL</t>
  </si>
  <si>
    <t>CABLE MONTER DESCENTE</t>
  </si>
  <si>
    <t>MISE EN ROUTE GPS</t>
  </si>
  <si>
    <t>COMMUNAUTE DE COMMUNE GRAND DAX</t>
  </si>
  <si>
    <t>PRESSION LUB</t>
  </si>
  <si>
    <t xml:space="preserve">CUMA LA CIGALE </t>
  </si>
  <si>
    <t>FAISCEAU ELECTRIQUE</t>
  </si>
  <si>
    <t>CODE ERREUR 18EC</t>
  </si>
  <si>
    <t>GIRAFFA 185</t>
  </si>
  <si>
    <t>OTS 16295</t>
  </si>
  <si>
    <t>EARL DOUS AUCHETS</t>
  </si>
  <si>
    <t>TEAGLE</t>
  </si>
  <si>
    <t>EARL LANOT CASTERAN</t>
  </si>
  <si>
    <t>NEXOS 230</t>
  </si>
  <si>
    <t>ARES 660</t>
  </si>
  <si>
    <t>FUITE BOITIER</t>
  </si>
  <si>
    <t>CATLAS JEAN PIERRE</t>
  </si>
  <si>
    <t>ARES 507</t>
  </si>
  <si>
    <t>AFFICHEUR</t>
  </si>
  <si>
    <t xml:space="preserve">LAME NIVELEUSE </t>
  </si>
  <si>
    <t>ROULEAU LANDAIS</t>
  </si>
  <si>
    <t xml:space="preserve">BOULON </t>
  </si>
  <si>
    <t>ADBLUE</t>
  </si>
  <si>
    <t>EARL PEPINIERES LACAUSSE</t>
  </si>
  <si>
    <t>ARRACHEUSE MOTTE</t>
  </si>
  <si>
    <t>VIS</t>
  </si>
  <si>
    <t>SIEGE PNEUMATIQUE</t>
  </si>
  <si>
    <t>BENNE</t>
  </si>
  <si>
    <t>OTS 16309</t>
  </si>
  <si>
    <t>ZAV 2700</t>
  </si>
  <si>
    <t>EARL LAMBERT</t>
  </si>
  <si>
    <t>AMAZONE ZA-V 3200</t>
  </si>
  <si>
    <t>MAITRE REMORQUE</t>
  </si>
  <si>
    <t>FREINAGE</t>
  </si>
  <si>
    <t>CAMERA ET FEUX</t>
  </si>
  <si>
    <t>REMORQUE LABAT</t>
  </si>
  <si>
    <t>BRAS PORTE</t>
  </si>
  <si>
    <t>PALES 230</t>
  </si>
  <si>
    <t>VOYANTS TABLEAU DE BORD</t>
  </si>
  <si>
    <t>CONTACTEUR GAMMES</t>
  </si>
  <si>
    <t>FILTRE TRANSMISSION</t>
  </si>
  <si>
    <t>SARL COUREAU</t>
  </si>
  <si>
    <t>FUITE COUPLEUR HYDRO</t>
  </si>
  <si>
    <t>GPT MATHIO LESBATS</t>
  </si>
  <si>
    <t>FREIN /PRISE HYDRI</t>
  </si>
  <si>
    <t>SAS TPM</t>
  </si>
  <si>
    <t>BIELLETTE SUSPENSION CABINE</t>
  </si>
  <si>
    <t>MARCON PIERRE</t>
  </si>
  <si>
    <t>ROULEMENT MOYEU ET FUSÉE</t>
  </si>
  <si>
    <t>BARROUILLET CHRISTIAN</t>
  </si>
  <si>
    <t>REV 1400H</t>
  </si>
  <si>
    <t>GRUE FORESTIERE</t>
  </si>
  <si>
    <t>MALLET DENIS</t>
  </si>
  <si>
    <t>BRUIT A L'AVANT DU MOTEUR</t>
  </si>
  <si>
    <t>ROULEAU PALPEUR</t>
  </si>
  <si>
    <t>LES JARDINS DE BERDIS</t>
  </si>
  <si>
    <t>REMPLACEMENT ROULEMENT FUSÉE</t>
  </si>
  <si>
    <t>INCENDIE</t>
  </si>
  <si>
    <t>SCEA OUSTOU</t>
  </si>
  <si>
    <t xml:space="preserve">Numéro </t>
  </si>
  <si>
    <t>Client</t>
  </si>
  <si>
    <t>Machine</t>
  </si>
  <si>
    <t>Panne</t>
  </si>
  <si>
    <t>Date Cloture</t>
  </si>
  <si>
    <t>Type</t>
  </si>
  <si>
    <t>TYPE</t>
  </si>
  <si>
    <t>Lannot Casteran</t>
  </si>
  <si>
    <t>Joints de culasse</t>
  </si>
  <si>
    <t>LESBARRERE TRAVAUX AGRICOLE</t>
  </si>
  <si>
    <t>PARE BRISSE</t>
  </si>
  <si>
    <t>ELIOS</t>
  </si>
  <si>
    <t>MANQUE DE PUISSANCE</t>
  </si>
  <si>
    <t xml:space="preserve">TASTET </t>
  </si>
  <si>
    <t>CERES 95</t>
  </si>
  <si>
    <t>ELECTICITE</t>
  </si>
  <si>
    <t>GAEC LECLAOUZON</t>
  </si>
  <si>
    <t>a8de</t>
  </si>
  <si>
    <t>VERGEZ SEBASTIEN</t>
  </si>
  <si>
    <t>TURBINE ENROULEUR</t>
  </si>
  <si>
    <t>OTS 15833</t>
  </si>
  <si>
    <t>POT</t>
  </si>
  <si>
    <t>BERNAJUSAN</t>
  </si>
  <si>
    <t>FLECHE TELESCO</t>
  </si>
  <si>
    <t>RENAULT 50S</t>
  </si>
  <si>
    <t>TRACTEUR RENVERSE</t>
  </si>
  <si>
    <t>MAIRIE DE OEYREGAVE</t>
  </si>
  <si>
    <t>AXOS 320</t>
  </si>
  <si>
    <t>ROUE AVANT</t>
  </si>
  <si>
    <t>4 ROUES MOTRICES</t>
  </si>
  <si>
    <t>EARL BARRASTE</t>
  </si>
  <si>
    <t>LINER 1600</t>
  </si>
  <si>
    <t>PLANCHE ANDAIN</t>
  </si>
  <si>
    <t>MONCLA RENE</t>
  </si>
  <si>
    <t>RENAULT R55</t>
  </si>
  <si>
    <t>FUITE MOTEUR</t>
  </si>
  <si>
    <t xml:space="preserve">PATISSIER VINCENT </t>
  </si>
  <si>
    <t>PATIN USES</t>
  </si>
  <si>
    <t>BROYEUR AGRIMASTER FA175</t>
  </si>
  <si>
    <t>AXES PIVOTS</t>
  </si>
  <si>
    <t>EARL FERME DE BLAZY</t>
  </si>
  <si>
    <t>RENAULT 106 54</t>
  </si>
  <si>
    <t>CONTACTEUR CLEFS</t>
  </si>
  <si>
    <t xml:space="preserve">MASTER </t>
  </si>
  <si>
    <t>PNEU ARRIERE</t>
  </si>
  <si>
    <t>BUROSSE</t>
  </si>
  <si>
    <t>CUEILLEUR 5 RANGS</t>
  </si>
  <si>
    <t>CUEILLEUR 4 RANGS</t>
  </si>
  <si>
    <t>WENSELEERS</t>
  </si>
  <si>
    <t>NECTIS 227</t>
  </si>
  <si>
    <t>SCORPION 732</t>
  </si>
  <si>
    <t>REVISION ENTRETIEN PREVENTIF</t>
  </si>
  <si>
    <t>MARQUINE MARCEL</t>
  </si>
  <si>
    <t>NECTIS 257</t>
  </si>
  <si>
    <t>REVISION 3500H</t>
  </si>
  <si>
    <t>MAS SEED</t>
  </si>
  <si>
    <t xml:space="preserve">DP4000 </t>
  </si>
  <si>
    <t>REVISION ANNUEL</t>
  </si>
  <si>
    <t>RENAULT 55</t>
  </si>
  <si>
    <t>CUMA DES GAVES</t>
  </si>
  <si>
    <t>ROLLANT 540 RF</t>
  </si>
  <si>
    <t>ARES 725</t>
  </si>
  <si>
    <t>NACELLE</t>
  </si>
  <si>
    <t>BAURAL DP4011</t>
  </si>
  <si>
    <t xml:space="preserve">EARL LAPOUBLE </t>
  </si>
  <si>
    <t>PRESSION PULVE</t>
  </si>
  <si>
    <t>LESCOUTE PHILIPPE</t>
  </si>
  <si>
    <t>VALVE BOITE DE VITESSE</t>
  </si>
  <si>
    <t>TRANSMISSION</t>
  </si>
  <si>
    <t>EARL LAMOTHE</t>
  </si>
  <si>
    <t>JAUGE ADBLUE</t>
  </si>
  <si>
    <t>EARL DE CAPDEVILLE</t>
  </si>
  <si>
    <t>PLASSIN JEAN CLAUDE</t>
  </si>
  <si>
    <t>CELTIS</t>
  </si>
  <si>
    <t>SCEA DE BONNEHOUN</t>
  </si>
  <si>
    <t>RENAULT 851</t>
  </si>
  <si>
    <t>EARL BORD ADOUR</t>
  </si>
  <si>
    <t>AION 620</t>
  </si>
  <si>
    <t>ROUE CHARRUE</t>
  </si>
  <si>
    <t>SCEA CAZENAVE</t>
  </si>
  <si>
    <t>SEMOIR</t>
  </si>
  <si>
    <t>EARL HOURTON</t>
  </si>
  <si>
    <t>EPANDEUR VICON</t>
  </si>
  <si>
    <t>MAIRIE DE SAINT LON</t>
  </si>
  <si>
    <t>ASSURANCE VITRE</t>
  </si>
  <si>
    <t>CHARRUE MASCHIO</t>
  </si>
  <si>
    <t>BOITIER RETOURNEMENT</t>
  </si>
  <si>
    <t xml:space="preserve">SALLABERRY </t>
  </si>
  <si>
    <t>MATABOS HERVE</t>
  </si>
  <si>
    <t>GAMMES</t>
  </si>
  <si>
    <t>EARL ISABELLE</t>
  </si>
  <si>
    <t>PRISE ISO</t>
  </si>
  <si>
    <t>EARL LE FOURRET</t>
  </si>
  <si>
    <t>RELEVAGE FUITE</t>
  </si>
  <si>
    <t>EARL DAMESTOY</t>
  </si>
  <si>
    <t>TEMPÉRATURE GASOIL</t>
  </si>
  <si>
    <t>GRAISSEUR TABLIER</t>
  </si>
  <si>
    <t>SOULU NICOLAS</t>
  </si>
  <si>
    <t>LINER 500</t>
  </si>
  <si>
    <t>ROUE TANDEM</t>
  </si>
  <si>
    <t xml:space="preserve">FUITE D'HUILE </t>
  </si>
  <si>
    <t>COURROIE TENDEUR POULIE</t>
  </si>
  <si>
    <t>CHANDELLES ET STABILISATEURS</t>
  </si>
  <si>
    <t>FUITE HUILES</t>
  </si>
  <si>
    <t>EARL DES 2 TOURNANTS</t>
  </si>
  <si>
    <t>TETE DE ROTULE</t>
  </si>
  <si>
    <t>CHARGEUR MAILLEUX MXU150</t>
  </si>
  <si>
    <t>CONTACTEUR PEDALES FREIN</t>
  </si>
  <si>
    <t>FUITE D'EAU</t>
  </si>
  <si>
    <t>BOURRAGE PICKUP</t>
  </si>
  <si>
    <t>GAEC DU SAOUT</t>
  </si>
  <si>
    <t xml:space="preserve">BOC PEDALE </t>
  </si>
  <si>
    <t>DARRIGADE JEAN BERNARD</t>
  </si>
  <si>
    <t>NH</t>
  </si>
  <si>
    <t>ARBRE 4 RM</t>
  </si>
  <si>
    <t>GAEC DES MAREES</t>
  </si>
  <si>
    <t>MISE A JOUR</t>
  </si>
  <si>
    <t>GRACIET JEAN CLAUDE</t>
  </si>
  <si>
    <t>MONTÉE D'HUILE</t>
  </si>
  <si>
    <t xml:space="preserve">DACHARRY </t>
  </si>
  <si>
    <t>BAGUE CHARGEUR</t>
  </si>
  <si>
    <t>EARL LABORDE DU MESCH</t>
  </si>
  <si>
    <t>CONNETS THIERRY</t>
  </si>
  <si>
    <t>LOUSTAOU DU CHENE</t>
  </si>
  <si>
    <t>ARES 825</t>
  </si>
  <si>
    <t>CLIM + JOINTS ECHAPPEMENT</t>
  </si>
  <si>
    <t>LANDINI</t>
  </si>
  <si>
    <t>DEPANNAGE DEMARRAGE</t>
  </si>
  <si>
    <t>CUMA SAINT MARTIN DE HINX</t>
  </si>
  <si>
    <t>ROLLANT 340</t>
  </si>
  <si>
    <t>ASF</t>
  </si>
  <si>
    <t>CHAUFFE EPAREUSE</t>
  </si>
  <si>
    <t>CLIM + VISCO</t>
  </si>
  <si>
    <t xml:space="preserve">ADOUR </t>
  </si>
  <si>
    <t>CASE</t>
  </si>
  <si>
    <t xml:space="preserve">VIGNEAU JEAN MARC </t>
  </si>
  <si>
    <t>AXION 600</t>
  </si>
  <si>
    <t>ARES 606</t>
  </si>
  <si>
    <t>GODET CHARGEUR</t>
  </si>
  <si>
    <t>NEOS</t>
  </si>
  <si>
    <t>PRISE DE FORCE</t>
  </si>
  <si>
    <t>PALIER 4 RM</t>
  </si>
  <si>
    <t>TOYOTA</t>
  </si>
  <si>
    <t>SUPPORT TAPIS BATTEUSE</t>
  </si>
  <si>
    <t>COUVERCLE RELEVAGE</t>
  </si>
  <si>
    <t>CUMA DE L'AVENIR</t>
  </si>
  <si>
    <t>MANO PORTE</t>
  </si>
  <si>
    <t>POLLUTION FREIN</t>
  </si>
  <si>
    <t>BARRE ATTELAGE SEMOIR</t>
  </si>
  <si>
    <t>GPT LASSEGUE ESPERANZA</t>
  </si>
  <si>
    <t xml:space="preserve">FUITE HUILE HYDRAULIQUE </t>
  </si>
  <si>
    <t>DICHARRY BERNARD</t>
  </si>
  <si>
    <t>REFROIDISSEMENT</t>
  </si>
  <si>
    <t>PRÊT</t>
  </si>
  <si>
    <t>POUSTIS GERARD</t>
  </si>
  <si>
    <t>CLIM + PRESSION GASOIL</t>
  </si>
  <si>
    <t>FREIN PARC</t>
  </si>
  <si>
    <t>DURITE CHAUFFAGE</t>
  </si>
  <si>
    <t>BRAS RELEVAGE</t>
  </si>
  <si>
    <t>SCEA LA BASSE COUR</t>
  </si>
  <si>
    <t>EARL LEPOUBLE</t>
  </si>
  <si>
    <t>DEFAULT PRESSION</t>
  </si>
  <si>
    <t>FUITE TUYAU HP GASOIL</t>
  </si>
  <si>
    <t>SILENBLOC CABINE</t>
  </si>
  <si>
    <t>COURROIE + CLIM</t>
  </si>
  <si>
    <t>JD 2850</t>
  </si>
  <si>
    <t>FUITE CLIM</t>
  </si>
  <si>
    <t>ROLLAND 340</t>
  </si>
  <si>
    <t>ELECTROVANNES</t>
  </si>
  <si>
    <t>CLIM ET ATTELAGE</t>
  </si>
  <si>
    <t>RELEVAGE AVANT</t>
  </si>
  <si>
    <t>EARL PALMILAND</t>
  </si>
  <si>
    <t>INVERSION ROUE ARRIERE</t>
  </si>
  <si>
    <t>HERSE MASCHIO</t>
  </si>
  <si>
    <t xml:space="preserve">BOITIER </t>
  </si>
  <si>
    <t>TUYAU RAMPE COMMUNE</t>
  </si>
  <si>
    <t>VERIN POMPAGE / ENFOUISSEUR</t>
  </si>
  <si>
    <t>CUMA GAVES ARRIGANS</t>
  </si>
  <si>
    <t>BROYEUR AGRIMASTER KP2250</t>
  </si>
  <si>
    <t>ROULEMENT ROULEAU PALPEUR ET FLEXIBLE MOTEUR</t>
  </si>
  <si>
    <t>ROLLAND 520</t>
  </si>
  <si>
    <t>OUVERTURE DE PORTE</t>
  </si>
  <si>
    <t>TROMPETTE</t>
  </si>
  <si>
    <t>AXOS 310</t>
  </si>
  <si>
    <t>PEANT CEDRIC</t>
  </si>
  <si>
    <t>INVERSEUR BRUTALE</t>
  </si>
  <si>
    <t>CUMA LA SAINT LONNAISE</t>
  </si>
  <si>
    <t>MODULE MOTEUR</t>
  </si>
  <si>
    <t>CONFECTION PALETTE EVACUATION FOURRAGE</t>
  </si>
  <si>
    <t>EARL DES SOURCES</t>
  </si>
  <si>
    <t>CARRARO</t>
  </si>
  <si>
    <t>PICK UP ET LIAGE</t>
  </si>
  <si>
    <t>PIC BOTTE</t>
  </si>
  <si>
    <t>SORTIR DENT</t>
  </si>
  <si>
    <t>CODE ERREUR PACLOCK</t>
  </si>
  <si>
    <t>MAIRIE DE SAINT ETIENNE D'ORTHE</t>
  </si>
  <si>
    <t>JOHN DEERE 5720</t>
  </si>
  <si>
    <t>FUITE D'HUILE SOUS CABINE</t>
  </si>
  <si>
    <t>CRESPIO JEROME</t>
  </si>
  <si>
    <t>BIDORET PATRICK</t>
  </si>
  <si>
    <t>ARES 546</t>
  </si>
  <si>
    <t>MANQUE PUISSANCE</t>
  </si>
  <si>
    <t>ATOMISEUR</t>
  </si>
  <si>
    <t>BORRICHERE JEAN PIERRE</t>
  </si>
  <si>
    <t>MEMBRANE DETECTION GAUCHE</t>
  </si>
  <si>
    <t>RENAULT 133-54</t>
  </si>
  <si>
    <t>LANOT CASTERAN</t>
  </si>
  <si>
    <t>FLEXIBLE RELEVAGE</t>
  </si>
  <si>
    <t>SCEA DE LA BASSE COUR</t>
  </si>
  <si>
    <t>FLEXIBLE JOINT DE VERIN</t>
  </si>
  <si>
    <t>ATOS</t>
  </si>
  <si>
    <t>CUMA DE ST MARTIN DE HINX</t>
  </si>
  <si>
    <t>ROLLANT 540 RC</t>
  </si>
  <si>
    <t>DÉPART INCENDIE</t>
  </si>
  <si>
    <t>CABLE EMBRAYAGE</t>
  </si>
  <si>
    <t>ROULEMENT AMENEUR</t>
  </si>
  <si>
    <t>CASE IH</t>
  </si>
  <si>
    <t xml:space="preserve">FUITE HUILE </t>
  </si>
  <si>
    <t>CUEILLEURS DOMINIONI</t>
  </si>
  <si>
    <t>REVISION 2024</t>
  </si>
  <si>
    <t>LIAGE</t>
  </si>
  <si>
    <t>LAFOURCADE OLIVIER</t>
  </si>
  <si>
    <t>CASE MAXXUM 190</t>
  </si>
  <si>
    <t>COURET PATRICK</t>
  </si>
  <si>
    <t>JOINT VERRIN</t>
  </si>
  <si>
    <t>TURBO 640</t>
  </si>
  <si>
    <t>BAURAL CP2000</t>
  </si>
  <si>
    <t>EARL DE PARROUQUET</t>
  </si>
  <si>
    <t>GOUJON DE ROUES FUITE GASOIL</t>
  </si>
  <si>
    <t>PRESSION GASOIL ET TENDEUR COURROIE</t>
  </si>
  <si>
    <t>SONDE PRESSION</t>
  </si>
  <si>
    <t>HOLMAC</t>
  </si>
  <si>
    <t>PRÊT SCEA DES LAURIERS</t>
  </si>
  <si>
    <t>BRUIT ROULEAU</t>
  </si>
  <si>
    <t>SARL DESSARPS</t>
  </si>
  <si>
    <t>XERION 3800</t>
  </si>
  <si>
    <t>FUITE FREIN PARKING</t>
  </si>
  <si>
    <t>OT 16257</t>
  </si>
  <si>
    <t>ZETOR 8045</t>
  </si>
  <si>
    <t>PULVERISATEUR TECNOMA</t>
  </si>
  <si>
    <t>DX 3.90</t>
  </si>
  <si>
    <t>ESSUIE GLACE</t>
  </si>
  <si>
    <t>GPT MAIRIE ST ETIENNE - PORT DE LANNE</t>
  </si>
  <si>
    <t xml:space="preserve">EPAREUSE ROUSSEAU </t>
  </si>
  <si>
    <t xml:space="preserve">ELECTRICITÉ </t>
  </si>
  <si>
    <t>DEMO KIWI</t>
  </si>
  <si>
    <t>STE R2N RAGT</t>
  </si>
  <si>
    <t>BAURAL</t>
  </si>
  <si>
    <t>SONDE TEMPÉRATURE HUILE</t>
  </si>
  <si>
    <t>MAIRIE DE ST ETIENNE D'ORTHE</t>
  </si>
  <si>
    <t>FLEXIBLE CHARGEUR</t>
  </si>
  <si>
    <t>BOITE DE  TRANSFERT</t>
  </si>
  <si>
    <t>FLEXIBLE AIR</t>
  </si>
  <si>
    <t>SUPPORT TELEPHONE</t>
  </si>
  <si>
    <t>LEVE PALETTE</t>
  </si>
  <si>
    <t xml:space="preserve">CONFECTION DISTRIBUTEUR </t>
  </si>
  <si>
    <t>REDUCTEUR ET CLIM</t>
  </si>
  <si>
    <t>BAURAL DP4006</t>
  </si>
  <si>
    <t>SUITE REVISION</t>
  </si>
  <si>
    <t>NEXO 230</t>
  </si>
  <si>
    <t>CABLE RELEVAGE</t>
  </si>
  <si>
    <t>GENESTE SYLVAINE</t>
  </si>
  <si>
    <t>PALIER ET ROULEMENT ROULEAU</t>
  </si>
  <si>
    <t>ROLLAND 540</t>
  </si>
  <si>
    <t>RETOUR CUMA ST MARTIN DE HINX</t>
  </si>
  <si>
    <t>CHAPE ATTELAGE</t>
  </si>
  <si>
    <t>LAHARGOU JEAN FRANCOIS</t>
  </si>
  <si>
    <t>ARES 530</t>
  </si>
  <si>
    <t>INCENDIT FAISCEAU MOTEUR</t>
  </si>
  <si>
    <t>CREVAISON PNEU ARRIERE GAUCHE</t>
  </si>
  <si>
    <t>PEYRE DOMINIQUE</t>
  </si>
  <si>
    <t>DP4006</t>
  </si>
  <si>
    <t>RADIATEUR HYDRAULIQUE</t>
  </si>
  <si>
    <t>OS16217</t>
  </si>
  <si>
    <t>ROULEMENT TURBINE</t>
  </si>
  <si>
    <t>VIS SANS FIN</t>
  </si>
  <si>
    <t>EPANDEUR KUHN</t>
  </si>
  <si>
    <t>VERIN TRAPPES</t>
  </si>
  <si>
    <t>SP2100B</t>
  </si>
  <si>
    <t>LAMIGNON JEAN</t>
  </si>
  <si>
    <t>BRUIT ROUE</t>
  </si>
  <si>
    <t>DP4000A</t>
  </si>
  <si>
    <t>PNEU ARRIERE DROIT</t>
  </si>
  <si>
    <t>INTERRUPTEUR PDF</t>
  </si>
  <si>
    <t>REMONTAGE TURBO</t>
  </si>
  <si>
    <t xml:space="preserve">COMETS FRANCOIS </t>
  </si>
  <si>
    <t xml:space="preserve">ATOS </t>
  </si>
  <si>
    <t>ARION 430 LYCEE MUGRON</t>
  </si>
  <si>
    <t>CONTACTEUR À CLEF</t>
  </si>
  <si>
    <t>CX8080</t>
  </si>
  <si>
    <t>CODE ERREUR 75D6 (BOC)</t>
  </si>
  <si>
    <t>BAURAL DP4000</t>
  </si>
  <si>
    <t>BRAS LEVAGE</t>
  </si>
  <si>
    <t>MAIRIE DE SAINT JEAN MARSACQ</t>
  </si>
  <si>
    <t>SCEA DU TUC DE HAURAN</t>
  </si>
  <si>
    <t>ECHANGEUR</t>
  </si>
  <si>
    <t>EARL DE MAILLOCQ</t>
  </si>
  <si>
    <t>LIQUIDE REFROIDISSEMENT</t>
  </si>
  <si>
    <t>ECLAIRAGE ARRIERE</t>
  </si>
  <si>
    <t>REMORQUE KIWI</t>
  </si>
  <si>
    <t>VIGNEAU JEAN MARIE</t>
  </si>
  <si>
    <t>SCEA PUMAGNAN</t>
  </si>
  <si>
    <t>RENAULT 551-4</t>
  </si>
  <si>
    <t>MOTEUR ROTOR</t>
  </si>
  <si>
    <t>CODE ERREUR A936</t>
  </si>
  <si>
    <t>DESSILEUSE CASTOR</t>
  </si>
  <si>
    <t>BOITIER TURBINE</t>
  </si>
  <si>
    <t>GARAT MATHIEU</t>
  </si>
  <si>
    <t>RELEVEUR CUEILLEUR</t>
  </si>
  <si>
    <t>CUMA L'AVENIR</t>
  </si>
  <si>
    <t xml:space="preserve">ROULEMENT ROULEAU PALPEUR </t>
  </si>
  <si>
    <t>BAURAL DP4000A</t>
  </si>
  <si>
    <t>DEPOSE TAPIS</t>
  </si>
  <si>
    <t>DAMESTOY JEAN PIERRE</t>
  </si>
  <si>
    <t>AD BLUE</t>
  </si>
  <si>
    <t>ELIOS 230</t>
  </si>
  <si>
    <t>ATHENA'GRICOLE</t>
  </si>
  <si>
    <t>PAS D'AVANCEMENT</t>
  </si>
  <si>
    <t>ECURIE HBP</t>
  </si>
  <si>
    <t>FIAT DT100</t>
  </si>
  <si>
    <t>SARL CHEVALLIER MICHAEL</t>
  </si>
  <si>
    <t>CHARGEUR FL100</t>
  </si>
  <si>
    <t>N°</t>
  </si>
  <si>
    <t>N°OR</t>
  </si>
  <si>
    <t>Date</t>
  </si>
  <si>
    <t xml:space="preserve">Client </t>
  </si>
  <si>
    <t>Organe</t>
  </si>
  <si>
    <t>Heures/ Ha</t>
  </si>
  <si>
    <t>N° Récepicé</t>
  </si>
  <si>
    <t>Echantillon 
d'huiles</t>
  </si>
  <si>
    <t>Piéces
Envoyés</t>
  </si>
  <si>
    <t>Pièces 
Demandés</t>
  </si>
  <si>
    <t>Pièces 
Remboursés</t>
  </si>
  <si>
    <t>Pièces
Refusés</t>
  </si>
  <si>
    <t>MO
Demandé</t>
  </si>
  <si>
    <t>MO
Remboursé</t>
  </si>
  <si>
    <t>MO
Refusé</t>
  </si>
  <si>
    <t>franchise</t>
  </si>
  <si>
    <t>Montant non remboursé</t>
  </si>
  <si>
    <t>date paiement</t>
  </si>
  <si>
    <t>Emplacement</t>
  </si>
  <si>
    <t>Date rebus</t>
  </si>
  <si>
    <t>Colonne1</t>
  </si>
  <si>
    <t>Piéces mise
 au rebus</t>
  </si>
  <si>
    <t>MOTIF REFUS</t>
  </si>
  <si>
    <t>REMBOUSEMENT 
PARTIEL</t>
  </si>
  <si>
    <t>AUDIT 2024</t>
  </si>
  <si>
    <t>Compte rendu audit</t>
  </si>
  <si>
    <t>OS 15806</t>
  </si>
  <si>
    <t>ACTIVATEUR TURBO</t>
  </si>
  <si>
    <t>CAPTEUR POSITION</t>
  </si>
  <si>
    <t>4012-19</t>
  </si>
  <si>
    <t>DISTRIBUREUR N° BLEU</t>
  </si>
  <si>
    <t>2731H</t>
  </si>
  <si>
    <t>346H</t>
  </si>
  <si>
    <t>TURBO + COMPRESSEUR</t>
  </si>
  <si>
    <t xml:space="preserve">4472H </t>
  </si>
  <si>
    <t>1312H</t>
  </si>
  <si>
    <t>MODIF CLIM</t>
  </si>
  <si>
    <t>958H</t>
  </si>
  <si>
    <t>TASTET CEDRIC</t>
  </si>
  <si>
    <t>3145H</t>
  </si>
  <si>
    <t>3087H</t>
  </si>
  <si>
    <t>VALVES HYDO</t>
  </si>
  <si>
    <t>3142H</t>
  </si>
  <si>
    <t>CHANDELLES</t>
  </si>
  <si>
    <t>2892H</t>
  </si>
  <si>
    <t>PLATINE FUSIBLE</t>
  </si>
  <si>
    <t>2893H</t>
  </si>
  <si>
    <t>RETROVISEUR</t>
  </si>
  <si>
    <t>SILENT BLOC CABINE</t>
  </si>
  <si>
    <t>59h</t>
  </si>
  <si>
    <t xml:space="preserve">KIT DE MODIFICATION </t>
  </si>
  <si>
    <t>59H</t>
  </si>
  <si>
    <t>CAVAGE BENNAGE LENT</t>
  </si>
  <si>
    <t>POMPE GAVAGE</t>
  </si>
  <si>
    <t>26H</t>
  </si>
  <si>
    <t>CONSOMMABLE NON PRIS EN CHARGE</t>
  </si>
  <si>
    <t>INJECTEUR</t>
  </si>
  <si>
    <t>ARBRE PONT AV GAUCHE</t>
  </si>
  <si>
    <t>3088H</t>
  </si>
  <si>
    <t>EARL  DES MONTS</t>
  </si>
  <si>
    <t>EARL L'ENCATADE</t>
  </si>
  <si>
    <t>SARL DECES ET CIE</t>
  </si>
  <si>
    <t>AUTOCOLLANT</t>
  </si>
  <si>
    <t>LABEYRIE</t>
  </si>
  <si>
    <t>SCORPION 741 VP STAGE V</t>
  </si>
  <si>
    <t>COUDE CHAUFFAGE</t>
  </si>
  <si>
    <t>2180H</t>
  </si>
  <si>
    <t>94H</t>
  </si>
  <si>
    <t>SUPPORT DE SIEGE</t>
  </si>
  <si>
    <t>FUITES + CUVE FILTRE</t>
  </si>
  <si>
    <t>32H</t>
  </si>
  <si>
    <t>541H</t>
  </si>
  <si>
    <t>FUITE D'HUILE</t>
  </si>
  <si>
    <t>423H</t>
  </si>
  <si>
    <t>FOURCHE STABILISATEIUR</t>
  </si>
  <si>
    <t>427H</t>
  </si>
  <si>
    <t>CONTACTEUR STOP</t>
  </si>
  <si>
    <t>817H</t>
  </si>
  <si>
    <t>FUITE REDUCTEUR GAUCHE</t>
  </si>
  <si>
    <t>1838H</t>
  </si>
  <si>
    <t>CEBIS</t>
  </si>
  <si>
    <t>52H</t>
  </si>
  <si>
    <t>TUYAU ORBITROL</t>
  </si>
  <si>
    <t>2898H</t>
  </si>
  <si>
    <t>5701-42528</t>
  </si>
  <si>
    <t>LAMIGNON</t>
  </si>
  <si>
    <t>TUYAU HP</t>
  </si>
  <si>
    <t>28H</t>
  </si>
  <si>
    <t>ELARGISSEUR AILE</t>
  </si>
  <si>
    <t>40H</t>
  </si>
  <si>
    <t>Bonjour Eric, Comme évoqué à de pultiples reprises au RCA et L3 Experts EASY, les problèmes évoqués dans ta garantie sont de l'ordre d'un problème produits présents depuis les débuts. Celà ne rentre pas dans le cadre technique (problème de performances etc.).</t>
  </si>
  <si>
    <t>CABLE INVERSEUR</t>
  </si>
  <si>
    <t>1884H</t>
  </si>
  <si>
    <t>13H</t>
  </si>
  <si>
    <t>5397-42529</t>
  </si>
  <si>
    <t>2770H</t>
  </si>
  <si>
    <t>complément remboursement assurance</t>
  </si>
  <si>
    <t>FL150</t>
  </si>
  <si>
    <t>COUPLEUR CHARGEUR</t>
  </si>
  <si>
    <t>SCEA DU SUZAN</t>
  </si>
  <si>
    <t>PROTECTION CARDAN</t>
  </si>
  <si>
    <t>1110 BOTTES</t>
  </si>
  <si>
    <t>XERION 4500</t>
  </si>
  <si>
    <t>TUYAU HYDRO</t>
  </si>
  <si>
    <t>BOITIER ELECTRONIQUE</t>
  </si>
  <si>
    <t>3010H</t>
  </si>
  <si>
    <t>CAPTEUR B228</t>
  </si>
  <si>
    <t>3411H</t>
  </si>
  <si>
    <t>481H</t>
  </si>
  <si>
    <t>PEINTURE JANTES AVANTS</t>
  </si>
  <si>
    <t>MO 44,44%</t>
  </si>
  <si>
    <t>VALVES PUSCH PULL</t>
  </si>
  <si>
    <t>1210H</t>
  </si>
  <si>
    <t>CODE E06 TRANSMISSION</t>
  </si>
  <si>
    <t>4H</t>
  </si>
  <si>
    <t>CAPTEUR PRESSION B433</t>
  </si>
  <si>
    <t>105H</t>
  </si>
  <si>
    <t>ok</t>
  </si>
  <si>
    <t xml:space="preserve">BOITIER MOTEUR </t>
  </si>
  <si>
    <t>FUITE ACCU REL AVANT</t>
  </si>
  <si>
    <t>FUITE HUILE MOTEUR</t>
  </si>
  <si>
    <t>1657H</t>
  </si>
  <si>
    <t>CEMIS 1200</t>
  </si>
  <si>
    <t>1084H</t>
  </si>
  <si>
    <t>OS 15941</t>
  </si>
  <si>
    <t>186H</t>
  </si>
  <si>
    <t>2065H</t>
  </si>
  <si>
    <t>MAIN D'ŒUVRE PARTIEL 32h DE MO + Joint</t>
  </si>
  <si>
    <t>MINVELLE CHRISTIAN</t>
  </si>
  <si>
    <t>CLIM 636</t>
  </si>
  <si>
    <t>1065H</t>
  </si>
  <si>
    <t>97h</t>
  </si>
  <si>
    <t>ROLLANT 540</t>
  </si>
  <si>
    <t>BOURRAGE AMENEUR</t>
  </si>
  <si>
    <t>2066H</t>
  </si>
  <si>
    <t>MAIN D'ŒUVRE PARTIEL 32h DE MO</t>
  </si>
  <si>
    <t>FUITES D'HUILE</t>
  </si>
  <si>
    <t>241H</t>
  </si>
  <si>
    <t>ARION 850</t>
  </si>
  <si>
    <t>CODE 7cb3</t>
  </si>
  <si>
    <t>2374H</t>
  </si>
  <si>
    <t>RETOUR</t>
  </si>
  <si>
    <t xml:space="preserve">  description de la réception ne fait pas référence à une visite ou réparation antérieur
pas de plainte client</t>
  </si>
  <si>
    <t>JOINT TROMPETTE</t>
  </si>
  <si>
    <t>PHARE DE TRAVAIL</t>
  </si>
  <si>
    <t>VERROUILLAGE CAISSE A OUTIL</t>
  </si>
  <si>
    <t>MOTEUR HYDROSTATIQUE</t>
  </si>
  <si>
    <t>2347H</t>
  </si>
  <si>
    <t>ALIM SIEGE</t>
  </si>
  <si>
    <t>253H</t>
  </si>
  <si>
    <t>BRUYANCE HYDRO</t>
  </si>
  <si>
    <t>197H</t>
  </si>
  <si>
    <t>FUITE LIQUIDE</t>
  </si>
  <si>
    <t>72H</t>
  </si>
  <si>
    <t>42390-42585</t>
  </si>
  <si>
    <t>DUPOUY</t>
  </si>
  <si>
    <t xml:space="preserve">AXION 830 PONT AVANT </t>
  </si>
  <si>
    <t>AXION 810 REV 100H</t>
  </si>
  <si>
    <t>100 H</t>
  </si>
  <si>
    <t>MAIRIE ARENGOSSE</t>
  </si>
  <si>
    <t>3575 H</t>
  </si>
  <si>
    <t>96H</t>
  </si>
  <si>
    <t>520 H</t>
  </si>
  <si>
    <t>520h</t>
  </si>
  <si>
    <t>307h</t>
  </si>
  <si>
    <t>EARL DE BELICQ</t>
  </si>
  <si>
    <t>821H</t>
  </si>
  <si>
    <t>720H</t>
  </si>
  <si>
    <t>1227h</t>
  </si>
  <si>
    <t xml:space="preserve">AXION 830 </t>
  </si>
  <si>
    <t>REV 3500H</t>
  </si>
  <si>
    <t xml:space="preserve">ARION 530 </t>
  </si>
  <si>
    <t xml:space="preserve">MAIRIE TARTAS </t>
  </si>
  <si>
    <t>RV 500H</t>
  </si>
  <si>
    <t>1717H</t>
  </si>
  <si>
    <t>REV 4700H</t>
  </si>
  <si>
    <t>4712H</t>
  </si>
  <si>
    <t xml:space="preserve">PREPA OCCA+ REV 5000H </t>
  </si>
  <si>
    <t>4798H</t>
  </si>
  <si>
    <t>SARL AVL SERVICES</t>
  </si>
  <si>
    <t>AMAZONE UF1602 SUPPER</t>
  </si>
  <si>
    <t>DEBITMETRE</t>
  </si>
  <si>
    <t>430Ha</t>
  </si>
  <si>
    <t>T240043660</t>
  </si>
  <si>
    <t xml:space="preserve">ARION 450 </t>
  </si>
  <si>
    <t>CAPTEUR DIRECTION</t>
  </si>
  <si>
    <t>mesure de diagnostic ne sont pas indiqué
CDS à la fin de la réparation</t>
  </si>
  <si>
    <t>CONTACTEUR FREIN A MAIN</t>
  </si>
  <si>
    <t>106H</t>
  </si>
  <si>
    <t>REVISION 100H</t>
  </si>
  <si>
    <t>REGLAGE EMBRAYAGE</t>
  </si>
  <si>
    <t>107H</t>
  </si>
  <si>
    <t>RACCORD COUDE</t>
  </si>
  <si>
    <t>275H</t>
  </si>
  <si>
    <t>350H</t>
  </si>
  <si>
    <t>81,36 de MO prise en charge</t>
  </si>
  <si>
    <t>réparation insuffisamment justifiée par le tech
pas de plainte client</t>
  </si>
  <si>
    <t>BRAS DE POMPAGE</t>
  </si>
  <si>
    <t>388 Tonnes</t>
  </si>
  <si>
    <t>MAUGUIN</t>
  </si>
  <si>
    <t>CAPTEUR PRESSION Z202</t>
  </si>
  <si>
    <t>506H</t>
  </si>
  <si>
    <t>1565H</t>
  </si>
  <si>
    <t>201043-20240607155012</t>
  </si>
  <si>
    <t>MAIN D'ŒUVRE A 39€</t>
  </si>
  <si>
    <t>GALET SELECTEURS</t>
  </si>
  <si>
    <t>T240039542</t>
  </si>
  <si>
    <t>493Ha/89H</t>
  </si>
  <si>
    <t>T240043706</t>
  </si>
  <si>
    <t>T240043682</t>
  </si>
  <si>
    <t>T240039092</t>
  </si>
  <si>
    <t>220H</t>
  </si>
  <si>
    <t>FUITE HYDRO BOITIER PRINCIPAL</t>
  </si>
  <si>
    <t>201043-20240610095624</t>
  </si>
  <si>
    <t>FUITE TRAPPE GAUCHE</t>
  </si>
  <si>
    <t>201043-20240610141551</t>
  </si>
  <si>
    <t>EARL DONAGRI</t>
  </si>
  <si>
    <t>DEBITMETRE ENGRAIS</t>
  </si>
  <si>
    <t>T240033700</t>
  </si>
  <si>
    <t>2414H</t>
  </si>
  <si>
    <t>75% de la MO</t>
  </si>
  <si>
    <t xml:space="preserve">GAEC DE SAOUT </t>
  </si>
  <si>
    <t>CHARRUE KAYROS</t>
  </si>
  <si>
    <t>USURE</t>
  </si>
  <si>
    <t>270Ha</t>
  </si>
  <si>
    <t>T240033371</t>
  </si>
  <si>
    <t>EARL LOUSTAOU DU CHENES</t>
  </si>
  <si>
    <t>ARION 650 EX LASSEGUE</t>
  </si>
  <si>
    <t>MOTEUR ELEMENT SEMEUR 7</t>
  </si>
  <si>
    <t>T240034549</t>
  </si>
  <si>
    <t>3041H</t>
  </si>
  <si>
    <t>CAPTEUR D'ANGLE</t>
  </si>
  <si>
    <t>CARTER DU PONT</t>
  </si>
  <si>
    <t>description de la réception
Pas de plainte client</t>
  </si>
  <si>
    <t>OS 16002</t>
  </si>
  <si>
    <t>REV 3500H + PREPA OCCA</t>
  </si>
  <si>
    <t>AVL SERVICE</t>
  </si>
  <si>
    <t>UF 16002</t>
  </si>
  <si>
    <t>VANNE REGULATION</t>
  </si>
  <si>
    <t>430HA</t>
  </si>
  <si>
    <t>T240043670</t>
  </si>
  <si>
    <t>SCEA ESPERANCA</t>
  </si>
  <si>
    <t>TREMI FRONTALE</t>
  </si>
  <si>
    <t>MODULE</t>
  </si>
  <si>
    <t>8HA</t>
  </si>
  <si>
    <t>T240035960</t>
  </si>
  <si>
    <t>NI257</t>
  </si>
  <si>
    <t>43045-5874</t>
  </si>
  <si>
    <t>ARION 630 CUMA POEY OLORON</t>
  </si>
  <si>
    <t>FUITE HYDRO COTE GAUCHE</t>
  </si>
  <si>
    <t>AMAZONE PIECES</t>
  </si>
  <si>
    <t>FOND DE TREMIS</t>
  </si>
  <si>
    <t>T240036610</t>
  </si>
  <si>
    <t>RAMPES DISTANCE CONTROL</t>
  </si>
  <si>
    <t>2043ha</t>
  </si>
  <si>
    <t>T240036912</t>
  </si>
  <si>
    <t>COUPLEUR HYDRAULIQUE VERT</t>
  </si>
  <si>
    <t>INVERSEUR VIOLENT</t>
  </si>
  <si>
    <t>DISTRIBUTEUR MARRON</t>
  </si>
  <si>
    <t>INVERSEUR TROP LENT</t>
  </si>
  <si>
    <t>CAMPING D'ALBRET</t>
  </si>
  <si>
    <t>NOTICE UTILISATEUR ET CARNET D'ENTRETIEN</t>
  </si>
  <si>
    <t xml:space="preserve">REV 2400H </t>
  </si>
  <si>
    <t>GOUPILLON</t>
  </si>
  <si>
    <t>T240038625</t>
  </si>
  <si>
    <t>EARL GRACIANDON</t>
  </si>
  <si>
    <t>MOTEUR HYDRAULIQUE TURBINE</t>
  </si>
  <si>
    <t>574Ha</t>
  </si>
  <si>
    <t>T240039348</t>
  </si>
  <si>
    <t>178Ha</t>
  </si>
  <si>
    <t>T240039118</t>
  </si>
  <si>
    <t>130ha</t>
  </si>
  <si>
    <t>T240039570</t>
  </si>
  <si>
    <t>43ha</t>
  </si>
  <si>
    <t>T240039672</t>
  </si>
  <si>
    <t>REV 2500h</t>
  </si>
  <si>
    <t>REV 500h</t>
  </si>
  <si>
    <t>GPT EARL BIENVENUE - EARL MARLUS</t>
  </si>
  <si>
    <t>ZAV 3200</t>
  </si>
  <si>
    <t>303ha</t>
  </si>
  <si>
    <t>T240044371</t>
  </si>
  <si>
    <t>T240040539</t>
  </si>
  <si>
    <t>ROUE DE JAUGE</t>
  </si>
  <si>
    <t>T240040556</t>
  </si>
  <si>
    <t>SOCS ELEMENT SEMEURS</t>
  </si>
  <si>
    <t>T240040581</t>
  </si>
  <si>
    <t>T240040626</t>
  </si>
  <si>
    <t>ERREUR DE DECLARATION</t>
  </si>
  <si>
    <t>BUSE ENGRAIS</t>
  </si>
  <si>
    <t>T240040670</t>
  </si>
  <si>
    <t>ROUE CREUSE</t>
  </si>
  <si>
    <t>301HA</t>
  </si>
  <si>
    <t>T240041550</t>
  </si>
  <si>
    <t>821h</t>
  </si>
  <si>
    <t>MAIN D'ŒUVRE 71,43%</t>
  </si>
  <si>
    <t xml:space="preserve">SCEA ESPERANZA </t>
  </si>
  <si>
    <t>JOINTS TURBINE</t>
  </si>
  <si>
    <t>T240043001</t>
  </si>
  <si>
    <t>677H</t>
  </si>
  <si>
    <t>FUSIBLE</t>
  </si>
  <si>
    <t>362 Bottes</t>
  </si>
  <si>
    <t>la description de la réception n'est pas suffisamment détaillé</t>
  </si>
  <si>
    <t>Pas de plainte client
Pas de rapport technicien</t>
  </si>
  <si>
    <t>REV 3250</t>
  </si>
  <si>
    <t>5863-43247</t>
  </si>
  <si>
    <t>148h</t>
  </si>
  <si>
    <t>CAPTEUR ANGULAIRE</t>
  </si>
  <si>
    <t>ARION 430 LYCEE MUCRON</t>
  </si>
  <si>
    <t>229H</t>
  </si>
  <si>
    <t>ARION 630 LYCEE MUCRON</t>
  </si>
  <si>
    <t>298H</t>
  </si>
  <si>
    <t>301Ha</t>
  </si>
  <si>
    <t>T240043523</t>
  </si>
  <si>
    <t>date réparation</t>
  </si>
  <si>
    <t>MANCHON PRISE DE FORCE</t>
  </si>
  <si>
    <t>ARION 530 LOCATION</t>
  </si>
  <si>
    <t>PRISE DE FORCE ECO</t>
  </si>
  <si>
    <t>352h</t>
  </si>
  <si>
    <t>MAIRIE DE CARCARES ST CROIX</t>
  </si>
  <si>
    <t>SUSPENSION ET  4RM</t>
  </si>
  <si>
    <t>103H</t>
  </si>
  <si>
    <t>rapport du tech n'identifie pas la nature de la panne</t>
  </si>
  <si>
    <t>103h</t>
  </si>
  <si>
    <t>REVISION 1000H</t>
  </si>
  <si>
    <t>SUITE GARANTIE MOTEUR SEMEUR</t>
  </si>
  <si>
    <t>227ha/59h</t>
  </si>
  <si>
    <t>T240044386</t>
  </si>
  <si>
    <t>1037 h</t>
  </si>
  <si>
    <t>CUMA DES 3 VILLAGES</t>
  </si>
  <si>
    <t>ASSIETE ET CARDAN</t>
  </si>
  <si>
    <t>158HA</t>
  </si>
  <si>
    <t>268ha</t>
  </si>
  <si>
    <t>REV 1600H</t>
  </si>
  <si>
    <t>CAPTEUR B117</t>
  </si>
  <si>
    <t>rapport du tech n'identifie pas la nature de la panne
mesure de diagnostic 
Rapport technicien n'identifie par la nature de l'anomalie</t>
  </si>
  <si>
    <t>CODE ERREUR 7623</t>
  </si>
  <si>
    <t>L'ordre de réparation n'a pas été pointé
Pas de MO lors de la pose de la pièce de remplacement</t>
  </si>
  <si>
    <t>REV 10500H</t>
  </si>
  <si>
    <t>REV3600H</t>
  </si>
  <si>
    <t>30h payé sur 38,75h</t>
  </si>
  <si>
    <t>FUITE LIQUIDE DE REFROIDISSEMENT</t>
  </si>
  <si>
    <t>DURITE D'AIR</t>
  </si>
  <si>
    <t>632ha</t>
  </si>
  <si>
    <t>T240052211</t>
  </si>
  <si>
    <t>AMAZONE CIRUS DEMO</t>
  </si>
  <si>
    <t>T240054039</t>
  </si>
  <si>
    <t xml:space="preserve">CODE ERREUR 7F4E </t>
  </si>
  <si>
    <t>COMPRESSEUR D'AIR</t>
  </si>
  <si>
    <t>CCA-09084-20230425-302004-108272</t>
  </si>
  <si>
    <t>SUPPORT DISQUE</t>
  </si>
  <si>
    <t>T240053840</t>
  </si>
  <si>
    <t>REV MAXI CARE 2 1600H</t>
  </si>
  <si>
    <t>1681h</t>
  </si>
  <si>
    <t>CODE A4DB</t>
  </si>
  <si>
    <t>EPAREUSE FULGOR 7500</t>
  </si>
  <si>
    <t>GARANTIE ROUSSEAU</t>
  </si>
  <si>
    <t>FREINAGE REMORQUE</t>
  </si>
  <si>
    <t>CCA-09084-20230425-302004-108367</t>
  </si>
  <si>
    <t>CABLE DIAGNOSTIC</t>
  </si>
  <si>
    <t>VERIN DE REPLIAGE</t>
  </si>
  <si>
    <t>201043-20241004110626</t>
  </si>
  <si>
    <t>AXE VERROUILLAGE REPLIAGE</t>
  </si>
  <si>
    <t>57ha</t>
  </si>
  <si>
    <t>201043-20241011134910</t>
  </si>
  <si>
    <t>POIGNET AMAPILOT+</t>
  </si>
  <si>
    <t>60ha</t>
  </si>
  <si>
    <t>COMMANDE VITESSE</t>
  </si>
  <si>
    <t>COMMANDE PDF</t>
  </si>
  <si>
    <t>SUPPORT TÉLÉPHONE</t>
  </si>
  <si>
    <t>10h de MO au lieu de 15,75h</t>
  </si>
  <si>
    <t xml:space="preserve">SCORPION </t>
  </si>
  <si>
    <t>FAISCEAU MAT</t>
  </si>
  <si>
    <t>CUMA DU BEILLE GAUJACQ</t>
  </si>
  <si>
    <t>BOITIER NI257</t>
  </si>
  <si>
    <t>142ha</t>
  </si>
  <si>
    <t>T240061477</t>
  </si>
  <si>
    <t>OTS MM1506</t>
  </si>
  <si>
    <t>T240065507</t>
  </si>
  <si>
    <t>PROCEA 4500</t>
  </si>
  <si>
    <t>T240055893</t>
  </si>
  <si>
    <t>T240055873</t>
  </si>
  <si>
    <t>T240055879</t>
  </si>
  <si>
    <t>T240060131</t>
  </si>
  <si>
    <t>738ha</t>
  </si>
  <si>
    <t>T240057543</t>
  </si>
  <si>
    <t>250ha</t>
  </si>
  <si>
    <t>T240060138</t>
  </si>
  <si>
    <t>227 ha</t>
  </si>
  <si>
    <t>T240057657</t>
  </si>
  <si>
    <t>EUROSAMA</t>
  </si>
  <si>
    <t>T240060137</t>
  </si>
  <si>
    <t>156ha</t>
  </si>
  <si>
    <t>T240057527</t>
  </si>
  <si>
    <t>GPT PETIT CABE/NAURIS</t>
  </si>
  <si>
    <t>172ha</t>
  </si>
  <si>
    <t>T240057516</t>
  </si>
  <si>
    <t>T240057539</t>
  </si>
  <si>
    <t xml:space="preserve">EARL DE DOUE </t>
  </si>
  <si>
    <t xml:space="preserve">OTS 16236 </t>
  </si>
  <si>
    <t>CAPTEUR PRISE DE FORCE</t>
  </si>
  <si>
    <t>BOUCHON DE RESERVOIR FREIN</t>
  </si>
  <si>
    <t>8846h / 1h</t>
  </si>
  <si>
    <t>8846h/84h</t>
  </si>
  <si>
    <t>CAPUCHON PUSH PULL</t>
  </si>
  <si>
    <t>CERTOS</t>
  </si>
  <si>
    <t>PIVOT DROIT ET GAUCHE</t>
  </si>
  <si>
    <t>T240060261</t>
  </si>
  <si>
    <t>FREIN À MAIN</t>
  </si>
  <si>
    <t>42681-5830</t>
  </si>
  <si>
    <t>TRANSMISSION ET FREINS</t>
  </si>
  <si>
    <t>REVISION 1800H</t>
  </si>
  <si>
    <t>1859h</t>
  </si>
  <si>
    <t>Moteur 51252692</t>
  </si>
  <si>
    <t>Pont 51252693</t>
  </si>
  <si>
    <t>210h</t>
  </si>
  <si>
    <t>remboursé 1/2h de MO</t>
  </si>
  <si>
    <t>REVISION 2800 H</t>
  </si>
  <si>
    <t>2832h</t>
  </si>
  <si>
    <t>3,5heures de pris en charge</t>
  </si>
  <si>
    <t>REV 1200H</t>
  </si>
  <si>
    <t>1256h</t>
  </si>
  <si>
    <t>823h</t>
  </si>
  <si>
    <t>CONTACTEUR FREIN</t>
  </si>
  <si>
    <t>455h</t>
  </si>
  <si>
    <t>949h</t>
  </si>
  <si>
    <t>449H</t>
  </si>
  <si>
    <t>825h</t>
  </si>
  <si>
    <t>PRESSION MOTEUR</t>
  </si>
  <si>
    <t>25H</t>
  </si>
  <si>
    <t>25h</t>
  </si>
  <si>
    <t>FILTRE A GASOIL</t>
  </si>
  <si>
    <t>CLIGNOTANT</t>
  </si>
  <si>
    <t>488h</t>
  </si>
  <si>
    <t>VISITE FIN GARANTIE</t>
  </si>
  <si>
    <t>FONCTION RINCAGE</t>
  </si>
  <si>
    <t>T240066527</t>
  </si>
  <si>
    <t>10h de MO au lieu de 13H</t>
  </si>
  <si>
    <t>1h de MO sur les 2,5 demandé</t>
  </si>
  <si>
    <t>05888931</t>
  </si>
  <si>
    <t>608ha</t>
  </si>
  <si>
    <t>GARANTIE MAUGUIN</t>
  </si>
  <si>
    <t>SARL MATAGRI</t>
  </si>
  <si>
    <t>Responsabilité concessionnaire</t>
  </si>
  <si>
    <t>201043-20241219093623</t>
  </si>
  <si>
    <t>50% de la MO</t>
  </si>
  <si>
    <t>11476730</t>
  </si>
  <si>
    <t>51252695 Moteur
51252696 Pont</t>
  </si>
  <si>
    <t>filtre non pris en charnge</t>
  </si>
  <si>
    <t>CONTACTEUR DE GAMMES</t>
  </si>
  <si>
    <t>29675801</t>
  </si>
  <si>
    <t>PAS DE SON</t>
  </si>
  <si>
    <t>301Ha/120h</t>
  </si>
  <si>
    <t>Amazone Ticket service</t>
  </si>
  <si>
    <t>T250002526</t>
  </si>
  <si>
    <t>amatron</t>
  </si>
  <si>
    <t>11722900</t>
  </si>
  <si>
    <t>Temps de travail demandé supérieur au temps barémé ou au temps moyen constaté</t>
  </si>
  <si>
    <t>REV 1500H</t>
  </si>
  <si>
    <t>51252699 moteur
51252700 pont</t>
  </si>
  <si>
    <t>201043-20250129152432</t>
  </si>
  <si>
    <t>201043-20250129155614</t>
  </si>
  <si>
    <t>BENNE ALO</t>
  </si>
  <si>
    <t>LAME USURE</t>
  </si>
  <si>
    <t>GARANTIE ALO</t>
  </si>
  <si>
    <t>REV 500H / FIN DE GARANTIE</t>
  </si>
  <si>
    <t>DATE OUVERTURE OR</t>
  </si>
  <si>
    <t>DATE REPARATION</t>
  </si>
  <si>
    <t>INTERVALLE DATE</t>
  </si>
  <si>
    <t xml:space="preserve">INVERSEUR </t>
  </si>
  <si>
    <t>PARC LOCK</t>
  </si>
  <si>
    <t>VERIN TRANSPALETTE</t>
  </si>
  <si>
    <t>CAPTEUR</t>
  </si>
  <si>
    <t>7h de MO au lieu de 9h30</t>
  </si>
  <si>
    <t>PREPA PRET</t>
  </si>
  <si>
    <t>COURTY MICKAEL</t>
  </si>
  <si>
    <t>CHARRUE GREGOIRE BESSON</t>
  </si>
  <si>
    <t>EARL LAPOUBLE</t>
  </si>
  <si>
    <t>REVISION 6200H</t>
  </si>
  <si>
    <t>MAIRIE DE SAINT GEOURS DE MAREMNE</t>
  </si>
  <si>
    <t>EARL BERNADOTTE</t>
  </si>
  <si>
    <t>COURET YVES</t>
  </si>
  <si>
    <t>BERRAUTE GERARD</t>
  </si>
  <si>
    <t>CODE 1824</t>
  </si>
  <si>
    <t>REVISION+ECHANGEUR</t>
  </si>
  <si>
    <t>H DE PONT AVANT</t>
  </si>
  <si>
    <t>LASSEGUE THIERRY</t>
  </si>
  <si>
    <t>SIEGE ALTERNATEUR</t>
  </si>
  <si>
    <t>CODE AB24</t>
  </si>
  <si>
    <t>MAIRIE DE ST GEOURS DE MAREMNES</t>
  </si>
  <si>
    <t>MAUGIS PHILIPPE</t>
  </si>
  <si>
    <t>RENAULT D30</t>
  </si>
  <si>
    <t>SARL PHDX64</t>
  </si>
  <si>
    <t>RENAULT CELTIS 456</t>
  </si>
  <si>
    <t>EARL LOUSTAOU DU CHENE</t>
  </si>
  <si>
    <t>PDF ARRIERE</t>
  </si>
  <si>
    <t>ELECTROVANNE</t>
  </si>
  <si>
    <t xml:space="preserve">EARL PIROUAS </t>
  </si>
  <si>
    <t>DUTEN JEAN PIERRE</t>
  </si>
  <si>
    <t>A8DE</t>
  </si>
  <si>
    <t>EARL LE PESQUIT</t>
  </si>
  <si>
    <t>CAPTEUR EAU CLAIRE</t>
  </si>
  <si>
    <t>T250009704</t>
  </si>
  <si>
    <t>SAS COUVOIR DE HAUTE CHALOSSE</t>
  </si>
  <si>
    <t>PLATEAU METAL AGRI</t>
  </si>
  <si>
    <t>CODE 767C</t>
  </si>
  <si>
    <t>CHARGEUR F400</t>
  </si>
  <si>
    <t>CONTACTEUR DE GAMME</t>
  </si>
  <si>
    <t xml:space="preserve">REVISION 12MOIS </t>
  </si>
  <si>
    <t>51252701 MOTEUR
51252702 PONT</t>
  </si>
  <si>
    <t>JANTE</t>
  </si>
  <si>
    <t xml:space="preserve">2h de MO </t>
  </si>
  <si>
    <t>REMORAQUE LEBOULCH</t>
  </si>
  <si>
    <t>OTS 15928</t>
  </si>
  <si>
    <t>T250012278</t>
  </si>
  <si>
    <t>BAC INCORPORATEUR</t>
  </si>
  <si>
    <t>T250012371</t>
  </si>
  <si>
    <t>Pièces 75%</t>
  </si>
  <si>
    <t>CABLE ET FREINS</t>
  </si>
  <si>
    <t>OTS 16363</t>
  </si>
  <si>
    <t>DUSSARAT LAURENT</t>
  </si>
  <si>
    <t>PATINS DE RANGS</t>
  </si>
  <si>
    <t>TRAVAUX AGRI SERVICES</t>
  </si>
  <si>
    <t>BRAS DE RELEVAGE</t>
  </si>
  <si>
    <t>TEMIS 610</t>
  </si>
  <si>
    <t>UF 1201</t>
  </si>
  <si>
    <t>CAPTEUR PONT AVANT</t>
  </si>
  <si>
    <t>moteur : 51252703_x000D_
Pont : 51252704</t>
  </si>
  <si>
    <t>REV 4500H</t>
  </si>
  <si>
    <t xml:space="preserve">LEBOUCH </t>
  </si>
  <si>
    <t>LAVIELLE BERTRAND</t>
  </si>
  <si>
    <t>CASE 5140</t>
  </si>
  <si>
    <t>SEMOIR 8RANGS</t>
  </si>
  <si>
    <t>SEMOIR 4 RANGS</t>
  </si>
  <si>
    <t>HAYON ARRIERE</t>
  </si>
  <si>
    <t>LORDON JEAN NOEL</t>
  </si>
  <si>
    <t>COUPURE AVANCEMENT</t>
  </si>
  <si>
    <t>MELANGEUR PICHON</t>
  </si>
  <si>
    <t>FOURGON</t>
  </si>
  <si>
    <t>VIDER LE CAMION</t>
  </si>
  <si>
    <t>SOC SILLONNEUR</t>
  </si>
  <si>
    <t>T250013348</t>
  </si>
  <si>
    <t>DE LATAILLADE JEAN</t>
  </si>
  <si>
    <t>N71</t>
  </si>
  <si>
    <t>EASY</t>
  </si>
  <si>
    <t>OTS 16389</t>
  </si>
  <si>
    <t>GRAPPIN</t>
  </si>
  <si>
    <t>AXES</t>
  </si>
  <si>
    <t>JOHN DEERE 5095</t>
  </si>
  <si>
    <t>CONTROLE TECHNIQUE</t>
  </si>
  <si>
    <t>COURROIES</t>
  </si>
  <si>
    <t>POMPE</t>
  </si>
  <si>
    <t>LYCEE AGRICOLE HECTOR SERRES</t>
  </si>
  <si>
    <t>REVISION 1500H</t>
  </si>
  <si>
    <t>MOTEUR 51252705</t>
  </si>
  <si>
    <t>BIRACQ JEAN MARC</t>
  </si>
  <si>
    <t>CHARRUE</t>
  </si>
  <si>
    <t>DUVAL JEAN LUC</t>
  </si>
  <si>
    <t>CERGOS 350</t>
  </si>
  <si>
    <t>FUITE HYDROLLIQUE</t>
  </si>
  <si>
    <t>OTS 16366</t>
  </si>
  <si>
    <t>POMPE ADBLUE</t>
  </si>
  <si>
    <t>CODE 18EC</t>
  </si>
  <si>
    <t>EARL BERNOS</t>
  </si>
  <si>
    <t>BROYEUR LISIER</t>
  </si>
  <si>
    <t>SCEA FERME LES ARTIGUES</t>
  </si>
  <si>
    <t>TELESCOPE</t>
  </si>
  <si>
    <t>CUMA DE LAHOSSE</t>
  </si>
  <si>
    <t xml:space="preserve">CATROS </t>
  </si>
  <si>
    <t>DECHAUMEUR AMAZONE</t>
  </si>
  <si>
    <t>DISQUE</t>
  </si>
  <si>
    <t>CREPINE HYDRAULIQUE</t>
  </si>
  <si>
    <t>EARL PEDEGERT</t>
  </si>
  <si>
    <t>CODE 7654</t>
  </si>
  <si>
    <t>EARL DU POUY</t>
  </si>
  <si>
    <t>ANTENNE GPS</t>
  </si>
  <si>
    <t>T250015104</t>
  </si>
  <si>
    <t xml:space="preserve">RELEVAGE </t>
  </si>
  <si>
    <t>SCEA TORPIN</t>
  </si>
  <si>
    <t>ATLES 926</t>
  </si>
  <si>
    <t>REVISION 11000H</t>
  </si>
  <si>
    <t>1848H</t>
  </si>
  <si>
    <t>PUYOO JEAN LUC</t>
  </si>
  <si>
    <t>GAEC LESCLAUX</t>
  </si>
  <si>
    <t>MELANGEUSE</t>
  </si>
  <si>
    <t>BOITIER</t>
  </si>
  <si>
    <t xml:space="preserve">3h de MO accepté </t>
  </si>
  <si>
    <t>3,5h de MO accepté</t>
  </si>
  <si>
    <t>FENDEUSE</t>
  </si>
  <si>
    <t>LAFITTE ISABELLE</t>
  </si>
  <si>
    <t>CAYROS</t>
  </si>
  <si>
    <t>SOCS</t>
  </si>
  <si>
    <t>DURITE LIQUIDE REFROIDISSEMENT</t>
  </si>
  <si>
    <t>REV 7500H ET CLIM</t>
  </si>
  <si>
    <t>DISKATOR</t>
  </si>
  <si>
    <t>PALIER DECHAUMEUR</t>
  </si>
  <si>
    <t>TRAPPE</t>
  </si>
  <si>
    <t>FERME DE LE HOUN</t>
  </si>
  <si>
    <t xml:space="preserve">PALES </t>
  </si>
  <si>
    <t>FUITE ADBLUE</t>
  </si>
  <si>
    <t>VIDANGE REDUCTEUR PAV</t>
  </si>
  <si>
    <t>BERTHOUD</t>
  </si>
  <si>
    <t>4RM</t>
  </si>
  <si>
    <t>ASSURANCE</t>
  </si>
  <si>
    <t>CODE A8DE</t>
  </si>
  <si>
    <t>LABASTE ERIC</t>
  </si>
  <si>
    <t>COLONNE DIRECTION</t>
  </si>
  <si>
    <t>BARREAU EFFORT</t>
  </si>
  <si>
    <t>SUSPENSION MAT</t>
  </si>
  <si>
    <t>EAU DANS L'HUILE</t>
  </si>
  <si>
    <t>FUITE ROTOR</t>
  </si>
  <si>
    <t>EARL LARRAN</t>
  </si>
  <si>
    <t>COULISSEAU POIGNET</t>
  </si>
  <si>
    <t>CAPTEUR BOITE</t>
  </si>
  <si>
    <t>KARCHER 10/20-4</t>
  </si>
  <si>
    <t>INTERVENTION KARCHER</t>
  </si>
  <si>
    <t>num unique</t>
  </si>
  <si>
    <t>CUVE FRONTALE</t>
  </si>
  <si>
    <t>REV 3800H</t>
  </si>
  <si>
    <t>DISCO 320</t>
  </si>
  <si>
    <t>SAT 900</t>
  </si>
  <si>
    <t>996-1021</t>
  </si>
  <si>
    <t>22514690</t>
  </si>
  <si>
    <t>DIQUELOU EMILIEN</t>
  </si>
  <si>
    <t>DISCO 3200</t>
  </si>
  <si>
    <t>PLAQUE FAUCHEUSE</t>
  </si>
  <si>
    <t>JOINTS DE VERIN</t>
  </si>
  <si>
    <t xml:space="preserve">PREPA OCCA+ REV 1700H </t>
  </si>
  <si>
    <t>DUBOS SEBASTIEN</t>
  </si>
  <si>
    <t>HERSE MASCHIO 3500</t>
  </si>
  <si>
    <t>MASHIO ATTILA</t>
  </si>
  <si>
    <t>ARRES 696</t>
  </si>
  <si>
    <t>GAEC LES ECUREUILS</t>
  </si>
  <si>
    <t>PULVE JUST</t>
  </si>
  <si>
    <t>EARL DU LABOURAN</t>
  </si>
  <si>
    <t>FRAISE MASCHIO</t>
  </si>
  <si>
    <t>FILETAGE</t>
  </si>
  <si>
    <t>RENAULT CERGOS</t>
  </si>
  <si>
    <t>SCEA DU PEYROU</t>
  </si>
  <si>
    <t>LASSERE JACQUES</t>
  </si>
  <si>
    <t>LAFFITE JACQUES</t>
  </si>
  <si>
    <t>BANC</t>
  </si>
  <si>
    <t>EMBOUT PDF</t>
  </si>
  <si>
    <t>CAPTEUR PDF</t>
  </si>
  <si>
    <t>CLIENT COMPTANT</t>
  </si>
  <si>
    <t>HERSE KUHN</t>
  </si>
  <si>
    <t>OS 16328</t>
  </si>
  <si>
    <t>LAMIER</t>
  </si>
  <si>
    <t>BAILLET BERNARD</t>
  </si>
  <si>
    <t>MAIRIE DE CANDRESSE</t>
  </si>
  <si>
    <t>SCEA DE GUIRAUTON</t>
  </si>
  <si>
    <t>ZA-TS</t>
  </si>
  <si>
    <t xml:space="preserve">VITRE </t>
  </si>
  <si>
    <t>PAV ET CLIM</t>
  </si>
  <si>
    <t xml:space="preserve">REVISION 2430H </t>
  </si>
  <si>
    <t>PETRAU ET FILS</t>
  </si>
  <si>
    <t>CONTACTEUR DE FREIN</t>
  </si>
  <si>
    <t>BERTIERE JEAN CLAUDE</t>
  </si>
  <si>
    <t>TUYAU CHAUFFAGE</t>
  </si>
  <si>
    <t xml:space="preserve">PONT AVANT </t>
  </si>
  <si>
    <t>EARL ESCAZOUS</t>
  </si>
  <si>
    <t>PAS DE SIGNAL</t>
  </si>
  <si>
    <t>REDUCTEUR PAV</t>
  </si>
  <si>
    <t>ETS RENOVATION DACQUOISE</t>
  </si>
  <si>
    <t>DONIS</t>
  </si>
  <si>
    <t>MAT</t>
  </si>
  <si>
    <t>ELECTROVANNE 1C4</t>
  </si>
  <si>
    <t>T250026412</t>
  </si>
  <si>
    <t>SCEA DU YERT</t>
  </si>
  <si>
    <t>TEMPÉRATURE MOTEUR</t>
  </si>
  <si>
    <t>PIVOT AVANT GAUCHE</t>
  </si>
  <si>
    <t>HERSE AMAZONE</t>
  </si>
  <si>
    <t>BARRE INTERMEDIAIRE</t>
  </si>
  <si>
    <t>EARL RUSALEN</t>
  </si>
  <si>
    <t>SARL MORESMAU</t>
  </si>
  <si>
    <t>EARL DUBOUT-RIQUET</t>
  </si>
  <si>
    <t>CAZENAVE DIDIER</t>
  </si>
  <si>
    <t>DISQUE ET ROULEMENT</t>
  </si>
  <si>
    <t>PULVE UF1201</t>
  </si>
  <si>
    <t>DEBIT BUSES</t>
  </si>
  <si>
    <t>8815/1h</t>
  </si>
  <si>
    <t>CLIM+PAV</t>
  </si>
  <si>
    <t>MAIRIE DE HEUGAS</t>
  </si>
  <si>
    <t>SPIDOR 1600</t>
  </si>
  <si>
    <t>POULIE ENTRAINEMENT</t>
  </si>
  <si>
    <t>GAEC LE PANIER FRAIS</t>
  </si>
  <si>
    <t>MF 154F</t>
  </si>
  <si>
    <t>VOYANT DIAG</t>
  </si>
  <si>
    <t>FILTRE GASOIL</t>
  </si>
  <si>
    <t>CODE ID175H</t>
  </si>
  <si>
    <t>BATI CHARGEUR</t>
  </si>
  <si>
    <t>MOTEUR : 52151498_x000D_
BV/ PONT : 52151499</t>
  </si>
  <si>
    <t>AXE DE PORTE GAUCHE</t>
  </si>
  <si>
    <t xml:space="preserve">TREUIL </t>
  </si>
  <si>
    <t>MFA</t>
  </si>
  <si>
    <t>BERNADET JEAN MICHEL</t>
  </si>
  <si>
    <t>RENAULT 55-12</t>
  </si>
  <si>
    <t>JD 6630</t>
  </si>
  <si>
    <t>SASU SUHUBIETTE SEBASTIEN</t>
  </si>
  <si>
    <t>PALIER DISQUE</t>
  </si>
  <si>
    <t>EPANDEUR A FUMIER</t>
  </si>
  <si>
    <t>ACCELERATEUR</t>
  </si>
  <si>
    <t>TOLE BROYEUR</t>
  </si>
  <si>
    <t>201043-20250519122258</t>
  </si>
  <si>
    <t>404584247/404666498</t>
  </si>
  <si>
    <t>OS 16383</t>
  </si>
  <si>
    <t>T250030468</t>
  </si>
  <si>
    <t>KARCHER HDS 10/20</t>
  </si>
  <si>
    <t>GENERATRICE</t>
  </si>
  <si>
    <t>SEMOIR BAURAL</t>
  </si>
  <si>
    <t>REVISION 4400H</t>
  </si>
  <si>
    <t>JD 5720</t>
  </si>
  <si>
    <t>COMPLEMENT REVISION</t>
  </si>
  <si>
    <t>CUMA DE LEREN</t>
  </si>
  <si>
    <t>PICK UP</t>
  </si>
  <si>
    <t>DISTRIBUTEUR</t>
  </si>
  <si>
    <t>JOINT SPI POMPE</t>
  </si>
  <si>
    <t>352ha/35h</t>
  </si>
  <si>
    <t>T250031019</t>
  </si>
  <si>
    <t>PATIN DE GLISSEMENT</t>
  </si>
  <si>
    <t>1012ha/249h</t>
  </si>
  <si>
    <t>T250031033</t>
  </si>
  <si>
    <t>SOCS ELEMENT SEMEURS + STOP GRAINES</t>
  </si>
  <si>
    <t>T250031057</t>
  </si>
  <si>
    <t>1012HA/249H</t>
  </si>
  <si>
    <t>T250031080</t>
  </si>
  <si>
    <t>1124ha/249h</t>
  </si>
  <si>
    <t>1012ha / 249h</t>
  </si>
  <si>
    <t>T250031116</t>
  </si>
  <si>
    <t>T250031156</t>
  </si>
  <si>
    <t>T250031161</t>
  </si>
  <si>
    <t>Accord commercial avec Romain Jardel</t>
  </si>
  <si>
    <t>FERTISPOT</t>
  </si>
  <si>
    <t>T250031251</t>
  </si>
  <si>
    <t>COUPURE TRONCON</t>
  </si>
  <si>
    <t>T250031263</t>
  </si>
  <si>
    <t>11825160</t>
  </si>
  <si>
    <t>ACCIDENT</t>
  </si>
  <si>
    <t>VERIN DE REPORT DE CHARGE</t>
  </si>
  <si>
    <t>T250031378</t>
  </si>
  <si>
    <t>CAPTEUR FOND DE TREMIE</t>
  </si>
  <si>
    <t>CHAUFFAGE</t>
  </si>
  <si>
    <t>2852ha/92h</t>
  </si>
  <si>
    <t>T250031395</t>
  </si>
  <si>
    <t>T250031535</t>
  </si>
  <si>
    <t>FUITE DE BOUILLIE</t>
  </si>
  <si>
    <t>2852ha/92h/504h moteur</t>
  </si>
  <si>
    <t>T250031685</t>
  </si>
  <si>
    <t>TUYAU TETE REPARTITION</t>
  </si>
  <si>
    <t>T250031752</t>
  </si>
  <si>
    <t>19863601</t>
  </si>
  <si>
    <t>ATLES 936</t>
  </si>
  <si>
    <t>NH TD4-100F</t>
  </si>
  <si>
    <t>EARL COY</t>
  </si>
  <si>
    <t>JD6900</t>
  </si>
  <si>
    <t>ARES 620</t>
  </si>
  <si>
    <t>CULASSE</t>
  </si>
  <si>
    <t>FRANCOIS SERGE</t>
  </si>
  <si>
    <t>POMPE GASOIL</t>
  </si>
  <si>
    <t>GRAINE COINCES</t>
  </si>
  <si>
    <t>REMPLACEMENT JEAN MICHEL</t>
  </si>
  <si>
    <t>NUMÉRO DE SÉRIE</t>
  </si>
  <si>
    <t>A5201173</t>
  </si>
  <si>
    <t>A9400308</t>
  </si>
  <si>
    <t>A7300190</t>
  </si>
  <si>
    <t>A9703090</t>
  </si>
  <si>
    <t>A9700800</t>
  </si>
  <si>
    <t>61,62</t>
  </si>
  <si>
    <t>66,79</t>
  </si>
  <si>
    <t>A5306131</t>
  </si>
  <si>
    <t>A9702425</t>
  </si>
  <si>
    <t>Description du dommage insuffisante - Compléter rapport avec photos/explication_x000D_
Temps de travail demandé supérieur au temps barémé ou au temps moyen constaté</t>
  </si>
  <si>
    <t>A5305319</t>
  </si>
  <si>
    <t>160-94 TX-TZ</t>
  </si>
  <si>
    <t>CT42K0319</t>
  </si>
  <si>
    <t>A6000291</t>
  </si>
  <si>
    <t>A7301985</t>
  </si>
  <si>
    <t>A9601355</t>
  </si>
  <si>
    <t>K3500970</t>
  </si>
  <si>
    <t>A9703691</t>
  </si>
  <si>
    <t>A9705026</t>
  </si>
  <si>
    <t>A5101164</t>
  </si>
  <si>
    <t>112,85</t>
  </si>
  <si>
    <t>120,36</t>
  </si>
  <si>
    <t>A7402355</t>
  </si>
  <si>
    <t>A9703194</t>
  </si>
  <si>
    <t>K3300076</t>
  </si>
  <si>
    <t>LOUSTAUNEAU ALEXANDRE</t>
  </si>
  <si>
    <t>A6400761</t>
  </si>
  <si>
    <t>A1908810</t>
  </si>
  <si>
    <t>A9601701</t>
  </si>
  <si>
    <t>A9701737</t>
  </si>
  <si>
    <t>A0201552</t>
  </si>
  <si>
    <t>A9400387</t>
  </si>
  <si>
    <t>A7702378</t>
  </si>
  <si>
    <t>A5104879</t>
  </si>
  <si>
    <t>AXION 830 REV 100H</t>
  </si>
  <si>
    <t>A3401603</t>
  </si>
  <si>
    <t>A7303536</t>
  </si>
  <si>
    <t>A9702928</t>
  </si>
  <si>
    <t>K3301027</t>
  </si>
  <si>
    <t>A9704035</t>
  </si>
  <si>
    <t>A9501886</t>
  </si>
  <si>
    <t>J0300469</t>
  </si>
  <si>
    <t>A9703634</t>
  </si>
  <si>
    <t>A9601738</t>
  </si>
  <si>
    <t>A9605919</t>
  </si>
  <si>
    <t>A7601866</t>
  </si>
  <si>
    <t>A4801924</t>
  </si>
  <si>
    <t>11397690_x000D_
6000105998_x000D_
11367140</t>
  </si>
  <si>
    <t>A3701675</t>
  </si>
  <si>
    <t>A3602559</t>
  </si>
  <si>
    <t>B9113783</t>
  </si>
  <si>
    <t>A9704157</t>
  </si>
  <si>
    <t>K3300780</t>
  </si>
  <si>
    <t>A7702203</t>
  </si>
  <si>
    <t>133,76</t>
  </si>
  <si>
    <t>16,24</t>
  </si>
  <si>
    <t>A9501826</t>
  </si>
  <si>
    <t>A3603932</t>
  </si>
  <si>
    <t>A5203785</t>
  </si>
  <si>
    <t>A5202808</t>
  </si>
  <si>
    <t>A7306168</t>
  </si>
  <si>
    <t>A7304706</t>
  </si>
  <si>
    <t>B9113784</t>
  </si>
  <si>
    <t>A6100913</t>
  </si>
  <si>
    <t>A7302021</t>
  </si>
  <si>
    <t>110,74</t>
  </si>
  <si>
    <t>46,13</t>
  </si>
  <si>
    <t>19,63</t>
  </si>
  <si>
    <t>A5103078</t>
  </si>
  <si>
    <t>F8203808</t>
  </si>
  <si>
    <t>A3001490</t>
  </si>
  <si>
    <t>A9401676</t>
  </si>
  <si>
    <t>11620140</t>
  </si>
  <si>
    <t>A5000342</t>
  </si>
  <si>
    <t>A5001047</t>
  </si>
  <si>
    <t>A9702701</t>
  </si>
  <si>
    <t>A167_6212439606</t>
  </si>
  <si>
    <t>A7303001</t>
  </si>
  <si>
    <t>A2105960</t>
  </si>
  <si>
    <t>A2109698</t>
  </si>
  <si>
    <t>A7300398</t>
  </si>
  <si>
    <t>A5304004</t>
  </si>
  <si>
    <t>A7201489</t>
  </si>
  <si>
    <t>ARES 636</t>
  </si>
  <si>
    <t>CT8230863</t>
  </si>
  <si>
    <t>A5101639</t>
  </si>
  <si>
    <t>A7304093</t>
  </si>
  <si>
    <t>21793192</t>
  </si>
  <si>
    <t>A9605952</t>
  </si>
  <si>
    <t>11070760</t>
  </si>
  <si>
    <t>A9500471</t>
  </si>
  <si>
    <t>A3701046</t>
  </si>
  <si>
    <t>A7303150</t>
  </si>
  <si>
    <t>11724141</t>
  </si>
  <si>
    <t>A5203587</t>
  </si>
  <si>
    <t>A2103522</t>
  </si>
  <si>
    <t>A4301117</t>
  </si>
  <si>
    <t>A7305353</t>
  </si>
  <si>
    <t>A5203774</t>
  </si>
  <si>
    <t>A7302367</t>
  </si>
  <si>
    <t>A9704716</t>
  </si>
  <si>
    <t>A9500647</t>
  </si>
  <si>
    <t>A9702024</t>
  </si>
  <si>
    <t>A9704306</t>
  </si>
  <si>
    <t>A9703472</t>
  </si>
  <si>
    <t>K3100057</t>
  </si>
  <si>
    <t>A7702325</t>
  </si>
  <si>
    <t>A2100347</t>
  </si>
  <si>
    <t>A7303185</t>
  </si>
  <si>
    <t>G2301497</t>
  </si>
  <si>
    <t>A4303785</t>
  </si>
  <si>
    <t>A3608308</t>
  </si>
  <si>
    <t>A7501150</t>
  </si>
  <si>
    <t>11742620</t>
  </si>
  <si>
    <t>A9900955</t>
  </si>
  <si>
    <t>AXION 800 LESBARRERE</t>
  </si>
  <si>
    <t>OS 16432</t>
  </si>
  <si>
    <t>A7301053</t>
  </si>
  <si>
    <t>A9702578</t>
  </si>
  <si>
    <t>A7301705</t>
  </si>
  <si>
    <t>A7201569</t>
  </si>
  <si>
    <t>FBS0000484</t>
  </si>
  <si>
    <t>PRE0001688</t>
  </si>
  <si>
    <t>OS AMAZONE</t>
  </si>
  <si>
    <t>T250031098</t>
  </si>
  <si>
    <t>PRE0000922</t>
  </si>
  <si>
    <t>PA40000254</t>
  </si>
  <si>
    <t>PRE0001599</t>
  </si>
  <si>
    <t>PRE0002734</t>
  </si>
  <si>
    <t>PRE0001680</t>
  </si>
  <si>
    <t>CA30004512</t>
  </si>
  <si>
    <t>UF20004090</t>
  </si>
  <si>
    <t>K3100313</t>
  </si>
  <si>
    <t xml:space="preserve">	</t>
  </si>
  <si>
    <t>A9700686</t>
  </si>
  <si>
    <t>A9700714</t>
  </si>
  <si>
    <t>MONTAGE GPS</t>
  </si>
  <si>
    <t>DEMONTAGE</t>
  </si>
  <si>
    <t>LESBARRERE VINCENT</t>
  </si>
  <si>
    <t>CUVE AZOTE</t>
  </si>
  <si>
    <t>FUITE</t>
  </si>
  <si>
    <t>PIECES NON CONFORME</t>
  </si>
  <si>
    <t>T250033990</t>
  </si>
  <si>
    <t>participation de amazone de 50%</t>
  </si>
  <si>
    <t>A9501833</t>
  </si>
  <si>
    <t>SCEA DUCASSE</t>
  </si>
  <si>
    <t>JOINT BEQUILLE</t>
  </si>
  <si>
    <t>REservoir gasoil</t>
  </si>
  <si>
    <t>RESERVOIR GASOIL</t>
  </si>
  <si>
    <t>632HA/23H</t>
  </si>
  <si>
    <t>T250034523</t>
  </si>
  <si>
    <t xml:space="preserve">DISTRIBUTEUR </t>
  </si>
  <si>
    <t>EARL BORDENAVE</t>
  </si>
  <si>
    <t>FILTRE HYDRAULIQUE</t>
  </si>
  <si>
    <t>EPANDEUR MASCHIO</t>
  </si>
  <si>
    <t>PERTE DE PUISSANCE</t>
  </si>
  <si>
    <t>VOILE ROUE DESSERRER</t>
  </si>
  <si>
    <t>REDUCTEUR AVANT DROIT</t>
  </si>
  <si>
    <t>EARL HITTETE</t>
  </si>
  <si>
    <t>LEVE SAC</t>
  </si>
  <si>
    <t>RENAULT N71</t>
  </si>
  <si>
    <t>CRESPO JEROME</t>
  </si>
  <si>
    <t>RENAULT 75-34</t>
  </si>
  <si>
    <t>Moteur : 52151501
BV/ PONT : 52151500</t>
  </si>
  <si>
    <t>VISCO</t>
  </si>
  <si>
    <t>CT72R0985</t>
  </si>
  <si>
    <t>GPS TRIMBLE</t>
  </si>
  <si>
    <t>MONTAGE</t>
  </si>
  <si>
    <t>GABBIANO 5000</t>
  </si>
  <si>
    <t>AQUILA 5000</t>
  </si>
  <si>
    <t>MBB ARTIX</t>
  </si>
  <si>
    <t>VITESSE SEMIS</t>
  </si>
  <si>
    <t>LACOMMERE VINCENT</t>
  </si>
  <si>
    <t>PRISE 3 PLOTS</t>
  </si>
  <si>
    <t>NEW HOLLAND TD4-100F</t>
  </si>
  <si>
    <t>CLIMATISATION/DEMARREUR</t>
  </si>
  <si>
    <t>BOC ET DEMARRAGE</t>
  </si>
  <si>
    <t>BOULE D'AZOTE</t>
  </si>
  <si>
    <t>114HA/21H</t>
  </si>
  <si>
    <t>T250036594</t>
  </si>
  <si>
    <t>DISCO 4400</t>
  </si>
  <si>
    <t>CAPTEUR VITESSE</t>
  </si>
  <si>
    <t>PULVE BERTHOUD</t>
  </si>
  <si>
    <t xml:space="preserve">REDUCTEUR </t>
  </si>
  <si>
    <t>UF10027069</t>
  </si>
  <si>
    <t>149ha/26h</t>
  </si>
  <si>
    <t>T250036812</t>
  </si>
  <si>
    <t>BROCAS DAVID</t>
  </si>
  <si>
    <t>LATTES TAPIS</t>
  </si>
  <si>
    <t>BARRAUD PAUL</t>
  </si>
  <si>
    <t>HERSE MASCHIO 3000</t>
  </si>
  <si>
    <t>EARL LOUME</t>
  </si>
  <si>
    <t>CODE A92C</t>
  </si>
  <si>
    <t>TUYAU ENGRAIS</t>
  </si>
  <si>
    <t>SONDE ET MOTEUR</t>
  </si>
  <si>
    <t>PRE0001591</t>
  </si>
  <si>
    <t>139ha-28H</t>
  </si>
  <si>
    <t>T250037140</t>
  </si>
  <si>
    <t>ROULETTE</t>
  </si>
  <si>
    <t>LESBARRERES VINCENT</t>
  </si>
  <si>
    <t>PRE0001561</t>
  </si>
  <si>
    <t>MOTEUR ELEMENT SEMEUR 1</t>
  </si>
  <si>
    <t>MOTEUR TURBINE</t>
  </si>
  <si>
    <t>MOTEUR ELEMENT SEMEUR 8</t>
  </si>
  <si>
    <t>NH264</t>
  </si>
  <si>
    <t>ILHARRAMOUNHO OLIVIER</t>
  </si>
  <si>
    <t>DISCO 3600</t>
  </si>
  <si>
    <t>EARL DU ROUS</t>
  </si>
  <si>
    <t>CLIMATISATION/REGENERATION</t>
  </si>
  <si>
    <t>A9502013</t>
  </si>
  <si>
    <t>656ha/113h</t>
  </si>
  <si>
    <t>T250037533</t>
  </si>
  <si>
    <t>ROULEMENT ELEMENT 7</t>
  </si>
  <si>
    <t>A9704887</t>
  </si>
  <si>
    <t>SAS POUYANNE</t>
  </si>
  <si>
    <t>VARIANT 560</t>
  </si>
  <si>
    <t>J1400634</t>
  </si>
  <si>
    <t>REV 50H</t>
  </si>
  <si>
    <t>760 BALLES</t>
  </si>
  <si>
    <t>FARMTRAC</t>
  </si>
  <si>
    <t>Annuler</t>
  </si>
  <si>
    <t>LANUSSE THIERRY</t>
  </si>
  <si>
    <t>AMAZONE ZA-TS 3200</t>
  </si>
  <si>
    <t>BARROUILLET  VINCENT</t>
  </si>
  <si>
    <t>PM98W0421</t>
  </si>
  <si>
    <t>BOITIER CENTRALE</t>
  </si>
  <si>
    <t xml:space="preserve">SEMOIR </t>
  </si>
  <si>
    <t>CONFECTION ATTELAGE</t>
  </si>
  <si>
    <t>EARL DU SEQUE</t>
  </si>
  <si>
    <t>DISTRIBUTEUR N°2 ET 3</t>
  </si>
  <si>
    <t>VERIN PICKUP</t>
  </si>
  <si>
    <t>130 balles</t>
  </si>
  <si>
    <t>26905510</t>
  </si>
  <si>
    <t>880balles</t>
  </si>
  <si>
    <t>MF 254</t>
  </si>
  <si>
    <t>A6100209</t>
  </si>
  <si>
    <t>RAMPE POMPE</t>
  </si>
  <si>
    <t>CASTOR 80G</t>
  </si>
  <si>
    <t>19237040</t>
  </si>
  <si>
    <t>REV 1300H</t>
  </si>
  <si>
    <t>EARL BARATCHAR</t>
  </si>
  <si>
    <t>VARIANT 460</t>
  </si>
  <si>
    <t>FLEXIBLE HYDRAULIQUE</t>
  </si>
  <si>
    <t>ETALONNAGE VERIN</t>
  </si>
  <si>
    <t xml:space="preserve">VISCO </t>
  </si>
  <si>
    <t>SARL POUSTIS GERARD</t>
  </si>
  <si>
    <t>BOURGOIN  B410</t>
  </si>
  <si>
    <t>POMPE TRANSFERT</t>
  </si>
  <si>
    <t>SARL EUROMAGRI</t>
  </si>
  <si>
    <t>FAP</t>
  </si>
  <si>
    <t>EI PULON THIERRY</t>
  </si>
  <si>
    <t>COMBINE DE SCIAGE</t>
  </si>
  <si>
    <t>VERIN FENDEUSE</t>
  </si>
  <si>
    <t>PULVE UF1501</t>
  </si>
  <si>
    <t>BROYEUR NOREMAT</t>
  </si>
  <si>
    <t>AMAZONE ZA-TS</t>
  </si>
  <si>
    <t>2482h</t>
  </si>
  <si>
    <t>JOINT PONT AVANT</t>
  </si>
  <si>
    <t>LEBOULCH</t>
  </si>
  <si>
    <t>201043-20250624160043</t>
  </si>
  <si>
    <t>ATTENTION BOITIER FACTURE 500€ DE PLUS VOIR SI CELA EST PRIS EN COMPTE</t>
  </si>
  <si>
    <t>MM98T0637</t>
  </si>
  <si>
    <t>201043-20250624163136</t>
  </si>
  <si>
    <t>DAUGREILH VIRGINIE</t>
  </si>
  <si>
    <t>SAS CORNAILLES</t>
  </si>
  <si>
    <t>DISCO 4000</t>
  </si>
  <si>
    <t>BOITIER SECONDAIRE</t>
  </si>
  <si>
    <t>UF20003957</t>
  </si>
  <si>
    <t>T250039945</t>
  </si>
  <si>
    <t>T250039956</t>
  </si>
  <si>
    <t>T250040021</t>
  </si>
  <si>
    <t>UF20005025</t>
  </si>
  <si>
    <t>115ha/10h</t>
  </si>
  <si>
    <t>T250040133</t>
  </si>
  <si>
    <t>UF20004556</t>
  </si>
  <si>
    <t>FUITE BOUILLIE</t>
  </si>
  <si>
    <t>RAMPES</t>
  </si>
  <si>
    <t>A20L1678</t>
  </si>
  <si>
    <t>CAPTEUR PESER</t>
  </si>
  <si>
    <t>GARANTIE LEBOULCH</t>
  </si>
  <si>
    <t>ZA00032233</t>
  </si>
  <si>
    <t>MAUVAIS EPANDAGE</t>
  </si>
  <si>
    <t>ROUE PICK UP GAUC</t>
  </si>
  <si>
    <t>DENT RESSORT</t>
  </si>
  <si>
    <t>ECHELLE</t>
  </si>
  <si>
    <t>EARL DU RENARD BLANC</t>
  </si>
  <si>
    <t>MM98W0373</t>
  </si>
  <si>
    <t>ZA00032315</t>
  </si>
  <si>
    <t>Date OR</t>
  </si>
  <si>
    <t>BUS CAN</t>
  </si>
  <si>
    <t>A5106549</t>
  </si>
  <si>
    <t>CODE 7F35</t>
  </si>
  <si>
    <t>JOINT VERIN TOURELLE</t>
  </si>
  <si>
    <t>MANITOU</t>
  </si>
  <si>
    <t>INFERFACE SCHMOTZER</t>
  </si>
  <si>
    <t>T250040388</t>
  </si>
  <si>
    <t>TUYAU TREMIE</t>
  </si>
  <si>
    <t>SCEA CAMP DE LA VIGNE</t>
  </si>
  <si>
    <t>UF901</t>
  </si>
  <si>
    <t>GROUPE DISTRIBUTION</t>
  </si>
  <si>
    <t>CERES 355</t>
  </si>
  <si>
    <t>EARL DE SALLES</t>
  </si>
  <si>
    <t>MAIRIE DE NARROSSE</t>
  </si>
  <si>
    <t>JD 6600</t>
  </si>
  <si>
    <t>CLIMATISATION/DIRECTION</t>
  </si>
  <si>
    <t>ENFOUISSEUR</t>
  </si>
  <si>
    <t>FUITE CLAPET</t>
  </si>
  <si>
    <t>EARL BANOS</t>
  </si>
  <si>
    <t>RATELIER JOURDAIN</t>
  </si>
  <si>
    <t>EARL BARBET</t>
  </si>
  <si>
    <t>3301ha-563h</t>
  </si>
  <si>
    <t>T250040887</t>
  </si>
  <si>
    <t xml:space="preserve">TURBO </t>
  </si>
  <si>
    <t>EURL SE DMC</t>
  </si>
  <si>
    <t>JAUGE TEMPERATURE</t>
  </si>
  <si>
    <t>PORTE BUSE</t>
  </si>
  <si>
    <t xml:space="preserve">HERSE MASCHIO </t>
  </si>
  <si>
    <t>CUMA LA MOISSON</t>
  </si>
  <si>
    <t>PULVE MASCHIO</t>
  </si>
  <si>
    <t>SARL GENILLIER</t>
  </si>
  <si>
    <t>RENOVATION DACQUOISE</t>
  </si>
  <si>
    <t>SUBTERRA</t>
  </si>
  <si>
    <t>CUMA AGRI CONCEPT</t>
  </si>
  <si>
    <t>JOHN DEERE 6300</t>
  </si>
  <si>
    <t>MAIRIE DE PONTONX</t>
  </si>
  <si>
    <t>PULVE ET GYROPHARE</t>
  </si>
  <si>
    <t>117ha/25h</t>
  </si>
  <si>
    <t>T250041596</t>
  </si>
  <si>
    <t>CODE ERREUR AB47</t>
  </si>
  <si>
    <t>SAUBANERE</t>
  </si>
  <si>
    <t>REMORQUE TP</t>
  </si>
  <si>
    <t>ILHARRAMOUNHO GABRIEL</t>
  </si>
  <si>
    <t>IH 733</t>
  </si>
  <si>
    <t>JOHN DEERE 6400</t>
  </si>
  <si>
    <t>TRACTEURS</t>
  </si>
  <si>
    <t>DEPOLLUTION</t>
  </si>
  <si>
    <t>BOUCHAGE</t>
  </si>
  <si>
    <t>PDF ET CLIMATISATION</t>
  </si>
  <si>
    <t>RELEVAGE AVANT MX</t>
  </si>
  <si>
    <t>CROCHET</t>
  </si>
  <si>
    <t>Main d'oeuvre non pris en charge</t>
  </si>
  <si>
    <t>910ha/33h</t>
  </si>
  <si>
    <t>T250041982</t>
  </si>
  <si>
    <t>FAUCHEUSE CLAAS DISCO 3600</t>
  </si>
  <si>
    <t>CABOT ALAIN</t>
  </si>
  <si>
    <t>FILTRE CABINE</t>
  </si>
  <si>
    <t>EARL DU HAOU D'ARZET</t>
  </si>
  <si>
    <t>DEMONTE ROUE</t>
  </si>
  <si>
    <t>FAUCHEUSE CLAAS DISCO 4000</t>
  </si>
  <si>
    <t>DISTRIBUTEUR N°3</t>
  </si>
  <si>
    <t>REVISION 4000H</t>
  </si>
  <si>
    <t>A4303375</t>
  </si>
  <si>
    <t>EARL DU GAVE</t>
  </si>
  <si>
    <t>EARL DU LANNOT</t>
  </si>
  <si>
    <t>PULVERISATEUR</t>
  </si>
  <si>
    <t>CONTACTEUR PORTE</t>
  </si>
  <si>
    <t>COMMANDE INVERSEUR</t>
  </si>
  <si>
    <t>A6801230</t>
  </si>
  <si>
    <t>11587100</t>
  </si>
  <si>
    <t>T250042869</t>
  </si>
  <si>
    <t>EARL FERME DU HAUT CLOUZET</t>
  </si>
  <si>
    <t>CAPTEUR ADBLUE</t>
  </si>
  <si>
    <t>FLEXIBLE FREIN</t>
  </si>
  <si>
    <t>EARL BADEIGT</t>
  </si>
  <si>
    <t>A7305446</t>
  </si>
  <si>
    <t>FREINS DE PARC</t>
  </si>
  <si>
    <t>1195h</t>
  </si>
  <si>
    <t>G5305705</t>
  </si>
  <si>
    <t>GARDE CORPS</t>
  </si>
  <si>
    <t>NH254</t>
  </si>
  <si>
    <t>1660ha-310h</t>
  </si>
  <si>
    <t>AXOS 3.105</t>
  </si>
  <si>
    <t>CODE ERREUR 1128-18</t>
  </si>
  <si>
    <t>B1300292</t>
  </si>
  <si>
    <t>ROLLANT 520 RC</t>
  </si>
  <si>
    <t>ROULEMENT ROTOCUT</t>
  </si>
  <si>
    <t>TRAVAUX MBB</t>
  </si>
  <si>
    <t>ROULEMENT PORTE</t>
  </si>
  <si>
    <t>T250043558</t>
  </si>
  <si>
    <t>REVISION 4200H</t>
  </si>
  <si>
    <t>FAUCHEUSE DISCO 2800</t>
  </si>
  <si>
    <t>VIBRATION</t>
  </si>
  <si>
    <t>AXION 820</t>
  </si>
  <si>
    <t>PONT AVANT SUSPENSION</t>
  </si>
  <si>
    <t>CAPTEUR REPLIAGE</t>
  </si>
  <si>
    <t>T250044540</t>
  </si>
  <si>
    <t>SAVARY OLIVIER</t>
  </si>
  <si>
    <t>CUMA BOUHEBEN</t>
  </si>
  <si>
    <t>BENNE LEBOULCH</t>
  </si>
  <si>
    <t>CODE 764D</t>
  </si>
  <si>
    <t>MODE FRONTAL</t>
  </si>
  <si>
    <t>T250044884</t>
  </si>
  <si>
    <t>T250044888</t>
  </si>
  <si>
    <t>T250045047</t>
  </si>
  <si>
    <t>MASSEY FERGUSON 3065</t>
  </si>
  <si>
    <t>KE20001197</t>
  </si>
  <si>
    <t>MM1699</t>
  </si>
  <si>
    <t>CODE 7742</t>
  </si>
  <si>
    <t>DISTRIBUREUR N°3</t>
  </si>
  <si>
    <t>ACCUMULATEUR</t>
  </si>
  <si>
    <t>MONTAGE PNEU</t>
  </si>
  <si>
    <t>1811h</t>
  </si>
  <si>
    <t>PLASSIN CHRISTIAN</t>
  </si>
  <si>
    <t>CERES 85</t>
  </si>
  <si>
    <t>FUITE HUILE  DIRECTION</t>
  </si>
  <si>
    <t>MONTAGE DISTRIBUTEUR HYDRAULIQUE</t>
  </si>
  <si>
    <t>FANEUSE KUHN</t>
  </si>
  <si>
    <t>TOUPIE DROITE</t>
  </si>
  <si>
    <t>22435480</t>
  </si>
  <si>
    <t>FRANCHISE SUPERIEUR</t>
  </si>
  <si>
    <t>MB&amp;</t>
  </si>
  <si>
    <t>85% de la MO</t>
  </si>
  <si>
    <t>27763710</t>
  </si>
  <si>
    <t>27490400</t>
  </si>
  <si>
    <t/>
  </si>
  <si>
    <t>1h de MO pour le changement du filtre Diagnostic non pris en charge</t>
  </si>
  <si>
    <t>201043-20250730122718</t>
  </si>
  <si>
    <t>BUSQUET XAVIER</t>
  </si>
  <si>
    <t>FT20000920</t>
  </si>
  <si>
    <t>FUITE ENGRAIS</t>
  </si>
  <si>
    <t>T250047873</t>
  </si>
  <si>
    <t>FUSÉE DE ROUE</t>
  </si>
  <si>
    <t>RÉVISION + CRABO REMORQUE</t>
  </si>
  <si>
    <t>RENAULT 103-14</t>
  </si>
  <si>
    <t>INEO AQUITAINE</t>
  </si>
  <si>
    <t>CUMA LA CHALOSSISE</t>
  </si>
  <si>
    <t>TEMIS 550</t>
  </si>
  <si>
    <t>EARL MONT MAGESQ</t>
  </si>
  <si>
    <t>JOINT PDF AVANT</t>
  </si>
  <si>
    <t>OS 15928</t>
  </si>
  <si>
    <t>RENAULT TEMIS 550</t>
  </si>
  <si>
    <t xml:space="preserve">FLEXIBLE </t>
  </si>
  <si>
    <t>NEW HOLLAND TD 4.80</t>
  </si>
  <si>
    <t>NH T4060</t>
  </si>
  <si>
    <t>RENAULT 60</t>
  </si>
  <si>
    <t>TORION</t>
  </si>
  <si>
    <t>MME WENSELEERS</t>
  </si>
  <si>
    <t>PAILLEUSE JEULIN</t>
  </si>
  <si>
    <t>REMORQUE PORTE VOITURE</t>
  </si>
  <si>
    <t>POSTIS ALAIN</t>
  </si>
  <si>
    <t>MASSEY FERGUSON 690</t>
  </si>
  <si>
    <t>MASTER JULIEN</t>
  </si>
  <si>
    <t>PAILLEUSE MBB</t>
  </si>
  <si>
    <t>PNEU FLORIANT</t>
  </si>
  <si>
    <t>NH T6050</t>
  </si>
  <si>
    <t>NH T5.95</t>
  </si>
  <si>
    <t>EARL TUQUET</t>
  </si>
  <si>
    <t>BENNE FLIEG</t>
  </si>
  <si>
    <t>CHARIOT ELEVATEUR</t>
  </si>
  <si>
    <t>ENTRETIEN ANNUEL</t>
  </si>
  <si>
    <t>PREPA DEMO</t>
  </si>
  <si>
    <t>CUMA D'ASTUZI</t>
  </si>
  <si>
    <t>BROYEUR PERFECT</t>
  </si>
  <si>
    <t>LARTIGAU PHILIPPE</t>
  </si>
  <si>
    <t xml:space="preserve">JOHN DEERE </t>
  </si>
  <si>
    <t>RADIATEUR ET CALANDRE</t>
  </si>
  <si>
    <t>EARL DES ARAGONITES</t>
  </si>
  <si>
    <t>LASSEGUE CHRISTIAN</t>
  </si>
  <si>
    <t>JOINT BOITIER</t>
  </si>
  <si>
    <t>GAEC BONNEBAT</t>
  </si>
  <si>
    <t>FAUCHEUSE DISCO 3150</t>
  </si>
  <si>
    <t>CUMA L'AMICALE</t>
  </si>
  <si>
    <t>RENAULT 113-14</t>
  </si>
  <si>
    <t>MAUBAY PIERRETTE</t>
  </si>
  <si>
    <t>Feuille</t>
  </si>
  <si>
    <t>Numéro</t>
  </si>
  <si>
    <t>Historique OR Narrosse</t>
  </si>
  <si>
    <t>Historique OR Peyrehorade</t>
  </si>
  <si>
    <t>CHARGEUR FRONTALE</t>
  </si>
  <si>
    <t>CABLE CROCHET RAMASSEUR</t>
  </si>
  <si>
    <t>Prise en charge d'une heure seulement</t>
  </si>
  <si>
    <t>prise en charge d'une heure de MO</t>
  </si>
  <si>
    <t>cession</t>
  </si>
  <si>
    <t>SCORPION 742</t>
  </si>
  <si>
    <t>CUMA LA GOUSSOISE</t>
  </si>
  <si>
    <t>TAPIS</t>
  </si>
  <si>
    <t>SUSPENSION CABINE</t>
  </si>
  <si>
    <t>CUEILLEUR BOURGOIN</t>
  </si>
  <si>
    <t>A9401896</t>
  </si>
  <si>
    <t>CHARBONNEL ALAIN</t>
  </si>
  <si>
    <t>MF 155</t>
  </si>
  <si>
    <t>VITESSE ET FREIN</t>
  </si>
  <si>
    <t>ARES 696</t>
  </si>
  <si>
    <t>REMPLACEMENT PNEU</t>
  </si>
  <si>
    <t>PRESSION HYDROLIQUE</t>
  </si>
  <si>
    <t>PEDALE ACCÉLARATEUR</t>
  </si>
  <si>
    <t>404717218/404843073</t>
  </si>
  <si>
    <t>ADOUR</t>
  </si>
  <si>
    <t>COMETS FRANCOIS</t>
  </si>
  <si>
    <t>CULTURE JARDIN</t>
  </si>
  <si>
    <t>CUMA LA CIGALE</t>
  </si>
  <si>
    <t>DACHARRY</t>
  </si>
  <si>
    <t>EARL PIROUAS</t>
  </si>
  <si>
    <t>LACROIX</t>
  </si>
  <si>
    <t>LAMARQUE</t>
  </si>
  <si>
    <t>PASQUARET</t>
  </si>
  <si>
    <t>PATISSIER VINCENT</t>
  </si>
  <si>
    <t>SALLABERRY</t>
  </si>
  <si>
    <t>SARL DU TASTET</t>
  </si>
  <si>
    <t>SEIZE</t>
  </si>
  <si>
    <t>TASTET</t>
  </si>
  <si>
    <t>VIGNEAU JEAN MARC</t>
  </si>
  <si>
    <t>COMICE</t>
  </si>
  <si>
    <t>DP4000</t>
  </si>
  <si>
    <t>LAME NIVELEUSE</t>
  </si>
  <si>
    <t>LEBOUCH</t>
  </si>
  <si>
    <t>ATTELAGE</t>
  </si>
  <si>
    <t>BAGUE</t>
  </si>
  <si>
    <t>BOC PEDALE</t>
  </si>
  <si>
    <t>BOULON</t>
  </si>
  <si>
    <t>BOUTON AILE GAUCHE RELEVAGE</t>
  </si>
  <si>
    <t>CHAMBRE A AIR AVANT</t>
  </si>
  <si>
    <t>CLOTURE</t>
  </si>
  <si>
    <t>CODE ERREUR</t>
  </si>
  <si>
    <t>CONFECTION DISTRIBUTEUR</t>
  </si>
  <si>
    <t>ELECTRICITÉ</t>
  </si>
  <si>
    <t>ELECTRO VANNE</t>
  </si>
  <si>
    <t>FUITE GASOIL COUPE CIRCUIT</t>
  </si>
  <si>
    <t>FUITE HUILE BOITIER LATERALE</t>
  </si>
  <si>
    <t>FUITE REDUCTEUR</t>
  </si>
  <si>
    <t>LIVRAISON</t>
  </si>
  <si>
    <t>PIVOT PORTE</t>
  </si>
  <si>
    <t>PREPA OCCA+ REV 1700H</t>
  </si>
  <si>
    <t>REVISION 12MOIS</t>
  </si>
  <si>
    <t>REVISION 2430H</t>
  </si>
  <si>
    <t>ROULEMENT ROULEAU PALPEUR</t>
  </si>
  <si>
    <t>VERIN REMORQUE</t>
  </si>
  <si>
    <t>VITRE</t>
  </si>
  <si>
    <t>OS 16442</t>
  </si>
  <si>
    <t>SCEA DU HOURIE</t>
  </si>
  <si>
    <t>AMENAGEMENT</t>
  </si>
  <si>
    <t>BATI CHARGEUR - EPAREUSE</t>
  </si>
  <si>
    <t>MAIRIE DE SEYRESSE</t>
  </si>
  <si>
    <t>BROYEUR GIRAFFA</t>
  </si>
  <si>
    <t>MARTEAUX ET ROULEAU PALPEUR</t>
  </si>
  <si>
    <t>T250057393</t>
  </si>
  <si>
    <t>CASSEN MICHEL</t>
  </si>
  <si>
    <t>DIRECTION RELEVAGE AVANT</t>
  </si>
  <si>
    <t>A2107187</t>
  </si>
  <si>
    <t>REHAUSSE TRÉMI</t>
  </si>
  <si>
    <t>SCEA DU BIELLE</t>
  </si>
  <si>
    <t>LEVAGE</t>
  </si>
  <si>
    <t>SCEA FRANCOIS</t>
  </si>
  <si>
    <t>NOTICE UTILISATEUR</t>
  </si>
  <si>
    <t>SCEA DE LA PEMPE</t>
  </si>
  <si>
    <t>EARL LE BIGNE</t>
  </si>
  <si>
    <t>NETTOYEUR HAUTE PRESSION</t>
  </si>
  <si>
    <t>A7304101</t>
  </si>
  <si>
    <t>A7301757</t>
  </si>
  <si>
    <t>A9705273</t>
  </si>
  <si>
    <t>T250058206</t>
  </si>
  <si>
    <t>REVISION 2400H</t>
  </si>
  <si>
    <t>VITESSE BRUTALE</t>
  </si>
  <si>
    <t>249/1124</t>
  </si>
  <si>
    <t>T250058307</t>
  </si>
  <si>
    <t>MAIRIE DE DAX</t>
  </si>
  <si>
    <t>PULVE ATASA</t>
  </si>
  <si>
    <t>NETTOYEUR DE DRAIN</t>
  </si>
  <si>
    <t>SCEA DE L'AIGUILLON</t>
  </si>
  <si>
    <t>LOUME MICHEL</t>
  </si>
  <si>
    <t>ANTENNE TELEMETRIE</t>
  </si>
  <si>
    <t>318h</t>
  </si>
  <si>
    <t>REVISION 2500H</t>
  </si>
  <si>
    <t>VIDANGE + CLIM</t>
  </si>
  <si>
    <t>CLIM + INVERSEUR + RADIATEUR</t>
  </si>
  <si>
    <t>RENAULT 56</t>
  </si>
  <si>
    <t>DEGOS PATRICE</t>
  </si>
  <si>
    <t>EARL PETIT ESTRADE</t>
  </si>
  <si>
    <t>SEMIS COLZA</t>
  </si>
  <si>
    <t>ENTRETIEN OUTILLAGE</t>
  </si>
  <si>
    <t>CUMA DES GAVES ARRIGANS</t>
  </si>
  <si>
    <t>SEMI REMORQUE</t>
  </si>
  <si>
    <t>VALPADANA</t>
  </si>
  <si>
    <t>ENTRETIEN BATIMENT</t>
  </si>
  <si>
    <t xml:space="preserve">INVENTEUR </t>
  </si>
  <si>
    <t>PREPA OCCA</t>
  </si>
  <si>
    <t>BAURAL CP2100B</t>
  </si>
  <si>
    <t>SARL PHDX</t>
  </si>
  <si>
    <t>CT3640986</t>
  </si>
  <si>
    <t>543,03</t>
  </si>
  <si>
    <t>SARL ASTRIA</t>
  </si>
  <si>
    <t>BAURAL SP2100</t>
  </si>
  <si>
    <t>VARIATEUR BATTEUR</t>
  </si>
  <si>
    <t>Non déclarer délai demande garantie dépasser</t>
  </si>
  <si>
    <t>EPANDEUR AMAZONE ZA-V</t>
  </si>
  <si>
    <t>CLIM + VIDANGE MOTEUR</t>
  </si>
  <si>
    <t>DEUTZ DX3.70</t>
  </si>
  <si>
    <t>PASCAREL DAMIEN</t>
  </si>
  <si>
    <t>SOMECA 540V</t>
  </si>
  <si>
    <t>ÉCHAPPEMENT</t>
  </si>
  <si>
    <t>DE MESMAY PHILIPPE</t>
  </si>
  <si>
    <t>MASSY 298</t>
  </si>
  <si>
    <t>PNEUS</t>
  </si>
  <si>
    <t>TREMIE FRONTALE</t>
  </si>
  <si>
    <t>FBS0000992</t>
  </si>
  <si>
    <t>709ha</t>
  </si>
  <si>
    <t>T250059118</t>
  </si>
  <si>
    <t>A6700266</t>
  </si>
  <si>
    <t>MANCHON ADBLUE</t>
  </si>
  <si>
    <t>SARL VASSEUR DEBARDAGE</t>
  </si>
  <si>
    <t>LEVIER DE COMMANDE</t>
  </si>
  <si>
    <t>filtre à gasoil non pris en charge</t>
  </si>
  <si>
    <t>CT1150974</t>
  </si>
  <si>
    <t>2500H /1H</t>
  </si>
  <si>
    <t>COSTEMALE GERARD</t>
  </si>
  <si>
    <t>76007283</t>
  </si>
  <si>
    <t xml:space="preserve"> REV 1500H</t>
  </si>
  <si>
    <t>1468h</t>
  </si>
  <si>
    <t>GUIDAGE</t>
  </si>
  <si>
    <t>COCOYNAC BERNARD</t>
  </si>
  <si>
    <t>MF 37</t>
  </si>
  <si>
    <t>EARL LUC</t>
  </si>
  <si>
    <t>PORTE OUTIL</t>
  </si>
  <si>
    <t>SUPPORT LEVIER</t>
  </si>
  <si>
    <t>DARRIGADE GEORGES</t>
  </si>
  <si>
    <t>CIRRUS</t>
  </si>
  <si>
    <t>ALIMENTATION CARBURANT</t>
  </si>
  <si>
    <t>AUTORADIO</t>
  </si>
  <si>
    <t>LARBERE THOMAS</t>
  </si>
  <si>
    <t>DIRECTION DURE</t>
  </si>
  <si>
    <t>CUMA DE PONTONX</t>
  </si>
  <si>
    <t>BIREMONT VINCENT</t>
  </si>
  <si>
    <t>REMORQUE ERDE</t>
  </si>
  <si>
    <t>78410241</t>
  </si>
  <si>
    <t>BATTEUSE WINTSTEIGER</t>
  </si>
  <si>
    <t>REVISION 2025</t>
  </si>
  <si>
    <t>REV 4300 HEURES</t>
  </si>
  <si>
    <t>PASSAGE DE GAMME</t>
  </si>
  <si>
    <t>PEDALE ACCÉLÉRATEUR</t>
  </si>
  <si>
    <t>AMAZONE CIRUS</t>
  </si>
  <si>
    <t>VERIN BRAS OSCILLANT</t>
  </si>
  <si>
    <t>CR30002628</t>
  </si>
  <si>
    <t>T250061541</t>
  </si>
  <si>
    <t>ENCLENCHEMENT MACHINE</t>
  </si>
  <si>
    <t>TROMPETTE ARG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</si>
</sst>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mmmm"/>
    <numFmt numFmtId="166" formatCode="dd\-mm\-yyyy"/>
    <numFmt numFmtId="167" formatCode="yyyy\-mm\-dd"/>
  </numFmts>
  <fonts count="6" x14ac:knownFonts="1">
    <font>
      <sz val="11"/>
      <color theme="1"/>
      <name val="Calibri"/>
      <family val="2"/>
      <scheme val="minor"/>
    </font>
    <font>
      <strike/>
      <sz val="11"/>
      <color theme="1"/>
      <name val="Calibri"/>
      <family val="2"/>
      <scheme val="minor"/>
    </font>
    <font>
      <sz val="11"/>
      <color theme="2"/>
      <name val="Calibri"/>
      <family val="2"/>
      <scheme val="minor"/>
    </font>
    <font>
      <sz val="14"/>
      <color theme="1"/>
      <name val="Calibri"/>
      <family val="2"/>
      <scheme val="minor"/>
    </font>
    <font>
      <strike/>
      <sz val="14"/>
      <color theme="1"/>
      <name val="Calibri"/>
      <family val="2"/>
      <scheme val="minor"/>
    </font>
    <font>
      <b/>
      <sz val="14"/>
      <color theme="1"/>
      <name val="Calibri"/>
      <family val="2"/>
      <scheme val="minor"/>
    </font>
  </fonts>
  <fills count="16">
    <fill>
      <patternFill patternType="none"/>
    </fill>
    <fill>
      <patternFill patternType="gray125"/>
    </fill>
    <fill>
      <patternFill patternType="solid">
        <fgColor theme="8" tint="0.39997558519241921"/>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499984740745262"/>
        <bgColor indexed="64"/>
      </patternFill>
    </fill>
    <fill>
      <patternFill patternType="solid">
        <fgColor theme="0"/>
        <bgColor indexed="64"/>
      </patternFill>
    </fill>
    <fill>
      <patternFill patternType="solid">
        <fgColor theme="8"/>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s>
  <cellStyleXfs count="1">
    <xf numFmtId="0" fontId="0" fillId="0" borderId="0"/>
  </cellStyleXfs>
  <cellXfs count="111">
    <xf numFmtId="0" fontId="0" fillId="0" borderId="0" xfId="0"/>
    <xf numFmtId="0" fontId="0" fillId="2" borderId="1" xfId="0" applyFill="1" applyBorder="1" applyAlignment="1" applyProtection="1">
      <alignment vertical="center" wrapText="1"/>
      <protection locked="0"/>
    </xf>
    <xf numFmtId="0" fontId="0" fillId="3" borderId="0" xfId="0" applyFill="1" applyAlignment="1">
      <alignment vertical="center" wrapText="1"/>
    </xf>
    <xf numFmtId="0" fontId="0" fillId="4" borderId="0" xfId="0" applyFill="1" applyAlignment="1">
      <alignment vertical="center" wrapText="1"/>
    </xf>
    <xf numFmtId="0" fontId="0" fillId="5" borderId="0" xfId="0" applyFill="1" applyAlignment="1">
      <alignment vertical="center" wrapText="1"/>
    </xf>
    <xf numFmtId="0" fontId="0" fillId="6" borderId="0" xfId="0" applyFill="1" applyAlignment="1">
      <alignment vertical="center" wrapText="1"/>
    </xf>
    <xf numFmtId="0" fontId="0" fillId="7" borderId="0" xfId="0" applyFill="1" applyAlignment="1">
      <alignment vertical="center" wrapText="1"/>
    </xf>
    <xf numFmtId="0" fontId="1" fillId="0" borderId="0" xfId="0" applyFont="1" applyAlignment="1">
      <alignment vertical="center" wrapText="1"/>
    </xf>
    <xf numFmtId="0" fontId="0" fillId="8" borderId="0" xfId="0" applyFill="1" applyAlignment="1">
      <alignment vertical="center" wrapText="1"/>
    </xf>
    <xf numFmtId="0" fontId="0" fillId="9" borderId="0" xfId="0" applyFill="1" applyAlignment="1">
      <alignment vertical="center" wrapText="1"/>
    </xf>
    <xf numFmtId="0" fontId="0" fillId="10" borderId="0" xfId="0" applyFill="1" applyAlignment="1">
      <alignment vertical="center" wrapText="1"/>
    </xf>
    <xf numFmtId="0" fontId="0" fillId="11" borderId="0" xfId="0" applyFill="1" applyAlignment="1">
      <alignment vertical="center" wrapText="1"/>
    </xf>
    <xf numFmtId="0" fontId="0" fillId="0" borderId="0" xfId="0" applyAlignment="1">
      <alignment horizontal="center"/>
    </xf>
    <xf numFmtId="0" fontId="0" fillId="3" borderId="0" xfId="0" applyFill="1" applyAlignment="1">
      <alignment horizontal="center" vertical="center" wrapText="1"/>
    </xf>
    <xf numFmtId="0" fontId="0" fillId="6" borderId="0" xfId="0" applyFill="1" applyAlignment="1">
      <alignment horizontal="center" vertical="center" wrapText="1"/>
    </xf>
    <xf numFmtId="0" fontId="0" fillId="12" borderId="1" xfId="0"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4" borderId="0" xfId="0" applyFill="1" applyAlignment="1">
      <alignment horizontal="center" vertical="center" wrapText="1"/>
    </xf>
    <xf numFmtId="0" fontId="2" fillId="11" borderId="0" xfId="0" applyFont="1" applyFill="1" applyAlignment="1">
      <alignment horizontal="center" vertical="center" wrapText="1"/>
    </xf>
    <xf numFmtId="0" fontId="2" fillId="13" borderId="0" xfId="0" applyFont="1" applyFill="1" applyAlignment="1">
      <alignment horizontal="center"/>
    </xf>
    <xf numFmtId="0" fontId="3" fillId="14" borderId="7" xfId="0" applyFont="1" applyFill="1" applyBorder="1" applyAlignment="1">
      <alignment vertical="center" wrapText="1"/>
    </xf>
    <xf numFmtId="0" fontId="3" fillId="0" borderId="4" xfId="0" applyFont="1" applyBorder="1" applyAlignment="1">
      <alignment vertical="center" wrapText="1"/>
    </xf>
    <xf numFmtId="49" fontId="3" fillId="0" borderId="5" xfId="0" applyNumberFormat="1" applyFont="1" applyBorder="1" applyAlignment="1" applyProtection="1">
      <alignment horizontal="left" vertical="center" wrapText="1"/>
      <protection locked="0"/>
    </xf>
    <xf numFmtId="164" fontId="3" fillId="0" borderId="5" xfId="0" applyNumberFormat="1" applyFont="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64" fontId="3" fillId="14" borderId="1" xfId="0" applyNumberFormat="1" applyFont="1" applyFill="1" applyBorder="1" applyAlignment="1" applyProtection="1">
      <alignment horizontal="center" vertical="center" wrapText="1"/>
      <protection locked="0"/>
    </xf>
    <xf numFmtId="0" fontId="3" fillId="14" borderId="2" xfId="0" applyFont="1" applyFill="1" applyBorder="1" applyAlignment="1" applyProtection="1">
      <alignment vertical="center" wrapText="1"/>
      <protection locked="0"/>
    </xf>
    <xf numFmtId="164" fontId="3" fillId="14" borderId="3" xfId="0" applyNumberFormat="1" applyFont="1" applyFill="1" applyBorder="1" applyAlignment="1" applyProtection="1">
      <alignment horizontal="center" vertical="center" wrapText="1"/>
      <protection locked="0"/>
    </xf>
    <xf numFmtId="0" fontId="3" fillId="14" borderId="8" xfId="0" applyFont="1" applyFill="1" applyBorder="1" applyAlignment="1">
      <alignment vertical="center" wrapText="1"/>
    </xf>
    <xf numFmtId="164" fontId="3" fillId="14" borderId="9" xfId="0" applyNumberFormat="1" applyFont="1" applyFill="1" applyBorder="1" applyAlignment="1" applyProtection="1">
      <alignment horizontal="center" vertical="center" wrapText="1"/>
      <protection locked="0"/>
    </xf>
    <xf numFmtId="0" fontId="3" fillId="14" borderId="10" xfId="0" applyFont="1" applyFill="1" applyBorder="1" applyAlignment="1" applyProtection="1">
      <alignment vertical="center" wrapText="1"/>
      <protection locked="0"/>
    </xf>
    <xf numFmtId="0" fontId="3" fillId="14" borderId="1" xfId="0" applyFont="1" applyFill="1" applyBorder="1" applyAlignment="1" applyProtection="1">
      <alignment horizontal="left" vertical="center" wrapText="1" indent="1"/>
      <protection locked="0"/>
    </xf>
    <xf numFmtId="0" fontId="3" fillId="14" borderId="2" xfId="0" applyFont="1" applyFill="1" applyBorder="1" applyAlignment="1" applyProtection="1">
      <alignment horizontal="left" vertical="center" wrapText="1" indent="1"/>
      <protection locked="0"/>
    </xf>
    <xf numFmtId="0" fontId="3" fillId="14" borderId="9" xfId="0" applyFont="1" applyFill="1" applyBorder="1" applyAlignment="1" applyProtection="1">
      <alignment horizontal="left" vertical="center" wrapText="1" indent="1"/>
      <protection locked="0"/>
    </xf>
    <xf numFmtId="49" fontId="3" fillId="0" borderId="5" xfId="0" applyNumberFormat="1" applyFont="1" applyBorder="1" applyAlignment="1" applyProtection="1">
      <alignment horizontal="left" vertical="center" wrapText="1" indent="1"/>
      <protection locked="0"/>
    </xf>
    <xf numFmtId="0" fontId="3" fillId="14" borderId="3" xfId="0" applyFont="1" applyFill="1" applyBorder="1" applyAlignment="1" applyProtection="1">
      <alignment horizontal="left" vertical="center" wrapText="1" indent="1"/>
      <protection locked="0"/>
    </xf>
    <xf numFmtId="0" fontId="0" fillId="0" borderId="0" xfId="0" applyAlignment="1">
      <alignment horizontal="left" indent="1"/>
    </xf>
    <xf numFmtId="0" fontId="3" fillId="0" borderId="0" xfId="0" applyFont="1"/>
    <xf numFmtId="0" fontId="3" fillId="0" borderId="4" xfId="0" applyFont="1" applyBorder="1" applyAlignment="1">
      <alignment horizontal="center" vertical="center" wrapText="1"/>
    </xf>
    <xf numFmtId="0" fontId="3" fillId="0" borderId="0" xfId="0" applyFont="1" applyAlignment="1">
      <alignment horizontal="center" vertical="center"/>
    </xf>
    <xf numFmtId="49" fontId="3" fillId="0" borderId="5" xfId="0" applyNumberFormat="1" applyFont="1" applyBorder="1" applyAlignment="1">
      <alignment horizontal="left" wrapText="1" indent="1"/>
    </xf>
    <xf numFmtId="49" fontId="3" fillId="14" borderId="1" xfId="0" applyNumberFormat="1" applyFont="1" applyFill="1" applyBorder="1" applyAlignment="1">
      <alignment horizontal="left" wrapText="1" indent="1"/>
    </xf>
    <xf numFmtId="49" fontId="3" fillId="14" borderId="1" xfId="0" applyNumberFormat="1" applyFont="1" applyFill="1" applyBorder="1" applyAlignment="1">
      <alignment horizontal="left" indent="1"/>
    </xf>
    <xf numFmtId="49" fontId="3" fillId="14" borderId="1" xfId="0" applyNumberFormat="1" applyFont="1" applyFill="1" applyBorder="1" applyAlignment="1">
      <alignment horizontal="left" vertical="center" wrapText="1" indent="1"/>
    </xf>
    <xf numFmtId="0" fontId="3" fillId="0" borderId="0" xfId="0" applyFont="1" applyAlignment="1">
      <alignment horizontal="left" indent="1"/>
    </xf>
    <xf numFmtId="164" fontId="3" fillId="0" borderId="5" xfId="0" applyNumberFormat="1" applyFont="1" applyBorder="1" applyAlignment="1">
      <alignment horizontal="center" wrapText="1"/>
    </xf>
    <xf numFmtId="49" fontId="3" fillId="0" borderId="6" xfId="0" applyNumberFormat="1" applyFont="1" applyBorder="1" applyAlignment="1">
      <alignment horizontal="center" wrapText="1"/>
    </xf>
    <xf numFmtId="164" fontId="3" fillId="14" borderId="1" xfId="0" applyNumberFormat="1" applyFont="1" applyFill="1" applyBorder="1" applyAlignment="1">
      <alignment horizontal="center" wrapText="1"/>
    </xf>
    <xf numFmtId="164" fontId="3" fillId="14" borderId="1" xfId="0" applyNumberFormat="1" applyFont="1" applyFill="1" applyBorder="1" applyAlignment="1">
      <alignment horizontal="center"/>
    </xf>
    <xf numFmtId="164" fontId="3" fillId="14" borderId="1" xfId="0" applyNumberFormat="1" applyFont="1" applyFill="1" applyBorder="1" applyAlignment="1">
      <alignment horizontal="center" vertical="center" wrapText="1"/>
    </xf>
    <xf numFmtId="0" fontId="3" fillId="0" borderId="0" xfId="0" applyFont="1" applyAlignment="1">
      <alignment horizontal="center"/>
    </xf>
    <xf numFmtId="14" fontId="0" fillId="0" borderId="0" xfId="0" applyNumberFormat="1"/>
    <xf numFmtId="164" fontId="3" fillId="14" borderId="8" xfId="0" applyNumberFormat="1" applyFont="1" applyFill="1" applyBorder="1" applyAlignment="1" applyProtection="1">
      <alignment horizontal="center" vertical="center" wrapText="1"/>
      <protection locked="0"/>
    </xf>
    <xf numFmtId="0" fontId="3" fillId="14" borderId="1" xfId="0" applyFont="1" applyFill="1" applyBorder="1" applyAlignment="1" applyProtection="1">
      <alignment horizontal="left" vertical="center" wrapText="1" indent="2"/>
      <protection locked="0"/>
    </xf>
    <xf numFmtId="0" fontId="3" fillId="14" borderId="1" xfId="0" applyFont="1" applyFill="1" applyBorder="1" applyAlignment="1">
      <alignment vertical="center" wrapText="1"/>
    </xf>
    <xf numFmtId="22" fontId="3" fillId="0" borderId="0" xfId="0" applyNumberFormat="1" applyFont="1"/>
    <xf numFmtId="0" fontId="3" fillId="14" borderId="1" xfId="0" applyFont="1" applyFill="1" applyBorder="1" applyAlignment="1">
      <alignment horizontal="center" vertical="center" wrapText="1"/>
    </xf>
    <xf numFmtId="49" fontId="3" fillId="14" borderId="1" xfId="0" applyNumberFormat="1" applyFont="1" applyFill="1" applyBorder="1" applyAlignment="1">
      <alignment horizontal="left" wrapText="1" indent="2"/>
    </xf>
    <xf numFmtId="0" fontId="3" fillId="14" borderId="9" xfId="0" applyFont="1" applyFill="1" applyBorder="1" applyAlignment="1">
      <alignment horizontal="center" vertical="center" wrapText="1"/>
    </xf>
    <xf numFmtId="49" fontId="3" fillId="14" borderId="9" xfId="0" applyNumberFormat="1" applyFont="1" applyFill="1" applyBorder="1" applyAlignment="1">
      <alignment horizontal="left" wrapText="1" indent="2"/>
    </xf>
    <xf numFmtId="164" fontId="3" fillId="14" borderId="9" xfId="0" applyNumberFormat="1" applyFont="1" applyFill="1" applyBorder="1" applyAlignment="1">
      <alignment horizontal="center" wrapText="1"/>
    </xf>
    <xf numFmtId="49" fontId="3" fillId="0" borderId="5" xfId="0" applyNumberFormat="1" applyFont="1" applyBorder="1" applyAlignment="1">
      <alignment horizontal="left" wrapText="1" indent="2"/>
    </xf>
    <xf numFmtId="0" fontId="3" fillId="0" borderId="0" xfId="0" applyFont="1" applyAlignment="1">
      <alignment horizontal="left" indent="2"/>
    </xf>
    <xf numFmtId="0" fontId="3" fillId="15" borderId="9" xfId="0" applyFont="1" applyFill="1" applyBorder="1" applyAlignment="1">
      <alignment horizontal="center" vertical="center" wrapText="1"/>
    </xf>
    <xf numFmtId="0" fontId="3" fillId="0" borderId="11" xfId="0" applyFont="1" applyBorder="1" applyAlignment="1" applyProtection="1">
      <alignment horizontal="center" vertical="center" wrapText="1"/>
      <protection locked="0"/>
    </xf>
    <xf numFmtId="164" fontId="3" fillId="0" borderId="11" xfId="0" applyNumberFormat="1" applyFont="1" applyBorder="1" applyAlignment="1" applyProtection="1">
      <alignment horizontal="center" vertical="center" wrapText="1"/>
      <protection locked="0"/>
    </xf>
    <xf numFmtId="0" fontId="3" fillId="0" borderId="11" xfId="0" applyFont="1" applyBorder="1" applyAlignment="1" applyProtection="1">
      <alignment vertical="center" wrapText="1"/>
      <protection locked="0"/>
    </xf>
    <xf numFmtId="0" fontId="3" fillId="0" borderId="11" xfId="0" applyFont="1" applyBorder="1" applyAlignment="1" applyProtection="1">
      <alignment horizontal="left" vertical="center" wrapText="1"/>
      <protection locked="0"/>
    </xf>
    <xf numFmtId="49" fontId="3" fillId="0" borderId="11" xfId="0" applyNumberFormat="1" applyFont="1" applyBorder="1" applyAlignment="1" applyProtection="1">
      <alignment vertical="center" wrapText="1"/>
      <protection locked="0"/>
    </xf>
    <xf numFmtId="2" fontId="3" fillId="0" borderId="11" xfId="0" applyNumberFormat="1" applyFont="1" applyBorder="1" applyAlignment="1" applyProtection="1">
      <alignment vertical="center" wrapText="1"/>
      <protection locked="0"/>
    </xf>
    <xf numFmtId="2" fontId="3" fillId="0" borderId="11" xfId="0" applyNumberFormat="1" applyFont="1" applyBorder="1" applyAlignment="1">
      <alignment vertical="center" wrapText="1"/>
    </xf>
    <xf numFmtId="165" fontId="3" fillId="0" borderId="11" xfId="0" applyNumberFormat="1" applyFont="1" applyBorder="1" applyAlignment="1">
      <alignment horizontal="center" vertical="center" wrapText="1"/>
    </xf>
    <xf numFmtId="164" fontId="3" fillId="0" borderId="11" xfId="0" applyNumberFormat="1" applyFont="1" applyBorder="1" applyAlignment="1">
      <alignment vertical="center" wrapText="1"/>
    </xf>
    <xf numFmtId="0" fontId="3" fillId="0" borderId="11" xfId="0" applyFont="1" applyBorder="1" applyAlignment="1">
      <alignment vertical="center" wrapText="1"/>
    </xf>
    <xf numFmtId="0" fontId="3" fillId="0" borderId="11" xfId="0" applyFont="1" applyBorder="1" applyAlignment="1">
      <alignment horizontal="center" vertical="center" wrapText="1"/>
    </xf>
    <xf numFmtId="0" fontId="4" fillId="0" borderId="11" xfId="0" applyFont="1" applyBorder="1" applyAlignment="1" applyProtection="1">
      <alignment horizontal="center" vertical="center" wrapText="1"/>
      <protection locked="0"/>
    </xf>
    <xf numFmtId="0" fontId="4" fillId="0" borderId="11" xfId="0" applyFont="1" applyBorder="1" applyAlignment="1" applyProtection="1">
      <alignment vertical="center" wrapText="1"/>
      <protection locked="0"/>
    </xf>
    <xf numFmtId="0" fontId="4" fillId="0" borderId="11" xfId="0" applyFont="1" applyBorder="1" applyAlignment="1" applyProtection="1">
      <alignment horizontal="left" vertical="center" wrapText="1"/>
      <protection locked="0"/>
    </xf>
    <xf numFmtId="49" fontId="4" fillId="0" borderId="11" xfId="0" applyNumberFormat="1" applyFont="1" applyBorder="1" applyAlignment="1" applyProtection="1">
      <alignment vertical="center" wrapText="1"/>
      <protection locked="0"/>
    </xf>
    <xf numFmtId="2" fontId="4" fillId="0" borderId="11" xfId="0" applyNumberFormat="1" applyFont="1" applyBorder="1" applyAlignment="1" applyProtection="1">
      <alignment vertical="center" wrapText="1"/>
      <protection locked="0"/>
    </xf>
    <xf numFmtId="2" fontId="4" fillId="0" borderId="11" xfId="0" applyNumberFormat="1" applyFont="1" applyBorder="1" applyAlignment="1">
      <alignment vertical="center" wrapText="1"/>
    </xf>
    <xf numFmtId="165" fontId="4" fillId="0" borderId="11" xfId="0" applyNumberFormat="1" applyFont="1" applyBorder="1" applyAlignment="1">
      <alignment horizontal="center" vertical="center" wrapText="1"/>
    </xf>
    <xf numFmtId="0" fontId="4" fillId="0" borderId="11" xfId="0" applyFont="1" applyBorder="1" applyAlignment="1">
      <alignment horizontal="center" vertical="center" wrapText="1"/>
    </xf>
    <xf numFmtId="0" fontId="4" fillId="0" borderId="11" xfId="0" applyFont="1" applyBorder="1" applyAlignment="1">
      <alignment vertical="center" wrapText="1"/>
    </xf>
    <xf numFmtId="0" fontId="3" fillId="0" borderId="12" xfId="0" applyFont="1" applyBorder="1" applyAlignment="1" applyProtection="1">
      <alignment vertical="center" wrapText="1"/>
      <protection locked="0"/>
    </xf>
    <xf numFmtId="1" fontId="3" fillId="15" borderId="5" xfId="0" applyNumberFormat="1" applyFont="1" applyFill="1" applyBorder="1" applyAlignment="1">
      <alignment horizontal="center" vertical="center" wrapText="1"/>
    </xf>
    <xf numFmtId="1" fontId="3" fillId="0" borderId="12" xfId="0" applyNumberFormat="1" applyFont="1" applyBorder="1" applyAlignment="1">
      <alignment vertical="center" wrapText="1"/>
    </xf>
    <xf numFmtId="1" fontId="3" fillId="0" borderId="11" xfId="0" applyNumberFormat="1" applyFont="1" applyBorder="1" applyAlignment="1">
      <alignment vertical="center" wrapText="1"/>
    </xf>
    <xf numFmtId="0" fontId="3" fillId="14" borderId="10" xfId="0" applyFont="1" applyFill="1" applyBorder="1" applyAlignment="1" applyProtection="1">
      <alignment horizontal="left" vertical="center" wrapText="1" indent="1"/>
      <protection locked="0"/>
    </xf>
    <xf numFmtId="0" fontId="3" fillId="14" borderId="13" xfId="0" applyFont="1" applyFill="1" applyBorder="1" applyAlignment="1" applyProtection="1">
      <alignment horizontal="left" vertical="center" wrapText="1" indent="2"/>
      <protection locked="0"/>
    </xf>
    <xf numFmtId="0" fontId="3" fillId="14" borderId="8" xfId="0" applyFont="1" applyFill="1" applyBorder="1" applyAlignment="1" applyProtection="1">
      <alignment horizontal="left" vertical="center" wrapText="1" indent="2"/>
      <protection locked="0"/>
    </xf>
    <xf numFmtId="0" fontId="5" fillId="14" borderId="1" xfId="0" applyFont="1" applyFill="1" applyBorder="1" applyAlignment="1">
      <alignment horizontal="center" vertical="center" wrapText="1"/>
    </xf>
    <xf numFmtId="49" fontId="3" fillId="14" borderId="1" xfId="0" applyNumberFormat="1" applyFont="1" applyFill="1" applyBorder="1" applyAlignment="1">
      <alignment horizontal="left" wrapText="1" indent="3"/>
    </xf>
    <xf numFmtId="1" fontId="4" fillId="0" borderId="11" xfId="0" applyNumberFormat="1" applyFont="1" applyBorder="1" applyAlignment="1">
      <alignment vertical="center" wrapText="1"/>
    </xf>
    <xf numFmtId="0" fontId="4" fillId="0" borderId="0" xfId="0" applyFont="1"/>
    <xf numFmtId="0" fontId="3" fillId="14" borderId="13" xfId="0" applyFont="1" applyFill="1" applyBorder="1" applyAlignment="1">
      <alignment horizontal="center" vertical="center" wrapText="1"/>
    </xf>
    <xf numFmtId="49" fontId="3" fillId="15" borderId="9" xfId="0" applyNumberFormat="1" applyFont="1" applyFill="1" applyBorder="1" applyAlignment="1">
      <alignment horizontal="center" vertical="center" wrapText="1"/>
    </xf>
    <xf numFmtId="49" fontId="3" fillId="0" borderId="11" xfId="0" applyNumberFormat="1" applyFont="1" applyBorder="1" applyAlignment="1" applyProtection="1">
      <alignment horizontal="center" vertical="center" wrapText="1"/>
      <protection locked="0"/>
    </xf>
    <xf numFmtId="49" fontId="0" fillId="0" borderId="0" xfId="0" applyNumberFormat="1"/>
    <xf numFmtId="22" fontId="0" fillId="0" borderId="0" xfId="0" applyNumberFormat="1"/>
    <xf numFmtId="49" fontId="3" fillId="0" borderId="0" xfId="0" applyNumberFormat="1" applyFont="1"/>
    <xf numFmtId="166" fontId="3" fillId="15" borderId="5" xfId="0" applyNumberFormat="1" applyFont="1" applyFill="1" applyBorder="1" applyAlignment="1">
      <alignment horizontal="center" vertical="center" wrapText="1"/>
    </xf>
    <xf numFmtId="166" fontId="3" fillId="0" borderId="0" xfId="0" applyNumberFormat="1" applyFont="1"/>
    <xf numFmtId="166" fontId="3" fillId="0" borderId="11" xfId="0" applyNumberFormat="1" applyFont="1" applyBorder="1" applyAlignment="1">
      <alignment vertical="center" wrapText="1"/>
    </xf>
    <xf numFmtId="166" fontId="4" fillId="0" borderId="11" xfId="0" applyNumberFormat="1" applyFont="1" applyBorder="1" applyAlignment="1">
      <alignment vertical="center" wrapText="1"/>
    </xf>
    <xf numFmtId="49" fontId="4" fillId="0" borderId="11" xfId="0" applyNumberFormat="1" applyFont="1" applyBorder="1" applyAlignment="1" applyProtection="1">
      <alignment horizontal="center" vertical="center" wrapText="1"/>
      <protection locked="0"/>
    </xf>
    <xf numFmtId="167" fontId="3" fillId="0" borderId="11" xfId="0" applyNumberFormat="1" applyFont="1" applyBorder="1" applyAlignment="1" applyProtection="1">
      <alignment horizontal="center" vertical="center" wrapText="1"/>
      <protection locked="0"/>
    </xf>
    <xf numFmtId="167" fontId="4" fillId="0" borderId="11" xfId="0" applyNumberFormat="1" applyFont="1" applyBorder="1" applyAlignment="1" applyProtection="1">
      <alignment horizontal="center" vertical="center" wrapText="1"/>
      <protection locked="0"/>
    </xf>
    <xf numFmtId="167" fontId="3" fillId="0" borderId="12" xfId="0" applyNumberFormat="1" applyFont="1" applyBorder="1" applyAlignment="1" applyProtection="1">
      <alignment vertical="center" wrapText="1"/>
      <protection locked="0"/>
    </xf>
    <xf numFmtId="167" fontId="3" fillId="0" borderId="11" xfId="0" applyNumberFormat="1" applyFont="1" applyBorder="1" applyAlignment="1" applyProtection="1">
      <alignment vertical="center" wrapText="1"/>
      <protection locked="0"/>
    </xf>
    <xf numFmtId="167" fontId="4" fillId="0" borderId="11" xfId="0" applyNumberFormat="1" applyFont="1" applyBorder="1" applyAlignment="1" applyProtection="1">
      <alignment vertical="center" wrapText="1"/>
      <protection locked="0"/>
    </xf>
  </cellXfs>
  <cellStyles count="1">
    <cellStyle name="Normal" xfId="0" builtinId="0"/>
  </cellStyles>
  <dxfs count="177">
    <dxf>
      <font>
        <outline val="0"/>
        <shadow val="0"/>
        <u val="none"/>
        <vertAlign val="baseline"/>
        <sz val="14"/>
        <color theme="1"/>
        <name val="Calibri"/>
        <family val="2"/>
        <scheme val="minor"/>
      </font>
      <numFmt numFmtId="167" formatCode="yyyy\-mm\-dd"/>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167" formatCode="yyyy\-mm\-dd"/>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167" formatCode="yyyy\-mm\-dd"/>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FFE699"/>
        </patternFill>
      </fill>
    </dxf>
    <dxf>
      <font>
        <b val="0"/>
        <i val="0"/>
        <color rgb="FF000000"/>
      </font>
      <fill>
        <patternFill>
          <fgColor indexed="64"/>
          <bgColor rgb="FFA9D08E"/>
        </patternFill>
      </fill>
    </dxf>
    <dxf>
      <font>
        <b val="0"/>
        <i val="0"/>
        <color rgb="FF000000"/>
      </font>
      <fill>
        <patternFill>
          <fgColor indexed="64"/>
          <bgColor rgb="FFD9D9D9"/>
        </patternFill>
      </fill>
    </dxf>
    <dxf>
      <font>
        <b val="0"/>
        <i val="0"/>
        <color rgb="FF000000"/>
      </font>
      <fill>
        <patternFill>
          <fgColor indexed="64"/>
          <bgColor rgb="FFD9D9D9"/>
        </patternFill>
      </fill>
    </dxf>
    <dxf>
      <font>
        <b val="0"/>
        <i val="0"/>
        <color rgb="FF000000"/>
      </font>
      <fill>
        <patternFill>
          <fgColor indexed="64"/>
          <bgColor rgb="FFD9E1F2"/>
        </patternFill>
      </fill>
    </dxf>
    <dxf>
      <font>
        <b val="0"/>
        <i val="0"/>
        <color rgb="FF000000"/>
      </font>
      <fill>
        <patternFill>
          <fgColor indexed="64"/>
          <bgColor rgb="FFA9D08E"/>
        </patternFill>
      </fill>
    </dxf>
    <dxf>
      <font>
        <b val="0"/>
        <i val="0"/>
        <color rgb="FF000000"/>
      </font>
      <fill>
        <patternFill>
          <fgColor indexed="64"/>
          <bgColor rgb="FFE2EFDA"/>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E7E6E6"/>
      </font>
      <fill>
        <patternFill>
          <fgColor indexed="64"/>
          <bgColor rgb="FF548235"/>
        </patternFill>
      </fill>
    </dxf>
    <dxf>
      <font>
        <b val="0"/>
        <i val="0"/>
        <color rgb="FFE7E6E6"/>
      </font>
      <fill>
        <patternFill>
          <fgColor indexed="64"/>
          <bgColor rgb="FF375623"/>
        </patternFill>
      </fill>
    </dxf>
    <dxf>
      <font>
        <b val="0"/>
        <i val="0"/>
        <color rgb="FFE7E6E6"/>
      </font>
      <fill>
        <patternFill>
          <fgColor indexed="64"/>
          <bgColor rgb="FF375623"/>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D9E1F2"/>
        </patternFill>
      </fill>
    </dxf>
    <dxf>
      <font>
        <b val="0"/>
        <i val="0"/>
        <color rgb="FF000000"/>
      </font>
      <fill>
        <patternFill>
          <fgColor indexed="64"/>
          <bgColor rgb="FFA9D08E"/>
        </patternFill>
      </fill>
    </dxf>
    <dxf>
      <fill>
        <patternFill>
          <bgColor rgb="FFFF0000"/>
        </patternFill>
      </fill>
    </dxf>
    <dxf>
      <font>
        <outline val="0"/>
        <shadow val="0"/>
        <u val="none"/>
        <vertAlign val="baseline"/>
        <sz val="14"/>
        <color theme="1"/>
        <name val="Calibri"/>
        <family val="2"/>
        <scheme val="minor"/>
      </font>
      <numFmt numFmtId="1" formatCode="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0" formatCode="General"/>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numFmt numFmtId="0" formatCode="General"/>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outline val="0"/>
        <shadow val="0"/>
        <u val="none"/>
        <vertAlign val="baseline"/>
        <sz val="14"/>
        <color theme="1"/>
        <name val="Calibri"/>
        <family val="2"/>
        <scheme val="minor"/>
      </font>
      <numFmt numFmtId="166" formatCode="dd\-mm\-yyyy"/>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numFmt numFmtId="165" formatCode="mmmm"/>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1"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2" formatCode="0.00"/>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30" formatCode="@"/>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b val="0"/>
        <i val="0"/>
        <strike val="0"/>
        <condense val="0"/>
        <extend val="0"/>
        <outline val="0"/>
        <shadow val="0"/>
        <u val="none"/>
        <vertAlign val="baseline"/>
        <sz val="14"/>
        <color theme="1"/>
        <name val="Calibri"/>
        <family val="2"/>
        <scheme val="minor"/>
      </font>
      <numFmt numFmtId="30" formatCode="@"/>
      <alignment horizontal="general" vertical="center" textRotation="0" wrapText="1" indent="0" justifyLastLine="0" shrinkToFit="0" readingOrder="0"/>
      <border diagonalUp="0" diagonalDown="0">
        <left style="medium">
          <color indexed="64"/>
        </left>
        <right style="medium">
          <color indexed="64"/>
        </right>
        <top style="medium">
          <color indexed="64"/>
        </top>
        <bottom/>
        <vertical/>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protection locked="0" hidden="0"/>
    </dxf>
    <dxf>
      <font>
        <outline val="0"/>
        <shadow val="0"/>
        <u val="none"/>
        <vertAlign val="baseline"/>
        <sz val="14"/>
        <color theme="1"/>
        <name val="Calibri"/>
        <family val="2"/>
        <scheme val="minor"/>
      </font>
      <fill>
        <patternFill patternType="none">
          <fgColor indexed="64"/>
          <bgColor auto="1"/>
        </patternFill>
      </fill>
      <alignment vertical="center" textRotation="0" wrapText="1" indent="0" justifyLastLine="0" shrinkToFit="0" readingOrder="0"/>
      <protection locked="0" hidden="0"/>
    </dxf>
    <dxf>
      <border>
        <bottom style="thin">
          <color indexed="64"/>
        </bottom>
      </border>
    </dxf>
    <dxf>
      <font>
        <outline val="0"/>
        <shadow val="0"/>
        <u val="none"/>
        <vertAlign val="baseline"/>
        <sz val="14"/>
        <color theme="1"/>
        <name val="Calibri"/>
        <family val="2"/>
        <scheme val="minor"/>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FFE699"/>
        </patternFill>
      </fill>
    </dxf>
    <dxf>
      <font>
        <b val="0"/>
        <i val="0"/>
        <color rgb="FF000000"/>
      </font>
      <fill>
        <patternFill>
          <fgColor indexed="64"/>
          <bgColor rgb="FFA9D08E"/>
        </patternFill>
      </fill>
    </dxf>
    <dxf>
      <font>
        <b val="0"/>
        <i val="0"/>
        <color rgb="FF000000"/>
      </font>
      <fill>
        <patternFill>
          <fgColor indexed="64"/>
          <bgColor rgb="FFD9D9D9"/>
        </patternFill>
      </fill>
    </dxf>
    <dxf>
      <font>
        <b val="0"/>
        <i val="0"/>
        <color rgb="FF000000"/>
      </font>
      <fill>
        <patternFill>
          <fgColor indexed="64"/>
          <bgColor rgb="FFD9D9D9"/>
        </patternFill>
      </fill>
    </dxf>
    <dxf>
      <font>
        <b val="0"/>
        <i val="0"/>
        <color rgb="FF000000"/>
      </font>
      <fill>
        <patternFill>
          <fgColor indexed="64"/>
          <bgColor rgb="FFD9E1F2"/>
        </patternFill>
      </fill>
    </dxf>
    <dxf>
      <font>
        <b val="0"/>
        <i val="0"/>
        <color rgb="FF000000"/>
      </font>
      <fill>
        <patternFill>
          <fgColor indexed="64"/>
          <bgColor rgb="FFA9D08E"/>
        </patternFill>
      </fill>
    </dxf>
    <dxf>
      <font>
        <b val="0"/>
        <i val="0"/>
        <color rgb="FF000000"/>
      </font>
      <fill>
        <patternFill>
          <fgColor indexed="64"/>
          <bgColor rgb="FFE2EFDA"/>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E7E6E6"/>
      </font>
      <fill>
        <patternFill>
          <fgColor indexed="64"/>
          <bgColor rgb="FF548235"/>
        </patternFill>
      </fill>
    </dxf>
    <dxf>
      <font>
        <b val="0"/>
        <i val="0"/>
        <color rgb="FFE7E6E6"/>
      </font>
      <fill>
        <patternFill>
          <fgColor indexed="64"/>
          <bgColor rgb="FF375623"/>
        </patternFill>
      </fill>
    </dxf>
    <dxf>
      <font>
        <b val="0"/>
        <i val="0"/>
        <color rgb="FFE7E6E6"/>
      </font>
      <fill>
        <patternFill>
          <fgColor indexed="64"/>
          <bgColor rgb="FF375623"/>
        </patternFill>
      </fill>
    </dxf>
    <dxf>
      <font>
        <b val="0"/>
        <i val="0"/>
        <color rgb="FF000000"/>
      </font>
      <fill>
        <patternFill>
          <fgColor indexed="64"/>
          <bgColor rgb="FFA9D08E"/>
        </patternFill>
      </fill>
    </dxf>
    <dxf>
      <font>
        <b val="0"/>
        <i val="0"/>
        <color rgb="FF000000"/>
      </font>
      <fill>
        <patternFill>
          <fgColor indexed="64"/>
          <bgColor rgb="FFA9D08E"/>
        </patternFill>
      </fill>
    </dxf>
    <dxf>
      <font>
        <b val="0"/>
        <i val="0"/>
        <color rgb="FF000000"/>
      </font>
      <fill>
        <patternFill>
          <fgColor indexed="64"/>
          <bgColor rgb="FFD9E1F2"/>
        </patternFill>
      </fill>
    </dxf>
    <dxf>
      <font>
        <b val="0"/>
        <i val="0"/>
        <color rgb="FF000000"/>
      </font>
      <fill>
        <patternFill>
          <fgColor indexed="64"/>
          <bgColor rgb="FFA9D08E"/>
        </patternFill>
      </fill>
    </dxf>
    <dxf>
      <fill>
        <patternFill>
          <bgColor rgb="FFFF0000"/>
        </patternFill>
      </fill>
    </dxf>
    <dxf>
      <font>
        <strike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4"/>
        <color theme="1"/>
        <name val="Calibri"/>
        <family val="2"/>
        <scheme val="minor"/>
      </font>
      <numFmt numFmtId="164" formatCode="dd/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4"/>
        <color theme="1"/>
        <name val="Calibri"/>
        <family val="2"/>
        <scheme val="minor"/>
      </font>
      <numFmt numFmtId="30" formatCode="@"/>
      <fill>
        <patternFill patternType="solid">
          <fgColor indexed="64"/>
          <bgColor theme="0"/>
        </patternFill>
      </fill>
      <alignment horizontal="left" vertical="bottom"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4"/>
        <color theme="1"/>
        <name val="Calibri"/>
        <family val="2"/>
        <scheme val="minor"/>
      </font>
      <numFmt numFmtId="30" formatCode="@"/>
      <fill>
        <patternFill patternType="solid">
          <fgColor indexed="64"/>
          <bgColor theme="0"/>
        </patternFill>
      </fill>
      <alignment horizontal="left" vertical="bottom"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4"/>
        <color theme="1"/>
        <name val="Calibri"/>
        <family val="2"/>
        <scheme val="minor"/>
      </font>
      <numFmt numFmtId="30" formatCode="@"/>
      <fill>
        <patternFill patternType="solid">
          <fgColor indexed="64"/>
          <bgColor theme="0"/>
        </patternFill>
      </fill>
      <alignment horizontal="left" vertical="bottom"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4"/>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4"/>
        <color theme="1"/>
        <name val="Calibri"/>
        <family val="2"/>
        <scheme val="minor"/>
      </font>
      <numFmt numFmtId="30" formatCode="@"/>
      <fill>
        <patternFill patternType="solid">
          <fgColor indexed="64"/>
          <bgColor theme="0"/>
        </patternFill>
      </fill>
      <alignment horizontal="left" vertical="bottom" textRotation="0" wrapText="1" indent="0" justifyLastLine="0" shrinkToFit="0" readingOrder="0"/>
    </dxf>
    <dxf>
      <border outline="0">
        <bottom style="thin">
          <color indexed="64"/>
        </bottom>
      </border>
    </dxf>
    <dxf>
      <font>
        <strike val="0"/>
        <outline val="0"/>
        <shadow val="0"/>
        <u val="none"/>
        <vertAlign val="baseline"/>
        <sz val="14"/>
        <color theme="1"/>
        <name val="Calibri"/>
        <family val="2"/>
        <scheme val="minor"/>
      </font>
      <numFmt numFmtId="30" formatCode="@"/>
      <alignment horizontal="left" vertical="bottom" textRotation="0" wrapText="1" indent="0" justifyLastLine="0" shrinkToFit="0" readingOrder="0"/>
      <border diagonalUp="0" diagonalDown="0" outline="0">
        <left style="thin">
          <color indexed="64"/>
        </left>
        <right style="thin">
          <color indexed="64"/>
        </right>
        <top/>
        <bottom/>
      </border>
    </dxf>
    <dxf>
      <font>
        <b val="0"/>
        <i val="0"/>
        <color rgb="FF000000"/>
      </font>
      <fill>
        <patternFill>
          <fgColor indexed="64"/>
          <bgColor rgb="FF9BC2E6"/>
        </patternFill>
      </fill>
    </dxf>
    <dxf>
      <font>
        <b val="0"/>
        <i val="0"/>
        <color rgb="FF000000"/>
      </font>
      <fill>
        <patternFill>
          <fgColor indexed="64"/>
          <bgColor rgb="FFA9D08E"/>
        </patternFill>
      </fill>
    </dxf>
    <dxf>
      <font>
        <b val="0"/>
        <i val="0"/>
        <color rgb="FF000000"/>
      </font>
      <fill>
        <patternFill>
          <fgColor indexed="64"/>
          <bgColor rgb="FFE2EFDA"/>
        </patternFill>
      </fill>
    </dxf>
    <dxf>
      <font>
        <b val="0"/>
        <i val="0"/>
        <color rgb="FF000000"/>
      </font>
      <fill>
        <patternFill>
          <fgColor indexed="64"/>
          <bgColor rgb="FFD9E1F2"/>
        </patternFill>
      </fill>
    </dxf>
    <dxf>
      <font>
        <b val="0"/>
        <i val="0"/>
        <color rgb="FF000000"/>
      </font>
      <fill>
        <patternFill>
          <fgColor indexed="64"/>
          <bgColor rgb="FFFFE699"/>
        </patternFill>
      </fill>
    </dxf>
    <dxf>
      <font>
        <b val="0"/>
        <i val="0"/>
        <color rgb="FF000000"/>
      </font>
      <fill>
        <patternFill>
          <fgColor indexed="64"/>
          <bgColor rgb="FFBDD7EE"/>
        </patternFill>
      </fill>
    </dxf>
    <dxf>
      <font>
        <b val="0"/>
        <i val="0"/>
        <color rgb="FF000000"/>
      </font>
      <fill>
        <patternFill patternType="solid">
          <fgColor indexed="64"/>
          <bgColor rgb="FFFFFFFF"/>
        </patternFill>
      </fill>
    </dxf>
    <dxf>
      <font>
        <b val="0"/>
        <i val="0"/>
        <color rgb="FF000000"/>
      </font>
      <fill>
        <patternFill>
          <fgColor indexed="64"/>
          <bgColor rgb="FFF8CBAD"/>
        </patternFill>
      </fill>
    </dxf>
    <dxf>
      <font>
        <b val="0"/>
        <i val="0"/>
        <color rgb="FF000000"/>
      </font>
      <fill>
        <patternFill>
          <fgColor indexed="64"/>
          <bgColor rgb="FFFCE4D6"/>
        </patternFill>
      </fill>
    </dxf>
    <dxf>
      <font>
        <b val="0"/>
        <i val="0"/>
        <color rgb="FF000000"/>
      </font>
      <fill>
        <patternFill>
          <fgColor indexed="64"/>
          <bgColor rgb="FF000000"/>
        </patternFill>
      </fill>
    </dxf>
    <dxf>
      <font>
        <b val="0"/>
        <i val="0"/>
        <color rgb="FF000000"/>
      </font>
      <fill>
        <patternFill>
          <fgColor indexed="64"/>
          <bgColor rgb="FFA9D08E"/>
        </patternFill>
      </fill>
    </dxf>
    <dxf>
      <font>
        <b val="0"/>
        <i val="0"/>
        <color rgb="FF000000"/>
      </font>
      <fill>
        <patternFill>
          <fgColor indexed="64"/>
          <bgColor rgb="FF548235"/>
        </patternFill>
      </fill>
    </dxf>
    <dxf>
      <font>
        <b val="0"/>
        <i val="0"/>
        <color rgb="FF000000"/>
      </font>
      <fill>
        <patternFill>
          <fgColor indexed="64"/>
          <bgColor rgb="FFA9D08E"/>
        </patternFill>
      </fill>
    </dxf>
    <dxf>
      <fill>
        <patternFill>
          <bgColor theme="8" tint="0.39994506668294322"/>
        </patternFill>
      </fill>
    </dxf>
    <dxf>
      <font>
        <b val="0"/>
        <i val="0"/>
        <color rgb="FF000000"/>
      </font>
      <fill>
        <patternFill>
          <fgColor indexed="64"/>
          <bgColor rgb="FF9BC2E6"/>
        </patternFill>
      </fill>
    </dxf>
    <dxf>
      <font>
        <b val="0"/>
        <i val="0"/>
        <color rgb="FF000000"/>
      </font>
      <fill>
        <patternFill>
          <fgColor indexed="64"/>
          <bgColor rgb="FFA9D08E"/>
        </patternFill>
      </fill>
    </dxf>
    <dxf>
      <font>
        <b val="0"/>
        <i val="0"/>
        <color rgb="FF000000"/>
      </font>
      <fill>
        <patternFill>
          <fgColor indexed="64"/>
          <bgColor rgb="FFE2EFDA"/>
        </patternFill>
      </fill>
    </dxf>
    <dxf>
      <font>
        <b val="0"/>
        <i val="0"/>
        <color rgb="FF000000"/>
      </font>
      <fill>
        <patternFill>
          <fgColor indexed="64"/>
          <bgColor rgb="FFD9E1F2"/>
        </patternFill>
      </fill>
    </dxf>
    <dxf>
      <font>
        <b val="0"/>
        <i val="0"/>
        <color rgb="FF000000"/>
      </font>
      <fill>
        <patternFill>
          <fgColor indexed="64"/>
          <bgColor rgb="FFFFE699"/>
        </patternFill>
      </fill>
    </dxf>
    <dxf>
      <font>
        <b val="0"/>
        <i val="0"/>
        <color rgb="FF000000"/>
      </font>
      <fill>
        <patternFill>
          <fgColor indexed="64"/>
          <bgColor rgb="FFBDD7EE"/>
        </patternFill>
      </fill>
    </dxf>
    <dxf>
      <font>
        <b val="0"/>
        <i val="0"/>
        <color rgb="FF000000"/>
      </font>
      <fill>
        <patternFill patternType="solid">
          <fgColor indexed="64"/>
          <bgColor rgb="FFFFFFFF"/>
        </patternFill>
      </fill>
    </dxf>
    <dxf>
      <font>
        <b val="0"/>
        <i val="0"/>
        <color rgb="FF000000"/>
      </font>
      <fill>
        <patternFill>
          <fgColor indexed="64"/>
          <bgColor rgb="FFF8CBAD"/>
        </patternFill>
      </fill>
    </dxf>
    <dxf>
      <font>
        <b val="0"/>
        <i val="0"/>
        <color rgb="FF000000"/>
      </font>
      <fill>
        <patternFill>
          <fgColor indexed="64"/>
          <bgColor rgb="FFFCE4D6"/>
        </patternFill>
      </fill>
    </dxf>
    <dxf>
      <font>
        <b val="0"/>
        <i val="0"/>
        <color rgb="FF000000"/>
      </font>
      <fill>
        <patternFill>
          <fgColor indexed="64"/>
          <bgColor rgb="FF000000"/>
        </patternFill>
      </fill>
    </dxf>
    <dxf>
      <font>
        <b val="0"/>
        <i val="0"/>
        <color rgb="FF000000"/>
      </font>
      <fill>
        <patternFill>
          <fgColor indexed="64"/>
          <bgColor rgb="FFA9D08E"/>
        </patternFill>
      </fill>
    </dxf>
    <dxf>
      <font>
        <b val="0"/>
        <i val="0"/>
        <color rgb="FF000000"/>
      </font>
      <fill>
        <patternFill>
          <fgColor indexed="64"/>
          <bgColor rgb="FF548235"/>
        </patternFill>
      </fill>
    </dxf>
    <dxf>
      <font>
        <b val="0"/>
        <i val="0"/>
        <color rgb="FF000000"/>
      </font>
      <fill>
        <patternFill>
          <fgColor indexed="64"/>
          <bgColor rgb="FFA9D08E"/>
        </patternFill>
      </fill>
    </dxf>
    <dxf>
      <font>
        <strike val="0"/>
        <outline val="0"/>
        <shadow val="0"/>
        <u val="none"/>
        <vertAlign val="baseline"/>
        <sz val="14"/>
        <color theme="1"/>
        <name val="Calibri"/>
        <family val="2"/>
        <scheme val="minor"/>
      </font>
      <fill>
        <patternFill>
          <fgColor indexed="64"/>
          <bgColor theme="0"/>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4"/>
        <color theme="1"/>
        <name val="Calibri"/>
        <family val="2"/>
        <scheme val="minor"/>
      </font>
      <numFmt numFmtId="164" formatCode="dd/mm/yy;@"/>
      <fill>
        <patternFill>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strike val="0"/>
        <outline val="0"/>
        <shadow val="0"/>
        <u val="none"/>
        <vertAlign val="baseline"/>
        <sz val="14"/>
        <color theme="1"/>
        <name val="Calibri"/>
        <family val="2"/>
        <scheme val="minor"/>
      </font>
      <fill>
        <patternFill>
          <fgColor indexed="64"/>
          <bgColor theme="0"/>
        </patternFill>
      </fill>
      <alignment horizontal="left" vertical="center" textRotation="0" wrapText="1" relativeIndent="1" justifyLastLine="0" shrinkToFit="0" readingOrder="0"/>
      <border diagonalUp="0" diagonalDown="0" outline="0">
        <left/>
        <right style="thin">
          <color indexed="64"/>
        </right>
        <top style="thin">
          <color indexed="64"/>
        </top>
        <bottom style="thin">
          <color indexed="64"/>
        </bottom>
      </border>
      <protection locked="0" hidden="0"/>
    </dxf>
    <dxf>
      <font>
        <strike val="0"/>
        <outline val="0"/>
        <shadow val="0"/>
        <u val="none"/>
        <vertAlign val="baseline"/>
        <sz val="14"/>
        <color theme="1"/>
        <name val="Calibri"/>
        <family val="2"/>
        <scheme val="minor"/>
      </font>
      <fill>
        <patternFill>
          <fgColor indexed="64"/>
          <bgColor theme="0"/>
        </patternFill>
      </fill>
      <alignment horizontal="left" vertical="center" textRotation="0" wrapText="1" relativeIndent="1" justifyLastLine="0" shrinkToFit="0" readingOrder="0"/>
      <border diagonalUp="0" diagonalDown="0" outline="0">
        <left/>
        <right/>
        <top style="thin">
          <color indexed="64"/>
        </top>
        <bottom style="thin">
          <color indexed="64"/>
        </bottom>
      </border>
      <protection locked="0" hidden="0"/>
    </dxf>
    <dxf>
      <font>
        <strike val="0"/>
        <outline val="0"/>
        <shadow val="0"/>
        <u val="none"/>
        <vertAlign val="baseline"/>
        <sz val="14"/>
        <color theme="1"/>
        <name val="Calibri"/>
        <family val="2"/>
        <scheme val="minor"/>
      </font>
      <fill>
        <patternFill>
          <fgColor indexed="64"/>
          <bgColor theme="0"/>
        </patternFill>
      </fill>
      <alignment horizontal="left" vertical="center" textRotation="0" wrapText="1" relativeIndent="1"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4"/>
        <color theme="1"/>
        <name val="Calibri"/>
        <family val="2"/>
        <scheme val="minor"/>
      </font>
      <fill>
        <patternFill>
          <fgColor indexed="64"/>
          <bgColor theme="0"/>
        </patternFill>
      </fill>
      <alignment horizontal="general"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4"/>
        <color theme="1"/>
        <name val="Calibri"/>
        <family val="2"/>
        <scheme val="minor"/>
      </font>
      <numFmt numFmtId="30" formatCode="@"/>
      <fill>
        <patternFill>
          <fgColor indexed="64"/>
          <bgColor theme="0"/>
        </patternFill>
      </fill>
      <alignment horizontal="general" vertical="center" textRotation="0" wrapText="1" indent="0" justifyLastLine="0" shrinkToFit="0" readingOrder="0"/>
      <protection locked="0" hidden="0"/>
    </dxf>
    <dxf>
      <border outline="0">
        <bottom style="thin">
          <color indexed="64"/>
        </bottom>
      </border>
    </dxf>
    <dxf>
      <font>
        <strike val="0"/>
        <outline val="0"/>
        <shadow val="0"/>
        <u val="none"/>
        <vertAlign val="baseline"/>
        <sz val="14"/>
        <color theme="1"/>
        <name val="Calibri"/>
        <family val="2"/>
        <scheme val="minor"/>
      </font>
      <numFmt numFmtId="30" formatCode="@"/>
      <alignment horizontal="lef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color rgb="FF000000"/>
      </font>
      <fill>
        <patternFill>
          <fgColor indexed="64"/>
          <bgColor rgb="FF9BC2E6"/>
        </patternFill>
      </fill>
    </dxf>
    <dxf>
      <font>
        <b val="0"/>
        <i val="0"/>
        <color rgb="FF000000"/>
      </font>
      <fill>
        <patternFill>
          <fgColor indexed="64"/>
          <bgColor rgb="FFA9D08E"/>
        </patternFill>
      </fill>
    </dxf>
    <dxf>
      <font>
        <b val="0"/>
        <i val="0"/>
        <color rgb="FF000000"/>
      </font>
      <fill>
        <patternFill>
          <fgColor indexed="64"/>
          <bgColor rgb="FFE2EFDA"/>
        </patternFill>
      </fill>
    </dxf>
    <dxf>
      <font>
        <b val="0"/>
        <i val="0"/>
        <color rgb="FF000000"/>
      </font>
      <fill>
        <patternFill>
          <fgColor indexed="64"/>
          <bgColor rgb="FFD9E1F2"/>
        </patternFill>
      </fill>
    </dxf>
    <dxf>
      <font>
        <b val="0"/>
        <i val="0"/>
        <color rgb="FF000000"/>
      </font>
      <fill>
        <patternFill>
          <fgColor indexed="64"/>
          <bgColor rgb="FFFFE699"/>
        </patternFill>
      </fill>
    </dxf>
    <dxf>
      <font>
        <b val="0"/>
        <i val="0"/>
        <color rgb="FF000000"/>
      </font>
      <fill>
        <patternFill>
          <fgColor indexed="64"/>
          <bgColor rgb="FFBDD7EE"/>
        </patternFill>
      </fill>
    </dxf>
    <dxf>
      <font>
        <b val="0"/>
        <i val="0"/>
        <color rgb="FF000000"/>
      </font>
      <fill>
        <patternFill patternType="solid">
          <fgColor indexed="64"/>
          <bgColor rgb="FFFFFFFF"/>
        </patternFill>
      </fill>
    </dxf>
    <dxf>
      <font>
        <b val="0"/>
        <i val="0"/>
        <color rgb="FF000000"/>
      </font>
      <fill>
        <patternFill>
          <fgColor indexed="64"/>
          <bgColor rgb="FFF8CBAD"/>
        </patternFill>
      </fill>
    </dxf>
    <dxf>
      <font>
        <b val="0"/>
        <i val="0"/>
        <color rgb="FF000000"/>
      </font>
      <fill>
        <patternFill>
          <fgColor indexed="64"/>
          <bgColor rgb="FFFCE4D6"/>
        </patternFill>
      </fill>
    </dxf>
    <dxf>
      <font>
        <b val="0"/>
        <i val="0"/>
        <color rgb="FF000000"/>
      </font>
      <fill>
        <patternFill>
          <fgColor indexed="64"/>
          <bgColor rgb="FF000000"/>
        </patternFill>
      </fill>
    </dxf>
    <dxf>
      <font>
        <b val="0"/>
        <i val="0"/>
        <color rgb="FF000000"/>
      </font>
      <fill>
        <patternFill>
          <fgColor indexed="64"/>
          <bgColor rgb="FFA9D08E"/>
        </patternFill>
      </fill>
    </dxf>
    <dxf>
      <font>
        <b val="0"/>
        <i val="0"/>
        <color rgb="FF000000"/>
      </font>
      <fill>
        <patternFill>
          <fgColor indexed="64"/>
          <bgColor rgb="FF548235"/>
        </patternFill>
      </fill>
    </dxf>
    <dxf>
      <font>
        <b val="0"/>
        <i val="0"/>
        <color rgb="FF000000"/>
      </font>
      <fill>
        <patternFill>
          <fgColor indexed="64"/>
          <bgColor rgb="FFA9D08E"/>
        </patternFill>
      </fill>
    </dxf>
    <dxf>
      <fill>
        <patternFill>
          <bgColor theme="8" tint="0.39994506668294322"/>
        </patternFill>
      </fill>
    </dxf>
    <dxf>
      <numFmt numFmtId="0" formatCode="General"/>
    </dxf>
    <dxf>
      <numFmt numFmtId="0" formatCode="General"/>
    </dxf>
    <dxf>
      <fill>
        <patternFill>
          <bgColor theme="7" tint="0.79998168889431442"/>
        </patternFill>
      </fill>
    </dxf>
    <dxf>
      <fill>
        <patternFill>
          <bgColor theme="9" tint="0.39994506668294322"/>
        </patternFill>
      </fill>
    </dxf>
    <dxf>
      <fill>
        <patternFill>
          <bgColor theme="5" tint="0.39994506668294322"/>
        </patternFill>
      </fill>
    </dxf>
    <dxf>
      <fill>
        <patternFill>
          <bgColor theme="8" tint="0.79998168889431442"/>
        </patternFill>
      </fill>
    </dxf>
    <dxf>
      <fill>
        <patternFill>
          <bgColor theme="9" tint="0.79998168889431442"/>
        </patternFill>
      </fill>
    </dxf>
    <dxf>
      <font>
        <strike/>
      </font>
      <fill>
        <patternFill>
          <bgColor theme="6" tint="0.39994506668294322"/>
        </patternFill>
      </fill>
    </dxf>
    <dxf>
      <fill>
        <patternFill>
          <bgColor theme="4" tint="0.59996337778862885"/>
        </patternFill>
      </fill>
    </dxf>
    <dxf>
      <fill>
        <patternFill>
          <bgColor theme="1" tint="4.9989318521683403E-2"/>
        </patternFill>
      </fill>
    </dxf>
    <dxf>
      <fill>
        <patternFill>
          <bgColor theme="7" tint="0.79998168889431442"/>
        </patternFill>
      </fill>
    </dxf>
    <dxf>
      <fill>
        <patternFill>
          <bgColor theme="4" tint="0.59996337778862885"/>
        </patternFill>
      </fill>
    </dxf>
    <dxf>
      <fill>
        <patternFill>
          <bgColor theme="4" tint="0.39994506668294322"/>
        </patternFill>
      </fill>
    </dxf>
    <dxf>
      <fill>
        <patternFill>
          <bgColor theme="5" tint="-0.24994659260841701"/>
        </patternFill>
      </fill>
    </dxf>
    <dxf>
      <fill>
        <patternFill>
          <bgColor theme="5" tint="0.59996337778862885"/>
        </patternFill>
      </fill>
    </dxf>
    <dxf>
      <fill>
        <patternFill>
          <bgColor theme="5" tint="0.79998168889431442"/>
        </patternFill>
      </fill>
    </dxf>
    <dxf>
      <fill>
        <patternFill>
          <bgColor theme="0" tint="-4.9989318521683403E-2"/>
        </patternFill>
      </fill>
    </dxf>
    <dxf>
      <fill>
        <patternFill>
          <bgColor theme="0" tint="-4.9989318521683403E-2"/>
        </patternFill>
      </fill>
    </dxf>
    <dxf>
      <fill>
        <patternFill>
          <bgColor theme="8"/>
        </patternFill>
      </fill>
    </dxf>
    <dxf>
      <fill>
        <patternFill>
          <bgColor theme="9" tint="0.39994506668294322"/>
        </patternFill>
      </fill>
    </dxf>
    <dxf>
      <fill>
        <patternFill>
          <bgColor rgb="FFFF0000"/>
        </patternFill>
      </fill>
    </dxf>
    <dxf>
      <fill>
        <patternFill>
          <bgColor theme="7" tint="0.79998168889431442"/>
        </patternFill>
      </fill>
    </dxf>
    <dxf>
      <fill>
        <patternFill>
          <bgColor theme="4" tint="0.59996337778862885"/>
        </patternFill>
      </fill>
    </dxf>
    <dxf>
      <fill>
        <patternFill>
          <bgColor theme="4" tint="0.39994506668294322"/>
        </patternFill>
      </fill>
    </dxf>
    <dxf>
      <fill>
        <patternFill>
          <bgColor theme="5" tint="-0.24994659260841701"/>
        </patternFill>
      </fill>
    </dxf>
    <dxf>
      <fill>
        <patternFill>
          <bgColor theme="5" tint="0.59996337778862885"/>
        </patternFill>
      </fill>
    </dxf>
    <dxf>
      <fill>
        <patternFill>
          <bgColor theme="5" tint="0.79998168889431442"/>
        </patternFill>
      </fill>
    </dxf>
    <dxf>
      <fill>
        <patternFill>
          <bgColor theme="0" tint="-4.9989318521683403E-2"/>
        </patternFill>
      </fill>
    </dxf>
    <dxf>
      <fill>
        <patternFill>
          <bgColor theme="0" tint="-4.9989318521683403E-2"/>
        </patternFill>
      </fill>
    </dxf>
    <dxf>
      <fill>
        <patternFill>
          <bgColor theme="8"/>
        </patternFill>
      </fill>
    </dxf>
    <dxf>
      <fill>
        <patternFill>
          <bgColor theme="9" tint="0.39994506668294322"/>
        </patternFill>
      </fill>
    </dxf>
    <dxf>
      <fill>
        <patternFill>
          <bgColor rgb="FFFF0000"/>
        </patternFill>
      </fill>
    </dxf>
    <dxf>
      <fill>
        <patternFill>
          <bgColor theme="7" tint="0.79998168889431442"/>
        </patternFill>
      </fill>
    </dxf>
    <dxf>
      <fill>
        <patternFill>
          <bgColor theme="9" tint="0.39994506668294322"/>
        </patternFill>
      </fill>
    </dxf>
    <dxf>
      <fill>
        <patternFill>
          <bgColor theme="5" tint="0.39994506668294322"/>
        </patternFill>
      </fill>
    </dxf>
    <dxf>
      <fill>
        <patternFill>
          <bgColor theme="8" tint="0.79998168889431442"/>
        </patternFill>
      </fill>
    </dxf>
    <dxf>
      <fill>
        <patternFill>
          <bgColor theme="9" tint="0.79998168889431442"/>
        </patternFill>
      </fill>
    </dxf>
    <dxf>
      <font>
        <strike/>
      </font>
      <fill>
        <patternFill>
          <bgColor theme="6" tint="0.39994506668294322"/>
        </patternFill>
      </fill>
    </dxf>
    <dxf>
      <fill>
        <patternFill>
          <bgColor theme="4" tint="0.59996337778862885"/>
        </patternFill>
      </fill>
    </dxf>
    <dxf>
      <fill>
        <patternFill>
          <bgColor theme="1"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4AB3D5EB-AB55-45BA-BC0A-7D9F92E625F3}" autoFormatId="16" applyNumberFormats="0" applyBorderFormats="0" applyFontFormats="0" applyPatternFormats="0" applyAlignmentFormats="0" applyWidthHeightFormats="0">
  <queryTableRefresh nextId="8">
    <queryTableFields count="3">
      <queryTableField id="2" name="Client" tableColumnId="2"/>
      <queryTableField id="3" name="Machine" tableColumnId="3"/>
      <queryTableField id="4" name="Panne"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13A38A-0D53-49A5-9156-937C0AB2CB72}" name="LISTE_OR" displayName="LISTE_OR" ref="A1:C2962" tableType="queryTable" totalsRowShown="0">
  <autoFilter ref="A1:C2962" xr:uid="{3E13A38A-0D53-49A5-9156-937C0AB2CB72}"/>
  <sortState xmlns:xlrd2="http://schemas.microsoft.com/office/spreadsheetml/2017/richdata2" ref="A2:C1549">
    <sortCondition ref="A1:A2962"/>
  </sortState>
  <tableColumns count="3">
    <tableColumn id="2" xr3:uid="{5DCF3948-9A1C-4C0D-9692-89DA2C642CA7}" uniqueName="2" name="Client" queryTableFieldId="2" dataDxfId="138"/>
    <tableColumn id="3" xr3:uid="{5FAA472F-0E76-46E5-BC6A-E1536841C1CA}" uniqueName="3" name="Machine" queryTableFieldId="3"/>
    <tableColumn id="4" xr3:uid="{60FCA593-0B59-4AB3-A820-981F3E5141E7}" uniqueName="4" name="Panne" queryTableFieldId="4" dataDxfId="13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E84AF5-B8B2-4510-8977-B12E11F4750B}" name="OR_Narrosse" displayName="OR_Narrosse" ref="A1:F6404" totalsRowShown="0" headerRowDxfId="122" dataDxfId="120" headerRowBorderDxfId="121" tableBorderDxfId="119" totalsRowBorderDxfId="118">
  <autoFilter ref="A1:F6404" xr:uid="{5EE84AF5-B8B2-4510-8977-B12E11F4750B}"/>
  <sortState xmlns:xlrd2="http://schemas.microsoft.com/office/spreadsheetml/2017/richdata2" ref="A2380:F2697">
    <sortCondition ref="A1:A6404"/>
  </sortState>
  <tableColumns count="6">
    <tableColumn id="1" xr3:uid="{17560AB9-3A40-4A3E-93A2-9EFC8D8E39F7}" name="Numéro " dataDxfId="117"/>
    <tableColumn id="2" xr3:uid="{E5F664DE-BDB3-4F06-A153-1C4F63012674}" name="Client" dataDxfId="116"/>
    <tableColumn id="3" xr3:uid="{BEF3F37E-4A80-4E5E-858E-E279E54831D2}" name="Machine" dataDxfId="115"/>
    <tableColumn id="4" xr3:uid="{2D6A6959-F6D3-49E1-8394-45B21D60CB98}" name="Panne" dataDxfId="114"/>
    <tableColumn id="5" xr3:uid="{BB592658-FD9F-42D3-AF35-E8812C6EBDFA}" name="Date Cloture" dataDxfId="113"/>
    <tableColumn id="6" xr3:uid="{AA66015E-398B-4400-95DB-23F016951432}" name="Type" dataDxfId="1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F47E33-90DF-43FF-81EA-136FFD18C60C}" name="OR_Peyrehorade" displayName="OR_Peyrehorade" ref="A1:F1794" totalsRowShown="0" headerRowDxfId="84" dataDxfId="82" headerRowBorderDxfId="83" tableBorderDxfId="81" totalsRowBorderDxfId="80">
  <autoFilter ref="A1:F1794" xr:uid="{29F47E33-90DF-43FF-81EA-136FFD18C60C}"/>
  <sortState xmlns:xlrd2="http://schemas.microsoft.com/office/spreadsheetml/2017/richdata2" ref="A2:F1794">
    <sortCondition ref="A1:A1794"/>
  </sortState>
  <tableColumns count="6">
    <tableColumn id="1" xr3:uid="{60BBF795-3BDB-4CA2-B237-A917BFB039BD}" name="Numéro " dataDxfId="79"/>
    <tableColumn id="2" xr3:uid="{4F3C6E4A-4AE6-4540-8589-456628D720C4}" name="Client" dataDxfId="78"/>
    <tableColumn id="3" xr3:uid="{14D54EA9-6091-4226-A3E3-9209C7E7FB8F}" name="Machine" dataDxfId="77"/>
    <tableColumn id="4" xr3:uid="{0FD10164-29ED-4265-8EAA-F2C4D937794D}" name="Panne" dataDxfId="76"/>
    <tableColumn id="5" xr3:uid="{131CB11F-849A-4353-B943-7D85E5DCF939}" name="Date Cloture" dataDxfId="75"/>
    <tableColumn id="6" xr3:uid="{D19BC231-69B6-4AB2-9B28-42DD4751C659}" name="TYPE" dataDxfId="7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52819F-F0E9-48CB-9A14-B4863470F134}" name="registreGarantie" displayName="registreGarantie" ref="A1:AE679" totalsRowShown="0" headerRowDxfId="53" dataDxfId="51" headerRowBorderDxfId="52">
  <autoFilter ref="A1:AE679" xr:uid="{F952819F-F0E9-48CB-9A14-B4863470F134}"/>
  <sortState xmlns:xlrd2="http://schemas.microsoft.com/office/spreadsheetml/2017/richdata2" ref="A2:AE679">
    <sortCondition ref="A1:A679"/>
  </sortState>
  <tableColumns count="31">
    <tableColumn id="1" xr3:uid="{DDE179FC-E529-47AF-890F-F7A887BD29C6}" name="N°" dataDxfId="50"/>
    <tableColumn id="2" xr3:uid="{C1337F38-8D04-4199-9C22-DAD8F0113B26}" name="N°OR" dataDxfId="49"/>
    <tableColumn id="3" xr3:uid="{1BAB8E74-5D57-404F-81B2-3877C1199FB8}" name="Date" dataDxfId="2"/>
    <tableColumn id="4" xr3:uid="{0F725CF3-9BFB-44E2-A61F-46D5D9115577}" name="Client " dataDxfId="48"/>
    <tableColumn id="5" xr3:uid="{6D1911EE-BF9C-4009-B338-FF8445FCE1D4}" name="Machine" dataDxfId="47"/>
    <tableColumn id="31" xr3:uid="{F65C8575-D3A9-4D09-8918-A68A276DB9A7}" name="NUMÉRO DE SÉRIE" dataDxfId="46"/>
    <tableColumn id="6" xr3:uid="{269DC05D-A0BB-44AE-8575-FD737CB328C4}" name="Organe" dataDxfId="45"/>
    <tableColumn id="7" xr3:uid="{129AF4CE-6753-4672-9671-7C4340EC0B83}" name="Heures/ Ha" dataDxfId="44"/>
    <tableColumn id="8" xr3:uid="{41757540-DF39-4464-B695-424D131C8778}" name="Type" dataDxfId="43"/>
    <tableColumn id="9" xr3:uid="{65DDB4B1-B00C-41AD-B26E-923357A81211}" name="N° Récepicé" dataDxfId="42"/>
    <tableColumn id="10" xr3:uid="{6C8D7898-53EF-47DC-A844-971F87BDDD7F}" name="Echantillon _x000a_d'huiles" dataDxfId="41"/>
    <tableColumn id="11" xr3:uid="{CA8A1F46-D583-4C4C-BE05-392DEC3576DF}" name="Piéces_x000a_Envoyés" dataDxfId="40"/>
    <tableColumn id="12" xr3:uid="{F6E3F66C-21DF-4A5F-963B-0A1AA628CF09}" name="Pièces _x000a_Demandés" dataDxfId="39"/>
    <tableColumn id="13" xr3:uid="{5C36C128-4941-44CF-B82D-5F89E46F62BB}" name="Pièces _x000a_Remboursés" dataDxfId="38"/>
    <tableColumn id="14" xr3:uid="{5EB9B119-3967-4683-9DEE-B3347CFC0588}" name="Pièces_x000a_Refusés" dataDxfId="37">
      <calculatedColumnFormula>IF(registreGarantie[[#This Row],[date paiement]]="","",registreGarantie[[#This Row],[Pièces 
Demandés]]-registreGarantie[[#This Row],[Pièces 
Remboursés]])</calculatedColumnFormula>
    </tableColumn>
    <tableColumn id="15" xr3:uid="{DC67C12C-BDD9-4193-BE64-EFDB824086C9}" name="MO_x000a_Demandé" dataDxfId="36"/>
    <tableColumn id="16" xr3:uid="{16A1CA07-9C2A-46B0-B25D-9AB7371FB8E1}" name="MO_x000a_Remboursé" dataDxfId="35"/>
    <tableColumn id="17" xr3:uid="{0BFDEA03-55AE-436B-9BD5-BA78C71DC6F3}" name="MO_x000a_Refusé" dataDxfId="34">
      <calculatedColumnFormula>IF(registreGarantie[[#This Row],[date paiement]]="","",registreGarantie[[#This Row],[MO
Demandé]]-registreGarantie[[#This Row],[MO
Remboursé]])</calculatedColumnFormula>
    </tableColumn>
    <tableColumn id="18" xr3:uid="{6A62F526-8DEC-49FD-AD0E-2CE424911A2E}" name="franchise" dataDxfId="33"/>
    <tableColumn id="19" xr3:uid="{2EE266D1-B354-4B02-A40A-DC996422B681}" name="Montant non remboursé" dataDxfId="32">
      <calculatedColumnFormula>IF(registreGarantie[[#This Row],[date paiement]]="","",registreGarantie[[#This Row],[MO
Refusé]]+registreGarantie[[#This Row],[Pièces
Refusés]])</calculatedColumnFormula>
    </tableColumn>
    <tableColumn id="20" xr3:uid="{1B32E210-A70F-483F-8055-A7B5AD4D51F2}" name="date paiement" dataDxfId="1"/>
    <tableColumn id="21" xr3:uid="{63B32EBB-0676-4E7F-AC93-90FD374B29EB}" name="Emplacement" dataDxfId="31">
      <calculatedColumnFormula>IF(registreGarantie[[#This Row],[Pièces 
Demandés]]="","",registreGarantie[[#This Row],[Date]])</calculatedColumnFormula>
    </tableColumn>
    <tableColumn id="22" xr3:uid="{B804EEB3-4DEA-4E74-8CFD-3A95F8467C92}" name="Date rebus" dataDxfId="30">
      <calculatedColumnFormula>IF(registreGarantie[[#This Row],[Pièces 
Demandés]]="","",IF(registreGarantie[[#This Row],[date paiement]]="","",registreGarantie[[#This Row],[date paiement]]+91))</calculatedColumnFormula>
    </tableColumn>
    <tableColumn id="24" xr3:uid="{08DD9BC1-447C-4136-892F-15889B651FD6}" name="Colonne1" dataDxfId="29">
      <calculatedColumnFormula>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calculatedColumnFormula>
    </tableColumn>
    <tableColumn id="25" xr3:uid="{78F4F2F9-DB3D-466B-A2EA-DABE636A547D}" name="Piéces mise_x000a_ au rebus" dataDxfId="28">
      <calculatedColumnFormula>IF(registreGarantie[[#This Row],[Colonne1]]=0,"",IF(TODAY()&gt;registreGarantie[[#This Row],[Date rebus]],0,1))</calculatedColumnFormula>
    </tableColumn>
    <tableColumn id="26" xr3:uid="{788DCB8C-8E94-4A60-92AA-20CD5349FE94}" name="MOTIF REFUS" dataDxfId="27"/>
    <tableColumn id="27" xr3:uid="{B5FFB660-3CA7-4215-B71D-16DEDF6E9E78}" name="REMBOUSEMENT _x000a_PARTIEL" dataDxfId="26">
      <calculatedColumnFormula>IF(AND(registreGarantie[[#This Row],[Montant non remboursé]]&gt;1,registreGarantie[[#This Row],[Montant non remboursé]]&lt;&gt;""),1,"")</calculatedColumnFormula>
    </tableColumn>
    <tableColumn id="28" xr3:uid="{3D53561E-85B0-4719-BF74-B345E0B4FB49}" name="AUDIT 2024" dataDxfId="25"/>
    <tableColumn id="29" xr3:uid="{945E8730-BB32-4F22-87BA-74B06BFBA1E3}" name="Compte rendu audit" dataDxfId="24"/>
    <tableColumn id="23" xr3:uid="{FBFCEDBB-2706-45EB-87DC-A00C89801DD1}" name="num unique" dataDxfId="23">
      <calculatedColumnFormula>ROW(AD2)</calculatedColumnFormula>
    </tableColumn>
    <tableColumn id="30" xr3:uid="{F183DEB7-C291-4362-87A3-AAA7BB62D0F9}" name="Date OR" dataDxfId="0"/>
  </tableColumns>
  <tableStyleInfo showFirstColumn="0" showLastColumn="0" showRowStripes="0"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4236E-008E-4BEF-8F7B-1C88B10C0963}">
  <sheetPr codeName="Feuil1"/>
  <dimension ref="A1:C20"/>
  <sheetViews>
    <sheetView zoomScaleNormal="100" workbookViewId="0">
      <selection activeCell="A2" sqref="A2:A15"/>
    </sheetView>
  </sheetViews>
  <sheetFormatPr baseColWidth="10" defaultRowHeight="14.4" x14ac:dyDescent="0.3"/>
  <cols>
    <col min="1" max="1" width="23" customWidth="1"/>
    <col min="3" max="3" width="27.44140625" customWidth="1"/>
    <col min="6" max="6" width="18" customWidth="1"/>
  </cols>
  <sheetData>
    <row r="1" spans="1:3" x14ac:dyDescent="0.3">
      <c r="A1" t="s">
        <v>0</v>
      </c>
      <c r="C1" s="12" t="s">
        <v>14</v>
      </c>
    </row>
    <row r="2" spans="1:3" x14ac:dyDescent="0.3">
      <c r="A2" s="1" t="s">
        <v>1</v>
      </c>
      <c r="C2" s="13" t="s">
        <v>15</v>
      </c>
    </row>
    <row r="3" spans="1:3" x14ac:dyDescent="0.3">
      <c r="A3" s="2" t="s">
        <v>2</v>
      </c>
      <c r="C3" s="13" t="s">
        <v>16</v>
      </c>
    </row>
    <row r="4" spans="1:3" x14ac:dyDescent="0.3">
      <c r="A4" s="3" t="s">
        <v>3</v>
      </c>
      <c r="C4" s="14" t="s">
        <v>5</v>
      </c>
    </row>
    <row r="5" spans="1:3" x14ac:dyDescent="0.3">
      <c r="A5" s="4" t="s">
        <v>4</v>
      </c>
      <c r="C5" s="13" t="s">
        <v>17</v>
      </c>
    </row>
    <row r="6" spans="1:3" x14ac:dyDescent="0.3">
      <c r="A6" s="5" t="s">
        <v>5</v>
      </c>
      <c r="C6" s="15" t="s">
        <v>18</v>
      </c>
    </row>
    <row r="7" spans="1:3" x14ac:dyDescent="0.3">
      <c r="A7" s="6" t="s">
        <v>6</v>
      </c>
      <c r="C7" s="15" t="s">
        <v>19</v>
      </c>
    </row>
    <row r="8" spans="1:3" x14ac:dyDescent="0.3">
      <c r="A8" s="7" t="s">
        <v>7</v>
      </c>
      <c r="C8" s="16" t="s">
        <v>20</v>
      </c>
    </row>
    <row r="9" spans="1:3" x14ac:dyDescent="0.3">
      <c r="A9" s="8" t="s">
        <v>8</v>
      </c>
      <c r="C9" s="13" t="s">
        <v>2</v>
      </c>
    </row>
    <row r="10" spans="1:3" x14ac:dyDescent="0.3">
      <c r="A10" s="9" t="s">
        <v>9</v>
      </c>
      <c r="C10" s="17" t="s">
        <v>3</v>
      </c>
    </row>
    <row r="11" spans="1:3" x14ac:dyDescent="0.3">
      <c r="A11" s="10" t="s">
        <v>10</v>
      </c>
      <c r="C11" s="13" t="s">
        <v>21</v>
      </c>
    </row>
    <row r="12" spans="1:3" x14ac:dyDescent="0.3">
      <c r="A12" s="2" t="s">
        <v>11</v>
      </c>
      <c r="C12" s="13" t="s">
        <v>22</v>
      </c>
    </row>
    <row r="13" spans="1:3" x14ac:dyDescent="0.3">
      <c r="A13" s="11" t="s">
        <v>12</v>
      </c>
      <c r="C13" s="13" t="s">
        <v>11</v>
      </c>
    </row>
    <row r="14" spans="1:3" x14ac:dyDescent="0.3">
      <c r="A14" s="2" t="s">
        <v>13</v>
      </c>
      <c r="C14" s="18" t="s">
        <v>23</v>
      </c>
    </row>
    <row r="15" spans="1:3" x14ac:dyDescent="0.3">
      <c r="A15" s="1" t="s">
        <v>2077</v>
      </c>
      <c r="C15" s="19" t="s">
        <v>24</v>
      </c>
    </row>
    <row r="16" spans="1:3" x14ac:dyDescent="0.3">
      <c r="C16" s="19" t="s">
        <v>1908</v>
      </c>
    </row>
    <row r="17" spans="3:3" x14ac:dyDescent="0.3">
      <c r="C17" s="13" t="s">
        <v>1915</v>
      </c>
    </row>
    <row r="18" spans="3:3" x14ac:dyDescent="0.3">
      <c r="C18" s="13" t="s">
        <v>1830</v>
      </c>
    </row>
    <row r="19" spans="3:3" x14ac:dyDescent="0.3">
      <c r="C19" s="16" t="s">
        <v>1927</v>
      </c>
    </row>
    <row r="20" spans="3:3" x14ac:dyDescent="0.3">
      <c r="C20" s="13" t="s">
        <v>1938</v>
      </c>
    </row>
  </sheetData>
  <conditionalFormatting sqref="A2">
    <cfRule type="expression" dxfId="176" priority="42">
      <formula>($F2="SUPPRIMER")</formula>
    </cfRule>
    <cfRule type="expression" dxfId="175" priority="43">
      <formula>($F2="FACTURABLE")</formula>
    </cfRule>
    <cfRule type="expression" dxfId="174" priority="44">
      <formula>($F2="AVOIR")</formula>
    </cfRule>
    <cfRule type="expression" dxfId="173" priority="45">
      <formula>($F2="MAXI CARE")</formula>
    </cfRule>
    <cfRule type="expression" dxfId="172" priority="46">
      <formula>($F2="CESSION")</formula>
    </cfRule>
    <cfRule type="expression" dxfId="171" priority="47">
      <formula>($F2="MALFACON")</formula>
    </cfRule>
    <cfRule type="expression" dxfId="170" priority="48">
      <formula>($F2="GARANTIE")</formula>
    </cfRule>
    <cfRule type="expression" dxfId="169" priority="49">
      <formula>($F2="OS")</formula>
    </cfRule>
  </conditionalFormatting>
  <conditionalFormatting sqref="C6:C8">
    <cfRule type="expression" dxfId="168" priority="20">
      <formula>IF(AND(ISNUMBER($P6),$O6&gt;0),OR(O6&gt;=0,R6&gt;=0))</formula>
    </cfRule>
    <cfRule type="expression" dxfId="167" priority="21">
      <formula>ISNUMBER($J6)</formula>
    </cfRule>
    <cfRule type="expression" dxfId="166" priority="22">
      <formula>IF($P6="","",$R6&lt;TODAY())</formula>
    </cfRule>
    <cfRule type="expression" dxfId="165" priority="23">
      <formula>$G6="SOL"</formula>
    </cfRule>
    <cfRule type="expression" dxfId="164" priority="24">
      <formula>$G6="MOL"</formula>
    </cfRule>
    <cfRule type="expression" dxfId="163" priority="25">
      <formula>$G6="GAR PIECES"</formula>
    </cfRule>
    <cfRule type="expression" dxfId="162" priority="26">
      <formula>$G6="GAR"</formula>
    </cfRule>
    <cfRule type="expression" dxfId="161" priority="27">
      <formula>$G6="GAR COM"</formula>
    </cfRule>
    <cfRule type="expression" dxfId="160" priority="28">
      <formula>$G6="INCIDENT"</formula>
    </cfRule>
    <cfRule type="expression" dxfId="159" priority="29">
      <formula>$G6="MAXI CARE"</formula>
    </cfRule>
    <cfRule type="expression" dxfId="158" priority="30">
      <formula>$G6="OS"</formula>
    </cfRule>
  </conditionalFormatting>
  <conditionalFormatting sqref="C19">
    <cfRule type="expression" dxfId="157" priority="9">
      <formula>IF(AND(ISNUMBER($P19),$O19&gt;0),OR(O19&gt;=0,R19&gt;=0))</formula>
    </cfRule>
    <cfRule type="expression" dxfId="156" priority="10">
      <formula>ISNUMBER($J19)</formula>
    </cfRule>
    <cfRule type="expression" dxfId="155" priority="11">
      <formula>IF($P19="","",$R19&lt;TODAY())</formula>
    </cfRule>
    <cfRule type="expression" dxfId="154" priority="12">
      <formula>$G19="SOL"</formula>
    </cfRule>
    <cfRule type="expression" dxfId="153" priority="13">
      <formula>$G19="MOL"</formula>
    </cfRule>
    <cfRule type="expression" dxfId="152" priority="14">
      <formula>$G19="GAR PIECES"</formula>
    </cfRule>
    <cfRule type="expression" dxfId="151" priority="15">
      <formula>$G19="GAR"</formula>
    </cfRule>
    <cfRule type="expression" dxfId="150" priority="16">
      <formula>$G19="GAR COM"</formula>
    </cfRule>
    <cfRule type="expression" dxfId="149" priority="17">
      <formula>$G19="INCIDENT"</formula>
    </cfRule>
    <cfRule type="expression" dxfId="148" priority="18">
      <formula>$G19="MAXI CARE"</formula>
    </cfRule>
    <cfRule type="expression" dxfId="147" priority="19">
      <formula>$G19="OS"</formula>
    </cfRule>
  </conditionalFormatting>
  <conditionalFormatting sqref="A15">
    <cfRule type="expression" dxfId="146" priority="1">
      <formula>($F15="SUPPRIMER")</formula>
    </cfRule>
    <cfRule type="expression" dxfId="145" priority="2">
      <formula>($F15="FACTURABLE")</formula>
    </cfRule>
    <cfRule type="expression" dxfId="144" priority="3">
      <formula>($F15="AVOIR")</formula>
    </cfRule>
    <cfRule type="expression" dxfId="143" priority="4">
      <formula>($F15="MAXI CARE")</formula>
    </cfRule>
    <cfRule type="expression" dxfId="142" priority="5">
      <formula>($F15="CESSION")</formula>
    </cfRule>
    <cfRule type="expression" dxfId="141" priority="6">
      <formula>($F15="MALFACON")</formula>
    </cfRule>
    <cfRule type="expression" dxfId="140" priority="7">
      <formula>($F15="GARANTIE")</formula>
    </cfRule>
    <cfRule type="expression" dxfId="139" priority="8">
      <formula>($F15="OS")</formula>
    </cfRule>
  </conditionalFormatting>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6E85A-FA17-492B-B31E-D33BD6647168}">
  <sheetPr codeName="Feuil10"/>
  <dimension ref="A2:C860"/>
  <sheetViews>
    <sheetView workbookViewId="0"/>
  </sheetViews>
  <sheetFormatPr baseColWidth="10" defaultRowHeight="14.4" x14ac:dyDescent="0.3"/>
  <sheetData>
    <row r="2" spans="1:3" x14ac:dyDescent="0.3">
      <c r="A2" t="s">
        <v>500</v>
      </c>
      <c r="B2" t="s">
        <v>826</v>
      </c>
    </row>
    <row r="3" spans="1:3" x14ac:dyDescent="0.3">
      <c r="A3" t="s">
        <v>2723</v>
      </c>
      <c r="B3" t="s">
        <v>60</v>
      </c>
      <c r="C3" t="s">
        <v>1065</v>
      </c>
    </row>
    <row r="4" spans="1:3" x14ac:dyDescent="0.3">
      <c r="A4" t="s">
        <v>41</v>
      </c>
      <c r="B4">
        <v>640</v>
      </c>
      <c r="C4" t="s">
        <v>1182</v>
      </c>
    </row>
    <row r="5" spans="1:3" x14ac:dyDescent="0.3">
      <c r="A5" t="s">
        <v>1066</v>
      </c>
      <c r="B5" t="s">
        <v>100</v>
      </c>
      <c r="C5" t="s">
        <v>2076</v>
      </c>
    </row>
    <row r="6" spans="1:3" x14ac:dyDescent="0.3">
      <c r="A6" t="s">
        <v>1283</v>
      </c>
      <c r="B6" t="s">
        <v>103</v>
      </c>
      <c r="C6" t="s">
        <v>2175</v>
      </c>
    </row>
    <row r="7" spans="1:3" x14ac:dyDescent="0.3">
      <c r="A7" t="s">
        <v>539</v>
      </c>
      <c r="B7">
        <v>751</v>
      </c>
      <c r="C7" t="s">
        <v>335</v>
      </c>
    </row>
    <row r="8" spans="1:3" x14ac:dyDescent="0.3">
      <c r="A8" t="s">
        <v>684</v>
      </c>
      <c r="B8" t="s">
        <v>1230</v>
      </c>
      <c r="C8" t="s">
        <v>2211</v>
      </c>
    </row>
    <row r="9" spans="1:3" x14ac:dyDescent="0.3">
      <c r="A9" t="s">
        <v>1469</v>
      </c>
      <c r="B9" t="s">
        <v>574</v>
      </c>
      <c r="C9" t="s">
        <v>981</v>
      </c>
    </row>
    <row r="10" spans="1:3" x14ac:dyDescent="0.3">
      <c r="A10" t="s">
        <v>233</v>
      </c>
      <c r="B10" t="s">
        <v>458</v>
      </c>
      <c r="C10" t="s">
        <v>2635</v>
      </c>
    </row>
    <row r="11" spans="1:3" x14ac:dyDescent="0.3">
      <c r="A11" t="s">
        <v>1711</v>
      </c>
      <c r="B11" t="s">
        <v>348</v>
      </c>
      <c r="C11" t="s">
        <v>1467</v>
      </c>
    </row>
    <row r="12" spans="1:3" x14ac:dyDescent="0.3">
      <c r="A12" t="s">
        <v>313</v>
      </c>
      <c r="B12" t="s">
        <v>193</v>
      </c>
      <c r="C12" t="s">
        <v>1116</v>
      </c>
    </row>
    <row r="13" spans="1:3" x14ac:dyDescent="0.3">
      <c r="A13" t="s">
        <v>834</v>
      </c>
      <c r="B13" t="s">
        <v>358</v>
      </c>
      <c r="C13" t="s">
        <v>1112</v>
      </c>
    </row>
    <row r="14" spans="1:3" x14ac:dyDescent="0.3">
      <c r="A14" t="s">
        <v>2122</v>
      </c>
      <c r="B14" t="s">
        <v>2491</v>
      </c>
      <c r="C14" t="s">
        <v>61</v>
      </c>
    </row>
    <row r="15" spans="1:3" x14ac:dyDescent="0.3">
      <c r="A15" t="s">
        <v>2425</v>
      </c>
      <c r="B15" t="s">
        <v>2458</v>
      </c>
      <c r="C15" t="s">
        <v>952</v>
      </c>
    </row>
    <row r="16" spans="1:3" x14ac:dyDescent="0.3">
      <c r="A16" t="s">
        <v>2459</v>
      </c>
      <c r="B16" t="s">
        <v>1125</v>
      </c>
      <c r="C16" t="s">
        <v>104</v>
      </c>
    </row>
    <row r="17" spans="1:3" x14ac:dyDescent="0.3">
      <c r="A17" t="s">
        <v>1143</v>
      </c>
      <c r="B17" t="s">
        <v>599</v>
      </c>
      <c r="C17" t="s">
        <v>798</v>
      </c>
    </row>
    <row r="18" spans="1:3" x14ac:dyDescent="0.3">
      <c r="A18" t="s">
        <v>576</v>
      </c>
      <c r="B18" t="s">
        <v>587</v>
      </c>
      <c r="C18" t="s">
        <v>78</v>
      </c>
    </row>
    <row r="19" spans="1:3" x14ac:dyDescent="0.3">
      <c r="A19" t="s">
        <v>220</v>
      </c>
      <c r="B19" t="s">
        <v>2405</v>
      </c>
      <c r="C19" t="s">
        <v>2049</v>
      </c>
    </row>
    <row r="20" spans="1:3" x14ac:dyDescent="0.3">
      <c r="A20" t="s">
        <v>34</v>
      </c>
      <c r="B20" t="s">
        <v>763</v>
      </c>
      <c r="C20" t="s">
        <v>1267</v>
      </c>
    </row>
    <row r="21" spans="1:3" x14ac:dyDescent="0.3">
      <c r="A21" t="s">
        <v>892</v>
      </c>
      <c r="B21" t="s">
        <v>1111</v>
      </c>
      <c r="C21" t="s">
        <v>67</v>
      </c>
    </row>
    <row r="22" spans="1:3" x14ac:dyDescent="0.3">
      <c r="A22" t="s">
        <v>2169</v>
      </c>
      <c r="B22" t="s">
        <v>604</v>
      </c>
      <c r="C22" t="s">
        <v>1007</v>
      </c>
    </row>
    <row r="23" spans="1:3" x14ac:dyDescent="0.3">
      <c r="A23" t="s">
        <v>1175</v>
      </c>
      <c r="B23" t="s">
        <v>1420</v>
      </c>
      <c r="C23" t="s">
        <v>968</v>
      </c>
    </row>
    <row r="24" spans="1:3" x14ac:dyDescent="0.3">
      <c r="A24" t="s">
        <v>644</v>
      </c>
      <c r="B24" t="s">
        <v>223</v>
      </c>
      <c r="C24" t="s">
        <v>1237</v>
      </c>
    </row>
    <row r="25" spans="1:3" x14ac:dyDescent="0.3">
      <c r="A25" t="s">
        <v>1956</v>
      </c>
      <c r="B25" t="s">
        <v>1353</v>
      </c>
      <c r="C25" t="s">
        <v>2742</v>
      </c>
    </row>
    <row r="26" spans="1:3" x14ac:dyDescent="0.3">
      <c r="A26" t="s">
        <v>2131</v>
      </c>
      <c r="B26" t="s">
        <v>277</v>
      </c>
      <c r="C26" t="s">
        <v>1010</v>
      </c>
    </row>
    <row r="27" spans="1:3" x14ac:dyDescent="0.3">
      <c r="A27" t="s">
        <v>62</v>
      </c>
      <c r="B27" t="s">
        <v>249</v>
      </c>
      <c r="C27" t="s">
        <v>7</v>
      </c>
    </row>
    <row r="28" spans="1:3" x14ac:dyDescent="0.3">
      <c r="A28" t="s">
        <v>178</v>
      </c>
      <c r="B28" t="s">
        <v>444</v>
      </c>
      <c r="C28" t="s">
        <v>651</v>
      </c>
    </row>
    <row r="29" spans="1:3" x14ac:dyDescent="0.3">
      <c r="A29" t="s">
        <v>659</v>
      </c>
      <c r="B29" t="s">
        <v>677</v>
      </c>
      <c r="C29" t="s">
        <v>707</v>
      </c>
    </row>
    <row r="30" spans="1:3" x14ac:dyDescent="0.3">
      <c r="A30" t="s">
        <v>1352</v>
      </c>
      <c r="B30" t="s">
        <v>752</v>
      </c>
      <c r="C30" t="s">
        <v>2021</v>
      </c>
    </row>
    <row r="31" spans="1:3" x14ac:dyDescent="0.3">
      <c r="A31" t="s">
        <v>2029</v>
      </c>
      <c r="B31" t="s">
        <v>1054</v>
      </c>
      <c r="C31" t="s">
        <v>1192</v>
      </c>
    </row>
    <row r="32" spans="1:3" x14ac:dyDescent="0.3">
      <c r="A32" t="s">
        <v>1356</v>
      </c>
      <c r="B32" t="s">
        <v>1290</v>
      </c>
      <c r="C32" t="s">
        <v>1989</v>
      </c>
    </row>
    <row r="33" spans="1:3" x14ac:dyDescent="0.3">
      <c r="A33" t="s">
        <v>36</v>
      </c>
      <c r="B33" t="s">
        <v>442</v>
      </c>
      <c r="C33" t="s">
        <v>2743</v>
      </c>
    </row>
    <row r="34" spans="1:3" x14ac:dyDescent="0.3">
      <c r="A34" t="s">
        <v>802</v>
      </c>
      <c r="B34" t="s">
        <v>299</v>
      </c>
      <c r="C34" t="s">
        <v>1273</v>
      </c>
    </row>
    <row r="35" spans="1:3" x14ac:dyDescent="0.3">
      <c r="A35" t="s">
        <v>1063</v>
      </c>
      <c r="B35" t="s">
        <v>247</v>
      </c>
      <c r="C35" t="s">
        <v>2115</v>
      </c>
    </row>
    <row r="36" spans="1:3" x14ac:dyDescent="0.3">
      <c r="A36" t="s">
        <v>274</v>
      </c>
      <c r="B36" t="s">
        <v>2229</v>
      </c>
      <c r="C36" t="s">
        <v>1301</v>
      </c>
    </row>
    <row r="37" spans="1:3" x14ac:dyDescent="0.3">
      <c r="A37" t="s">
        <v>2423</v>
      </c>
      <c r="B37" t="s">
        <v>524</v>
      </c>
      <c r="C37" t="s">
        <v>1070</v>
      </c>
    </row>
    <row r="38" spans="1:3" x14ac:dyDescent="0.3">
      <c r="A38" t="s">
        <v>1198</v>
      </c>
      <c r="B38" t="s">
        <v>754</v>
      </c>
      <c r="C38" t="s">
        <v>2146</v>
      </c>
    </row>
    <row r="39" spans="1:3" x14ac:dyDescent="0.3">
      <c r="A39" t="s">
        <v>2653</v>
      </c>
      <c r="B39" t="s">
        <v>986</v>
      </c>
      <c r="C39" t="s">
        <v>349</v>
      </c>
    </row>
    <row r="40" spans="1:3" x14ac:dyDescent="0.3">
      <c r="A40" t="s">
        <v>2580</v>
      </c>
      <c r="B40" t="s">
        <v>211</v>
      </c>
      <c r="C40" t="s">
        <v>2081</v>
      </c>
    </row>
    <row r="41" spans="1:3" x14ac:dyDescent="0.3">
      <c r="A41" t="s">
        <v>735</v>
      </c>
      <c r="B41" t="s">
        <v>379</v>
      </c>
      <c r="C41" t="s">
        <v>880</v>
      </c>
    </row>
    <row r="42" spans="1:3" x14ac:dyDescent="0.3">
      <c r="A42" t="s">
        <v>281</v>
      </c>
      <c r="B42" t="s">
        <v>1000</v>
      </c>
      <c r="C42" t="s">
        <v>1016</v>
      </c>
    </row>
    <row r="43" spans="1:3" x14ac:dyDescent="0.3">
      <c r="A43" t="s">
        <v>689</v>
      </c>
      <c r="B43" t="s">
        <v>1108</v>
      </c>
      <c r="C43" t="s">
        <v>386</v>
      </c>
    </row>
    <row r="44" spans="1:3" x14ac:dyDescent="0.3">
      <c r="A44" t="s">
        <v>790</v>
      </c>
      <c r="B44" t="s">
        <v>2718</v>
      </c>
      <c r="C44" t="s">
        <v>501</v>
      </c>
    </row>
    <row r="45" spans="1:3" x14ac:dyDescent="0.3">
      <c r="A45" t="s">
        <v>864</v>
      </c>
      <c r="B45" t="s">
        <v>204</v>
      </c>
      <c r="C45" t="s">
        <v>396</v>
      </c>
    </row>
    <row r="46" spans="1:3" x14ac:dyDescent="0.3">
      <c r="A46" t="s">
        <v>901</v>
      </c>
      <c r="B46" t="s">
        <v>688</v>
      </c>
      <c r="C46" t="s">
        <v>1140</v>
      </c>
    </row>
    <row r="47" spans="1:3" x14ac:dyDescent="0.3">
      <c r="A47" t="s">
        <v>817</v>
      </c>
      <c r="B47" t="s">
        <v>162</v>
      </c>
      <c r="C47" t="s">
        <v>1085</v>
      </c>
    </row>
    <row r="48" spans="1:3" x14ac:dyDescent="0.3">
      <c r="A48" t="s">
        <v>1110</v>
      </c>
      <c r="B48" t="s">
        <v>1214</v>
      </c>
      <c r="C48" t="s">
        <v>2412</v>
      </c>
    </row>
    <row r="49" spans="1:3" x14ac:dyDescent="0.3">
      <c r="A49" t="s">
        <v>849</v>
      </c>
      <c r="B49" t="s">
        <v>287</v>
      </c>
      <c r="C49" t="s">
        <v>800</v>
      </c>
    </row>
    <row r="50" spans="1:3" x14ac:dyDescent="0.3">
      <c r="A50" t="s">
        <v>2150</v>
      </c>
      <c r="B50" t="s">
        <v>1277</v>
      </c>
      <c r="C50" t="s">
        <v>2744</v>
      </c>
    </row>
    <row r="51" spans="1:3" x14ac:dyDescent="0.3">
      <c r="A51" t="s">
        <v>479</v>
      </c>
      <c r="B51" t="s">
        <v>769</v>
      </c>
      <c r="C51" t="s">
        <v>1404</v>
      </c>
    </row>
    <row r="52" spans="1:3" x14ac:dyDescent="0.3">
      <c r="A52" t="s">
        <v>2715</v>
      </c>
      <c r="B52" t="s">
        <v>540</v>
      </c>
      <c r="C52" t="s">
        <v>787</v>
      </c>
    </row>
    <row r="53" spans="1:3" x14ac:dyDescent="0.3">
      <c r="A53" t="s">
        <v>504</v>
      </c>
      <c r="B53" t="s">
        <v>94</v>
      </c>
      <c r="C53" t="s">
        <v>134</v>
      </c>
    </row>
    <row r="54" spans="1:3" x14ac:dyDescent="0.3">
      <c r="A54" t="s">
        <v>205</v>
      </c>
      <c r="B54" t="s">
        <v>106</v>
      </c>
      <c r="C54" t="s">
        <v>2059</v>
      </c>
    </row>
    <row r="55" spans="1:3" x14ac:dyDescent="0.3">
      <c r="A55" t="s">
        <v>2118</v>
      </c>
      <c r="B55" t="s">
        <v>57</v>
      </c>
      <c r="C55" t="s">
        <v>2461</v>
      </c>
    </row>
    <row r="56" spans="1:3" x14ac:dyDescent="0.3">
      <c r="A56" t="s">
        <v>2724</v>
      </c>
      <c r="B56" t="s">
        <v>541</v>
      </c>
      <c r="C56" t="s">
        <v>772</v>
      </c>
    </row>
    <row r="57" spans="1:3" x14ac:dyDescent="0.3">
      <c r="A57" t="s">
        <v>191</v>
      </c>
      <c r="B57" t="s">
        <v>642</v>
      </c>
      <c r="C57" t="s">
        <v>947</v>
      </c>
    </row>
    <row r="58" spans="1:3" x14ac:dyDescent="0.3">
      <c r="A58" t="s">
        <v>71</v>
      </c>
      <c r="B58" t="s">
        <v>533</v>
      </c>
      <c r="C58" t="s">
        <v>1024</v>
      </c>
    </row>
    <row r="59" spans="1:3" x14ac:dyDescent="0.3">
      <c r="A59" t="s">
        <v>1097</v>
      </c>
      <c r="B59" t="s">
        <v>32</v>
      </c>
      <c r="C59" t="s">
        <v>537</v>
      </c>
    </row>
    <row r="60" spans="1:3" x14ac:dyDescent="0.3">
      <c r="A60" t="s">
        <v>664</v>
      </c>
      <c r="B60" t="s">
        <v>1440</v>
      </c>
      <c r="C60" t="s">
        <v>1239</v>
      </c>
    </row>
    <row r="61" spans="1:3" x14ac:dyDescent="0.3">
      <c r="A61" t="s">
        <v>1275</v>
      </c>
      <c r="B61" t="s">
        <v>440</v>
      </c>
      <c r="C61" t="s">
        <v>2502</v>
      </c>
    </row>
    <row r="62" spans="1:3" x14ac:dyDescent="0.3">
      <c r="A62" t="s">
        <v>264</v>
      </c>
      <c r="B62" t="s">
        <v>63</v>
      </c>
      <c r="C62" t="s">
        <v>1459</v>
      </c>
    </row>
    <row r="63" spans="1:3" x14ac:dyDescent="0.3">
      <c r="A63" t="s">
        <v>1376</v>
      </c>
      <c r="B63" t="s">
        <v>293</v>
      </c>
      <c r="C63" t="s">
        <v>2572</v>
      </c>
    </row>
    <row r="64" spans="1:3" x14ac:dyDescent="0.3">
      <c r="A64" t="s">
        <v>1955</v>
      </c>
      <c r="B64" t="s">
        <v>133</v>
      </c>
      <c r="C64" t="s">
        <v>452</v>
      </c>
    </row>
    <row r="65" spans="1:3" x14ac:dyDescent="0.3">
      <c r="A65" t="s">
        <v>1949</v>
      </c>
      <c r="B65" t="s">
        <v>412</v>
      </c>
      <c r="C65" t="s">
        <v>2413</v>
      </c>
    </row>
    <row r="66" spans="1:3" x14ac:dyDescent="0.3">
      <c r="A66" t="s">
        <v>259</v>
      </c>
      <c r="B66" t="s">
        <v>718</v>
      </c>
      <c r="C66" t="s">
        <v>2745</v>
      </c>
    </row>
    <row r="67" spans="1:3" x14ac:dyDescent="0.3">
      <c r="A67" t="s">
        <v>1351</v>
      </c>
      <c r="B67" t="s">
        <v>568</v>
      </c>
      <c r="C67" t="s">
        <v>1608</v>
      </c>
    </row>
    <row r="68" spans="1:3" x14ac:dyDescent="0.3">
      <c r="A68" t="s">
        <v>2397</v>
      </c>
      <c r="B68" t="s">
        <v>563</v>
      </c>
      <c r="C68" t="s">
        <v>1262</v>
      </c>
    </row>
    <row r="69" spans="1:3" x14ac:dyDescent="0.3">
      <c r="A69" t="s">
        <v>2725</v>
      </c>
      <c r="B69" t="s">
        <v>572</v>
      </c>
      <c r="C69" t="s">
        <v>2746</v>
      </c>
    </row>
    <row r="70" spans="1:3" x14ac:dyDescent="0.3">
      <c r="A70" t="s">
        <v>2623</v>
      </c>
      <c r="B70" t="s">
        <v>148</v>
      </c>
      <c r="C70" t="s">
        <v>1019</v>
      </c>
    </row>
    <row r="71" spans="1:3" x14ac:dyDescent="0.3">
      <c r="A71" t="s">
        <v>343</v>
      </c>
      <c r="B71" t="s">
        <v>179</v>
      </c>
      <c r="C71" t="s">
        <v>1997</v>
      </c>
    </row>
    <row r="72" spans="1:3" x14ac:dyDescent="0.3">
      <c r="A72" t="s">
        <v>378</v>
      </c>
      <c r="B72" t="s">
        <v>45</v>
      </c>
      <c r="C72" t="s">
        <v>1445</v>
      </c>
    </row>
    <row r="73" spans="1:3" x14ac:dyDescent="0.3">
      <c r="A73" t="s">
        <v>2687</v>
      </c>
      <c r="B73" t="s">
        <v>453</v>
      </c>
      <c r="C73" t="s">
        <v>1130</v>
      </c>
    </row>
    <row r="74" spans="1:3" x14ac:dyDescent="0.3">
      <c r="A74" t="s">
        <v>527</v>
      </c>
      <c r="B74" t="s">
        <v>75</v>
      </c>
      <c r="C74" t="s">
        <v>1311</v>
      </c>
    </row>
    <row r="75" spans="1:3" x14ac:dyDescent="0.3">
      <c r="A75" t="s">
        <v>794</v>
      </c>
      <c r="B75" t="s">
        <v>367</v>
      </c>
      <c r="C75" t="s">
        <v>760</v>
      </c>
    </row>
    <row r="76" spans="1:3" x14ac:dyDescent="0.3">
      <c r="A76" t="s">
        <v>1027</v>
      </c>
      <c r="B76" t="s">
        <v>1057</v>
      </c>
      <c r="C76" t="s">
        <v>185</v>
      </c>
    </row>
    <row r="77" spans="1:3" x14ac:dyDescent="0.3">
      <c r="A77" t="s">
        <v>420</v>
      </c>
      <c r="B77" t="s">
        <v>1118</v>
      </c>
      <c r="C77" t="s">
        <v>1147</v>
      </c>
    </row>
    <row r="78" spans="1:3" x14ac:dyDescent="0.3">
      <c r="A78" t="s">
        <v>1298</v>
      </c>
      <c r="B78" t="s">
        <v>421</v>
      </c>
      <c r="C78" t="s">
        <v>366</v>
      </c>
    </row>
    <row r="79" spans="1:3" x14ac:dyDescent="0.3">
      <c r="A79" t="s">
        <v>2041</v>
      </c>
      <c r="B79" t="s">
        <v>2105</v>
      </c>
      <c r="C79" t="s">
        <v>297</v>
      </c>
    </row>
    <row r="80" spans="1:3" x14ac:dyDescent="0.3">
      <c r="A80" t="s">
        <v>635</v>
      </c>
      <c r="B80" t="s">
        <v>795</v>
      </c>
      <c r="C80" t="s">
        <v>1433</v>
      </c>
    </row>
    <row r="81" spans="1:3" x14ac:dyDescent="0.3">
      <c r="A81" t="s">
        <v>2187</v>
      </c>
      <c r="B81" t="s">
        <v>1013</v>
      </c>
      <c r="C81" t="s">
        <v>1386</v>
      </c>
    </row>
    <row r="82" spans="1:3" x14ac:dyDescent="0.3">
      <c r="A82" t="s">
        <v>745</v>
      </c>
      <c r="B82" t="s">
        <v>2053</v>
      </c>
      <c r="C82" t="s">
        <v>634</v>
      </c>
    </row>
    <row r="83" spans="1:3" x14ac:dyDescent="0.3">
      <c r="A83" t="s">
        <v>914</v>
      </c>
      <c r="B83" t="s">
        <v>2225</v>
      </c>
      <c r="C83" t="s">
        <v>957</v>
      </c>
    </row>
    <row r="84" spans="1:3" x14ac:dyDescent="0.3">
      <c r="A84" t="s">
        <v>432</v>
      </c>
      <c r="B84" t="s">
        <v>1355</v>
      </c>
      <c r="C84" t="s">
        <v>910</v>
      </c>
    </row>
    <row r="85" spans="1:3" x14ac:dyDescent="0.3">
      <c r="A85" t="s">
        <v>266</v>
      </c>
      <c r="B85" t="s">
        <v>1363</v>
      </c>
      <c r="C85" t="s">
        <v>2705</v>
      </c>
    </row>
    <row r="86" spans="1:3" x14ac:dyDescent="0.3">
      <c r="A86" t="s">
        <v>1364</v>
      </c>
      <c r="B86" t="s">
        <v>200</v>
      </c>
      <c r="C86" t="s">
        <v>1093</v>
      </c>
    </row>
    <row r="87" spans="1:3" x14ac:dyDescent="0.3">
      <c r="A87" t="s">
        <v>627</v>
      </c>
      <c r="B87" t="s">
        <v>912</v>
      </c>
      <c r="C87" t="s">
        <v>1367</v>
      </c>
    </row>
    <row r="88" spans="1:3" x14ac:dyDescent="0.3">
      <c r="A88" t="s">
        <v>1803</v>
      </c>
      <c r="B88" t="s">
        <v>1289</v>
      </c>
      <c r="C88" t="s">
        <v>1992</v>
      </c>
    </row>
    <row r="89" spans="1:3" x14ac:dyDescent="0.3">
      <c r="A89" t="s">
        <v>426</v>
      </c>
      <c r="B89" t="s">
        <v>872</v>
      </c>
      <c r="C89" t="s">
        <v>1095</v>
      </c>
    </row>
    <row r="90" spans="1:3" x14ac:dyDescent="0.3">
      <c r="A90" t="s">
        <v>1212</v>
      </c>
      <c r="B90" t="s">
        <v>254</v>
      </c>
      <c r="C90" t="s">
        <v>762</v>
      </c>
    </row>
    <row r="91" spans="1:3" x14ac:dyDescent="0.3">
      <c r="A91" t="s">
        <v>962</v>
      </c>
      <c r="B91" t="s">
        <v>2351</v>
      </c>
      <c r="C91" t="s">
        <v>1413</v>
      </c>
    </row>
    <row r="92" spans="1:3" x14ac:dyDescent="0.3">
      <c r="A92" t="s">
        <v>237</v>
      </c>
      <c r="B92" t="s">
        <v>227</v>
      </c>
      <c r="C92" t="s">
        <v>492</v>
      </c>
    </row>
    <row r="93" spans="1:3" x14ac:dyDescent="0.3">
      <c r="A93" t="s">
        <v>1330</v>
      </c>
      <c r="B93" t="s">
        <v>2618</v>
      </c>
      <c r="C93" t="s">
        <v>973</v>
      </c>
    </row>
    <row r="94" spans="1:3" x14ac:dyDescent="0.3">
      <c r="A94" t="s">
        <v>2697</v>
      </c>
      <c r="B94" t="s">
        <v>181</v>
      </c>
      <c r="C94" t="s">
        <v>1128</v>
      </c>
    </row>
    <row r="95" spans="1:3" x14ac:dyDescent="0.3">
      <c r="A95" t="s">
        <v>1462</v>
      </c>
      <c r="B95" t="s">
        <v>217</v>
      </c>
      <c r="C95" t="s">
        <v>566</v>
      </c>
    </row>
    <row r="96" spans="1:3" x14ac:dyDescent="0.3">
      <c r="A96" t="s">
        <v>213</v>
      </c>
      <c r="B96" t="s">
        <v>487</v>
      </c>
      <c r="C96" t="s">
        <v>946</v>
      </c>
    </row>
    <row r="97" spans="1:3" x14ac:dyDescent="0.3">
      <c r="A97" t="s">
        <v>919</v>
      </c>
      <c r="B97" t="s">
        <v>47</v>
      </c>
      <c r="C97" t="s">
        <v>1946</v>
      </c>
    </row>
    <row r="98" spans="1:3" x14ac:dyDescent="0.3">
      <c r="A98" t="s">
        <v>2661</v>
      </c>
      <c r="B98" t="s">
        <v>50</v>
      </c>
      <c r="C98" t="s">
        <v>2597</v>
      </c>
    </row>
    <row r="99" spans="1:3" x14ac:dyDescent="0.3">
      <c r="A99" t="s">
        <v>2726</v>
      </c>
      <c r="B99" t="s">
        <v>2607</v>
      </c>
      <c r="C99" t="s">
        <v>829</v>
      </c>
    </row>
    <row r="100" spans="1:3" x14ac:dyDescent="0.3">
      <c r="A100" t="s">
        <v>2710</v>
      </c>
      <c r="B100" t="s">
        <v>1064</v>
      </c>
      <c r="C100" t="s">
        <v>2087</v>
      </c>
    </row>
    <row r="101" spans="1:3" x14ac:dyDescent="0.3">
      <c r="A101" t="s">
        <v>2553</v>
      </c>
      <c r="B101" t="s">
        <v>1336</v>
      </c>
      <c r="C101" t="s">
        <v>1706</v>
      </c>
    </row>
    <row r="102" spans="1:3" x14ac:dyDescent="0.3">
      <c r="A102" t="s">
        <v>1339</v>
      </c>
      <c r="B102" t="s">
        <v>1180</v>
      </c>
      <c r="C102" t="s">
        <v>1660</v>
      </c>
    </row>
    <row r="103" spans="1:3" x14ac:dyDescent="0.3">
      <c r="A103" t="s">
        <v>108</v>
      </c>
      <c r="B103" t="s">
        <v>154</v>
      </c>
      <c r="C103" t="s">
        <v>1975</v>
      </c>
    </row>
    <row r="104" spans="1:3" x14ac:dyDescent="0.3">
      <c r="A104" t="s">
        <v>748</v>
      </c>
      <c r="B104" t="s">
        <v>351</v>
      </c>
      <c r="C104" t="s">
        <v>655</v>
      </c>
    </row>
    <row r="105" spans="1:3" x14ac:dyDescent="0.3">
      <c r="A105" t="s">
        <v>384</v>
      </c>
      <c r="B105" t="s">
        <v>109</v>
      </c>
      <c r="C105" t="s">
        <v>922</v>
      </c>
    </row>
    <row r="106" spans="1:3" x14ac:dyDescent="0.3">
      <c r="A106" t="s">
        <v>394</v>
      </c>
      <c r="B106" t="s">
        <v>1400</v>
      </c>
      <c r="C106" t="s">
        <v>2117</v>
      </c>
    </row>
    <row r="107" spans="1:3" x14ac:dyDescent="0.3">
      <c r="A107" t="s">
        <v>86</v>
      </c>
      <c r="B107" t="s">
        <v>1379</v>
      </c>
      <c r="C107" t="s">
        <v>753</v>
      </c>
    </row>
    <row r="108" spans="1:3" x14ac:dyDescent="0.3">
      <c r="A108" t="s">
        <v>758</v>
      </c>
      <c r="B108" t="s">
        <v>1444</v>
      </c>
      <c r="C108" t="s">
        <v>2000</v>
      </c>
    </row>
    <row r="109" spans="1:3" x14ac:dyDescent="0.3">
      <c r="A109" t="s">
        <v>1281</v>
      </c>
      <c r="B109" t="s">
        <v>1464</v>
      </c>
      <c r="C109" t="s">
        <v>2620</v>
      </c>
    </row>
    <row r="110" spans="1:3" x14ac:dyDescent="0.3">
      <c r="A110" t="s">
        <v>337</v>
      </c>
      <c r="B110" t="s">
        <v>1410</v>
      </c>
      <c r="C110" t="s">
        <v>38</v>
      </c>
    </row>
    <row r="111" spans="1:3" x14ac:dyDescent="0.3">
      <c r="A111" t="s">
        <v>2727</v>
      </c>
      <c r="B111" t="s">
        <v>1216</v>
      </c>
      <c r="C111" t="s">
        <v>2417</v>
      </c>
    </row>
    <row r="112" spans="1:3" x14ac:dyDescent="0.3">
      <c r="A112" t="s">
        <v>290</v>
      </c>
      <c r="B112" t="s">
        <v>1121</v>
      </c>
      <c r="C112" t="s">
        <v>27</v>
      </c>
    </row>
    <row r="113" spans="1:3" x14ac:dyDescent="0.3">
      <c r="A113" t="s">
        <v>1466</v>
      </c>
      <c r="B113" t="s">
        <v>327</v>
      </c>
      <c r="C113" t="s">
        <v>645</v>
      </c>
    </row>
    <row r="114" spans="1:3" x14ac:dyDescent="0.3">
      <c r="A114" t="s">
        <v>1061</v>
      </c>
      <c r="B114" t="s">
        <v>2683</v>
      </c>
      <c r="C114" t="s">
        <v>679</v>
      </c>
    </row>
    <row r="115" spans="1:3" x14ac:dyDescent="0.3">
      <c r="A115" t="s">
        <v>851</v>
      </c>
      <c r="B115" t="s">
        <v>2624</v>
      </c>
      <c r="C115" t="s">
        <v>553</v>
      </c>
    </row>
    <row r="116" spans="1:3" x14ac:dyDescent="0.3">
      <c r="A116" t="s">
        <v>166</v>
      </c>
      <c r="B116" t="s">
        <v>385</v>
      </c>
      <c r="C116" t="s">
        <v>317</v>
      </c>
    </row>
    <row r="117" spans="1:3" x14ac:dyDescent="0.3">
      <c r="A117" t="s">
        <v>1265</v>
      </c>
      <c r="B117" t="s">
        <v>2075</v>
      </c>
      <c r="C117" t="s">
        <v>484</v>
      </c>
    </row>
    <row r="118" spans="1:3" x14ac:dyDescent="0.3">
      <c r="A118" t="s">
        <v>2499</v>
      </c>
      <c r="B118" t="s">
        <v>629</v>
      </c>
      <c r="C118" t="s">
        <v>738</v>
      </c>
    </row>
    <row r="119" spans="1:3" x14ac:dyDescent="0.3">
      <c r="A119" t="s">
        <v>2016</v>
      </c>
      <c r="B119" t="s">
        <v>668</v>
      </c>
      <c r="C119" t="s">
        <v>1597</v>
      </c>
    </row>
    <row r="120" spans="1:3" x14ac:dyDescent="0.3">
      <c r="A120" t="s">
        <v>393</v>
      </c>
      <c r="B120" t="s">
        <v>656</v>
      </c>
      <c r="C120" t="s">
        <v>944</v>
      </c>
    </row>
    <row r="121" spans="1:3" x14ac:dyDescent="0.3">
      <c r="A121" t="s">
        <v>900</v>
      </c>
      <c r="B121" t="s">
        <v>84</v>
      </c>
      <c r="C121" t="s">
        <v>931</v>
      </c>
    </row>
    <row r="122" spans="1:3" x14ac:dyDescent="0.3">
      <c r="A122" t="s">
        <v>771</v>
      </c>
      <c r="B122" t="s">
        <v>2482</v>
      </c>
      <c r="C122" t="s">
        <v>733</v>
      </c>
    </row>
    <row r="123" spans="1:3" x14ac:dyDescent="0.3">
      <c r="A123" t="s">
        <v>868</v>
      </c>
      <c r="B123" t="s">
        <v>980</v>
      </c>
      <c r="C123" t="s">
        <v>2747</v>
      </c>
    </row>
    <row r="124" spans="1:3" x14ac:dyDescent="0.3">
      <c r="A124" t="s">
        <v>1304</v>
      </c>
      <c r="B124" t="s">
        <v>418</v>
      </c>
      <c r="C124" t="s">
        <v>519</v>
      </c>
    </row>
    <row r="125" spans="1:3" x14ac:dyDescent="0.3">
      <c r="A125" t="s">
        <v>2097</v>
      </c>
      <c r="B125" t="s">
        <v>433</v>
      </c>
      <c r="C125" t="s">
        <v>1255</v>
      </c>
    </row>
    <row r="126" spans="1:3" x14ac:dyDescent="0.3">
      <c r="A126" t="s">
        <v>262</v>
      </c>
      <c r="B126" t="s">
        <v>185</v>
      </c>
      <c r="C126" t="s">
        <v>1418</v>
      </c>
    </row>
    <row r="127" spans="1:3" x14ac:dyDescent="0.3">
      <c r="A127" t="s">
        <v>555</v>
      </c>
      <c r="B127" t="s">
        <v>115</v>
      </c>
      <c r="C127" t="s">
        <v>495</v>
      </c>
    </row>
    <row r="128" spans="1:3" x14ac:dyDescent="0.3">
      <c r="A128" t="s">
        <v>502</v>
      </c>
      <c r="B128" t="s">
        <v>1191</v>
      </c>
      <c r="C128" t="s">
        <v>2215</v>
      </c>
    </row>
    <row r="129" spans="1:3" x14ac:dyDescent="0.3">
      <c r="A129" t="s">
        <v>117</v>
      </c>
      <c r="B129" t="s">
        <v>1331</v>
      </c>
      <c r="C129" t="s">
        <v>741</v>
      </c>
    </row>
    <row r="130" spans="1:3" x14ac:dyDescent="0.3">
      <c r="A130" t="s">
        <v>1040</v>
      </c>
      <c r="B130" t="s">
        <v>234</v>
      </c>
      <c r="C130" t="s">
        <v>1284</v>
      </c>
    </row>
    <row r="131" spans="1:3" x14ac:dyDescent="0.3">
      <c r="A131" t="s">
        <v>203</v>
      </c>
      <c r="B131" t="s">
        <v>362</v>
      </c>
      <c r="C131" t="s">
        <v>815</v>
      </c>
    </row>
    <row r="132" spans="1:3" x14ac:dyDescent="0.3">
      <c r="A132" t="s">
        <v>2102</v>
      </c>
      <c r="B132" t="s">
        <v>138</v>
      </c>
      <c r="C132" t="s">
        <v>55</v>
      </c>
    </row>
    <row r="133" spans="1:3" x14ac:dyDescent="0.3">
      <c r="A133" t="s">
        <v>550</v>
      </c>
      <c r="B133" t="s">
        <v>305</v>
      </c>
      <c r="C133" t="s">
        <v>641</v>
      </c>
    </row>
    <row r="134" spans="1:3" x14ac:dyDescent="0.3">
      <c r="A134" t="s">
        <v>482</v>
      </c>
      <c r="B134" t="s">
        <v>2038</v>
      </c>
      <c r="C134" t="s">
        <v>145</v>
      </c>
    </row>
    <row r="135" spans="1:3" x14ac:dyDescent="0.3">
      <c r="A135" t="s">
        <v>406</v>
      </c>
      <c r="B135" t="s">
        <v>120</v>
      </c>
      <c r="C135" t="s">
        <v>571</v>
      </c>
    </row>
    <row r="136" spans="1:3" x14ac:dyDescent="0.3">
      <c r="A136" t="s">
        <v>911</v>
      </c>
      <c r="B136" t="s">
        <v>2490</v>
      </c>
      <c r="C136" t="s">
        <v>1278</v>
      </c>
    </row>
    <row r="137" spans="1:3" x14ac:dyDescent="0.3">
      <c r="A137" t="s">
        <v>780</v>
      </c>
      <c r="B137" t="s">
        <v>2688</v>
      </c>
      <c r="C137" t="s">
        <v>1308</v>
      </c>
    </row>
    <row r="138" spans="1:3" x14ac:dyDescent="0.3">
      <c r="A138" t="s">
        <v>132</v>
      </c>
      <c r="B138" t="s">
        <v>388</v>
      </c>
      <c r="C138" t="s">
        <v>737</v>
      </c>
    </row>
    <row r="139" spans="1:3" x14ac:dyDescent="0.3">
      <c r="A139" t="s">
        <v>235</v>
      </c>
      <c r="B139" t="s">
        <v>267</v>
      </c>
      <c r="C139" t="s">
        <v>861</v>
      </c>
    </row>
    <row r="140" spans="1:3" x14ac:dyDescent="0.3">
      <c r="A140" t="s">
        <v>953</v>
      </c>
      <c r="B140" t="s">
        <v>261</v>
      </c>
      <c r="C140" t="s">
        <v>1285</v>
      </c>
    </row>
    <row r="141" spans="1:3" x14ac:dyDescent="0.3">
      <c r="A141" t="s">
        <v>180</v>
      </c>
      <c r="B141" t="s">
        <v>316</v>
      </c>
      <c r="C141" t="s">
        <v>1322</v>
      </c>
    </row>
    <row r="142" spans="1:3" x14ac:dyDescent="0.3">
      <c r="A142" t="s">
        <v>956</v>
      </c>
      <c r="B142" t="s">
        <v>1343</v>
      </c>
      <c r="C142" t="s">
        <v>449</v>
      </c>
    </row>
    <row r="143" spans="1:3" x14ac:dyDescent="0.3">
      <c r="A143" t="s">
        <v>1994</v>
      </c>
      <c r="B143" t="s">
        <v>1287</v>
      </c>
      <c r="C143" t="s">
        <v>33</v>
      </c>
    </row>
    <row r="144" spans="1:3" x14ac:dyDescent="0.3">
      <c r="A144" t="s">
        <v>1972</v>
      </c>
      <c r="B144" t="s">
        <v>2005</v>
      </c>
      <c r="C144" t="s">
        <v>2155</v>
      </c>
    </row>
    <row r="145" spans="1:3" x14ac:dyDescent="0.3">
      <c r="A145" t="s">
        <v>2031</v>
      </c>
      <c r="B145" t="s">
        <v>786</v>
      </c>
      <c r="C145" t="s">
        <v>1049</v>
      </c>
    </row>
    <row r="146" spans="1:3" x14ac:dyDescent="0.3">
      <c r="A146" t="s">
        <v>920</v>
      </c>
      <c r="B146" t="s">
        <v>275</v>
      </c>
      <c r="C146" t="s">
        <v>2411</v>
      </c>
    </row>
    <row r="147" spans="1:3" x14ac:dyDescent="0.3">
      <c r="A147" t="s">
        <v>399</v>
      </c>
      <c r="B147" t="s">
        <v>1369</v>
      </c>
      <c r="C147" t="s">
        <v>2540</v>
      </c>
    </row>
    <row r="148" spans="1:3" x14ac:dyDescent="0.3">
      <c r="A148" t="s">
        <v>2599</v>
      </c>
      <c r="B148" t="s">
        <v>1375</v>
      </c>
      <c r="C148" t="s">
        <v>2444</v>
      </c>
    </row>
    <row r="149" spans="1:3" x14ac:dyDescent="0.3">
      <c r="A149" t="s">
        <v>2543</v>
      </c>
      <c r="B149" t="s">
        <v>2473</v>
      </c>
      <c r="C149" t="s">
        <v>2748</v>
      </c>
    </row>
    <row r="150" spans="1:3" x14ac:dyDescent="0.3">
      <c r="A150" t="s">
        <v>2476</v>
      </c>
      <c r="B150" t="s">
        <v>738</v>
      </c>
      <c r="C150" t="s">
        <v>1957</v>
      </c>
    </row>
    <row r="151" spans="1:3" x14ac:dyDescent="0.3">
      <c r="A151" t="s">
        <v>2545</v>
      </c>
      <c r="B151" t="s">
        <v>209</v>
      </c>
      <c r="C151" t="s">
        <v>371</v>
      </c>
    </row>
    <row r="152" spans="1:3" x14ac:dyDescent="0.3">
      <c r="A152" t="s">
        <v>1183</v>
      </c>
      <c r="B152" t="s">
        <v>887</v>
      </c>
      <c r="C152" t="s">
        <v>1056</v>
      </c>
    </row>
    <row r="153" spans="1:3" x14ac:dyDescent="0.3">
      <c r="A153" t="s">
        <v>1059</v>
      </c>
      <c r="B153" t="s">
        <v>709</v>
      </c>
      <c r="C153" t="s">
        <v>1084</v>
      </c>
    </row>
    <row r="154" spans="1:3" x14ac:dyDescent="0.3">
      <c r="A154" t="s">
        <v>1954</v>
      </c>
      <c r="B154" t="s">
        <v>472</v>
      </c>
      <c r="C154" t="s">
        <v>2625</v>
      </c>
    </row>
    <row r="155" spans="1:3" x14ac:dyDescent="0.3">
      <c r="A155" t="s">
        <v>2037</v>
      </c>
      <c r="B155" t="s">
        <v>1226</v>
      </c>
      <c r="C155" t="s">
        <v>2047</v>
      </c>
    </row>
    <row r="156" spans="1:3" x14ac:dyDescent="0.3">
      <c r="A156" t="s">
        <v>1229</v>
      </c>
      <c r="B156" t="s">
        <v>909</v>
      </c>
      <c r="C156" t="s">
        <v>1979</v>
      </c>
    </row>
    <row r="157" spans="1:3" x14ac:dyDescent="0.3">
      <c r="A157" t="s">
        <v>2388</v>
      </c>
      <c r="B157" t="s">
        <v>924</v>
      </c>
      <c r="C157" t="s">
        <v>1050</v>
      </c>
    </row>
    <row r="158" spans="1:3" x14ac:dyDescent="0.3">
      <c r="A158" t="s">
        <v>96</v>
      </c>
      <c r="B158" t="s">
        <v>66</v>
      </c>
      <c r="C158" t="s">
        <v>2633</v>
      </c>
    </row>
    <row r="159" spans="1:3" x14ac:dyDescent="0.3">
      <c r="A159" t="s">
        <v>516</v>
      </c>
      <c r="B159" t="s">
        <v>494</v>
      </c>
      <c r="C159" t="s">
        <v>2527</v>
      </c>
    </row>
    <row r="160" spans="1:3" x14ac:dyDescent="0.3">
      <c r="A160" t="s">
        <v>610</v>
      </c>
      <c r="B160" t="s">
        <v>408</v>
      </c>
      <c r="C160" t="s">
        <v>1002</v>
      </c>
    </row>
    <row r="161" spans="1:3" x14ac:dyDescent="0.3">
      <c r="A161" t="s">
        <v>2227</v>
      </c>
      <c r="B161" t="s">
        <v>29</v>
      </c>
      <c r="C161" t="s">
        <v>1044</v>
      </c>
    </row>
    <row r="162" spans="1:3" x14ac:dyDescent="0.3">
      <c r="A162" t="s">
        <v>1247</v>
      </c>
      <c r="B162" t="s">
        <v>685</v>
      </c>
      <c r="C162" t="s">
        <v>1025</v>
      </c>
    </row>
    <row r="163" spans="1:3" x14ac:dyDescent="0.3">
      <c r="A163" t="s">
        <v>827</v>
      </c>
      <c r="B163" t="s">
        <v>175</v>
      </c>
      <c r="C163" t="s">
        <v>376</v>
      </c>
    </row>
    <row r="164" spans="1:3" x14ac:dyDescent="0.3">
      <c r="A164" t="s">
        <v>535</v>
      </c>
      <c r="B164" t="s">
        <v>2536</v>
      </c>
      <c r="C164" t="s">
        <v>2078</v>
      </c>
    </row>
    <row r="165" spans="1:3" x14ac:dyDescent="0.3">
      <c r="A165" t="s">
        <v>521</v>
      </c>
      <c r="B165" t="s">
        <v>2639</v>
      </c>
      <c r="C165" t="s">
        <v>2428</v>
      </c>
    </row>
    <row r="166" spans="1:3" x14ac:dyDescent="0.3">
      <c r="A166" t="s">
        <v>647</v>
      </c>
      <c r="B166" t="s">
        <v>1167</v>
      </c>
      <c r="C166" t="s">
        <v>1962</v>
      </c>
    </row>
    <row r="167" spans="1:3" x14ac:dyDescent="0.3">
      <c r="A167" t="s">
        <v>441</v>
      </c>
      <c r="B167" t="s">
        <v>464</v>
      </c>
      <c r="C167" t="s">
        <v>1076</v>
      </c>
    </row>
    <row r="168" spans="1:3" x14ac:dyDescent="0.3">
      <c r="A168" t="s">
        <v>65</v>
      </c>
      <c r="B168" t="s">
        <v>125</v>
      </c>
      <c r="C168" t="s">
        <v>2749</v>
      </c>
    </row>
    <row r="169" spans="1:3" x14ac:dyDescent="0.3">
      <c r="A169" t="s">
        <v>1224</v>
      </c>
      <c r="B169" t="s">
        <v>2032</v>
      </c>
      <c r="C169" t="s">
        <v>2608</v>
      </c>
    </row>
    <row r="170" spans="1:3" x14ac:dyDescent="0.3">
      <c r="A170" t="s">
        <v>357</v>
      </c>
      <c r="B170" t="s">
        <v>1879</v>
      </c>
      <c r="C170" t="s">
        <v>1101</v>
      </c>
    </row>
    <row r="171" spans="1:3" x14ac:dyDescent="0.3">
      <c r="A171" t="s">
        <v>187</v>
      </c>
      <c r="B171" t="s">
        <v>495</v>
      </c>
      <c r="C171" t="s">
        <v>1443</v>
      </c>
    </row>
    <row r="172" spans="1:3" x14ac:dyDescent="0.3">
      <c r="A172" t="s">
        <v>551</v>
      </c>
      <c r="B172" t="s">
        <v>715</v>
      </c>
      <c r="C172" t="s">
        <v>696</v>
      </c>
    </row>
    <row r="173" spans="1:3" x14ac:dyDescent="0.3">
      <c r="A173" t="s">
        <v>150</v>
      </c>
      <c r="B173" t="s">
        <v>1980</v>
      </c>
      <c r="C173" t="s">
        <v>923</v>
      </c>
    </row>
    <row r="174" spans="1:3" x14ac:dyDescent="0.3">
      <c r="A174" t="s">
        <v>195</v>
      </c>
      <c r="B174" t="s">
        <v>1474</v>
      </c>
      <c r="C174" t="s">
        <v>499</v>
      </c>
    </row>
    <row r="175" spans="1:3" x14ac:dyDescent="0.3">
      <c r="A175" t="s">
        <v>616</v>
      </c>
      <c r="B175" t="s">
        <v>329</v>
      </c>
      <c r="C175" t="s">
        <v>703</v>
      </c>
    </row>
    <row r="176" spans="1:3" x14ac:dyDescent="0.3">
      <c r="A176" t="s">
        <v>476</v>
      </c>
      <c r="B176" t="s">
        <v>1094</v>
      </c>
      <c r="C176" t="s">
        <v>1457</v>
      </c>
    </row>
    <row r="177" spans="1:3" x14ac:dyDescent="0.3">
      <c r="A177" t="s">
        <v>652</v>
      </c>
      <c r="B177" t="s">
        <v>904</v>
      </c>
      <c r="C177" t="s">
        <v>2564</v>
      </c>
    </row>
    <row r="178" spans="1:3" x14ac:dyDescent="0.3">
      <c r="A178" t="s">
        <v>79</v>
      </c>
      <c r="B178" t="s">
        <v>1259</v>
      </c>
      <c r="C178" t="s">
        <v>1034</v>
      </c>
    </row>
    <row r="179" spans="1:3" x14ac:dyDescent="0.3">
      <c r="A179" t="s">
        <v>639</v>
      </c>
      <c r="B179" t="s">
        <v>2684</v>
      </c>
      <c r="C179" t="s">
        <v>1347</v>
      </c>
    </row>
    <row r="180" spans="1:3" x14ac:dyDescent="0.3">
      <c r="A180" t="s">
        <v>1449</v>
      </c>
      <c r="B180" t="s">
        <v>2030</v>
      </c>
      <c r="C180" t="s">
        <v>347</v>
      </c>
    </row>
    <row r="181" spans="1:3" x14ac:dyDescent="0.3">
      <c r="A181" t="s">
        <v>222</v>
      </c>
      <c r="B181" t="s">
        <v>1950</v>
      </c>
      <c r="C181" t="s">
        <v>578</v>
      </c>
    </row>
    <row r="182" spans="1:3" x14ac:dyDescent="0.3">
      <c r="A182" t="s">
        <v>470</v>
      </c>
      <c r="B182" t="s">
        <v>1238</v>
      </c>
      <c r="C182" t="s">
        <v>2163</v>
      </c>
    </row>
    <row r="183" spans="1:3" x14ac:dyDescent="0.3">
      <c r="A183" t="s">
        <v>756</v>
      </c>
      <c r="B183" t="s">
        <v>937</v>
      </c>
      <c r="C183" t="s">
        <v>340</v>
      </c>
    </row>
    <row r="184" spans="1:3" x14ac:dyDescent="0.3">
      <c r="A184" t="s">
        <v>1380</v>
      </c>
      <c r="B184" t="s">
        <v>156</v>
      </c>
      <c r="C184" t="s">
        <v>2080</v>
      </c>
    </row>
    <row r="185" spans="1:3" x14ac:dyDescent="0.3">
      <c r="A185" t="s">
        <v>653</v>
      </c>
      <c r="B185" t="s">
        <v>2487</v>
      </c>
      <c r="C185" t="s">
        <v>219</v>
      </c>
    </row>
    <row r="186" spans="1:3" x14ac:dyDescent="0.3">
      <c r="A186" t="s">
        <v>210</v>
      </c>
      <c r="B186" t="s">
        <v>2738</v>
      </c>
      <c r="C186" t="s">
        <v>228</v>
      </c>
    </row>
    <row r="187" spans="1:3" x14ac:dyDescent="0.3">
      <c r="A187" t="s">
        <v>619</v>
      </c>
      <c r="B187" t="s">
        <v>891</v>
      </c>
      <c r="C187" t="s">
        <v>893</v>
      </c>
    </row>
    <row r="188" spans="1:3" x14ac:dyDescent="0.3">
      <c r="A188" t="s">
        <v>2537</v>
      </c>
      <c r="B188" t="s">
        <v>135</v>
      </c>
      <c r="C188" t="s">
        <v>352</v>
      </c>
    </row>
    <row r="189" spans="1:3" x14ac:dyDescent="0.3">
      <c r="A189" t="s">
        <v>506</v>
      </c>
      <c r="B189" t="s">
        <v>886</v>
      </c>
      <c r="C189" t="s">
        <v>269</v>
      </c>
    </row>
    <row r="190" spans="1:3" x14ac:dyDescent="0.3">
      <c r="A190" t="s">
        <v>547</v>
      </c>
      <c r="B190" t="s">
        <v>948</v>
      </c>
      <c r="C190" t="s">
        <v>2592</v>
      </c>
    </row>
    <row r="191" spans="1:3" x14ac:dyDescent="0.3">
      <c r="A191" t="s">
        <v>155</v>
      </c>
      <c r="B191" t="s">
        <v>1200</v>
      </c>
      <c r="C191" t="s">
        <v>824</v>
      </c>
    </row>
    <row r="192" spans="1:3" x14ac:dyDescent="0.3">
      <c r="A192" t="s">
        <v>1257</v>
      </c>
      <c r="B192" t="s">
        <v>1199</v>
      </c>
      <c r="C192" t="s">
        <v>2186</v>
      </c>
    </row>
    <row r="193" spans="1:3" x14ac:dyDescent="0.3">
      <c r="A193" t="s">
        <v>561</v>
      </c>
      <c r="B193" t="s">
        <v>2713</v>
      </c>
      <c r="C193" t="s">
        <v>833</v>
      </c>
    </row>
    <row r="194" spans="1:3" x14ac:dyDescent="0.3">
      <c r="A194" t="s">
        <v>2692</v>
      </c>
      <c r="B194" t="s">
        <v>810</v>
      </c>
      <c r="C194" t="s">
        <v>916</v>
      </c>
    </row>
    <row r="195" spans="1:3" x14ac:dyDescent="0.3">
      <c r="A195" t="s">
        <v>995</v>
      </c>
      <c r="B195" t="s">
        <v>1371</v>
      </c>
      <c r="C195" t="s">
        <v>891</v>
      </c>
    </row>
    <row r="196" spans="1:3" x14ac:dyDescent="0.3">
      <c r="A196" t="s">
        <v>434</v>
      </c>
      <c r="B196" t="s">
        <v>628</v>
      </c>
      <c r="C196" t="s">
        <v>598</v>
      </c>
    </row>
    <row r="197" spans="1:3" x14ac:dyDescent="0.3">
      <c r="A197" t="s">
        <v>657</v>
      </c>
      <c r="B197" t="s">
        <v>2558</v>
      </c>
      <c r="C197" t="s">
        <v>686</v>
      </c>
    </row>
    <row r="198" spans="1:3" x14ac:dyDescent="0.3">
      <c r="A198" t="s">
        <v>486</v>
      </c>
      <c r="B198" t="s">
        <v>2375</v>
      </c>
      <c r="C198" t="s">
        <v>759</v>
      </c>
    </row>
    <row r="199" spans="1:3" x14ac:dyDescent="0.3">
      <c r="A199" t="s">
        <v>1342</v>
      </c>
      <c r="B199" t="s">
        <v>2091</v>
      </c>
      <c r="C199" t="s">
        <v>2463</v>
      </c>
    </row>
    <row r="200" spans="1:3" x14ac:dyDescent="0.3">
      <c r="A200" t="s">
        <v>751</v>
      </c>
      <c r="B200" t="s">
        <v>596</v>
      </c>
      <c r="C200" t="s">
        <v>2750</v>
      </c>
    </row>
    <row r="201" spans="1:3" x14ac:dyDescent="0.3">
      <c r="A201" t="s">
        <v>292</v>
      </c>
      <c r="B201" t="s">
        <v>1053</v>
      </c>
      <c r="C201" t="s">
        <v>1341</v>
      </c>
    </row>
    <row r="202" spans="1:3" x14ac:dyDescent="0.3">
      <c r="A202" t="s">
        <v>1104</v>
      </c>
      <c r="B202" t="s">
        <v>1442</v>
      </c>
      <c r="C202" t="s">
        <v>463</v>
      </c>
    </row>
    <row r="203" spans="1:3" x14ac:dyDescent="0.3">
      <c r="A203" t="s">
        <v>678</v>
      </c>
      <c r="B203" t="s">
        <v>52</v>
      </c>
      <c r="C203" t="s">
        <v>1058</v>
      </c>
    </row>
    <row r="204" spans="1:3" x14ac:dyDescent="0.3">
      <c r="A204" t="s">
        <v>365</v>
      </c>
      <c r="B204" t="s">
        <v>2043</v>
      </c>
      <c r="C204" t="s">
        <v>698</v>
      </c>
    </row>
    <row r="205" spans="1:3" x14ac:dyDescent="0.3">
      <c r="A205" t="s">
        <v>1003</v>
      </c>
      <c r="B205" t="s">
        <v>2583</v>
      </c>
      <c r="C205" t="s">
        <v>1195</v>
      </c>
    </row>
    <row r="206" spans="1:3" x14ac:dyDescent="0.3">
      <c r="A206" t="s">
        <v>996</v>
      </c>
      <c r="B206" t="s">
        <v>1018</v>
      </c>
      <c r="C206" t="s">
        <v>2130</v>
      </c>
    </row>
    <row r="207" spans="1:3" x14ac:dyDescent="0.3">
      <c r="A207" t="s">
        <v>2588</v>
      </c>
      <c r="B207" t="s">
        <v>1458</v>
      </c>
      <c r="C207" t="s">
        <v>1981</v>
      </c>
    </row>
    <row r="208" spans="1:3" x14ac:dyDescent="0.3">
      <c r="A208" t="s">
        <v>2582</v>
      </c>
      <c r="B208" t="s">
        <v>131</v>
      </c>
      <c r="C208" t="s">
        <v>926</v>
      </c>
    </row>
    <row r="209" spans="1:3" x14ac:dyDescent="0.3">
      <c r="A209" t="s">
        <v>2108</v>
      </c>
      <c r="B209" t="s">
        <v>2093</v>
      </c>
      <c r="C209" t="s">
        <v>1133</v>
      </c>
    </row>
    <row r="210" spans="1:3" x14ac:dyDescent="0.3">
      <c r="A210" t="s">
        <v>2589</v>
      </c>
      <c r="B210" t="s">
        <v>2098</v>
      </c>
      <c r="C210" t="s">
        <v>1260</v>
      </c>
    </row>
    <row r="211" spans="1:3" x14ac:dyDescent="0.3">
      <c r="A211" t="s">
        <v>236</v>
      </c>
      <c r="B211" t="s">
        <v>2442</v>
      </c>
      <c r="C211" t="s">
        <v>2591</v>
      </c>
    </row>
    <row r="212" spans="1:3" x14ac:dyDescent="0.3">
      <c r="A212" t="s">
        <v>1035</v>
      </c>
      <c r="B212" t="s">
        <v>2501</v>
      </c>
      <c r="C212" t="s">
        <v>542</v>
      </c>
    </row>
    <row r="213" spans="1:3" x14ac:dyDescent="0.3">
      <c r="A213" t="s">
        <v>2048</v>
      </c>
      <c r="B213" t="s">
        <v>2416</v>
      </c>
      <c r="C213" t="s">
        <v>1441</v>
      </c>
    </row>
    <row r="214" spans="1:3" x14ac:dyDescent="0.3">
      <c r="A214" t="s">
        <v>2521</v>
      </c>
      <c r="B214" t="s">
        <v>69</v>
      </c>
      <c r="C214" t="s">
        <v>2023</v>
      </c>
    </row>
    <row r="215" spans="1:3" x14ac:dyDescent="0.3">
      <c r="A215" t="s">
        <v>2443</v>
      </c>
      <c r="B215" t="s">
        <v>2068</v>
      </c>
      <c r="C215" t="s">
        <v>341</v>
      </c>
    </row>
    <row r="216" spans="1:3" x14ac:dyDescent="0.3">
      <c r="A216" t="s">
        <v>2464</v>
      </c>
      <c r="B216" t="s">
        <v>2138</v>
      </c>
      <c r="C216" t="s">
        <v>617</v>
      </c>
    </row>
    <row r="217" spans="1:3" x14ac:dyDescent="0.3">
      <c r="A217" t="s">
        <v>672</v>
      </c>
      <c r="B217" t="s">
        <v>2739</v>
      </c>
      <c r="C217" t="s">
        <v>2086</v>
      </c>
    </row>
    <row r="218" spans="1:3" x14ac:dyDescent="0.3">
      <c r="A218" t="s">
        <v>1082</v>
      </c>
      <c r="B218" t="s">
        <v>1434</v>
      </c>
      <c r="C218" t="s">
        <v>843</v>
      </c>
    </row>
    <row r="219" spans="1:3" x14ac:dyDescent="0.3">
      <c r="A219" t="s">
        <v>2149</v>
      </c>
      <c r="B219" t="s">
        <v>1424</v>
      </c>
      <c r="C219" t="s">
        <v>1573</v>
      </c>
    </row>
    <row r="220" spans="1:3" x14ac:dyDescent="0.3">
      <c r="A220" t="s">
        <v>231</v>
      </c>
      <c r="B220" t="s">
        <v>1393</v>
      </c>
      <c r="C220" t="s">
        <v>823</v>
      </c>
    </row>
    <row r="221" spans="1:3" x14ac:dyDescent="0.3">
      <c r="A221" t="s">
        <v>321</v>
      </c>
      <c r="B221" t="s">
        <v>2018</v>
      </c>
      <c r="C221" t="s">
        <v>2010</v>
      </c>
    </row>
    <row r="222" spans="1:3" x14ac:dyDescent="0.3">
      <c r="A222" t="s">
        <v>746</v>
      </c>
      <c r="B222" t="s">
        <v>1164</v>
      </c>
      <c r="C222" t="s">
        <v>2208</v>
      </c>
    </row>
    <row r="223" spans="1:3" x14ac:dyDescent="0.3">
      <c r="A223" t="s">
        <v>2134</v>
      </c>
      <c r="B223" t="s">
        <v>334</v>
      </c>
      <c r="C223" t="s">
        <v>186</v>
      </c>
    </row>
    <row r="224" spans="1:3" x14ac:dyDescent="0.3">
      <c r="A224" t="s">
        <v>611</v>
      </c>
      <c r="B224" t="s">
        <v>1468</v>
      </c>
      <c r="C224" t="s">
        <v>1317</v>
      </c>
    </row>
    <row r="225" spans="1:3" x14ac:dyDescent="0.3">
      <c r="A225" t="s">
        <v>702</v>
      </c>
      <c r="B225" t="s">
        <v>2541</v>
      </c>
      <c r="C225" t="s">
        <v>35</v>
      </c>
    </row>
    <row r="226" spans="1:3" x14ac:dyDescent="0.3">
      <c r="A226" t="s">
        <v>847</v>
      </c>
      <c r="B226" t="s">
        <v>2174</v>
      </c>
      <c r="C226" t="s">
        <v>1254</v>
      </c>
    </row>
    <row r="227" spans="1:3" x14ac:dyDescent="0.3">
      <c r="A227" t="s">
        <v>1193</v>
      </c>
      <c r="B227" t="s">
        <v>314</v>
      </c>
      <c r="C227" t="s">
        <v>2024</v>
      </c>
    </row>
    <row r="228" spans="1:3" x14ac:dyDescent="0.3">
      <c r="A228" t="s">
        <v>799</v>
      </c>
      <c r="B228" t="s">
        <v>1429</v>
      </c>
      <c r="C228" t="s">
        <v>804</v>
      </c>
    </row>
    <row r="229" spans="1:3" x14ac:dyDescent="0.3">
      <c r="A229" t="s">
        <v>111</v>
      </c>
      <c r="B229" t="s">
        <v>579</v>
      </c>
      <c r="C229" t="s">
        <v>1028</v>
      </c>
    </row>
    <row r="230" spans="1:3" x14ac:dyDescent="0.3">
      <c r="A230" t="s">
        <v>2596</v>
      </c>
      <c r="B230" t="s">
        <v>2390</v>
      </c>
      <c r="C230" t="s">
        <v>1297</v>
      </c>
    </row>
    <row r="231" spans="1:3" x14ac:dyDescent="0.3">
      <c r="A231" t="s">
        <v>523</v>
      </c>
      <c r="B231" t="s">
        <v>1235</v>
      </c>
      <c r="C231" t="s">
        <v>2045</v>
      </c>
    </row>
    <row r="232" spans="1:3" x14ac:dyDescent="0.3">
      <c r="A232" t="s">
        <v>1071</v>
      </c>
      <c r="B232" t="s">
        <v>862</v>
      </c>
      <c r="C232" t="s">
        <v>1422</v>
      </c>
    </row>
    <row r="233" spans="1:3" x14ac:dyDescent="0.3">
      <c r="A233" t="s">
        <v>881</v>
      </c>
      <c r="B233" t="s">
        <v>859</v>
      </c>
      <c r="C233" t="s">
        <v>2575</v>
      </c>
    </row>
    <row r="234" spans="1:3" x14ac:dyDescent="0.3">
      <c r="A234" t="s">
        <v>2394</v>
      </c>
      <c r="B234" t="s">
        <v>123</v>
      </c>
      <c r="C234" t="s">
        <v>554</v>
      </c>
    </row>
    <row r="235" spans="1:3" x14ac:dyDescent="0.3">
      <c r="A235" t="s">
        <v>1234</v>
      </c>
      <c r="B235" t="s">
        <v>82</v>
      </c>
      <c r="C235" t="s">
        <v>265</v>
      </c>
    </row>
    <row r="236" spans="1:3" x14ac:dyDescent="0.3">
      <c r="A236" t="s">
        <v>1243</v>
      </c>
      <c r="B236" t="s">
        <v>665</v>
      </c>
      <c r="C236" t="s">
        <v>280</v>
      </c>
    </row>
    <row r="237" spans="1:3" x14ac:dyDescent="0.3">
      <c r="A237" t="s">
        <v>866</v>
      </c>
      <c r="B237" t="s">
        <v>129</v>
      </c>
      <c r="C237" t="s">
        <v>2230</v>
      </c>
    </row>
    <row r="238" spans="1:3" x14ac:dyDescent="0.3">
      <c r="A238" t="s">
        <v>286</v>
      </c>
      <c r="B238" t="s">
        <v>712</v>
      </c>
      <c r="C238" t="s">
        <v>2153</v>
      </c>
    </row>
    <row r="239" spans="1:3" x14ac:dyDescent="0.3">
      <c r="A239" t="s">
        <v>1535</v>
      </c>
      <c r="B239" t="s">
        <v>2642</v>
      </c>
      <c r="C239" t="s">
        <v>1656</v>
      </c>
    </row>
    <row r="240" spans="1:3" x14ac:dyDescent="0.3">
      <c r="A240" t="s">
        <v>1030</v>
      </c>
      <c r="B240" t="s">
        <v>526</v>
      </c>
      <c r="C240" t="s">
        <v>1692</v>
      </c>
    </row>
    <row r="241" spans="1:3" x14ac:dyDescent="0.3">
      <c r="A241" t="s">
        <v>977</v>
      </c>
      <c r="B241" t="s">
        <v>782</v>
      </c>
      <c r="C241" t="s">
        <v>1314</v>
      </c>
    </row>
    <row r="242" spans="1:3" x14ac:dyDescent="0.3">
      <c r="A242" t="s">
        <v>320</v>
      </c>
      <c r="B242" t="s">
        <v>2455</v>
      </c>
      <c r="C242" t="s">
        <v>615</v>
      </c>
    </row>
    <row r="243" spans="1:3" x14ac:dyDescent="0.3">
      <c r="A243" t="s">
        <v>987</v>
      </c>
      <c r="B243" t="s">
        <v>26</v>
      </c>
      <c r="C243" t="s">
        <v>621</v>
      </c>
    </row>
    <row r="244" spans="1:3" x14ac:dyDescent="0.3">
      <c r="A244" t="s">
        <v>1274</v>
      </c>
      <c r="B244" t="s">
        <v>344</v>
      </c>
      <c r="C244" t="s">
        <v>855</v>
      </c>
    </row>
    <row r="245" spans="1:3" x14ac:dyDescent="0.3">
      <c r="A245" t="s">
        <v>890</v>
      </c>
      <c r="B245" t="s">
        <v>2579</v>
      </c>
      <c r="C245" t="s">
        <v>832</v>
      </c>
    </row>
    <row r="246" spans="1:3" x14ac:dyDescent="0.3">
      <c r="A246" t="s">
        <v>993</v>
      </c>
      <c r="B246" t="s">
        <v>2584</v>
      </c>
      <c r="C246" t="s">
        <v>425</v>
      </c>
    </row>
    <row r="247" spans="1:3" x14ac:dyDescent="0.3">
      <c r="A247" t="s">
        <v>622</v>
      </c>
      <c r="B247" t="s">
        <v>2616</v>
      </c>
      <c r="C247" t="s">
        <v>1398</v>
      </c>
    </row>
    <row r="248" spans="1:3" x14ac:dyDescent="0.3">
      <c r="A248" t="s">
        <v>1124</v>
      </c>
      <c r="B248" t="s">
        <v>2696</v>
      </c>
      <c r="C248" t="s">
        <v>2373</v>
      </c>
    </row>
    <row r="249" spans="1:3" x14ac:dyDescent="0.3">
      <c r="A249" t="s">
        <v>1222</v>
      </c>
      <c r="B249" t="s">
        <v>749</v>
      </c>
      <c r="C249" t="s">
        <v>969</v>
      </c>
    </row>
    <row r="250" spans="1:3" x14ac:dyDescent="0.3">
      <c r="A250" t="s">
        <v>370</v>
      </c>
      <c r="B250" t="s">
        <v>727</v>
      </c>
      <c r="C250" t="s">
        <v>1280</v>
      </c>
    </row>
    <row r="251" spans="1:3" x14ac:dyDescent="0.3">
      <c r="A251" t="s">
        <v>1106</v>
      </c>
      <c r="B251" t="s">
        <v>2062</v>
      </c>
      <c r="C251" t="s">
        <v>2571</v>
      </c>
    </row>
    <row r="252" spans="1:3" x14ac:dyDescent="0.3">
      <c r="A252" t="s">
        <v>1951</v>
      </c>
      <c r="B252" t="s">
        <v>242</v>
      </c>
      <c r="C252" t="s">
        <v>1465</v>
      </c>
    </row>
    <row r="253" spans="1:3" x14ac:dyDescent="0.3">
      <c r="A253" t="s">
        <v>2085</v>
      </c>
      <c r="B253" t="s">
        <v>781</v>
      </c>
      <c r="C253" t="s">
        <v>377</v>
      </c>
    </row>
    <row r="254" spans="1:3" x14ac:dyDescent="0.3">
      <c r="A254" t="s">
        <v>669</v>
      </c>
      <c r="B254" t="s">
        <v>966</v>
      </c>
      <c r="C254" t="s">
        <v>130</v>
      </c>
    </row>
    <row r="255" spans="1:3" x14ac:dyDescent="0.3">
      <c r="A255" t="s">
        <v>144</v>
      </c>
      <c r="B255" t="s">
        <v>793</v>
      </c>
      <c r="C255" t="s">
        <v>380</v>
      </c>
    </row>
    <row r="256" spans="1:3" x14ac:dyDescent="0.3">
      <c r="A256" t="s">
        <v>325</v>
      </c>
      <c r="B256" t="s">
        <v>1472</v>
      </c>
      <c r="C256" t="s">
        <v>2044</v>
      </c>
    </row>
    <row r="257" spans="1:3" x14ac:dyDescent="0.3">
      <c r="A257" t="s">
        <v>208</v>
      </c>
      <c r="B257" t="s">
        <v>2012</v>
      </c>
      <c r="C257" t="s">
        <v>127</v>
      </c>
    </row>
    <row r="258" spans="1:3" x14ac:dyDescent="0.3">
      <c r="A258" t="s">
        <v>402</v>
      </c>
      <c r="B258" t="s">
        <v>971</v>
      </c>
      <c r="C258" t="s">
        <v>767</v>
      </c>
    </row>
    <row r="259" spans="1:3" x14ac:dyDescent="0.3">
      <c r="A259" t="s">
        <v>1245</v>
      </c>
      <c r="B259" t="s">
        <v>2109</v>
      </c>
      <c r="C259" t="s">
        <v>2151</v>
      </c>
    </row>
    <row r="260" spans="1:3" x14ac:dyDescent="0.3">
      <c r="A260" t="s">
        <v>278</v>
      </c>
      <c r="B260" t="s">
        <v>856</v>
      </c>
      <c r="C260" t="s">
        <v>230</v>
      </c>
    </row>
    <row r="261" spans="1:3" x14ac:dyDescent="0.3">
      <c r="A261" t="s">
        <v>1974</v>
      </c>
      <c r="B261" t="s">
        <v>2404</v>
      </c>
      <c r="C261" t="s">
        <v>2634</v>
      </c>
    </row>
    <row r="262" spans="1:3" x14ac:dyDescent="0.3">
      <c r="A262" t="s">
        <v>1090</v>
      </c>
      <c r="B262" t="s">
        <v>2182</v>
      </c>
      <c r="C262" t="s">
        <v>2189</v>
      </c>
    </row>
    <row r="263" spans="1:3" x14ac:dyDescent="0.3">
      <c r="A263" t="s">
        <v>1313</v>
      </c>
      <c r="B263" t="s">
        <v>1046</v>
      </c>
      <c r="C263" t="s">
        <v>372</v>
      </c>
    </row>
    <row r="264" spans="1:3" x14ac:dyDescent="0.3">
      <c r="A264" t="s">
        <v>2427</v>
      </c>
      <c r="B264" t="s">
        <v>1102</v>
      </c>
      <c r="C264" t="s">
        <v>95</v>
      </c>
    </row>
    <row r="265" spans="1:3" x14ac:dyDescent="0.3">
      <c r="A265" t="s">
        <v>1968</v>
      </c>
      <c r="B265" t="s">
        <v>1017</v>
      </c>
      <c r="C265" t="s">
        <v>593</v>
      </c>
    </row>
    <row r="266" spans="1:3" x14ac:dyDescent="0.3">
      <c r="A266" t="s">
        <v>1701</v>
      </c>
      <c r="B266" t="s">
        <v>40</v>
      </c>
      <c r="C266" t="s">
        <v>1074</v>
      </c>
    </row>
    <row r="267" spans="1:3" x14ac:dyDescent="0.3">
      <c r="A267" t="s">
        <v>404</v>
      </c>
      <c r="B267" t="s">
        <v>489</v>
      </c>
      <c r="C267" t="s">
        <v>2465</v>
      </c>
    </row>
    <row r="268" spans="1:3" x14ac:dyDescent="0.3">
      <c r="A268" t="s">
        <v>674</v>
      </c>
      <c r="B268" t="s">
        <v>2402</v>
      </c>
      <c r="C268" t="s">
        <v>2585</v>
      </c>
    </row>
    <row r="269" spans="1:3" x14ac:dyDescent="0.3">
      <c r="A269" t="s">
        <v>375</v>
      </c>
      <c r="B269" t="s">
        <v>2020</v>
      </c>
      <c r="C269" t="s">
        <v>1006</v>
      </c>
    </row>
    <row r="270" spans="1:3" x14ac:dyDescent="0.3">
      <c r="A270" t="s">
        <v>602</v>
      </c>
      <c r="B270" t="s">
        <v>312</v>
      </c>
      <c r="C270" t="s">
        <v>364</v>
      </c>
    </row>
    <row r="271" spans="1:3" x14ac:dyDescent="0.3">
      <c r="A271" t="s">
        <v>2663</v>
      </c>
      <c r="B271" t="s">
        <v>2145</v>
      </c>
      <c r="C271" t="s">
        <v>1310</v>
      </c>
    </row>
    <row r="272" spans="1:3" x14ac:dyDescent="0.3">
      <c r="A272" t="s">
        <v>328</v>
      </c>
      <c r="B272" t="s">
        <v>2119</v>
      </c>
      <c r="C272" t="s">
        <v>2066</v>
      </c>
    </row>
    <row r="273" spans="1:3" x14ac:dyDescent="0.3">
      <c r="A273" t="s">
        <v>350</v>
      </c>
      <c r="B273" t="s">
        <v>1326</v>
      </c>
      <c r="C273" t="s">
        <v>149</v>
      </c>
    </row>
    <row r="274" spans="1:3" x14ac:dyDescent="0.3">
      <c r="A274" t="s">
        <v>141</v>
      </c>
      <c r="B274" t="s">
        <v>2426</v>
      </c>
      <c r="C274" t="s">
        <v>1022</v>
      </c>
    </row>
    <row r="275" spans="1:3" x14ac:dyDescent="0.3">
      <c r="A275" t="s">
        <v>1324</v>
      </c>
      <c r="B275" t="s">
        <v>2103</v>
      </c>
      <c r="C275" t="s">
        <v>1366</v>
      </c>
    </row>
    <row r="276" spans="1:3" x14ac:dyDescent="0.3">
      <c r="A276" t="s">
        <v>2046</v>
      </c>
      <c r="B276" t="s">
        <v>706</v>
      </c>
      <c r="C276" t="s">
        <v>2083</v>
      </c>
    </row>
    <row r="277" spans="1:3" x14ac:dyDescent="0.3">
      <c r="A277" t="s">
        <v>1117</v>
      </c>
      <c r="B277" t="s">
        <v>91</v>
      </c>
      <c r="C277" t="s">
        <v>1448</v>
      </c>
    </row>
    <row r="278" spans="1:3" x14ac:dyDescent="0.3">
      <c r="A278" t="s">
        <v>1041</v>
      </c>
      <c r="B278" t="s">
        <v>631</v>
      </c>
      <c r="C278" t="s">
        <v>885</v>
      </c>
    </row>
    <row r="279" spans="1:3" x14ac:dyDescent="0.3">
      <c r="A279" t="s">
        <v>2728</v>
      </c>
      <c r="B279" t="s">
        <v>1384</v>
      </c>
      <c r="C279" t="s">
        <v>2520</v>
      </c>
    </row>
    <row r="280" spans="1:3" x14ac:dyDescent="0.3">
      <c r="A280" t="s">
        <v>439</v>
      </c>
      <c r="B280" t="s">
        <v>2568</v>
      </c>
      <c r="C280" t="s">
        <v>397</v>
      </c>
    </row>
    <row r="281" spans="1:3" x14ac:dyDescent="0.3">
      <c r="A281" t="s">
        <v>229</v>
      </c>
      <c r="B281" t="s">
        <v>2530</v>
      </c>
      <c r="C281" t="s">
        <v>70</v>
      </c>
    </row>
    <row r="282" spans="1:3" x14ac:dyDescent="0.3">
      <c r="A282" t="s">
        <v>2147</v>
      </c>
      <c r="B282" t="s">
        <v>390</v>
      </c>
      <c r="C282" t="s">
        <v>1451</v>
      </c>
    </row>
    <row r="283" spans="1:3" x14ac:dyDescent="0.3">
      <c r="A283" t="s">
        <v>2682</v>
      </c>
      <c r="B283" t="s">
        <v>1318</v>
      </c>
      <c r="C283" t="s">
        <v>136</v>
      </c>
    </row>
    <row r="284" spans="1:3" x14ac:dyDescent="0.3">
      <c r="A284" t="s">
        <v>88</v>
      </c>
      <c r="B284" t="s">
        <v>2185</v>
      </c>
      <c r="C284" t="s">
        <v>53</v>
      </c>
    </row>
    <row r="285" spans="1:3" x14ac:dyDescent="0.3">
      <c r="A285" t="s">
        <v>1471</v>
      </c>
      <c r="B285" t="s">
        <v>323</v>
      </c>
      <c r="C285" t="s">
        <v>1168</v>
      </c>
    </row>
    <row r="286" spans="1:3" x14ac:dyDescent="0.3">
      <c r="A286" t="s">
        <v>2486</v>
      </c>
      <c r="B286" t="s">
        <v>2539</v>
      </c>
      <c r="C286" t="s">
        <v>245</v>
      </c>
    </row>
    <row r="287" spans="1:3" x14ac:dyDescent="0.3">
      <c r="A287" t="s">
        <v>1032</v>
      </c>
      <c r="B287" t="s">
        <v>2171</v>
      </c>
      <c r="C287" t="s">
        <v>2751</v>
      </c>
    </row>
    <row r="288" spans="1:3" x14ac:dyDescent="0.3">
      <c r="A288" t="s">
        <v>2137</v>
      </c>
      <c r="B288" t="s">
        <v>407</v>
      </c>
      <c r="C288" t="s">
        <v>2752</v>
      </c>
    </row>
    <row r="289" spans="1:3" x14ac:dyDescent="0.3">
      <c r="A289" t="s">
        <v>1073</v>
      </c>
      <c r="B289" t="s">
        <v>2228</v>
      </c>
      <c r="C289" t="s">
        <v>1970</v>
      </c>
    </row>
    <row r="290" spans="1:3" x14ac:dyDescent="0.3">
      <c r="A290" t="s">
        <v>2549</v>
      </c>
      <c r="B290" t="s">
        <v>854</v>
      </c>
      <c r="C290" t="s">
        <v>1321</v>
      </c>
    </row>
    <row r="291" spans="1:3" x14ac:dyDescent="0.3">
      <c r="A291" t="s">
        <v>518</v>
      </c>
      <c r="B291" t="s">
        <v>2022</v>
      </c>
      <c r="C291" t="s">
        <v>959</v>
      </c>
    </row>
    <row r="292" spans="1:3" x14ac:dyDescent="0.3">
      <c r="A292" t="s">
        <v>2071</v>
      </c>
      <c r="B292" t="s">
        <v>1349</v>
      </c>
      <c r="C292" t="s">
        <v>2116</v>
      </c>
    </row>
    <row r="293" spans="1:3" x14ac:dyDescent="0.3">
      <c r="A293" t="s">
        <v>239</v>
      </c>
      <c r="B293" t="s">
        <v>2559</v>
      </c>
      <c r="C293" t="s">
        <v>176</v>
      </c>
    </row>
    <row r="294" spans="1:3" x14ac:dyDescent="0.3">
      <c r="A294" t="s">
        <v>368</v>
      </c>
      <c r="B294" t="s">
        <v>2569</v>
      </c>
      <c r="C294" t="s">
        <v>757</v>
      </c>
    </row>
    <row r="295" spans="1:3" x14ac:dyDescent="0.3">
      <c r="A295" t="s">
        <v>253</v>
      </c>
      <c r="B295" t="s">
        <v>531</v>
      </c>
      <c r="C295" t="s">
        <v>2541</v>
      </c>
    </row>
    <row r="296" spans="1:3" x14ac:dyDescent="0.3">
      <c r="A296" t="s">
        <v>2231</v>
      </c>
      <c r="B296" t="s">
        <v>405</v>
      </c>
      <c r="C296" t="s">
        <v>165</v>
      </c>
    </row>
    <row r="297" spans="1:3" x14ac:dyDescent="0.3">
      <c r="A297" t="s">
        <v>105</v>
      </c>
      <c r="B297" t="s">
        <v>2088</v>
      </c>
      <c r="C297" t="s">
        <v>882</v>
      </c>
    </row>
    <row r="298" spans="1:3" x14ac:dyDescent="0.3">
      <c r="A298" t="s">
        <v>2695</v>
      </c>
      <c r="B298" t="s">
        <v>1083</v>
      </c>
      <c r="C298" t="s">
        <v>2685</v>
      </c>
    </row>
    <row r="299" spans="1:3" x14ac:dyDescent="0.3">
      <c r="A299" t="s">
        <v>1268</v>
      </c>
      <c r="B299" t="s">
        <v>2181</v>
      </c>
      <c r="C299" t="s">
        <v>1031</v>
      </c>
    </row>
    <row r="300" spans="1:3" x14ac:dyDescent="0.3">
      <c r="A300" t="s">
        <v>1263</v>
      </c>
      <c r="B300" t="s">
        <v>814</v>
      </c>
      <c r="C300" t="s">
        <v>1394</v>
      </c>
    </row>
    <row r="301" spans="1:3" x14ac:dyDescent="0.3">
      <c r="A301" t="s">
        <v>225</v>
      </c>
      <c r="B301" t="s">
        <v>2740</v>
      </c>
      <c r="C301" t="s">
        <v>807</v>
      </c>
    </row>
    <row r="302" spans="1:3" x14ac:dyDescent="0.3">
      <c r="A302" t="s">
        <v>778</v>
      </c>
      <c r="B302" t="s">
        <v>2121</v>
      </c>
      <c r="C302" t="s">
        <v>2479</v>
      </c>
    </row>
    <row r="303" spans="1:3" x14ac:dyDescent="0.3">
      <c r="A303" t="s">
        <v>2159</v>
      </c>
      <c r="B303" t="s">
        <v>1279</v>
      </c>
      <c r="C303" t="s">
        <v>606</v>
      </c>
    </row>
    <row r="304" spans="1:3" x14ac:dyDescent="0.3">
      <c r="A304" t="s">
        <v>2106</v>
      </c>
      <c r="B304" t="s">
        <v>2741</v>
      </c>
      <c r="C304" t="s">
        <v>1100</v>
      </c>
    </row>
    <row r="305" spans="1:3" x14ac:dyDescent="0.3">
      <c r="A305" t="s">
        <v>509</v>
      </c>
      <c r="B305" t="s">
        <v>2494</v>
      </c>
      <c r="C305" t="s">
        <v>974</v>
      </c>
    </row>
    <row r="306" spans="1:3" x14ac:dyDescent="0.3">
      <c r="A306" t="s">
        <v>2057</v>
      </c>
      <c r="B306" t="s">
        <v>1407</v>
      </c>
      <c r="C306" t="s">
        <v>428</v>
      </c>
    </row>
    <row r="307" spans="1:3" x14ac:dyDescent="0.3">
      <c r="A307" t="s">
        <v>251</v>
      </c>
      <c r="B307" t="s">
        <v>2395</v>
      </c>
      <c r="C307" t="s">
        <v>2485</v>
      </c>
    </row>
    <row r="308" spans="1:3" x14ac:dyDescent="0.3">
      <c r="A308" t="s">
        <v>1460</v>
      </c>
      <c r="B308" t="s">
        <v>1184</v>
      </c>
      <c r="C308" t="s">
        <v>2206</v>
      </c>
    </row>
    <row r="309" spans="1:3" x14ac:dyDescent="0.3">
      <c r="A309" t="s">
        <v>28</v>
      </c>
      <c r="B309" t="s">
        <v>945</v>
      </c>
      <c r="C309" t="s">
        <v>2110</v>
      </c>
    </row>
    <row r="310" spans="1:3" x14ac:dyDescent="0.3">
      <c r="A310" t="s">
        <v>1414</v>
      </c>
      <c r="B310" t="s">
        <v>1251</v>
      </c>
      <c r="C310" t="s">
        <v>720</v>
      </c>
    </row>
    <row r="311" spans="1:3" x14ac:dyDescent="0.3">
      <c r="A311" t="s">
        <v>1029</v>
      </c>
      <c r="B311" t="s">
        <v>697</v>
      </c>
      <c r="C311" t="s">
        <v>2581</v>
      </c>
    </row>
    <row r="312" spans="1:3" x14ac:dyDescent="0.3">
      <c r="A312" t="s">
        <v>291</v>
      </c>
      <c r="B312" t="s">
        <v>636</v>
      </c>
      <c r="C312" t="s">
        <v>2162</v>
      </c>
    </row>
    <row r="313" spans="1:3" x14ac:dyDescent="0.3">
      <c r="A313" t="s">
        <v>935</v>
      </c>
      <c r="B313" t="s">
        <v>2529</v>
      </c>
      <c r="C313" t="s">
        <v>2389</v>
      </c>
    </row>
    <row r="314" spans="1:3" x14ac:dyDescent="0.3">
      <c r="A314" t="s">
        <v>460</v>
      </c>
      <c r="B314" t="s">
        <v>536</v>
      </c>
      <c r="C314" t="s">
        <v>1134</v>
      </c>
    </row>
    <row r="315" spans="1:3" x14ac:dyDescent="0.3">
      <c r="A315" t="s">
        <v>303</v>
      </c>
      <c r="B315" t="s">
        <v>1023</v>
      </c>
      <c r="C315" t="s">
        <v>1092</v>
      </c>
    </row>
    <row r="316" spans="1:3" x14ac:dyDescent="0.3">
      <c r="A316" t="s">
        <v>490</v>
      </c>
      <c r="B316" t="s">
        <v>836</v>
      </c>
      <c r="C316" t="s">
        <v>860</v>
      </c>
    </row>
    <row r="317" spans="1:3" x14ac:dyDescent="0.3">
      <c r="A317" t="s">
        <v>1302</v>
      </c>
      <c r="B317" t="s">
        <v>838</v>
      </c>
      <c r="C317" t="s">
        <v>1176</v>
      </c>
    </row>
    <row r="318" spans="1:3" x14ac:dyDescent="0.3">
      <c r="A318" t="s">
        <v>1395</v>
      </c>
      <c r="B318" t="s">
        <v>507</v>
      </c>
      <c r="C318" t="s">
        <v>580</v>
      </c>
    </row>
    <row r="319" spans="1:3" x14ac:dyDescent="0.3">
      <c r="A319" t="s">
        <v>1137</v>
      </c>
      <c r="B319" t="s">
        <v>2104</v>
      </c>
      <c r="C319" t="s">
        <v>1405</v>
      </c>
    </row>
    <row r="320" spans="1:3" x14ac:dyDescent="0.3">
      <c r="A320" t="s">
        <v>387</v>
      </c>
      <c r="B320" t="s">
        <v>2630</v>
      </c>
      <c r="C320" t="s">
        <v>1403</v>
      </c>
    </row>
    <row r="321" spans="1:3" x14ac:dyDescent="0.3">
      <c r="A321" t="s">
        <v>811</v>
      </c>
      <c r="B321" t="s">
        <v>942</v>
      </c>
      <c r="C321" t="s">
        <v>51</v>
      </c>
    </row>
    <row r="322" spans="1:3" x14ac:dyDescent="0.3">
      <c r="A322" t="s">
        <v>457</v>
      </c>
      <c r="B322" t="s">
        <v>2676</v>
      </c>
      <c r="C322" t="s">
        <v>2598</v>
      </c>
    </row>
    <row r="323" spans="1:3" x14ac:dyDescent="0.3">
      <c r="A323" t="s">
        <v>59</v>
      </c>
      <c r="B323" t="s">
        <v>529</v>
      </c>
      <c r="C323" t="s">
        <v>2478</v>
      </c>
    </row>
    <row r="324" spans="1:3" x14ac:dyDescent="0.3">
      <c r="A324" t="s">
        <v>1270</v>
      </c>
      <c r="B324" t="s">
        <v>2677</v>
      </c>
      <c r="C324" t="s">
        <v>1362</v>
      </c>
    </row>
    <row r="325" spans="1:3" x14ac:dyDescent="0.3">
      <c r="A325" t="s">
        <v>681</v>
      </c>
      <c r="B325" t="s">
        <v>279</v>
      </c>
      <c r="C325" t="s">
        <v>1360</v>
      </c>
    </row>
    <row r="326" spans="1:3" x14ac:dyDescent="0.3">
      <c r="A326" t="s">
        <v>44</v>
      </c>
      <c r="B326" t="s">
        <v>2011</v>
      </c>
      <c r="C326" t="s">
        <v>839</v>
      </c>
    </row>
    <row r="327" spans="1:3" x14ac:dyDescent="0.3">
      <c r="A327" t="s">
        <v>543</v>
      </c>
      <c r="B327" t="s">
        <v>2058</v>
      </c>
      <c r="C327" t="s">
        <v>403</v>
      </c>
    </row>
    <row r="328" spans="1:3" x14ac:dyDescent="0.3">
      <c r="A328" t="s">
        <v>271</v>
      </c>
      <c r="B328" t="s">
        <v>692</v>
      </c>
      <c r="C328" t="s">
        <v>1138</v>
      </c>
    </row>
    <row r="329" spans="1:3" x14ac:dyDescent="0.3">
      <c r="A329" t="s">
        <v>666</v>
      </c>
      <c r="B329" t="s">
        <v>2160</v>
      </c>
      <c r="C329" t="s">
        <v>113</v>
      </c>
    </row>
    <row r="330" spans="1:3" x14ac:dyDescent="0.3">
      <c r="A330" t="s">
        <v>511</v>
      </c>
      <c r="B330" t="s">
        <v>2716</v>
      </c>
      <c r="C330" t="s">
        <v>296</v>
      </c>
    </row>
    <row r="331" spans="1:3" x14ac:dyDescent="0.3">
      <c r="A331" t="s">
        <v>2567</v>
      </c>
      <c r="B331" t="s">
        <v>2470</v>
      </c>
      <c r="C331" t="s">
        <v>1309</v>
      </c>
    </row>
    <row r="332" spans="1:3" x14ac:dyDescent="0.3">
      <c r="A332" t="s">
        <v>2441</v>
      </c>
      <c r="B332" t="s">
        <v>304</v>
      </c>
      <c r="C332" t="s">
        <v>1127</v>
      </c>
    </row>
    <row r="333" spans="1:3" x14ac:dyDescent="0.3">
      <c r="A333" t="s">
        <v>743</v>
      </c>
      <c r="B333" t="s">
        <v>417</v>
      </c>
      <c r="C333" t="s">
        <v>1831</v>
      </c>
    </row>
    <row r="334" spans="1:3" x14ac:dyDescent="0.3">
      <c r="A334" t="s">
        <v>2660</v>
      </c>
      <c r="B334" t="s">
        <v>2017</v>
      </c>
      <c r="C334" t="s">
        <v>662</v>
      </c>
    </row>
    <row r="335" spans="1:3" x14ac:dyDescent="0.3">
      <c r="A335" t="s">
        <v>345</v>
      </c>
      <c r="B335" t="s">
        <v>1215</v>
      </c>
      <c r="C335" t="s">
        <v>1048</v>
      </c>
    </row>
    <row r="336" spans="1:3" x14ac:dyDescent="0.3">
      <c r="A336" t="s">
        <v>813</v>
      </c>
      <c r="B336" t="s">
        <v>1202</v>
      </c>
      <c r="C336" t="s">
        <v>889</v>
      </c>
    </row>
    <row r="337" spans="1:3" x14ac:dyDescent="0.3">
      <c r="A337" t="s">
        <v>2079</v>
      </c>
      <c r="B337" t="s">
        <v>1206</v>
      </c>
      <c r="C337" t="s">
        <v>2376</v>
      </c>
    </row>
    <row r="338" spans="1:3" x14ac:dyDescent="0.3">
      <c r="A338" t="s">
        <v>102</v>
      </c>
      <c r="B338" t="s">
        <v>1292</v>
      </c>
      <c r="C338" t="s">
        <v>607</v>
      </c>
    </row>
    <row r="339" spans="1:3" x14ac:dyDescent="0.3">
      <c r="A339" t="s">
        <v>381</v>
      </c>
      <c r="B339" t="s">
        <v>447</v>
      </c>
      <c r="C339" t="s">
        <v>2073</v>
      </c>
    </row>
    <row r="340" spans="1:3" x14ac:dyDescent="0.3">
      <c r="A340" t="s">
        <v>83</v>
      </c>
      <c r="B340" t="s">
        <v>2668</v>
      </c>
      <c r="C340" t="s">
        <v>152</v>
      </c>
    </row>
    <row r="341" spans="1:3" x14ac:dyDescent="0.3">
      <c r="A341" t="s">
        <v>713</v>
      </c>
      <c r="B341" t="s">
        <v>2410</v>
      </c>
      <c r="C341" t="s">
        <v>1109</v>
      </c>
    </row>
    <row r="342" spans="1:3" x14ac:dyDescent="0.3">
      <c r="A342" t="s">
        <v>413</v>
      </c>
      <c r="B342" t="s">
        <v>1412</v>
      </c>
      <c r="C342" t="s">
        <v>2511</v>
      </c>
    </row>
    <row r="343" spans="1:3" x14ac:dyDescent="0.3">
      <c r="A343" t="s">
        <v>581</v>
      </c>
      <c r="B343" t="s">
        <v>791</v>
      </c>
      <c r="C343" t="s">
        <v>147</v>
      </c>
    </row>
    <row r="344" spans="1:3" x14ac:dyDescent="0.3">
      <c r="A344" t="s">
        <v>2408</v>
      </c>
      <c r="B344" t="s">
        <v>1107</v>
      </c>
      <c r="C344" t="s">
        <v>2542</v>
      </c>
    </row>
    <row r="345" spans="1:3" x14ac:dyDescent="0.3">
      <c r="A345" t="s">
        <v>2729</v>
      </c>
      <c r="B345" t="s">
        <v>990</v>
      </c>
      <c r="C345" t="s">
        <v>1319</v>
      </c>
    </row>
    <row r="346" spans="1:3" x14ac:dyDescent="0.3">
      <c r="A346" t="s">
        <v>567</v>
      </c>
      <c r="B346" t="s">
        <v>1266</v>
      </c>
      <c r="C346" t="s">
        <v>663</v>
      </c>
    </row>
    <row r="347" spans="1:3" x14ac:dyDescent="0.3">
      <c r="A347" t="s">
        <v>2114</v>
      </c>
      <c r="B347" t="s">
        <v>2669</v>
      </c>
      <c r="C347" t="s">
        <v>1136</v>
      </c>
    </row>
    <row r="348" spans="1:3" x14ac:dyDescent="0.3">
      <c r="A348" t="s">
        <v>2063</v>
      </c>
      <c r="B348" t="s">
        <v>2681</v>
      </c>
      <c r="C348" t="s">
        <v>1261</v>
      </c>
    </row>
    <row r="349" spans="1:3" x14ac:dyDescent="0.3">
      <c r="A349" t="s">
        <v>1374</v>
      </c>
      <c r="B349" t="s">
        <v>2680</v>
      </c>
      <c r="C349" t="s">
        <v>1547</v>
      </c>
    </row>
    <row r="350" spans="1:3" x14ac:dyDescent="0.3">
      <c r="A350" t="s">
        <v>630</v>
      </c>
      <c r="B350" t="s">
        <v>2226</v>
      </c>
      <c r="C350" t="s">
        <v>545</v>
      </c>
    </row>
    <row r="351" spans="1:3" x14ac:dyDescent="0.3">
      <c r="A351" t="s">
        <v>997</v>
      </c>
      <c r="B351" t="s">
        <v>2673</v>
      </c>
      <c r="C351" t="s">
        <v>437</v>
      </c>
    </row>
    <row r="352" spans="1:3" x14ac:dyDescent="0.3">
      <c r="A352" t="s">
        <v>164</v>
      </c>
      <c r="B352" t="s">
        <v>2678</v>
      </c>
      <c r="C352" t="s">
        <v>1350</v>
      </c>
    </row>
    <row r="353" spans="1:3" x14ac:dyDescent="0.3">
      <c r="A353" t="s">
        <v>1419</v>
      </c>
      <c r="B353" t="s">
        <v>301</v>
      </c>
      <c r="C353" t="s">
        <v>2219</v>
      </c>
    </row>
    <row r="354" spans="1:3" x14ac:dyDescent="0.3">
      <c r="A354" t="s">
        <v>194</v>
      </c>
      <c r="B354" t="s">
        <v>226</v>
      </c>
      <c r="C354" t="s">
        <v>300</v>
      </c>
    </row>
    <row r="355" spans="1:3" x14ac:dyDescent="0.3">
      <c r="A355" t="s">
        <v>894</v>
      </c>
      <c r="B355" t="s">
        <v>714</v>
      </c>
      <c r="C355" t="s">
        <v>2655</v>
      </c>
    </row>
    <row r="356" spans="1:3" x14ac:dyDescent="0.3">
      <c r="A356" t="s">
        <v>708</v>
      </c>
      <c r="B356" t="s">
        <v>1131</v>
      </c>
      <c r="C356" t="s">
        <v>46</v>
      </c>
    </row>
    <row r="357" spans="1:3" x14ac:dyDescent="0.3">
      <c r="A357" t="s">
        <v>199</v>
      </c>
      <c r="B357" t="s">
        <v>112</v>
      </c>
      <c r="C357" t="s">
        <v>1389</v>
      </c>
    </row>
    <row r="358" spans="1:3" x14ac:dyDescent="0.3">
      <c r="A358" t="s">
        <v>398</v>
      </c>
      <c r="B358" t="s">
        <v>37</v>
      </c>
      <c r="C358" t="s">
        <v>401</v>
      </c>
    </row>
    <row r="359" spans="1:3" x14ac:dyDescent="0.3">
      <c r="A359" t="s">
        <v>2730</v>
      </c>
      <c r="B359" t="s">
        <v>1345</v>
      </c>
      <c r="C359" t="s">
        <v>2753</v>
      </c>
    </row>
    <row r="360" spans="1:3" x14ac:dyDescent="0.3">
      <c r="A360" t="s">
        <v>294</v>
      </c>
      <c r="B360" t="s">
        <v>812</v>
      </c>
      <c r="C360" t="s">
        <v>755</v>
      </c>
    </row>
    <row r="361" spans="1:3" x14ac:dyDescent="0.3">
      <c r="A361" t="s">
        <v>1432</v>
      </c>
      <c r="B361" t="s">
        <v>1978</v>
      </c>
      <c r="C361" t="s">
        <v>2640</v>
      </c>
    </row>
    <row r="362" spans="1:3" x14ac:dyDescent="0.3">
      <c r="A362" t="s">
        <v>389</v>
      </c>
      <c r="B362" t="s">
        <v>2025</v>
      </c>
      <c r="C362" t="s">
        <v>2754</v>
      </c>
    </row>
    <row r="363" spans="1:3" x14ac:dyDescent="0.3">
      <c r="A363" t="s">
        <v>157</v>
      </c>
      <c r="B363" t="s">
        <v>612</v>
      </c>
      <c r="C363" t="s">
        <v>1088</v>
      </c>
    </row>
    <row r="364" spans="1:3" x14ac:dyDescent="0.3">
      <c r="A364" t="s">
        <v>1359</v>
      </c>
      <c r="B364" t="s">
        <v>2483</v>
      </c>
      <c r="C364" t="s">
        <v>994</v>
      </c>
    </row>
    <row r="365" spans="1:3" x14ac:dyDescent="0.3">
      <c r="A365" t="s">
        <v>2457</v>
      </c>
      <c r="B365" t="s">
        <v>466</v>
      </c>
      <c r="C365" t="s">
        <v>1256</v>
      </c>
    </row>
    <row r="366" spans="1:3" x14ac:dyDescent="0.3">
      <c r="A366" t="s">
        <v>1036</v>
      </c>
      <c r="B366" t="s">
        <v>477</v>
      </c>
      <c r="C366" t="s">
        <v>146</v>
      </c>
    </row>
    <row r="367" spans="1:3" x14ac:dyDescent="0.3">
      <c r="A367" t="s">
        <v>2689</v>
      </c>
      <c r="B367" t="s">
        <v>232</v>
      </c>
      <c r="C367" t="s">
        <v>2033</v>
      </c>
    </row>
    <row r="368" spans="1:3" x14ac:dyDescent="0.3">
      <c r="A368" t="s">
        <v>74</v>
      </c>
      <c r="B368" t="s">
        <v>263</v>
      </c>
      <c r="C368" t="s">
        <v>777</v>
      </c>
    </row>
    <row r="369" spans="1:3" x14ac:dyDescent="0.3">
      <c r="A369" t="s">
        <v>2693</v>
      </c>
      <c r="B369" t="s">
        <v>625</v>
      </c>
      <c r="C369" t="s">
        <v>1188</v>
      </c>
    </row>
    <row r="370" spans="1:3" x14ac:dyDescent="0.3">
      <c r="A370" t="s">
        <v>1960</v>
      </c>
      <c r="B370" t="s">
        <v>565</v>
      </c>
      <c r="C370" t="s">
        <v>383</v>
      </c>
    </row>
    <row r="371" spans="1:3" x14ac:dyDescent="0.3">
      <c r="A371" t="s">
        <v>2113</v>
      </c>
      <c r="B371" t="s">
        <v>512</v>
      </c>
      <c r="C371" t="s">
        <v>483</v>
      </c>
    </row>
    <row r="372" spans="1:3" x14ac:dyDescent="0.3">
      <c r="A372" t="s">
        <v>853</v>
      </c>
      <c r="B372" t="s">
        <v>97</v>
      </c>
      <c r="C372" t="s">
        <v>874</v>
      </c>
    </row>
    <row r="373" spans="1:3" x14ac:dyDescent="0.3">
      <c r="A373" t="s">
        <v>591</v>
      </c>
      <c r="B373" t="s">
        <v>2418</v>
      </c>
      <c r="C373" t="s">
        <v>2755</v>
      </c>
    </row>
    <row r="374" spans="1:3" x14ac:dyDescent="0.3">
      <c r="A374" t="s">
        <v>2004</v>
      </c>
      <c r="B374" t="s">
        <v>704</v>
      </c>
      <c r="C374" t="s">
        <v>583</v>
      </c>
    </row>
    <row r="375" spans="1:3" x14ac:dyDescent="0.3">
      <c r="A375" t="s">
        <v>903</v>
      </c>
      <c r="B375" t="s">
        <v>2107</v>
      </c>
      <c r="C375" t="s">
        <v>2084</v>
      </c>
    </row>
    <row r="376" spans="1:3" x14ac:dyDescent="0.3">
      <c r="A376" t="s">
        <v>835</v>
      </c>
      <c r="B376" t="s">
        <v>658</v>
      </c>
      <c r="C376" t="s">
        <v>202</v>
      </c>
    </row>
    <row r="377" spans="1:3" x14ac:dyDescent="0.3">
      <c r="A377" t="s">
        <v>1149</v>
      </c>
      <c r="B377" t="s">
        <v>2554</v>
      </c>
      <c r="C377" t="s">
        <v>1086</v>
      </c>
    </row>
    <row r="378" spans="1:3" x14ac:dyDescent="0.3">
      <c r="A378" t="s">
        <v>1162</v>
      </c>
      <c r="B378" t="s">
        <v>528</v>
      </c>
      <c r="C378" t="s">
        <v>1315</v>
      </c>
    </row>
    <row r="379" spans="1:3" x14ac:dyDescent="0.3">
      <c r="A379" t="s">
        <v>2374</v>
      </c>
      <c r="B379" t="s">
        <v>2152</v>
      </c>
      <c r="C379" t="s">
        <v>776</v>
      </c>
    </row>
    <row r="380" spans="1:3" x14ac:dyDescent="0.3">
      <c r="A380" t="s">
        <v>761</v>
      </c>
      <c r="B380" t="s">
        <v>2489</v>
      </c>
      <c r="C380" t="s">
        <v>1774</v>
      </c>
    </row>
    <row r="381" spans="1:3" x14ac:dyDescent="0.3">
      <c r="A381" t="s">
        <v>2435</v>
      </c>
      <c r="B381" t="s">
        <v>497</v>
      </c>
      <c r="C381" t="s">
        <v>730</v>
      </c>
    </row>
    <row r="382" spans="1:3" x14ac:dyDescent="0.3">
      <c r="A382" t="s">
        <v>243</v>
      </c>
      <c r="B382" t="s">
        <v>436</v>
      </c>
      <c r="C382" t="s">
        <v>2657</v>
      </c>
    </row>
    <row r="383" spans="1:3" x14ac:dyDescent="0.3">
      <c r="A383" t="s">
        <v>1219</v>
      </c>
      <c r="B383" t="s">
        <v>435</v>
      </c>
      <c r="C383" t="s">
        <v>626</v>
      </c>
    </row>
    <row r="384" spans="1:3" x14ac:dyDescent="0.3">
      <c r="A384" t="s">
        <v>870</v>
      </c>
      <c r="B384" t="s">
        <v>461</v>
      </c>
      <c r="C384" t="s">
        <v>467</v>
      </c>
    </row>
    <row r="385" spans="1:3" x14ac:dyDescent="0.3">
      <c r="A385" t="s">
        <v>1087</v>
      </c>
      <c r="B385" t="s">
        <v>2590</v>
      </c>
      <c r="C385" t="s">
        <v>307</v>
      </c>
    </row>
    <row r="386" spans="1:3" x14ac:dyDescent="0.3">
      <c r="A386" t="s">
        <v>2009</v>
      </c>
      <c r="B386" t="s">
        <v>1392</v>
      </c>
      <c r="C386" t="s">
        <v>1242</v>
      </c>
    </row>
    <row r="387" spans="1:3" x14ac:dyDescent="0.3">
      <c r="A387" t="s">
        <v>1276</v>
      </c>
      <c r="B387" t="s">
        <v>2544</v>
      </c>
      <c r="C387" t="s">
        <v>556</v>
      </c>
    </row>
    <row r="388" spans="1:3" x14ac:dyDescent="0.3">
      <c r="A388" t="s">
        <v>468</v>
      </c>
      <c r="B388" t="s">
        <v>2574</v>
      </c>
      <c r="C388" t="s">
        <v>1014</v>
      </c>
    </row>
    <row r="389" spans="1:3" x14ac:dyDescent="0.3">
      <c r="A389" t="s">
        <v>2261</v>
      </c>
      <c r="B389" t="s">
        <v>1986</v>
      </c>
      <c r="C389" t="s">
        <v>613</v>
      </c>
    </row>
    <row r="390" spans="1:3" x14ac:dyDescent="0.3">
      <c r="A390" t="s">
        <v>638</v>
      </c>
      <c r="B390" t="s">
        <v>883</v>
      </c>
      <c r="C390" t="s">
        <v>168</v>
      </c>
    </row>
    <row r="391" spans="1:3" x14ac:dyDescent="0.3">
      <c r="A391" t="s">
        <v>2026</v>
      </c>
      <c r="B391" t="s">
        <v>1452</v>
      </c>
      <c r="C391" t="s">
        <v>693</v>
      </c>
    </row>
    <row r="392" spans="1:3" x14ac:dyDescent="0.3">
      <c r="A392" t="s">
        <v>560</v>
      </c>
      <c r="B392" t="s">
        <v>1129</v>
      </c>
      <c r="C392" t="s">
        <v>1291</v>
      </c>
    </row>
    <row r="393" spans="1:3" x14ac:dyDescent="0.3">
      <c r="A393" t="s">
        <v>789</v>
      </c>
      <c r="B393" t="s">
        <v>2674</v>
      </c>
      <c r="C393" t="s">
        <v>1381</v>
      </c>
    </row>
    <row r="394" spans="1:3" x14ac:dyDescent="0.3">
      <c r="A394" t="s">
        <v>1160</v>
      </c>
      <c r="B394" t="s">
        <v>2566</v>
      </c>
      <c r="C394" t="s">
        <v>40</v>
      </c>
    </row>
    <row r="395" spans="1:3" x14ac:dyDescent="0.3">
      <c r="A395" t="s">
        <v>93</v>
      </c>
      <c r="B395" t="s">
        <v>775</v>
      </c>
      <c r="C395" t="s">
        <v>2233</v>
      </c>
    </row>
    <row r="396" spans="1:3" x14ac:dyDescent="0.3">
      <c r="A396" t="s">
        <v>128</v>
      </c>
      <c r="B396" t="s">
        <v>2659</v>
      </c>
      <c r="C396" t="s">
        <v>605</v>
      </c>
    </row>
    <row r="397" spans="1:3" x14ac:dyDescent="0.3">
      <c r="A397" t="s">
        <v>306</v>
      </c>
      <c r="B397" t="s">
        <v>244</v>
      </c>
      <c r="C397" t="s">
        <v>1249</v>
      </c>
    </row>
    <row r="398" spans="1:3" x14ac:dyDescent="0.3">
      <c r="A398" t="s">
        <v>2123</v>
      </c>
      <c r="B398" t="s">
        <v>1194</v>
      </c>
      <c r="C398" t="s">
        <v>48</v>
      </c>
    </row>
    <row r="399" spans="1:3" x14ac:dyDescent="0.3">
      <c r="A399" t="s">
        <v>700</v>
      </c>
      <c r="B399" t="s">
        <v>369</v>
      </c>
      <c r="C399" t="s">
        <v>2535</v>
      </c>
    </row>
    <row r="400" spans="1:3" x14ac:dyDescent="0.3">
      <c r="A400" t="s">
        <v>1793</v>
      </c>
      <c r="B400" t="s">
        <v>295</v>
      </c>
      <c r="C400" t="s">
        <v>1145</v>
      </c>
    </row>
    <row r="401" spans="1:3" x14ac:dyDescent="0.3">
      <c r="A401" t="s">
        <v>409</v>
      </c>
      <c r="B401" t="s">
        <v>2698</v>
      </c>
      <c r="C401" t="s">
        <v>218</v>
      </c>
    </row>
    <row r="402" spans="1:3" x14ac:dyDescent="0.3">
      <c r="A402" t="s">
        <v>475</v>
      </c>
      <c r="B402" t="s">
        <v>1358</v>
      </c>
      <c r="C402" t="s">
        <v>1959</v>
      </c>
    </row>
    <row r="403" spans="1:3" x14ac:dyDescent="0.3">
      <c r="A403" t="s">
        <v>941</v>
      </c>
      <c r="B403" t="s">
        <v>170</v>
      </c>
      <c r="C403" t="s">
        <v>410</v>
      </c>
    </row>
    <row r="404" spans="1:3" x14ac:dyDescent="0.3">
      <c r="A404" t="s">
        <v>2156</v>
      </c>
      <c r="B404" t="s">
        <v>190</v>
      </c>
      <c r="C404" t="s">
        <v>2008</v>
      </c>
    </row>
    <row r="405" spans="1:3" x14ac:dyDescent="0.3">
      <c r="A405" t="s">
        <v>845</v>
      </c>
      <c r="B405" t="s">
        <v>803</v>
      </c>
      <c r="C405" t="s">
        <v>955</v>
      </c>
    </row>
    <row r="406" spans="1:3" x14ac:dyDescent="0.3">
      <c r="A406" t="s">
        <v>805</v>
      </c>
      <c r="B406" t="s">
        <v>879</v>
      </c>
      <c r="C406" t="s">
        <v>992</v>
      </c>
    </row>
    <row r="407" spans="1:3" x14ac:dyDescent="0.3">
      <c r="A407" t="s">
        <v>711</v>
      </c>
      <c r="B407" t="s">
        <v>1177</v>
      </c>
      <c r="C407" t="s">
        <v>1151</v>
      </c>
    </row>
    <row r="408" spans="1:3" x14ac:dyDescent="0.3">
      <c r="A408" t="s">
        <v>122</v>
      </c>
      <c r="B408" t="s">
        <v>967</v>
      </c>
      <c r="C408" t="s">
        <v>1421</v>
      </c>
    </row>
    <row r="409" spans="1:3" x14ac:dyDescent="0.3">
      <c r="A409" t="s">
        <v>2538</v>
      </c>
      <c r="B409" t="s">
        <v>1211</v>
      </c>
      <c r="C409" t="s">
        <v>1062</v>
      </c>
    </row>
    <row r="410" spans="1:3" x14ac:dyDescent="0.3">
      <c r="A410" t="s">
        <v>1179</v>
      </c>
      <c r="B410" t="s">
        <v>2170</v>
      </c>
      <c r="C410" t="s">
        <v>1531</v>
      </c>
    </row>
    <row r="411" spans="1:3" x14ac:dyDescent="0.3">
      <c r="A411" t="s">
        <v>2560</v>
      </c>
      <c r="B411" t="s">
        <v>544</v>
      </c>
      <c r="C411" t="s">
        <v>505</v>
      </c>
    </row>
    <row r="412" spans="1:3" x14ac:dyDescent="0.3">
      <c r="A412" t="s">
        <v>1348</v>
      </c>
      <c r="B412" t="s">
        <v>1455</v>
      </c>
      <c r="C412" t="s">
        <v>177</v>
      </c>
    </row>
    <row r="413" spans="1:3" x14ac:dyDescent="0.3">
      <c r="A413" t="s">
        <v>1953</v>
      </c>
      <c r="B413" t="s">
        <v>820</v>
      </c>
      <c r="C413" t="s">
        <v>1436</v>
      </c>
    </row>
    <row r="414" spans="1:3" x14ac:dyDescent="0.3">
      <c r="A414" t="s">
        <v>1446</v>
      </c>
      <c r="B414" t="s">
        <v>2670</v>
      </c>
      <c r="C414" t="s">
        <v>1091</v>
      </c>
    </row>
    <row r="415" spans="1:3" x14ac:dyDescent="0.3">
      <c r="A415" t="s">
        <v>1236</v>
      </c>
      <c r="B415" t="s">
        <v>252</v>
      </c>
      <c r="C415" t="s">
        <v>2089</v>
      </c>
    </row>
    <row r="416" spans="1:3" x14ac:dyDescent="0.3">
      <c r="A416" t="s">
        <v>114</v>
      </c>
      <c r="B416" t="s">
        <v>395</v>
      </c>
      <c r="C416" t="s">
        <v>159</v>
      </c>
    </row>
    <row r="417" spans="1:3" x14ac:dyDescent="0.3">
      <c r="A417" t="s">
        <v>99</v>
      </c>
      <c r="B417" t="s">
        <v>118</v>
      </c>
      <c r="C417" t="s">
        <v>143</v>
      </c>
    </row>
    <row r="418" spans="1:3" x14ac:dyDescent="0.3">
      <c r="A418" t="s">
        <v>1402</v>
      </c>
      <c r="B418" t="s">
        <v>258</v>
      </c>
      <c r="C418" t="s">
        <v>1338</v>
      </c>
    </row>
    <row r="419" spans="1:3" x14ac:dyDescent="0.3">
      <c r="A419" t="s">
        <v>1963</v>
      </c>
      <c r="B419" t="s">
        <v>392</v>
      </c>
      <c r="C419" t="s">
        <v>1732</v>
      </c>
    </row>
    <row r="420" spans="1:3" x14ac:dyDescent="0.3">
      <c r="A420" t="s">
        <v>81</v>
      </c>
      <c r="B420" t="s">
        <v>169</v>
      </c>
      <c r="C420" t="s">
        <v>1325</v>
      </c>
    </row>
    <row r="421" spans="1:3" x14ac:dyDescent="0.3">
      <c r="A421" t="s">
        <v>951</v>
      </c>
      <c r="B421" t="s">
        <v>809</v>
      </c>
      <c r="C421" t="s">
        <v>532</v>
      </c>
    </row>
    <row r="422" spans="1:3" x14ac:dyDescent="0.3">
      <c r="A422" t="s">
        <v>353</v>
      </c>
      <c r="B422" t="s">
        <v>2398</v>
      </c>
      <c r="C422" t="s">
        <v>1984</v>
      </c>
    </row>
    <row r="423" spans="1:3" x14ac:dyDescent="0.3">
      <c r="A423" t="s">
        <v>56</v>
      </c>
      <c r="B423" t="s">
        <v>140</v>
      </c>
      <c r="C423" t="s">
        <v>938</v>
      </c>
    </row>
    <row r="424" spans="1:3" x14ac:dyDescent="0.3">
      <c r="A424" t="s">
        <v>137</v>
      </c>
      <c r="B424" t="s">
        <v>877</v>
      </c>
      <c r="C424" t="s">
        <v>324</v>
      </c>
    </row>
    <row r="425" spans="1:3" x14ac:dyDescent="0.3">
      <c r="A425" t="s">
        <v>1126</v>
      </c>
      <c r="B425" t="s">
        <v>400</v>
      </c>
      <c r="C425" t="s">
        <v>770</v>
      </c>
    </row>
    <row r="426" spans="1:3" x14ac:dyDescent="0.3">
      <c r="A426" t="s">
        <v>1146</v>
      </c>
      <c r="B426" t="s">
        <v>867</v>
      </c>
      <c r="C426" t="s">
        <v>1223</v>
      </c>
    </row>
    <row r="427" spans="1:3" x14ac:dyDescent="0.3">
      <c r="A427" t="s">
        <v>1141</v>
      </c>
      <c r="B427" t="s">
        <v>1021</v>
      </c>
      <c r="C427" t="s">
        <v>1045</v>
      </c>
    </row>
    <row r="428" spans="1:3" x14ac:dyDescent="0.3">
      <c r="A428" t="s">
        <v>1205</v>
      </c>
      <c r="B428" t="s">
        <v>1228</v>
      </c>
      <c r="C428" t="s">
        <v>2550</v>
      </c>
    </row>
    <row r="429" spans="1:3" x14ac:dyDescent="0.3">
      <c r="A429" t="s">
        <v>785</v>
      </c>
      <c r="B429" t="s">
        <v>831</v>
      </c>
      <c r="C429" t="s">
        <v>92</v>
      </c>
    </row>
    <row r="430" spans="1:3" x14ac:dyDescent="0.3">
      <c r="A430" t="s">
        <v>1208</v>
      </c>
      <c r="B430" t="s">
        <v>282</v>
      </c>
      <c r="C430" t="s">
        <v>268</v>
      </c>
    </row>
    <row r="431" spans="1:3" x14ac:dyDescent="0.3">
      <c r="A431" t="s">
        <v>1241</v>
      </c>
      <c r="B431" t="s">
        <v>1033</v>
      </c>
      <c r="C431" t="s">
        <v>2382</v>
      </c>
    </row>
    <row r="432" spans="1:3" x14ac:dyDescent="0.3">
      <c r="A432" t="s">
        <v>2699</v>
      </c>
      <c r="B432" t="s">
        <v>260</v>
      </c>
      <c r="C432" t="s">
        <v>2694</v>
      </c>
    </row>
    <row r="433" spans="1:3" x14ac:dyDescent="0.3">
      <c r="A433" t="s">
        <v>1964</v>
      </c>
      <c r="B433" t="s">
        <v>167</v>
      </c>
      <c r="C433" t="s">
        <v>932</v>
      </c>
    </row>
    <row r="434" spans="1:3" x14ac:dyDescent="0.3">
      <c r="A434" t="s">
        <v>246</v>
      </c>
      <c r="B434" t="s">
        <v>206</v>
      </c>
      <c r="C434" t="s">
        <v>934</v>
      </c>
    </row>
    <row r="435" spans="1:3" x14ac:dyDescent="0.3">
      <c r="A435" t="s">
        <v>2646</v>
      </c>
      <c r="B435" t="s">
        <v>1967</v>
      </c>
      <c r="C435" t="s">
        <v>525</v>
      </c>
    </row>
    <row r="436" spans="1:3" x14ac:dyDescent="0.3">
      <c r="A436" t="s">
        <v>309</v>
      </c>
      <c r="B436" t="s">
        <v>2111</v>
      </c>
      <c r="C436" t="s">
        <v>871</v>
      </c>
    </row>
    <row r="437" spans="1:3" x14ac:dyDescent="0.3">
      <c r="A437" t="s">
        <v>2406</v>
      </c>
      <c r="B437" t="s">
        <v>1965</v>
      </c>
      <c r="C437" t="s">
        <v>116</v>
      </c>
    </row>
    <row r="438" spans="1:3" x14ac:dyDescent="0.3">
      <c r="A438" t="s">
        <v>336</v>
      </c>
      <c r="B438" t="s">
        <v>2396</v>
      </c>
      <c r="C438" t="s">
        <v>921</v>
      </c>
    </row>
    <row r="439" spans="1:3" x14ac:dyDescent="0.3">
      <c r="A439" t="s">
        <v>559</v>
      </c>
      <c r="B439" t="s">
        <v>896</v>
      </c>
      <c r="C439" t="s">
        <v>2493</v>
      </c>
    </row>
    <row r="440" spans="1:3" x14ac:dyDescent="0.3">
      <c r="A440" t="s">
        <v>1020</v>
      </c>
      <c r="B440" t="s">
        <v>1187</v>
      </c>
      <c r="C440" t="s">
        <v>850</v>
      </c>
    </row>
    <row r="441" spans="1:3" x14ac:dyDescent="0.3">
      <c r="A441" t="s">
        <v>2672</v>
      </c>
      <c r="B441" t="s">
        <v>2666</v>
      </c>
      <c r="C441" t="s">
        <v>2190</v>
      </c>
    </row>
    <row r="442" spans="1:3" x14ac:dyDescent="0.3">
      <c r="A442" t="s">
        <v>1186</v>
      </c>
      <c r="B442" t="s">
        <v>1320</v>
      </c>
      <c r="C442" t="s">
        <v>933</v>
      </c>
    </row>
    <row r="443" spans="1:3" x14ac:dyDescent="0.3">
      <c r="A443" t="s">
        <v>339</v>
      </c>
      <c r="B443" t="s">
        <v>192</v>
      </c>
      <c r="C443" t="s">
        <v>869</v>
      </c>
    </row>
    <row r="444" spans="1:3" x14ac:dyDescent="0.3">
      <c r="A444" t="s">
        <v>474</v>
      </c>
      <c r="B444" t="s">
        <v>1333</v>
      </c>
      <c r="C444" t="s">
        <v>1377</v>
      </c>
    </row>
    <row r="445" spans="1:3" x14ac:dyDescent="0.3">
      <c r="A445" t="s">
        <v>1004</v>
      </c>
      <c r="B445" t="s">
        <v>308</v>
      </c>
      <c r="C445" t="s">
        <v>2100</v>
      </c>
    </row>
    <row r="446" spans="1:3" x14ac:dyDescent="0.3">
      <c r="A446" t="s">
        <v>1055</v>
      </c>
      <c r="B446" t="s">
        <v>197</v>
      </c>
      <c r="C446" t="s">
        <v>819</v>
      </c>
    </row>
    <row r="447" spans="1:3" x14ac:dyDescent="0.3">
      <c r="A447" t="s">
        <v>360</v>
      </c>
      <c r="B447" t="s">
        <v>1416</v>
      </c>
      <c r="C447" t="s">
        <v>736</v>
      </c>
    </row>
    <row r="448" spans="1:3" x14ac:dyDescent="0.3">
      <c r="A448" t="s">
        <v>322</v>
      </c>
      <c r="B448" t="s">
        <v>1282</v>
      </c>
      <c r="C448" t="s">
        <v>744</v>
      </c>
    </row>
    <row r="449" spans="1:3" x14ac:dyDescent="0.3">
      <c r="A449" t="s">
        <v>2731</v>
      </c>
      <c r="B449" t="s">
        <v>161</v>
      </c>
      <c r="C449" t="s">
        <v>589</v>
      </c>
    </row>
    <row r="450" spans="1:3" x14ac:dyDescent="0.3">
      <c r="A450" t="s">
        <v>2732</v>
      </c>
      <c r="B450" t="s">
        <v>2610</v>
      </c>
      <c r="C450" t="s">
        <v>1161</v>
      </c>
    </row>
    <row r="451" spans="1:3" x14ac:dyDescent="0.3">
      <c r="A451" t="s">
        <v>1337</v>
      </c>
      <c r="B451" t="s">
        <v>1607</v>
      </c>
      <c r="C451" t="s">
        <v>405</v>
      </c>
    </row>
    <row r="452" spans="1:3" x14ac:dyDescent="0.3">
      <c r="A452" t="s">
        <v>2129</v>
      </c>
      <c r="B452" t="s">
        <v>1365</v>
      </c>
      <c r="C452" t="s">
        <v>897</v>
      </c>
    </row>
    <row r="453" spans="1:3" x14ac:dyDescent="0.3">
      <c r="A453" t="s">
        <v>1423</v>
      </c>
      <c r="B453" t="s">
        <v>1213</v>
      </c>
      <c r="C453" t="s">
        <v>2424</v>
      </c>
    </row>
    <row r="454" spans="1:3" x14ac:dyDescent="0.3">
      <c r="A454" t="s">
        <v>196</v>
      </c>
      <c r="B454" t="s">
        <v>552</v>
      </c>
      <c r="C454" t="s">
        <v>1373</v>
      </c>
    </row>
    <row r="455" spans="1:3" x14ac:dyDescent="0.3">
      <c r="A455" t="s">
        <v>2638</v>
      </c>
      <c r="B455" t="s">
        <v>623</v>
      </c>
      <c r="C455" t="s">
        <v>1450</v>
      </c>
    </row>
    <row r="456" spans="1:3" x14ac:dyDescent="0.3">
      <c r="A456" t="s">
        <v>1225</v>
      </c>
      <c r="B456" t="s">
        <v>1114</v>
      </c>
      <c r="C456" t="s">
        <v>2756</v>
      </c>
    </row>
    <row r="457" spans="1:3" x14ac:dyDescent="0.3">
      <c r="A457" t="s">
        <v>2675</v>
      </c>
      <c r="B457" t="s">
        <v>970</v>
      </c>
      <c r="C457" t="s">
        <v>783</v>
      </c>
    </row>
    <row r="458" spans="1:3" x14ac:dyDescent="0.3">
      <c r="A458" t="s">
        <v>1307</v>
      </c>
      <c r="B458" t="s">
        <v>1042</v>
      </c>
      <c r="C458" t="s">
        <v>1299</v>
      </c>
    </row>
    <row r="459" spans="1:3" x14ac:dyDescent="0.3">
      <c r="A459" t="s">
        <v>837</v>
      </c>
      <c r="B459" t="s">
        <v>240</v>
      </c>
      <c r="C459" t="s">
        <v>1165</v>
      </c>
    </row>
    <row r="460" spans="1:3" x14ac:dyDescent="0.3">
      <c r="A460" t="s">
        <v>961</v>
      </c>
      <c r="B460" t="s">
        <v>1203</v>
      </c>
      <c r="C460" t="s">
        <v>346</v>
      </c>
    </row>
    <row r="461" spans="1:3" x14ac:dyDescent="0.3">
      <c r="A461" t="s">
        <v>478</v>
      </c>
      <c r="B461" t="s">
        <v>331</v>
      </c>
      <c r="C461" t="s">
        <v>646</v>
      </c>
    </row>
    <row r="462" spans="1:3" x14ac:dyDescent="0.3">
      <c r="A462" t="s">
        <v>276</v>
      </c>
      <c r="B462" t="s">
        <v>2709</v>
      </c>
      <c r="C462" t="s">
        <v>1354</v>
      </c>
    </row>
    <row r="463" spans="1:3" x14ac:dyDescent="0.3">
      <c r="A463" t="s">
        <v>429</v>
      </c>
      <c r="B463" t="s">
        <v>930</v>
      </c>
      <c r="C463" t="s">
        <v>747</v>
      </c>
    </row>
    <row r="464" spans="1:3" x14ac:dyDescent="0.3">
      <c r="A464" t="s">
        <v>1069</v>
      </c>
      <c r="B464" t="s">
        <v>1233</v>
      </c>
      <c r="C464" t="s">
        <v>174</v>
      </c>
    </row>
    <row r="465" spans="1:3" x14ac:dyDescent="0.3">
      <c r="A465" t="s">
        <v>875</v>
      </c>
      <c r="B465" t="s">
        <v>2007</v>
      </c>
      <c r="C465" t="s">
        <v>2139</v>
      </c>
    </row>
    <row r="466" spans="1:3" x14ac:dyDescent="0.3">
      <c r="A466" t="s">
        <v>2056</v>
      </c>
      <c r="B466" t="s">
        <v>2006</v>
      </c>
      <c r="C466" t="s">
        <v>2517</v>
      </c>
    </row>
    <row r="467" spans="1:3" x14ac:dyDescent="0.3">
      <c r="A467" t="s">
        <v>1026</v>
      </c>
      <c r="B467" t="s">
        <v>2183</v>
      </c>
      <c r="C467" t="s">
        <v>354</v>
      </c>
    </row>
    <row r="468" spans="1:3" x14ac:dyDescent="0.3">
      <c r="A468" t="s">
        <v>2556</v>
      </c>
      <c r="B468" t="s">
        <v>675</v>
      </c>
      <c r="C468" t="s">
        <v>309</v>
      </c>
    </row>
    <row r="469" spans="1:3" x14ac:dyDescent="0.3">
      <c r="A469" t="s">
        <v>792</v>
      </c>
      <c r="B469" t="s">
        <v>431</v>
      </c>
      <c r="C469" t="s">
        <v>359</v>
      </c>
    </row>
    <row r="470" spans="1:3" x14ac:dyDescent="0.3">
      <c r="A470" t="s">
        <v>2733</v>
      </c>
      <c r="B470" t="s">
        <v>650</v>
      </c>
      <c r="C470" t="s">
        <v>1357</v>
      </c>
    </row>
    <row r="471" spans="1:3" x14ac:dyDescent="0.3">
      <c r="A471" t="s">
        <v>1654</v>
      </c>
      <c r="B471" t="s">
        <v>1431</v>
      </c>
      <c r="C471" t="s">
        <v>670</v>
      </c>
    </row>
    <row r="472" spans="1:3" x14ac:dyDescent="0.3">
      <c r="A472" t="s">
        <v>1473</v>
      </c>
      <c r="B472" t="s">
        <v>2157</v>
      </c>
      <c r="C472" t="s">
        <v>1269</v>
      </c>
    </row>
    <row r="473" spans="1:3" x14ac:dyDescent="0.3">
      <c r="A473" t="s">
        <v>1135</v>
      </c>
      <c r="B473" t="s">
        <v>1039</v>
      </c>
      <c r="C473" t="s">
        <v>549</v>
      </c>
    </row>
    <row r="474" spans="1:3" x14ac:dyDescent="0.3">
      <c r="A474" t="s">
        <v>498</v>
      </c>
      <c r="B474" t="s">
        <v>1105</v>
      </c>
      <c r="C474" t="s">
        <v>1096</v>
      </c>
    </row>
    <row r="475" spans="1:3" x14ac:dyDescent="0.3">
      <c r="A475" t="s">
        <v>1536</v>
      </c>
      <c r="B475" t="s">
        <v>2662</v>
      </c>
      <c r="C475" t="s">
        <v>2626</v>
      </c>
    </row>
    <row r="476" spans="1:3" x14ac:dyDescent="0.3">
      <c r="A476" t="s">
        <v>1387</v>
      </c>
      <c r="B476" t="s">
        <v>1998</v>
      </c>
      <c r="C476" t="s">
        <v>728</v>
      </c>
    </row>
    <row r="477" spans="1:3" x14ac:dyDescent="0.3">
      <c r="A477" t="s">
        <v>594</v>
      </c>
      <c r="B477" t="s">
        <v>906</v>
      </c>
      <c r="C477" t="s">
        <v>1340</v>
      </c>
    </row>
    <row r="478" spans="1:3" x14ac:dyDescent="0.3">
      <c r="A478" t="s">
        <v>2734</v>
      </c>
      <c r="B478" t="s">
        <v>915</v>
      </c>
      <c r="C478" t="s">
        <v>2403</v>
      </c>
    </row>
    <row r="479" spans="1:3" x14ac:dyDescent="0.3">
      <c r="A479" t="s">
        <v>2484</v>
      </c>
      <c r="B479" t="s">
        <v>272</v>
      </c>
      <c r="C479" t="s">
        <v>585</v>
      </c>
    </row>
    <row r="480" spans="1:3" x14ac:dyDescent="0.3">
      <c r="A480" t="s">
        <v>514</v>
      </c>
      <c r="B480" t="s">
        <v>2671</v>
      </c>
      <c r="C480" t="s">
        <v>2641</v>
      </c>
    </row>
    <row r="481" spans="1:3" x14ac:dyDescent="0.3">
      <c r="A481" t="s">
        <v>2555</v>
      </c>
      <c r="B481" t="s">
        <v>1295</v>
      </c>
      <c r="C481" t="s">
        <v>2372</v>
      </c>
    </row>
    <row r="482" spans="1:3" x14ac:dyDescent="0.3">
      <c r="A482" t="s">
        <v>1081</v>
      </c>
      <c r="B482" t="s">
        <v>2570</v>
      </c>
      <c r="C482" t="s">
        <v>929</v>
      </c>
    </row>
    <row r="483" spans="1:3" x14ac:dyDescent="0.3">
      <c r="A483" t="s">
        <v>90</v>
      </c>
      <c r="B483" t="s">
        <v>414</v>
      </c>
      <c r="C483" t="s">
        <v>2636</v>
      </c>
    </row>
    <row r="484" spans="1:3" x14ac:dyDescent="0.3">
      <c r="A484" t="s">
        <v>721</v>
      </c>
      <c r="B484" t="s">
        <v>1015</v>
      </c>
      <c r="C484" t="s">
        <v>828</v>
      </c>
    </row>
    <row r="485" spans="1:3" x14ac:dyDescent="0.3">
      <c r="A485" t="s">
        <v>1916</v>
      </c>
      <c r="B485" t="s">
        <v>455</v>
      </c>
      <c r="C485" t="s">
        <v>1271</v>
      </c>
    </row>
    <row r="486" spans="1:3" x14ac:dyDescent="0.3">
      <c r="A486" t="s">
        <v>858</v>
      </c>
      <c r="B486" t="s">
        <v>648</v>
      </c>
      <c r="C486" t="s">
        <v>207</v>
      </c>
    </row>
    <row r="487" spans="1:3" x14ac:dyDescent="0.3">
      <c r="A487" t="s">
        <v>2148</v>
      </c>
      <c r="B487" t="s">
        <v>979</v>
      </c>
      <c r="C487" t="s">
        <v>649</v>
      </c>
    </row>
    <row r="488" spans="1:3" x14ac:dyDescent="0.3">
      <c r="A488" t="s">
        <v>614</v>
      </c>
      <c r="B488" t="s">
        <v>1999</v>
      </c>
      <c r="C488" t="s">
        <v>620</v>
      </c>
    </row>
    <row r="489" spans="1:3" x14ac:dyDescent="0.3">
      <c r="A489" t="s">
        <v>1966</v>
      </c>
      <c r="B489" t="s">
        <v>797</v>
      </c>
      <c r="C489" t="s">
        <v>2437</v>
      </c>
    </row>
    <row r="490" spans="1:3" x14ac:dyDescent="0.3">
      <c r="A490" t="s">
        <v>2481</v>
      </c>
      <c r="B490" t="s">
        <v>588</v>
      </c>
      <c r="C490" t="s">
        <v>2439</v>
      </c>
    </row>
    <row r="491" spans="1:3" x14ac:dyDescent="0.3">
      <c r="A491" t="s">
        <v>298</v>
      </c>
      <c r="B491" t="s">
        <v>1712</v>
      </c>
      <c r="C491" t="s">
        <v>725</v>
      </c>
    </row>
    <row r="492" spans="1:3" x14ac:dyDescent="0.3">
      <c r="A492" t="s">
        <v>2500</v>
      </c>
      <c r="B492" t="s">
        <v>151</v>
      </c>
      <c r="C492" t="s">
        <v>788</v>
      </c>
    </row>
    <row r="493" spans="1:3" x14ac:dyDescent="0.3">
      <c r="A493" t="s">
        <v>1977</v>
      </c>
      <c r="B493" t="s">
        <v>77</v>
      </c>
      <c r="C493" t="s">
        <v>1741</v>
      </c>
    </row>
    <row r="494" spans="1:3" x14ac:dyDescent="0.3">
      <c r="A494" t="s">
        <v>705</v>
      </c>
      <c r="B494" t="s">
        <v>427</v>
      </c>
      <c r="C494" t="s">
        <v>1456</v>
      </c>
    </row>
    <row r="495" spans="1:3" x14ac:dyDescent="0.3">
      <c r="A495" t="s">
        <v>443</v>
      </c>
      <c r="B495" t="s">
        <v>2534</v>
      </c>
      <c r="C495" t="s">
        <v>846</v>
      </c>
    </row>
    <row r="496" spans="1:3" x14ac:dyDescent="0.3">
      <c r="A496" t="s">
        <v>687</v>
      </c>
      <c r="B496" t="s">
        <v>982</v>
      </c>
      <c r="C496" t="s">
        <v>2438</v>
      </c>
    </row>
    <row r="497" spans="1:3" x14ac:dyDescent="0.3">
      <c r="A497" t="s">
        <v>2450</v>
      </c>
      <c r="B497" t="s">
        <v>2477</v>
      </c>
      <c r="C497" t="s">
        <v>330</v>
      </c>
    </row>
    <row r="498" spans="1:3" x14ac:dyDescent="0.3">
      <c r="A498" t="s">
        <v>1139</v>
      </c>
      <c r="B498" t="s">
        <v>2451</v>
      </c>
      <c r="C498" t="s">
        <v>1043</v>
      </c>
    </row>
    <row r="499" spans="1:3" x14ac:dyDescent="0.3">
      <c r="A499" t="s">
        <v>184</v>
      </c>
      <c r="B499" t="s">
        <v>1052</v>
      </c>
      <c r="C499" t="s">
        <v>238</v>
      </c>
    </row>
    <row r="500" spans="1:3" x14ac:dyDescent="0.3">
      <c r="A500" t="s">
        <v>2172</v>
      </c>
      <c r="B500" t="s">
        <v>586</v>
      </c>
      <c r="C500" t="s">
        <v>43</v>
      </c>
    </row>
    <row r="501" spans="1:3" x14ac:dyDescent="0.3">
      <c r="A501" t="s">
        <v>2565</v>
      </c>
      <c r="B501" t="s">
        <v>508</v>
      </c>
      <c r="C501" t="s">
        <v>2440</v>
      </c>
    </row>
    <row r="502" spans="1:3" x14ac:dyDescent="0.3">
      <c r="A502" t="s">
        <v>2622</v>
      </c>
      <c r="B502" t="s">
        <v>1388</v>
      </c>
      <c r="C502" t="s">
        <v>173</v>
      </c>
    </row>
    <row r="503" spans="1:3" x14ac:dyDescent="0.3">
      <c r="A503" t="s">
        <v>917</v>
      </c>
      <c r="B503" t="s">
        <v>546</v>
      </c>
      <c r="C503" t="s">
        <v>710</v>
      </c>
    </row>
    <row r="504" spans="1:3" x14ac:dyDescent="0.3">
      <c r="A504" t="s">
        <v>326</v>
      </c>
      <c r="B504" t="s">
        <v>2125</v>
      </c>
      <c r="C504" t="s">
        <v>5</v>
      </c>
    </row>
    <row r="505" spans="1:3" x14ac:dyDescent="0.3">
      <c r="A505" t="s">
        <v>724</v>
      </c>
      <c r="B505" t="s">
        <v>548</v>
      </c>
      <c r="C505" t="s">
        <v>289</v>
      </c>
    </row>
    <row r="506" spans="1:3" x14ac:dyDescent="0.3">
      <c r="A506" t="s">
        <v>825</v>
      </c>
      <c r="B506" t="s">
        <v>1123</v>
      </c>
      <c r="C506" t="s">
        <v>270</v>
      </c>
    </row>
    <row r="507" spans="1:3" x14ac:dyDescent="0.3">
      <c r="A507" t="s">
        <v>68</v>
      </c>
      <c r="B507" t="s">
        <v>1391</v>
      </c>
      <c r="C507" t="s">
        <v>241</v>
      </c>
    </row>
    <row r="508" spans="1:3" x14ac:dyDescent="0.3">
      <c r="A508" t="s">
        <v>975</v>
      </c>
      <c r="C508" t="s">
        <v>2665</v>
      </c>
    </row>
    <row r="509" spans="1:3" x14ac:dyDescent="0.3">
      <c r="A509" t="s">
        <v>2533</v>
      </c>
      <c r="C509" t="s">
        <v>682</v>
      </c>
    </row>
    <row r="510" spans="1:3" x14ac:dyDescent="0.3">
      <c r="A510" t="s">
        <v>1232</v>
      </c>
      <c r="C510" t="s">
        <v>701</v>
      </c>
    </row>
    <row r="511" spans="1:3" x14ac:dyDescent="0.3">
      <c r="A511" t="s">
        <v>1227</v>
      </c>
      <c r="C511" t="s">
        <v>558</v>
      </c>
    </row>
    <row r="512" spans="1:3" x14ac:dyDescent="0.3">
      <c r="A512" t="s">
        <v>446</v>
      </c>
      <c r="C512" t="s">
        <v>690</v>
      </c>
    </row>
    <row r="513" spans="1:3" x14ac:dyDescent="0.3">
      <c r="A513" t="s">
        <v>411</v>
      </c>
      <c r="C513" t="s">
        <v>691</v>
      </c>
    </row>
    <row r="514" spans="1:3" x14ac:dyDescent="0.3">
      <c r="A514" t="s">
        <v>908</v>
      </c>
      <c r="C514" t="s">
        <v>1067</v>
      </c>
    </row>
    <row r="515" spans="1:3" x14ac:dyDescent="0.3">
      <c r="A515" t="s">
        <v>2124</v>
      </c>
      <c r="C515" t="s">
        <v>2120</v>
      </c>
    </row>
    <row r="516" spans="1:3" x14ac:dyDescent="0.3">
      <c r="A516" t="s">
        <v>1361</v>
      </c>
      <c r="C516" t="s">
        <v>2179</v>
      </c>
    </row>
    <row r="517" spans="1:3" x14ac:dyDescent="0.3">
      <c r="A517" t="s">
        <v>985</v>
      </c>
      <c r="C517" t="s">
        <v>2352</v>
      </c>
    </row>
    <row r="518" spans="1:3" x14ac:dyDescent="0.3">
      <c r="A518" t="s">
        <v>73</v>
      </c>
      <c r="C518" t="s">
        <v>2764</v>
      </c>
    </row>
    <row r="519" spans="1:3" x14ac:dyDescent="0.3">
      <c r="A519" t="s">
        <v>520</v>
      </c>
      <c r="C519" t="s">
        <v>1426</v>
      </c>
    </row>
    <row r="520" spans="1:3" x14ac:dyDescent="0.3">
      <c r="A520" t="s">
        <v>465</v>
      </c>
      <c r="C520" t="s">
        <v>1390</v>
      </c>
    </row>
    <row r="521" spans="1:3" x14ac:dyDescent="0.3">
      <c r="A521" t="s">
        <v>189</v>
      </c>
      <c r="C521" t="s">
        <v>960</v>
      </c>
    </row>
    <row r="522" spans="1:3" x14ac:dyDescent="0.3">
      <c r="A522" t="s">
        <v>450</v>
      </c>
      <c r="C522" t="s">
        <v>423</v>
      </c>
    </row>
    <row r="523" spans="1:3" x14ac:dyDescent="0.3">
      <c r="A523" t="s">
        <v>608</v>
      </c>
      <c r="C523" t="s">
        <v>1173</v>
      </c>
    </row>
    <row r="524" spans="1:3" x14ac:dyDescent="0.3">
      <c r="A524" t="s">
        <v>256</v>
      </c>
      <c r="C524" t="s">
        <v>1987</v>
      </c>
    </row>
    <row r="525" spans="1:3" x14ac:dyDescent="0.3">
      <c r="A525" t="s">
        <v>562</v>
      </c>
      <c r="C525" t="s">
        <v>680</v>
      </c>
    </row>
    <row r="526" spans="1:3" x14ac:dyDescent="0.3">
      <c r="A526" t="s">
        <v>2112</v>
      </c>
      <c r="C526" t="s">
        <v>719</v>
      </c>
    </row>
    <row r="527" spans="1:3" x14ac:dyDescent="0.3">
      <c r="A527" t="s">
        <v>333</v>
      </c>
      <c r="C527" t="s">
        <v>564</v>
      </c>
    </row>
    <row r="528" spans="1:3" x14ac:dyDescent="0.3">
      <c r="A528" t="s">
        <v>1574</v>
      </c>
      <c r="C528" t="s">
        <v>984</v>
      </c>
    </row>
    <row r="529" spans="1:3" x14ac:dyDescent="0.3">
      <c r="A529" t="s">
        <v>1447</v>
      </c>
      <c r="C529" t="s">
        <v>1089</v>
      </c>
    </row>
    <row r="530" spans="1:3" x14ac:dyDescent="0.3">
      <c r="A530" t="s">
        <v>2142</v>
      </c>
      <c r="C530" t="s">
        <v>1103</v>
      </c>
    </row>
    <row r="531" spans="1:3" x14ac:dyDescent="0.3">
      <c r="A531" t="s">
        <v>2381</v>
      </c>
      <c r="C531" t="s">
        <v>1122</v>
      </c>
    </row>
    <row r="532" spans="1:3" x14ac:dyDescent="0.3">
      <c r="A532" t="s">
        <v>729</v>
      </c>
      <c r="C532" t="s">
        <v>1993</v>
      </c>
    </row>
    <row r="533" spans="1:3" x14ac:dyDescent="0.3">
      <c r="A533" t="s">
        <v>1716</v>
      </c>
      <c r="C533" t="s">
        <v>2034</v>
      </c>
    </row>
    <row r="534" spans="1:3" x14ac:dyDescent="0.3">
      <c r="A534" t="s">
        <v>454</v>
      </c>
      <c r="C534" t="s">
        <v>2019</v>
      </c>
    </row>
    <row r="535" spans="1:3" x14ac:dyDescent="0.3">
      <c r="A535" t="s">
        <v>2039</v>
      </c>
      <c r="C535" t="s">
        <v>1851</v>
      </c>
    </row>
    <row r="536" spans="1:3" x14ac:dyDescent="0.3">
      <c r="A536" t="s">
        <v>49</v>
      </c>
      <c r="C536" t="s">
        <v>1334</v>
      </c>
    </row>
    <row r="537" spans="1:3" x14ac:dyDescent="0.3">
      <c r="A537" t="s">
        <v>1038</v>
      </c>
      <c r="C537" t="s">
        <v>1294</v>
      </c>
    </row>
    <row r="538" spans="1:3" x14ac:dyDescent="0.3">
      <c r="A538" t="s">
        <v>1312</v>
      </c>
      <c r="C538" t="s">
        <v>2069</v>
      </c>
    </row>
    <row r="539" spans="1:3" x14ac:dyDescent="0.3">
      <c r="A539" t="s">
        <v>1075</v>
      </c>
      <c r="C539" t="s">
        <v>2173</v>
      </c>
    </row>
    <row r="540" spans="1:3" x14ac:dyDescent="0.3">
      <c r="A540" t="s">
        <v>248</v>
      </c>
      <c r="C540" t="s">
        <v>876</v>
      </c>
    </row>
    <row r="541" spans="1:3" x14ac:dyDescent="0.3">
      <c r="A541" t="s">
        <v>448</v>
      </c>
      <c r="C541" t="s">
        <v>1415</v>
      </c>
    </row>
    <row r="542" spans="1:3" x14ac:dyDescent="0.3">
      <c r="A542" t="s">
        <v>570</v>
      </c>
      <c r="C542" t="s">
        <v>1163</v>
      </c>
    </row>
    <row r="543" spans="1:3" x14ac:dyDescent="0.3">
      <c r="A543" t="s">
        <v>808</v>
      </c>
      <c r="C543" t="s">
        <v>1470</v>
      </c>
    </row>
    <row r="544" spans="1:3" x14ac:dyDescent="0.3">
      <c r="A544" t="s">
        <v>573</v>
      </c>
      <c r="C544" t="s">
        <v>2135</v>
      </c>
    </row>
    <row r="545" spans="1:3" x14ac:dyDescent="0.3">
      <c r="A545" t="s">
        <v>676</v>
      </c>
      <c r="C545" t="s">
        <v>513</v>
      </c>
    </row>
    <row r="546" spans="1:3" x14ac:dyDescent="0.3">
      <c r="A546" t="s">
        <v>363</v>
      </c>
      <c r="C546" t="s">
        <v>2193</v>
      </c>
    </row>
    <row r="547" spans="1:3" x14ac:dyDescent="0.3">
      <c r="A547" t="s">
        <v>1152</v>
      </c>
      <c r="C547" t="s">
        <v>1190</v>
      </c>
    </row>
    <row r="548" spans="1:3" x14ac:dyDescent="0.3">
      <c r="A548" t="s">
        <v>160</v>
      </c>
      <c r="C548" t="s">
        <v>1995</v>
      </c>
    </row>
    <row r="549" spans="1:3" x14ac:dyDescent="0.3">
      <c r="A549" t="s">
        <v>1454</v>
      </c>
      <c r="C549" t="s">
        <v>2127</v>
      </c>
    </row>
    <row r="550" spans="1:3" x14ac:dyDescent="0.3">
      <c r="A550" t="s">
        <v>830</v>
      </c>
      <c r="C550" t="s">
        <v>172</v>
      </c>
    </row>
    <row r="551" spans="1:3" x14ac:dyDescent="0.3">
      <c r="A551" t="s">
        <v>2052</v>
      </c>
      <c r="C551" t="s">
        <v>1969</v>
      </c>
    </row>
    <row r="552" spans="1:3" x14ac:dyDescent="0.3">
      <c r="A552" t="s">
        <v>311</v>
      </c>
      <c r="C552" t="s">
        <v>844</v>
      </c>
    </row>
    <row r="553" spans="1:3" x14ac:dyDescent="0.3">
      <c r="A553" t="s">
        <v>438</v>
      </c>
      <c r="C553" t="s">
        <v>2573</v>
      </c>
    </row>
    <row r="554" spans="1:3" x14ac:dyDescent="0.3">
      <c r="A554" t="s">
        <v>2735</v>
      </c>
      <c r="C554" t="s">
        <v>2721</v>
      </c>
    </row>
    <row r="555" spans="1:3" x14ac:dyDescent="0.3">
      <c r="A555" t="s">
        <v>342</v>
      </c>
      <c r="C555" t="s">
        <v>989</v>
      </c>
    </row>
    <row r="556" spans="1:3" x14ac:dyDescent="0.3">
      <c r="A556" t="s">
        <v>54</v>
      </c>
      <c r="C556" t="s">
        <v>171</v>
      </c>
    </row>
    <row r="557" spans="1:3" x14ac:dyDescent="0.3">
      <c r="A557" t="s">
        <v>382</v>
      </c>
      <c r="C557" t="s">
        <v>796</v>
      </c>
    </row>
    <row r="558" spans="1:3" x14ac:dyDescent="0.3">
      <c r="A558" t="s">
        <v>1250</v>
      </c>
      <c r="C558" t="s">
        <v>2391</v>
      </c>
    </row>
    <row r="559" spans="1:3" x14ac:dyDescent="0.3">
      <c r="A559" t="s">
        <v>1399</v>
      </c>
      <c r="C559" t="s">
        <v>491</v>
      </c>
    </row>
    <row r="560" spans="1:3" x14ac:dyDescent="0.3">
      <c r="A560" t="s">
        <v>774</v>
      </c>
      <c r="C560" t="s">
        <v>2188</v>
      </c>
    </row>
    <row r="561" spans="1:3" x14ac:dyDescent="0.3">
      <c r="A561" t="s">
        <v>2557</v>
      </c>
      <c r="C561" t="s">
        <v>1344</v>
      </c>
    </row>
    <row r="562" spans="1:3" x14ac:dyDescent="0.3">
      <c r="A562" t="s">
        <v>10</v>
      </c>
      <c r="C562" t="s">
        <v>2377</v>
      </c>
    </row>
    <row r="563" spans="1:3" x14ac:dyDescent="0.3">
      <c r="A563" t="s">
        <v>895</v>
      </c>
      <c r="C563" t="s">
        <v>632</v>
      </c>
    </row>
    <row r="564" spans="1:3" x14ac:dyDescent="0.3">
      <c r="A564" t="s">
        <v>2736</v>
      </c>
      <c r="C564" t="s">
        <v>361</v>
      </c>
    </row>
    <row r="565" spans="1:3" x14ac:dyDescent="0.3">
      <c r="A565" t="s">
        <v>773</v>
      </c>
      <c r="C565" t="s">
        <v>124</v>
      </c>
    </row>
    <row r="566" spans="1:3" x14ac:dyDescent="0.3">
      <c r="A566" t="s">
        <v>1996</v>
      </c>
      <c r="C566" t="s">
        <v>848</v>
      </c>
    </row>
    <row r="567" spans="1:3" x14ac:dyDescent="0.3">
      <c r="A567" t="s">
        <v>1171</v>
      </c>
      <c r="C567" t="s">
        <v>2144</v>
      </c>
    </row>
    <row r="568" spans="1:3" x14ac:dyDescent="0.3">
      <c r="A568" t="s">
        <v>2737</v>
      </c>
      <c r="C568" t="s">
        <v>964</v>
      </c>
    </row>
    <row r="569" spans="1:3" x14ac:dyDescent="0.3">
      <c r="A569" t="s">
        <v>1453</v>
      </c>
      <c r="C569" t="s">
        <v>391</v>
      </c>
    </row>
    <row r="570" spans="1:3" x14ac:dyDescent="0.3">
      <c r="A570" t="s">
        <v>1201</v>
      </c>
      <c r="C570" t="s">
        <v>2757</v>
      </c>
    </row>
    <row r="571" spans="1:3" x14ac:dyDescent="0.3">
      <c r="C571" t="s">
        <v>1185</v>
      </c>
    </row>
    <row r="572" spans="1:3" x14ac:dyDescent="0.3">
      <c r="C572" t="s">
        <v>302</v>
      </c>
    </row>
    <row r="573" spans="1:3" x14ac:dyDescent="0.3">
      <c r="C573" t="s">
        <v>2099</v>
      </c>
    </row>
    <row r="574" spans="1:3" x14ac:dyDescent="0.3">
      <c r="C574" t="s">
        <v>214</v>
      </c>
    </row>
    <row r="575" spans="1:3" x14ac:dyDescent="0.3">
      <c r="C575" t="s">
        <v>936</v>
      </c>
    </row>
    <row r="576" spans="1:3" x14ac:dyDescent="0.3">
      <c r="C576" t="s">
        <v>878</v>
      </c>
    </row>
    <row r="577" spans="3:3" x14ac:dyDescent="0.3">
      <c r="C577" t="s">
        <v>1197</v>
      </c>
    </row>
    <row r="578" spans="3:3" x14ac:dyDescent="0.3">
      <c r="C578" t="s">
        <v>1435</v>
      </c>
    </row>
    <row r="579" spans="3:3" x14ac:dyDescent="0.3">
      <c r="C579" t="s">
        <v>445</v>
      </c>
    </row>
    <row r="580" spans="3:3" x14ac:dyDescent="0.3">
      <c r="C580" t="s">
        <v>667</v>
      </c>
    </row>
    <row r="581" spans="3:3" x14ac:dyDescent="0.3">
      <c r="C581" t="s">
        <v>2679</v>
      </c>
    </row>
    <row r="582" spans="3:3" x14ac:dyDescent="0.3">
      <c r="C582" t="s">
        <v>998</v>
      </c>
    </row>
    <row r="583" spans="3:3" x14ac:dyDescent="0.3">
      <c r="C583" t="s">
        <v>950</v>
      </c>
    </row>
    <row r="584" spans="3:3" x14ac:dyDescent="0.3">
      <c r="C584" t="s">
        <v>1300</v>
      </c>
    </row>
    <row r="585" spans="3:3" x14ac:dyDescent="0.3">
      <c r="C585" t="s">
        <v>2025</v>
      </c>
    </row>
    <row r="586" spans="3:3" x14ac:dyDescent="0.3">
      <c r="C586" t="s">
        <v>801</v>
      </c>
    </row>
    <row r="587" spans="3:3" x14ac:dyDescent="0.3">
      <c r="C587" t="s">
        <v>2232</v>
      </c>
    </row>
    <row r="588" spans="3:3" x14ac:dyDescent="0.3">
      <c r="C588" t="s">
        <v>373</v>
      </c>
    </row>
    <row r="589" spans="3:3" x14ac:dyDescent="0.3">
      <c r="C589" t="s">
        <v>1001</v>
      </c>
    </row>
    <row r="590" spans="3:3" x14ac:dyDescent="0.3">
      <c r="C590" t="s">
        <v>462</v>
      </c>
    </row>
    <row r="591" spans="3:3" x14ac:dyDescent="0.3">
      <c r="C591" t="s">
        <v>30</v>
      </c>
    </row>
    <row r="592" spans="3:3" x14ac:dyDescent="0.3">
      <c r="C592" t="s">
        <v>255</v>
      </c>
    </row>
    <row r="593" spans="3:3" x14ac:dyDescent="0.3">
      <c r="C593" t="s">
        <v>865</v>
      </c>
    </row>
    <row r="594" spans="3:3" x14ac:dyDescent="0.3">
      <c r="C594" t="s">
        <v>905</v>
      </c>
    </row>
    <row r="595" spans="3:3" x14ac:dyDescent="0.3">
      <c r="C595" t="s">
        <v>2619</v>
      </c>
    </row>
    <row r="596" spans="3:3" x14ac:dyDescent="0.3">
      <c r="C596" t="s">
        <v>884</v>
      </c>
    </row>
    <row r="597" spans="3:3" x14ac:dyDescent="0.3">
      <c r="C597" t="s">
        <v>2551</v>
      </c>
    </row>
    <row r="598" spans="3:3" x14ac:dyDescent="0.3">
      <c r="C598" t="s">
        <v>841</v>
      </c>
    </row>
    <row r="599" spans="3:3" x14ac:dyDescent="0.3">
      <c r="C599" t="s">
        <v>1078</v>
      </c>
    </row>
    <row r="600" spans="3:3" x14ac:dyDescent="0.3">
      <c r="C600" t="s">
        <v>215</v>
      </c>
    </row>
    <row r="601" spans="3:3" x14ac:dyDescent="0.3">
      <c r="C601" t="s">
        <v>717</v>
      </c>
    </row>
    <row r="602" spans="3:3" x14ac:dyDescent="0.3">
      <c r="C602" t="s">
        <v>1174</v>
      </c>
    </row>
    <row r="603" spans="3:3" x14ac:dyDescent="0.3">
      <c r="C603" t="s">
        <v>2158</v>
      </c>
    </row>
    <row r="604" spans="3:3" x14ac:dyDescent="0.3">
      <c r="C604" t="s">
        <v>183</v>
      </c>
    </row>
    <row r="605" spans="3:3" x14ac:dyDescent="0.3">
      <c r="C605" t="s">
        <v>517</v>
      </c>
    </row>
    <row r="606" spans="3:3" x14ac:dyDescent="0.3">
      <c r="C606" t="s">
        <v>2686</v>
      </c>
    </row>
    <row r="607" spans="3:3" x14ac:dyDescent="0.3">
      <c r="C607" t="s">
        <v>515</v>
      </c>
    </row>
    <row r="608" spans="3:3" x14ac:dyDescent="0.3">
      <c r="C608" t="s">
        <v>121</v>
      </c>
    </row>
    <row r="609" spans="3:3" x14ac:dyDescent="0.3">
      <c r="C609" t="s">
        <v>538</v>
      </c>
    </row>
    <row r="610" spans="3:3" x14ac:dyDescent="0.3">
      <c r="C610" t="s">
        <v>2758</v>
      </c>
    </row>
    <row r="611" spans="3:3" x14ac:dyDescent="0.3">
      <c r="C611" t="s">
        <v>98</v>
      </c>
    </row>
    <row r="612" spans="3:3" x14ac:dyDescent="0.3">
      <c r="C612" t="s">
        <v>1948</v>
      </c>
    </row>
    <row r="613" spans="3:3" x14ac:dyDescent="0.3">
      <c r="C613" t="s">
        <v>913</v>
      </c>
    </row>
    <row r="614" spans="3:3" x14ac:dyDescent="0.3">
      <c r="C614" t="s">
        <v>1382</v>
      </c>
    </row>
    <row r="615" spans="3:3" x14ac:dyDescent="0.3">
      <c r="C615" t="s">
        <v>471</v>
      </c>
    </row>
    <row r="616" spans="3:3" x14ac:dyDescent="0.3">
      <c r="C616" t="s">
        <v>2720</v>
      </c>
    </row>
    <row r="617" spans="3:3" x14ac:dyDescent="0.3">
      <c r="C617" t="s">
        <v>1098</v>
      </c>
    </row>
    <row r="618" spans="3:3" x14ac:dyDescent="0.3">
      <c r="C618" t="s">
        <v>1218</v>
      </c>
    </row>
    <row r="619" spans="3:3" x14ac:dyDescent="0.3">
      <c r="C619" t="s">
        <v>2409</v>
      </c>
    </row>
    <row r="620" spans="3:3" x14ac:dyDescent="0.3">
      <c r="C620" t="s">
        <v>1293</v>
      </c>
    </row>
    <row r="621" spans="3:3" x14ac:dyDescent="0.3">
      <c r="C621" t="s">
        <v>683</v>
      </c>
    </row>
    <row r="622" spans="3:3" x14ac:dyDescent="0.3">
      <c r="C622" t="s">
        <v>1244</v>
      </c>
    </row>
    <row r="623" spans="3:3" x14ac:dyDescent="0.3">
      <c r="C623" t="s">
        <v>1575</v>
      </c>
    </row>
    <row r="624" spans="3:3" x14ac:dyDescent="0.3">
      <c r="C624" t="s">
        <v>338</v>
      </c>
    </row>
    <row r="625" spans="3:3" x14ac:dyDescent="0.3">
      <c r="C625" t="s">
        <v>1306</v>
      </c>
    </row>
    <row r="626" spans="3:3" x14ac:dyDescent="0.3">
      <c r="C626" t="s">
        <v>939</v>
      </c>
    </row>
    <row r="627" spans="3:3" x14ac:dyDescent="0.3">
      <c r="C627" t="s">
        <v>1385</v>
      </c>
    </row>
    <row r="628" spans="3:3" x14ac:dyDescent="0.3">
      <c r="C628" t="s">
        <v>873</v>
      </c>
    </row>
    <row r="629" spans="3:3" x14ac:dyDescent="0.3">
      <c r="C629" t="s">
        <v>779</v>
      </c>
    </row>
    <row r="630" spans="3:3" x14ac:dyDescent="0.3">
      <c r="C630" t="s">
        <v>512</v>
      </c>
    </row>
    <row r="631" spans="3:3" x14ac:dyDescent="0.3">
      <c r="C631" t="s">
        <v>2561</v>
      </c>
    </row>
    <row r="632" spans="3:3" x14ac:dyDescent="0.3">
      <c r="C632" t="s">
        <v>577</v>
      </c>
    </row>
    <row r="633" spans="3:3" x14ac:dyDescent="0.3">
      <c r="C633" t="s">
        <v>461</v>
      </c>
    </row>
    <row r="634" spans="3:3" x14ac:dyDescent="0.3">
      <c r="C634" t="s">
        <v>1005</v>
      </c>
    </row>
    <row r="635" spans="3:3" x14ac:dyDescent="0.3">
      <c r="C635" t="s">
        <v>76</v>
      </c>
    </row>
    <row r="636" spans="3:3" x14ac:dyDescent="0.3">
      <c r="C636" t="s">
        <v>2691</v>
      </c>
    </row>
    <row r="637" spans="3:3" x14ac:dyDescent="0.3">
      <c r="C637" t="s">
        <v>1425</v>
      </c>
    </row>
    <row r="638" spans="3:3" x14ac:dyDescent="0.3">
      <c r="C638" t="s">
        <v>39</v>
      </c>
    </row>
    <row r="639" spans="3:3" x14ac:dyDescent="0.3">
      <c r="C639" t="s">
        <v>451</v>
      </c>
    </row>
    <row r="640" spans="3:3" x14ac:dyDescent="0.3">
      <c r="C640" t="s">
        <v>2472</v>
      </c>
    </row>
    <row r="641" spans="3:3" x14ac:dyDescent="0.3">
      <c r="C641" t="s">
        <v>976</v>
      </c>
    </row>
    <row r="642" spans="3:3" x14ac:dyDescent="0.3">
      <c r="C642" t="s">
        <v>201</v>
      </c>
    </row>
    <row r="643" spans="3:3" x14ac:dyDescent="0.3">
      <c r="C643" t="s">
        <v>2393</v>
      </c>
    </row>
    <row r="644" spans="3:3" x14ac:dyDescent="0.3">
      <c r="C644" t="s">
        <v>742</v>
      </c>
    </row>
    <row r="645" spans="3:3" x14ac:dyDescent="0.3">
      <c r="C645" t="s">
        <v>1409</v>
      </c>
    </row>
    <row r="646" spans="3:3" x14ac:dyDescent="0.3">
      <c r="C646" t="s">
        <v>2136</v>
      </c>
    </row>
    <row r="647" spans="3:3" x14ac:dyDescent="0.3">
      <c r="C647" t="s">
        <v>1305</v>
      </c>
    </row>
    <row r="648" spans="3:3" x14ac:dyDescent="0.3">
      <c r="C648" t="s">
        <v>673</v>
      </c>
    </row>
    <row r="649" spans="3:3" x14ac:dyDescent="0.3">
      <c r="C649" t="s">
        <v>315</v>
      </c>
    </row>
    <row r="650" spans="3:3" x14ac:dyDescent="0.3">
      <c r="C650" t="s">
        <v>902</v>
      </c>
    </row>
    <row r="651" spans="3:3" x14ac:dyDescent="0.3">
      <c r="C651" t="s">
        <v>927</v>
      </c>
    </row>
    <row r="652" spans="3:3" x14ac:dyDescent="0.3">
      <c r="C652" t="s">
        <v>153</v>
      </c>
    </row>
    <row r="653" spans="3:3" x14ac:dyDescent="0.3">
      <c r="C653" t="s">
        <v>640</v>
      </c>
    </row>
    <row r="654" spans="3:3" x14ac:dyDescent="0.3">
      <c r="C654" t="s">
        <v>1323</v>
      </c>
    </row>
    <row r="655" spans="3:3" x14ac:dyDescent="0.3">
      <c r="C655" t="s">
        <v>1246</v>
      </c>
    </row>
    <row r="656" spans="3:3" x14ac:dyDescent="0.3">
      <c r="C656" t="s">
        <v>1461</v>
      </c>
    </row>
    <row r="657" spans="3:3" x14ac:dyDescent="0.3">
      <c r="C657" t="s">
        <v>1437</v>
      </c>
    </row>
    <row r="658" spans="3:3" x14ac:dyDescent="0.3">
      <c r="C658" t="s">
        <v>2234</v>
      </c>
    </row>
    <row r="659" spans="3:3" x14ac:dyDescent="0.3">
      <c r="C659" t="s">
        <v>582</v>
      </c>
    </row>
    <row r="660" spans="3:3" x14ac:dyDescent="0.3">
      <c r="C660" t="s">
        <v>726</v>
      </c>
    </row>
    <row r="661" spans="3:3" x14ac:dyDescent="0.3">
      <c r="C661" t="s">
        <v>2719</v>
      </c>
    </row>
    <row r="662" spans="3:3" x14ac:dyDescent="0.3">
      <c r="C662" t="s">
        <v>1080</v>
      </c>
    </row>
    <row r="663" spans="3:3" x14ac:dyDescent="0.3">
      <c r="C663" t="s">
        <v>1150</v>
      </c>
    </row>
    <row r="664" spans="3:3" x14ac:dyDescent="0.3">
      <c r="C664" t="s">
        <v>530</v>
      </c>
    </row>
    <row r="665" spans="3:3" x14ac:dyDescent="0.3">
      <c r="C665" t="s">
        <v>806</v>
      </c>
    </row>
    <row r="666" spans="3:3" x14ac:dyDescent="0.3">
      <c r="C666" t="s">
        <v>660</v>
      </c>
    </row>
    <row r="667" spans="3:3" x14ac:dyDescent="0.3">
      <c r="C667" t="s">
        <v>356</v>
      </c>
    </row>
    <row r="668" spans="3:3" x14ac:dyDescent="0.3">
      <c r="C668" t="s">
        <v>2384</v>
      </c>
    </row>
    <row r="669" spans="3:3" x14ac:dyDescent="0.3">
      <c r="C669" t="s">
        <v>1417</v>
      </c>
    </row>
    <row r="670" spans="3:3" x14ac:dyDescent="0.3">
      <c r="C670" t="s">
        <v>899</v>
      </c>
    </row>
    <row r="671" spans="3:3" x14ac:dyDescent="0.3">
      <c r="C671" t="s">
        <v>671</v>
      </c>
    </row>
    <row r="672" spans="3:3" x14ac:dyDescent="0.3">
      <c r="C672" t="s">
        <v>58</v>
      </c>
    </row>
    <row r="673" spans="3:3" x14ac:dyDescent="0.3">
      <c r="C673" t="s">
        <v>107</v>
      </c>
    </row>
    <row r="674" spans="3:3" x14ac:dyDescent="0.3">
      <c r="C674" t="s">
        <v>1068</v>
      </c>
    </row>
    <row r="675" spans="3:3" x14ac:dyDescent="0.3">
      <c r="C675" t="s">
        <v>488</v>
      </c>
    </row>
    <row r="676" spans="3:3" x14ac:dyDescent="0.3">
      <c r="C676" t="s">
        <v>1894</v>
      </c>
    </row>
    <row r="677" spans="3:3" x14ac:dyDescent="0.3">
      <c r="C677" t="s">
        <v>842</v>
      </c>
    </row>
    <row r="678" spans="3:3" x14ac:dyDescent="0.3">
      <c r="C678" t="s">
        <v>898</v>
      </c>
    </row>
    <row r="679" spans="3:3" x14ac:dyDescent="0.3">
      <c r="C679" t="s">
        <v>2475</v>
      </c>
    </row>
    <row r="680" spans="3:3" x14ac:dyDescent="0.3">
      <c r="C680" t="s">
        <v>1144</v>
      </c>
    </row>
    <row r="681" spans="3:3" x14ac:dyDescent="0.3">
      <c r="C681" t="s">
        <v>1012</v>
      </c>
    </row>
    <row r="682" spans="3:3" x14ac:dyDescent="0.3">
      <c r="C682" t="s">
        <v>988</v>
      </c>
    </row>
    <row r="683" spans="3:3" x14ac:dyDescent="0.3">
      <c r="C683" t="s">
        <v>949</v>
      </c>
    </row>
    <row r="684" spans="3:3" x14ac:dyDescent="0.3">
      <c r="C684" t="s">
        <v>332</v>
      </c>
    </row>
    <row r="685" spans="3:3" x14ac:dyDescent="0.3">
      <c r="C685" t="s">
        <v>731</v>
      </c>
    </row>
    <row r="686" spans="3:3" x14ac:dyDescent="0.3">
      <c r="C686" t="s">
        <v>1060</v>
      </c>
    </row>
    <row r="687" spans="3:3" x14ac:dyDescent="0.3">
      <c r="C687" t="s">
        <v>940</v>
      </c>
    </row>
    <row r="688" spans="3:3" x14ac:dyDescent="0.3">
      <c r="C688" t="s">
        <v>991</v>
      </c>
    </row>
    <row r="689" spans="3:3" x14ac:dyDescent="0.3">
      <c r="C689" t="s">
        <v>485</v>
      </c>
    </row>
    <row r="690" spans="3:3" x14ac:dyDescent="0.3">
      <c r="C690" t="s">
        <v>1645</v>
      </c>
    </row>
    <row r="691" spans="3:3" x14ac:dyDescent="0.3">
      <c r="C691" t="s">
        <v>522</v>
      </c>
    </row>
    <row r="692" spans="3:3" x14ac:dyDescent="0.3">
      <c r="C692" t="s">
        <v>907</v>
      </c>
    </row>
    <row r="693" spans="3:3" x14ac:dyDescent="0.3">
      <c r="C693" t="s">
        <v>840</v>
      </c>
    </row>
    <row r="694" spans="3:3" x14ac:dyDescent="0.3">
      <c r="C694" t="s">
        <v>2092</v>
      </c>
    </row>
    <row r="695" spans="3:3" x14ac:dyDescent="0.3">
      <c r="C695" t="s">
        <v>2002</v>
      </c>
    </row>
    <row r="696" spans="3:3" x14ac:dyDescent="0.3">
      <c r="C696" t="s">
        <v>784</v>
      </c>
    </row>
    <row r="697" spans="3:3" x14ac:dyDescent="0.3">
      <c r="C697" t="s">
        <v>2453</v>
      </c>
    </row>
    <row r="698" spans="3:3" x14ac:dyDescent="0.3">
      <c r="C698" t="s">
        <v>424</v>
      </c>
    </row>
    <row r="699" spans="3:3" x14ac:dyDescent="0.3">
      <c r="C699" t="s">
        <v>2067</v>
      </c>
    </row>
    <row r="700" spans="3:3" x14ac:dyDescent="0.3">
      <c r="C700" t="s">
        <v>1008</v>
      </c>
    </row>
    <row r="701" spans="3:3" x14ac:dyDescent="0.3">
      <c r="C701" t="s">
        <v>857</v>
      </c>
    </row>
    <row r="702" spans="3:3" x14ac:dyDescent="0.3">
      <c r="C702" t="s">
        <v>80</v>
      </c>
    </row>
    <row r="703" spans="3:3" x14ac:dyDescent="0.3">
      <c r="C703" t="s">
        <v>85</v>
      </c>
    </row>
    <row r="704" spans="3:3" x14ac:dyDescent="0.3">
      <c r="C704" t="s">
        <v>1798</v>
      </c>
    </row>
    <row r="705" spans="3:3" x14ac:dyDescent="0.3">
      <c r="C705" t="s">
        <v>2054</v>
      </c>
    </row>
    <row r="706" spans="3:3" x14ac:dyDescent="0.3">
      <c r="C706" t="s">
        <v>2759</v>
      </c>
    </row>
    <row r="707" spans="3:3" x14ac:dyDescent="0.3">
      <c r="C707" t="s">
        <v>2027</v>
      </c>
    </row>
    <row r="708" spans="3:3" x14ac:dyDescent="0.3">
      <c r="C708" t="s">
        <v>182</v>
      </c>
    </row>
    <row r="709" spans="3:3" x14ac:dyDescent="0.3">
      <c r="C709" t="s">
        <v>1372</v>
      </c>
    </row>
    <row r="710" spans="3:3" x14ac:dyDescent="0.3">
      <c r="C710" t="s">
        <v>972</v>
      </c>
    </row>
    <row r="711" spans="3:3" x14ac:dyDescent="0.3">
      <c r="C711" t="s">
        <v>2760</v>
      </c>
    </row>
    <row r="712" spans="3:3" x14ac:dyDescent="0.3">
      <c r="C712" t="s">
        <v>1207</v>
      </c>
    </row>
    <row r="713" spans="3:3" x14ac:dyDescent="0.3">
      <c r="C713" t="s">
        <v>2586</v>
      </c>
    </row>
    <row r="714" spans="3:3" x14ac:dyDescent="0.3">
      <c r="C714" t="s">
        <v>2184</v>
      </c>
    </row>
    <row r="715" spans="3:3" x14ac:dyDescent="0.3">
      <c r="C715" t="s">
        <v>557</v>
      </c>
    </row>
    <row r="716" spans="3:3" x14ac:dyDescent="0.3">
      <c r="C716" t="s">
        <v>534</v>
      </c>
    </row>
    <row r="717" spans="3:3" x14ac:dyDescent="0.3">
      <c r="C717" t="s">
        <v>863</v>
      </c>
    </row>
    <row r="718" spans="3:3" x14ac:dyDescent="0.3">
      <c r="C718" t="s">
        <v>1952</v>
      </c>
    </row>
    <row r="719" spans="3:3" x14ac:dyDescent="0.3">
      <c r="C719" t="s">
        <v>1210</v>
      </c>
    </row>
    <row r="720" spans="3:3" x14ac:dyDescent="0.3">
      <c r="C720" t="s">
        <v>1204</v>
      </c>
    </row>
    <row r="721" spans="3:3" x14ac:dyDescent="0.3">
      <c r="C721" t="s">
        <v>216</v>
      </c>
    </row>
    <row r="722" spans="3:3" x14ac:dyDescent="0.3">
      <c r="C722" t="s">
        <v>1958</v>
      </c>
    </row>
    <row r="723" spans="3:3" x14ac:dyDescent="0.3">
      <c r="C723" t="s">
        <v>510</v>
      </c>
    </row>
    <row r="724" spans="3:3" x14ac:dyDescent="0.3">
      <c r="C724" t="s">
        <v>958</v>
      </c>
    </row>
    <row r="725" spans="3:3" x14ac:dyDescent="0.3">
      <c r="C725" t="s">
        <v>852</v>
      </c>
    </row>
    <row r="726" spans="3:3" x14ac:dyDescent="0.3">
      <c r="C726" t="s">
        <v>1072</v>
      </c>
    </row>
    <row r="727" spans="3:3" x14ac:dyDescent="0.3">
      <c r="C727" t="s">
        <v>818</v>
      </c>
    </row>
    <row r="728" spans="3:3" x14ac:dyDescent="0.3">
      <c r="C728" t="s">
        <v>1181</v>
      </c>
    </row>
    <row r="729" spans="3:3" x14ac:dyDescent="0.3">
      <c r="C729" t="s">
        <v>1231</v>
      </c>
    </row>
    <row r="730" spans="3:3" x14ac:dyDescent="0.3">
      <c r="C730" t="s">
        <v>1757</v>
      </c>
    </row>
    <row r="731" spans="3:3" x14ac:dyDescent="0.3">
      <c r="C731" t="s">
        <v>618</v>
      </c>
    </row>
    <row r="732" spans="3:3" x14ac:dyDescent="0.3">
      <c r="C732" t="s">
        <v>694</v>
      </c>
    </row>
    <row r="733" spans="3:3" x14ac:dyDescent="0.3">
      <c r="C733" t="s">
        <v>637</v>
      </c>
    </row>
    <row r="734" spans="3:3" x14ac:dyDescent="0.3">
      <c r="C734" t="s">
        <v>766</v>
      </c>
    </row>
    <row r="735" spans="3:3" x14ac:dyDescent="0.3">
      <c r="C735" t="s">
        <v>1252</v>
      </c>
    </row>
    <row r="736" spans="3:3" x14ac:dyDescent="0.3">
      <c r="C736" t="s">
        <v>1148</v>
      </c>
    </row>
    <row r="737" spans="3:3" x14ac:dyDescent="0.3">
      <c r="C737" t="s">
        <v>319</v>
      </c>
    </row>
    <row r="738" spans="3:3" x14ac:dyDescent="0.3">
      <c r="C738" t="s">
        <v>1368</v>
      </c>
    </row>
    <row r="739" spans="3:3" x14ac:dyDescent="0.3">
      <c r="C739" t="s">
        <v>750</v>
      </c>
    </row>
    <row r="740" spans="3:3" x14ac:dyDescent="0.3">
      <c r="C740" t="s">
        <v>983</v>
      </c>
    </row>
    <row r="741" spans="3:3" x14ac:dyDescent="0.3">
      <c r="C741" t="s">
        <v>723</v>
      </c>
    </row>
    <row r="742" spans="3:3" x14ac:dyDescent="0.3">
      <c r="C742" t="s">
        <v>422</v>
      </c>
    </row>
    <row r="743" spans="3:3" x14ac:dyDescent="0.3">
      <c r="C743" t="s">
        <v>2448</v>
      </c>
    </row>
    <row r="744" spans="3:3" x14ac:dyDescent="0.3">
      <c r="C744" t="s">
        <v>1142</v>
      </c>
    </row>
    <row r="745" spans="3:3" x14ac:dyDescent="0.3">
      <c r="C745" t="s">
        <v>2611</v>
      </c>
    </row>
    <row r="746" spans="3:3" x14ac:dyDescent="0.3">
      <c r="C746" t="s">
        <v>1077</v>
      </c>
    </row>
    <row r="747" spans="3:3" x14ac:dyDescent="0.3">
      <c r="C747" t="s">
        <v>1051</v>
      </c>
    </row>
    <row r="748" spans="3:3" x14ac:dyDescent="0.3">
      <c r="C748" t="s">
        <v>603</v>
      </c>
    </row>
    <row r="749" spans="3:3" x14ac:dyDescent="0.3">
      <c r="C749" t="s">
        <v>2761</v>
      </c>
    </row>
    <row r="750" spans="3:3" x14ac:dyDescent="0.3">
      <c r="C750" t="s">
        <v>1332</v>
      </c>
    </row>
    <row r="751" spans="3:3" x14ac:dyDescent="0.3">
      <c r="C751" t="s">
        <v>1427</v>
      </c>
    </row>
    <row r="752" spans="3:3" x14ac:dyDescent="0.3">
      <c r="C752" t="s">
        <v>2434</v>
      </c>
    </row>
    <row r="753" spans="3:3" x14ac:dyDescent="0.3">
      <c r="C753" t="s">
        <v>2658</v>
      </c>
    </row>
    <row r="754" spans="3:3" x14ac:dyDescent="0.3">
      <c r="C754" t="s">
        <v>2094</v>
      </c>
    </row>
    <row r="755" spans="3:3" x14ac:dyDescent="0.3">
      <c r="C755" t="s">
        <v>224</v>
      </c>
    </row>
    <row r="756" spans="3:3" x14ac:dyDescent="0.3">
      <c r="C756" t="s">
        <v>822</v>
      </c>
    </row>
    <row r="757" spans="3:3" x14ac:dyDescent="0.3">
      <c r="C757" t="s">
        <v>1233</v>
      </c>
    </row>
    <row r="758" spans="3:3" x14ac:dyDescent="0.3">
      <c r="C758" t="s">
        <v>575</v>
      </c>
    </row>
    <row r="759" spans="3:3" x14ac:dyDescent="0.3">
      <c r="C759" t="s">
        <v>163</v>
      </c>
    </row>
    <row r="760" spans="3:3" x14ac:dyDescent="0.3">
      <c r="C760" t="s">
        <v>1961</v>
      </c>
    </row>
    <row r="761" spans="3:3" x14ac:dyDescent="0.3">
      <c r="C761" t="s">
        <v>943</v>
      </c>
    </row>
    <row r="762" spans="3:3" x14ac:dyDescent="0.3">
      <c r="C762" t="s">
        <v>1011</v>
      </c>
    </row>
    <row r="763" spans="3:3" x14ac:dyDescent="0.3">
      <c r="C763" t="s">
        <v>1120</v>
      </c>
    </row>
    <row r="764" spans="3:3" x14ac:dyDescent="0.3">
      <c r="C764" t="s">
        <v>1316</v>
      </c>
    </row>
    <row r="765" spans="3:3" x14ac:dyDescent="0.3">
      <c r="C765" t="s">
        <v>2014</v>
      </c>
    </row>
    <row r="766" spans="3:3" x14ac:dyDescent="0.3">
      <c r="C766" t="s">
        <v>1759</v>
      </c>
    </row>
    <row r="767" spans="3:3" x14ac:dyDescent="0.3">
      <c r="C767" t="s">
        <v>2196</v>
      </c>
    </row>
    <row r="768" spans="3:3" x14ac:dyDescent="0.3">
      <c r="C768" t="s">
        <v>285</v>
      </c>
    </row>
    <row r="769" spans="3:3" x14ac:dyDescent="0.3">
      <c r="C769" t="s">
        <v>284</v>
      </c>
    </row>
    <row r="770" spans="3:3" x14ac:dyDescent="0.3">
      <c r="C770" t="s">
        <v>2430</v>
      </c>
    </row>
    <row r="771" spans="3:3" x14ac:dyDescent="0.3">
      <c r="C771" t="s">
        <v>1383</v>
      </c>
    </row>
    <row r="772" spans="3:3" x14ac:dyDescent="0.3">
      <c r="C772" t="s">
        <v>1079</v>
      </c>
    </row>
    <row r="773" spans="3:3" x14ac:dyDescent="0.3">
      <c r="C773" t="s">
        <v>1401</v>
      </c>
    </row>
    <row r="774" spans="3:3" x14ac:dyDescent="0.3">
      <c r="C774" t="s">
        <v>1346</v>
      </c>
    </row>
    <row r="775" spans="3:3" x14ac:dyDescent="0.3">
      <c r="C775" t="s">
        <v>87</v>
      </c>
    </row>
    <row r="776" spans="3:3" x14ac:dyDescent="0.3">
      <c r="C776" t="s">
        <v>734</v>
      </c>
    </row>
    <row r="777" spans="3:3" x14ac:dyDescent="0.3">
      <c r="C777" t="s">
        <v>765</v>
      </c>
    </row>
    <row r="778" spans="3:3" x14ac:dyDescent="0.3">
      <c r="C778" t="s">
        <v>89</v>
      </c>
    </row>
    <row r="779" spans="3:3" x14ac:dyDescent="0.3">
      <c r="C779" t="s">
        <v>590</v>
      </c>
    </row>
    <row r="780" spans="3:3" x14ac:dyDescent="0.3">
      <c r="C780" t="s">
        <v>1037</v>
      </c>
    </row>
    <row r="781" spans="3:3" x14ac:dyDescent="0.3">
      <c r="C781" t="s">
        <v>716</v>
      </c>
    </row>
    <row r="782" spans="3:3" x14ac:dyDescent="0.3">
      <c r="C782" t="s">
        <v>1411</v>
      </c>
    </row>
    <row r="783" spans="3:3" x14ac:dyDescent="0.3">
      <c r="C783" t="s">
        <v>374</v>
      </c>
    </row>
    <row r="784" spans="3:3" x14ac:dyDescent="0.3">
      <c r="C784" t="s">
        <v>288</v>
      </c>
    </row>
    <row r="785" spans="3:3" x14ac:dyDescent="0.3">
      <c r="C785" t="s">
        <v>595</v>
      </c>
    </row>
    <row r="786" spans="3:3" x14ac:dyDescent="0.3">
      <c r="C786" t="s">
        <v>473</v>
      </c>
    </row>
    <row r="787" spans="3:3" x14ac:dyDescent="0.3">
      <c r="C787" t="s">
        <v>601</v>
      </c>
    </row>
    <row r="788" spans="3:3" x14ac:dyDescent="0.3">
      <c r="C788" t="s">
        <v>1296</v>
      </c>
    </row>
    <row r="789" spans="3:3" x14ac:dyDescent="0.3">
      <c r="C789" t="s">
        <v>493</v>
      </c>
    </row>
    <row r="790" spans="3:3" x14ac:dyDescent="0.3">
      <c r="C790" t="s">
        <v>1406</v>
      </c>
    </row>
    <row r="791" spans="3:3" x14ac:dyDescent="0.3">
      <c r="C791" t="s">
        <v>2712</v>
      </c>
    </row>
    <row r="792" spans="3:3" x14ac:dyDescent="0.3">
      <c r="C792" t="s">
        <v>2082</v>
      </c>
    </row>
    <row r="793" spans="3:3" x14ac:dyDescent="0.3">
      <c r="C793" t="s">
        <v>569</v>
      </c>
    </row>
    <row r="794" spans="3:3" x14ac:dyDescent="0.3">
      <c r="C794" t="s">
        <v>503</v>
      </c>
    </row>
    <row r="795" spans="3:3" x14ac:dyDescent="0.3">
      <c r="C795" t="s">
        <v>2711</v>
      </c>
    </row>
    <row r="796" spans="3:3" x14ac:dyDescent="0.3">
      <c r="C796" t="s">
        <v>2040</v>
      </c>
    </row>
    <row r="797" spans="3:3" x14ac:dyDescent="0.3">
      <c r="C797" t="s">
        <v>1248</v>
      </c>
    </row>
    <row r="798" spans="3:3" x14ac:dyDescent="0.3">
      <c r="C798" t="s">
        <v>2143</v>
      </c>
    </row>
    <row r="799" spans="3:3" x14ac:dyDescent="0.3">
      <c r="C799" t="s">
        <v>1258</v>
      </c>
    </row>
    <row r="800" spans="3:3" x14ac:dyDescent="0.3">
      <c r="C800" t="s">
        <v>888</v>
      </c>
    </row>
    <row r="801" spans="3:3" x14ac:dyDescent="0.3">
      <c r="C801" t="s">
        <v>480</v>
      </c>
    </row>
    <row r="802" spans="3:3" x14ac:dyDescent="0.3">
      <c r="C802" t="s">
        <v>732</v>
      </c>
    </row>
    <row r="803" spans="3:3" x14ac:dyDescent="0.3">
      <c r="C803" t="s">
        <v>416</v>
      </c>
    </row>
    <row r="804" spans="3:3" x14ac:dyDescent="0.3">
      <c r="C804" t="s">
        <v>2643</v>
      </c>
    </row>
    <row r="805" spans="3:3" x14ac:dyDescent="0.3">
      <c r="C805" t="s">
        <v>1178</v>
      </c>
    </row>
    <row r="806" spans="3:3" x14ac:dyDescent="0.3">
      <c r="C806" t="s">
        <v>1221</v>
      </c>
    </row>
    <row r="807" spans="3:3" x14ac:dyDescent="0.3">
      <c r="C807" t="s">
        <v>2070</v>
      </c>
    </row>
    <row r="808" spans="3:3" x14ac:dyDescent="0.3">
      <c r="C808" t="s">
        <v>2612</v>
      </c>
    </row>
    <row r="809" spans="3:3" x14ac:dyDescent="0.3">
      <c r="C809" t="s">
        <v>979</v>
      </c>
    </row>
    <row r="810" spans="3:3" x14ac:dyDescent="0.3">
      <c r="C810" t="s">
        <v>1335</v>
      </c>
    </row>
    <row r="811" spans="3:3" x14ac:dyDescent="0.3">
      <c r="C811" t="s">
        <v>1172</v>
      </c>
    </row>
    <row r="812" spans="3:3" x14ac:dyDescent="0.3">
      <c r="C812" t="s">
        <v>221</v>
      </c>
    </row>
    <row r="813" spans="3:3" x14ac:dyDescent="0.3">
      <c r="C813" t="s">
        <v>1378</v>
      </c>
    </row>
    <row r="814" spans="3:3" x14ac:dyDescent="0.3">
      <c r="C814" t="s">
        <v>2132</v>
      </c>
    </row>
    <row r="815" spans="3:3" x14ac:dyDescent="0.3">
      <c r="C815" t="s">
        <v>2429</v>
      </c>
    </row>
    <row r="816" spans="3:3" x14ac:dyDescent="0.3">
      <c r="C816" t="s">
        <v>1328</v>
      </c>
    </row>
    <row r="817" spans="3:3" x14ac:dyDescent="0.3">
      <c r="C817" t="s">
        <v>2222</v>
      </c>
    </row>
    <row r="818" spans="3:3" x14ac:dyDescent="0.3">
      <c r="C818" t="s">
        <v>2532</v>
      </c>
    </row>
    <row r="819" spans="3:3" x14ac:dyDescent="0.3">
      <c r="C819" t="s">
        <v>978</v>
      </c>
    </row>
    <row r="820" spans="3:3" x14ac:dyDescent="0.3">
      <c r="C820" t="s">
        <v>1220</v>
      </c>
    </row>
    <row r="821" spans="3:3" x14ac:dyDescent="0.3">
      <c r="C821" t="s">
        <v>609</v>
      </c>
    </row>
    <row r="822" spans="3:3" x14ac:dyDescent="0.3">
      <c r="C822" t="s">
        <v>1713</v>
      </c>
    </row>
    <row r="823" spans="3:3" x14ac:dyDescent="0.3">
      <c r="C823" t="s">
        <v>816</v>
      </c>
    </row>
    <row r="824" spans="3:3" x14ac:dyDescent="0.3">
      <c r="C824" t="s">
        <v>469</v>
      </c>
    </row>
    <row r="825" spans="3:3" x14ac:dyDescent="0.3">
      <c r="C825" t="s">
        <v>310</v>
      </c>
    </row>
    <row r="826" spans="3:3" x14ac:dyDescent="0.3">
      <c r="C826" t="s">
        <v>1834</v>
      </c>
    </row>
    <row r="827" spans="3:3" x14ac:dyDescent="0.3">
      <c r="C827" t="s">
        <v>283</v>
      </c>
    </row>
    <row r="828" spans="3:3" x14ac:dyDescent="0.3">
      <c r="C828" t="s">
        <v>2488</v>
      </c>
    </row>
    <row r="829" spans="3:3" x14ac:dyDescent="0.3">
      <c r="C829" t="s">
        <v>918</v>
      </c>
    </row>
    <row r="830" spans="3:3" x14ac:dyDescent="0.3">
      <c r="C830" t="s">
        <v>2466</v>
      </c>
    </row>
    <row r="831" spans="3:3" x14ac:dyDescent="0.3">
      <c r="C831" t="s">
        <v>1329</v>
      </c>
    </row>
    <row r="832" spans="3:3" x14ac:dyDescent="0.3">
      <c r="C832" t="s">
        <v>2762</v>
      </c>
    </row>
    <row r="833" spans="3:3" x14ac:dyDescent="0.3">
      <c r="C833" t="s">
        <v>1945</v>
      </c>
    </row>
    <row r="834" spans="3:3" x14ac:dyDescent="0.3">
      <c r="C834" t="s">
        <v>1430</v>
      </c>
    </row>
    <row r="835" spans="3:3" x14ac:dyDescent="0.3">
      <c r="C835" t="s">
        <v>925</v>
      </c>
    </row>
    <row r="836" spans="3:3" x14ac:dyDescent="0.3">
      <c r="C836" t="s">
        <v>2617</v>
      </c>
    </row>
    <row r="837" spans="3:3" x14ac:dyDescent="0.3">
      <c r="C837" t="s">
        <v>415</v>
      </c>
    </row>
    <row r="838" spans="3:3" x14ac:dyDescent="0.3">
      <c r="C838" t="s">
        <v>2074</v>
      </c>
    </row>
    <row r="839" spans="3:3" x14ac:dyDescent="0.3">
      <c r="C839" t="s">
        <v>2013</v>
      </c>
    </row>
    <row r="840" spans="3:3" x14ac:dyDescent="0.3">
      <c r="C840" t="s">
        <v>1119</v>
      </c>
    </row>
    <row r="841" spans="3:3" x14ac:dyDescent="0.3">
      <c r="C841" t="s">
        <v>110</v>
      </c>
    </row>
    <row r="842" spans="3:3" x14ac:dyDescent="0.3">
      <c r="C842" t="s">
        <v>1428</v>
      </c>
    </row>
    <row r="843" spans="3:3" x14ac:dyDescent="0.3">
      <c r="C843" t="s">
        <v>2400</v>
      </c>
    </row>
    <row r="844" spans="3:3" x14ac:dyDescent="0.3">
      <c r="C844" t="s">
        <v>257</v>
      </c>
    </row>
    <row r="845" spans="3:3" x14ac:dyDescent="0.3">
      <c r="C845" t="s">
        <v>2717</v>
      </c>
    </row>
    <row r="846" spans="3:3" x14ac:dyDescent="0.3">
      <c r="C846" t="s">
        <v>419</v>
      </c>
    </row>
    <row r="847" spans="3:3" x14ac:dyDescent="0.3">
      <c r="C847" t="s">
        <v>2407</v>
      </c>
    </row>
    <row r="848" spans="3:3" x14ac:dyDescent="0.3">
      <c r="C848" t="s">
        <v>2763</v>
      </c>
    </row>
    <row r="849" spans="3:3" x14ac:dyDescent="0.3">
      <c r="C849" t="s">
        <v>954</v>
      </c>
    </row>
    <row r="850" spans="3:3" x14ac:dyDescent="0.3">
      <c r="C850" t="s">
        <v>142</v>
      </c>
    </row>
    <row r="851" spans="3:3" x14ac:dyDescent="0.3">
      <c r="C851" t="s">
        <v>101</v>
      </c>
    </row>
    <row r="852" spans="3:3" x14ac:dyDescent="0.3">
      <c r="C852" t="s">
        <v>592</v>
      </c>
    </row>
    <row r="853" spans="3:3" x14ac:dyDescent="0.3">
      <c r="C853" t="s">
        <v>126</v>
      </c>
    </row>
    <row r="854" spans="3:3" x14ac:dyDescent="0.3">
      <c r="C854" t="s">
        <v>72</v>
      </c>
    </row>
    <row r="855" spans="3:3" x14ac:dyDescent="0.3">
      <c r="C855" t="s">
        <v>2392</v>
      </c>
    </row>
    <row r="856" spans="3:3" x14ac:dyDescent="0.3">
      <c r="C856" t="s">
        <v>2161</v>
      </c>
    </row>
    <row r="857" spans="3:3" x14ac:dyDescent="0.3">
      <c r="C857" t="s">
        <v>1132</v>
      </c>
    </row>
    <row r="858" spans="3:3" x14ac:dyDescent="0.3">
      <c r="C858" t="s">
        <v>430</v>
      </c>
    </row>
    <row r="859" spans="3:3" x14ac:dyDescent="0.3">
      <c r="C859" t="s">
        <v>999</v>
      </c>
    </row>
    <row r="860" spans="3:3" x14ac:dyDescent="0.3">
      <c r="C860" t="s">
        <v>1170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B754A-BFFC-4DF9-9EAC-B5697090D771}">
  <sheetPr codeName="Feuil8"/>
  <dimension ref="A1:C1548"/>
  <sheetViews>
    <sheetView workbookViewId="0">
      <selection sqref="A1:A1048576"/>
    </sheetView>
  </sheetViews>
  <sheetFormatPr baseColWidth="10" defaultRowHeight="14.4" x14ac:dyDescent="0.3"/>
  <cols>
    <col min="1" max="1" width="44.44140625" bestFit="1" customWidth="1"/>
    <col min="2" max="2" width="27" bestFit="1" customWidth="1"/>
    <col min="3" max="4" width="47" bestFit="1" customWidth="1"/>
    <col min="5" max="5" width="15.5546875" bestFit="1" customWidth="1"/>
    <col min="6" max="6" width="22.6640625" bestFit="1" customWidth="1"/>
    <col min="7" max="7" width="20.77734375" bestFit="1" customWidth="1"/>
  </cols>
  <sheetData>
    <row r="1" spans="1:3" x14ac:dyDescent="0.3">
      <c r="A1" t="s">
        <v>1154</v>
      </c>
      <c r="B1" t="s">
        <v>1155</v>
      </c>
      <c r="C1" t="s">
        <v>1156</v>
      </c>
    </row>
    <row r="2" spans="1:3" x14ac:dyDescent="0.3">
      <c r="A2" t="s">
        <v>500</v>
      </c>
      <c r="C2" t="s">
        <v>501</v>
      </c>
    </row>
    <row r="3" spans="1:3" x14ac:dyDescent="0.3">
      <c r="A3" t="s">
        <v>1286</v>
      </c>
      <c r="B3" t="s">
        <v>1320</v>
      </c>
    </row>
    <row r="4" spans="1:3" x14ac:dyDescent="0.3">
      <c r="A4" t="s">
        <v>1286</v>
      </c>
      <c r="B4" t="s">
        <v>240</v>
      </c>
      <c r="C4" t="s">
        <v>98</v>
      </c>
    </row>
    <row r="5" spans="1:3" x14ac:dyDescent="0.3">
      <c r="A5" t="s">
        <v>41</v>
      </c>
      <c r="B5" t="s">
        <v>32</v>
      </c>
      <c r="C5" t="s">
        <v>842</v>
      </c>
    </row>
    <row r="6" spans="1:3" x14ac:dyDescent="0.3">
      <c r="A6" t="s">
        <v>41</v>
      </c>
      <c r="B6" t="s">
        <v>1440</v>
      </c>
      <c r="C6" t="s">
        <v>1441</v>
      </c>
    </row>
    <row r="7" spans="1:3" x14ac:dyDescent="0.3">
      <c r="A7" t="s">
        <v>41</v>
      </c>
      <c r="B7" t="s">
        <v>63</v>
      </c>
      <c r="C7" t="s">
        <v>177</v>
      </c>
    </row>
    <row r="8" spans="1:3" x14ac:dyDescent="0.3">
      <c r="A8" t="s">
        <v>41</v>
      </c>
      <c r="B8" t="s">
        <v>63</v>
      </c>
      <c r="C8" t="s">
        <v>173</v>
      </c>
    </row>
    <row r="9" spans="1:3" x14ac:dyDescent="0.3">
      <c r="A9" t="s">
        <v>41</v>
      </c>
      <c r="B9" t="s">
        <v>63</v>
      </c>
      <c r="C9" t="s">
        <v>495</v>
      </c>
    </row>
    <row r="10" spans="1:3" x14ac:dyDescent="0.3">
      <c r="A10" t="s">
        <v>41</v>
      </c>
      <c r="B10" t="s">
        <v>412</v>
      </c>
      <c r="C10" t="s">
        <v>557</v>
      </c>
    </row>
    <row r="11" spans="1:3" x14ac:dyDescent="0.3">
      <c r="A11" t="s">
        <v>41</v>
      </c>
      <c r="B11" t="s">
        <v>412</v>
      </c>
      <c r="C11" t="s">
        <v>606</v>
      </c>
    </row>
    <row r="12" spans="1:3" x14ac:dyDescent="0.3">
      <c r="A12" t="s">
        <v>41</v>
      </c>
      <c r="B12" t="s">
        <v>718</v>
      </c>
      <c r="C12" t="s">
        <v>1993</v>
      </c>
    </row>
    <row r="13" spans="1:3" x14ac:dyDescent="0.3">
      <c r="A13" t="s">
        <v>41</v>
      </c>
      <c r="B13" t="s">
        <v>148</v>
      </c>
    </row>
    <row r="14" spans="1:3" x14ac:dyDescent="0.3">
      <c r="A14" t="s">
        <v>41</v>
      </c>
      <c r="B14" t="s">
        <v>148</v>
      </c>
      <c r="C14" t="s">
        <v>98</v>
      </c>
    </row>
    <row r="15" spans="1:3" x14ac:dyDescent="0.3">
      <c r="A15" t="s">
        <v>41</v>
      </c>
      <c r="B15" t="s">
        <v>45</v>
      </c>
      <c r="C15" t="s">
        <v>98</v>
      </c>
    </row>
    <row r="16" spans="1:3" x14ac:dyDescent="0.3">
      <c r="A16" t="s">
        <v>41</v>
      </c>
      <c r="B16" t="s">
        <v>45</v>
      </c>
      <c r="C16" t="s">
        <v>183</v>
      </c>
    </row>
    <row r="17" spans="1:3" x14ac:dyDescent="0.3">
      <c r="A17" t="s">
        <v>41</v>
      </c>
      <c r="B17" t="s">
        <v>45</v>
      </c>
      <c r="C17" t="s">
        <v>174</v>
      </c>
    </row>
    <row r="18" spans="1:3" x14ac:dyDescent="0.3">
      <c r="A18" t="s">
        <v>41</v>
      </c>
      <c r="B18" t="s">
        <v>45</v>
      </c>
      <c r="C18" t="s">
        <v>842</v>
      </c>
    </row>
    <row r="19" spans="1:3" x14ac:dyDescent="0.3">
      <c r="A19" t="s">
        <v>41</v>
      </c>
      <c r="B19" t="s">
        <v>45</v>
      </c>
      <c r="C19" t="s">
        <v>558</v>
      </c>
    </row>
    <row r="20" spans="1:3" x14ac:dyDescent="0.3">
      <c r="A20" t="s">
        <v>41</v>
      </c>
      <c r="B20" t="s">
        <v>453</v>
      </c>
      <c r="C20" t="s">
        <v>98</v>
      </c>
    </row>
    <row r="21" spans="1:3" x14ac:dyDescent="0.3">
      <c r="A21" t="s">
        <v>41</v>
      </c>
      <c r="B21" t="s">
        <v>453</v>
      </c>
      <c r="C21" t="s">
        <v>787</v>
      </c>
    </row>
    <row r="22" spans="1:3" x14ac:dyDescent="0.3">
      <c r="A22" t="s">
        <v>41</v>
      </c>
      <c r="B22" t="s">
        <v>75</v>
      </c>
      <c r="C22" t="s">
        <v>569</v>
      </c>
    </row>
    <row r="23" spans="1:3" x14ac:dyDescent="0.3">
      <c r="A23" t="s">
        <v>41</v>
      </c>
      <c r="B23" t="s">
        <v>75</v>
      </c>
      <c r="C23" t="s">
        <v>499</v>
      </c>
    </row>
    <row r="24" spans="1:3" x14ac:dyDescent="0.3">
      <c r="A24" t="s">
        <v>41</v>
      </c>
      <c r="B24" t="s">
        <v>75</v>
      </c>
      <c r="C24" t="s">
        <v>121</v>
      </c>
    </row>
    <row r="25" spans="1:3" x14ac:dyDescent="0.3">
      <c r="A25" t="s">
        <v>41</v>
      </c>
      <c r="B25" t="s">
        <v>75</v>
      </c>
      <c r="C25" t="s">
        <v>1315</v>
      </c>
    </row>
    <row r="26" spans="1:3" x14ac:dyDescent="0.3">
      <c r="A26" t="s">
        <v>41</v>
      </c>
      <c r="B26" t="s">
        <v>75</v>
      </c>
      <c r="C26" t="s">
        <v>1316</v>
      </c>
    </row>
    <row r="27" spans="1:3" x14ac:dyDescent="0.3">
      <c r="A27" t="s">
        <v>41</v>
      </c>
      <c r="B27" t="s">
        <v>367</v>
      </c>
      <c r="C27" t="s">
        <v>1134</v>
      </c>
    </row>
    <row r="28" spans="1:3" x14ac:dyDescent="0.3">
      <c r="A28" t="s">
        <v>41</v>
      </c>
      <c r="B28" t="s">
        <v>367</v>
      </c>
      <c r="C28" t="s">
        <v>564</v>
      </c>
    </row>
    <row r="29" spans="1:3" x14ac:dyDescent="0.3">
      <c r="A29" t="s">
        <v>41</v>
      </c>
      <c r="B29" t="s">
        <v>254</v>
      </c>
      <c r="C29" t="s">
        <v>98</v>
      </c>
    </row>
    <row r="30" spans="1:3" x14ac:dyDescent="0.3">
      <c r="A30" t="s">
        <v>41</v>
      </c>
      <c r="B30" t="s">
        <v>227</v>
      </c>
      <c r="C30" t="s">
        <v>939</v>
      </c>
    </row>
    <row r="31" spans="1:3" x14ac:dyDescent="0.3">
      <c r="A31" t="s">
        <v>41</v>
      </c>
      <c r="B31" t="s">
        <v>227</v>
      </c>
      <c r="C31" t="s">
        <v>485</v>
      </c>
    </row>
    <row r="32" spans="1:3" x14ac:dyDescent="0.3">
      <c r="A32" t="s">
        <v>41</v>
      </c>
      <c r="B32" t="s">
        <v>227</v>
      </c>
      <c r="C32" t="s">
        <v>145</v>
      </c>
    </row>
    <row r="33" spans="1:3" x14ac:dyDescent="0.3">
      <c r="A33" t="s">
        <v>41</v>
      </c>
      <c r="B33" t="s">
        <v>181</v>
      </c>
      <c r="C33" t="s">
        <v>58</v>
      </c>
    </row>
    <row r="34" spans="1:3" x14ac:dyDescent="0.3">
      <c r="A34" t="s">
        <v>41</v>
      </c>
      <c r="B34" t="s">
        <v>181</v>
      </c>
      <c r="C34" t="s">
        <v>58</v>
      </c>
    </row>
    <row r="35" spans="1:3" x14ac:dyDescent="0.3">
      <c r="A35" t="s">
        <v>41</v>
      </c>
      <c r="B35" t="s">
        <v>181</v>
      </c>
      <c r="C35" t="s">
        <v>183</v>
      </c>
    </row>
    <row r="36" spans="1:3" x14ac:dyDescent="0.3">
      <c r="A36" t="s">
        <v>41</v>
      </c>
      <c r="B36" t="s">
        <v>47</v>
      </c>
      <c r="C36" t="s">
        <v>163</v>
      </c>
    </row>
    <row r="37" spans="1:3" x14ac:dyDescent="0.3">
      <c r="A37" t="s">
        <v>41</v>
      </c>
      <c r="B37" t="s">
        <v>47</v>
      </c>
      <c r="C37" t="s">
        <v>48</v>
      </c>
    </row>
    <row r="38" spans="1:3" x14ac:dyDescent="0.3">
      <c r="A38" t="s">
        <v>41</v>
      </c>
      <c r="B38" t="s">
        <v>47</v>
      </c>
      <c r="C38" t="s">
        <v>85</v>
      </c>
    </row>
    <row r="39" spans="1:3" x14ac:dyDescent="0.3">
      <c r="A39" t="s">
        <v>41</v>
      </c>
      <c r="B39" t="s">
        <v>47</v>
      </c>
      <c r="C39" t="s">
        <v>46</v>
      </c>
    </row>
    <row r="40" spans="1:3" x14ac:dyDescent="0.3">
      <c r="A40" t="s">
        <v>41</v>
      </c>
      <c r="B40" t="s">
        <v>629</v>
      </c>
      <c r="C40" t="s">
        <v>425</v>
      </c>
    </row>
    <row r="41" spans="1:3" x14ac:dyDescent="0.3">
      <c r="A41" t="s">
        <v>41</v>
      </c>
      <c r="B41" t="s">
        <v>656</v>
      </c>
      <c r="C41" t="s">
        <v>806</v>
      </c>
    </row>
    <row r="42" spans="1:3" x14ac:dyDescent="0.3">
      <c r="A42" t="s">
        <v>41</v>
      </c>
      <c r="B42" t="s">
        <v>656</v>
      </c>
      <c r="C42" t="s">
        <v>425</v>
      </c>
    </row>
    <row r="43" spans="1:3" x14ac:dyDescent="0.3">
      <c r="A43" t="s">
        <v>41</v>
      </c>
      <c r="B43" t="s">
        <v>472</v>
      </c>
      <c r="C43" t="s">
        <v>473</v>
      </c>
    </row>
    <row r="44" spans="1:3" x14ac:dyDescent="0.3">
      <c r="A44" t="s">
        <v>41</v>
      </c>
      <c r="B44" t="s">
        <v>937</v>
      </c>
      <c r="C44" t="s">
        <v>818</v>
      </c>
    </row>
    <row r="45" spans="1:3" x14ac:dyDescent="0.3">
      <c r="A45" t="s">
        <v>41</v>
      </c>
      <c r="B45" t="s">
        <v>156</v>
      </c>
    </row>
    <row r="46" spans="1:3" x14ac:dyDescent="0.3">
      <c r="A46" t="s">
        <v>41</v>
      </c>
      <c r="B46" t="s">
        <v>156</v>
      </c>
      <c r="C46" t="s">
        <v>415</v>
      </c>
    </row>
    <row r="47" spans="1:3" x14ac:dyDescent="0.3">
      <c r="A47" t="s">
        <v>41</v>
      </c>
      <c r="B47" t="s">
        <v>42</v>
      </c>
      <c r="C47" t="s">
        <v>43</v>
      </c>
    </row>
    <row r="48" spans="1:3" x14ac:dyDescent="0.3">
      <c r="A48" t="s">
        <v>41</v>
      </c>
      <c r="B48" t="s">
        <v>2018</v>
      </c>
      <c r="C48" t="s">
        <v>2019</v>
      </c>
    </row>
    <row r="49" spans="1:3" x14ac:dyDescent="0.3">
      <c r="A49" t="s">
        <v>41</v>
      </c>
      <c r="B49" t="s">
        <v>782</v>
      </c>
      <c r="C49" t="s">
        <v>98</v>
      </c>
    </row>
    <row r="50" spans="1:3" x14ac:dyDescent="0.3">
      <c r="A50" t="s">
        <v>41</v>
      </c>
      <c r="B50" t="s">
        <v>781</v>
      </c>
      <c r="C50" t="s">
        <v>415</v>
      </c>
    </row>
    <row r="51" spans="1:3" x14ac:dyDescent="0.3">
      <c r="A51" t="s">
        <v>41</v>
      </c>
      <c r="B51" t="s">
        <v>2012</v>
      </c>
      <c r="C51" t="s">
        <v>2013</v>
      </c>
    </row>
    <row r="52" spans="1:3" x14ac:dyDescent="0.3">
      <c r="A52" t="s">
        <v>41</v>
      </c>
      <c r="B52" t="s">
        <v>971</v>
      </c>
      <c r="C52" t="s">
        <v>972</v>
      </c>
    </row>
    <row r="53" spans="1:3" x14ac:dyDescent="0.3">
      <c r="A53" t="s">
        <v>41</v>
      </c>
      <c r="B53" t="s">
        <v>2022</v>
      </c>
      <c r="C53" t="s">
        <v>98</v>
      </c>
    </row>
    <row r="54" spans="1:3" x14ac:dyDescent="0.3">
      <c r="A54" t="s">
        <v>41</v>
      </c>
      <c r="B54" t="s">
        <v>697</v>
      </c>
      <c r="C54" t="s">
        <v>121</v>
      </c>
    </row>
    <row r="55" spans="1:3" x14ac:dyDescent="0.3">
      <c r="A55" t="s">
        <v>41</v>
      </c>
      <c r="B55" t="s">
        <v>529</v>
      </c>
      <c r="C55" t="s">
        <v>2023</v>
      </c>
    </row>
    <row r="56" spans="1:3" x14ac:dyDescent="0.3">
      <c r="A56" t="s">
        <v>41</v>
      </c>
      <c r="B56" t="s">
        <v>529</v>
      </c>
      <c r="C56" t="s">
        <v>530</v>
      </c>
    </row>
    <row r="57" spans="1:3" x14ac:dyDescent="0.3">
      <c r="A57" t="s">
        <v>41</v>
      </c>
      <c r="B57" t="s">
        <v>529</v>
      </c>
      <c r="C57" t="s">
        <v>1322</v>
      </c>
    </row>
    <row r="58" spans="1:3" x14ac:dyDescent="0.3">
      <c r="A58" t="s">
        <v>41</v>
      </c>
      <c r="B58" t="s">
        <v>1196</v>
      </c>
      <c r="C58" t="s">
        <v>1197</v>
      </c>
    </row>
    <row r="59" spans="1:3" x14ac:dyDescent="0.3">
      <c r="A59" t="s">
        <v>41</v>
      </c>
      <c r="B59" t="s">
        <v>447</v>
      </c>
      <c r="C59" t="s">
        <v>98</v>
      </c>
    </row>
    <row r="60" spans="1:3" x14ac:dyDescent="0.3">
      <c r="A60" t="s">
        <v>41</v>
      </c>
      <c r="B60" t="s">
        <v>447</v>
      </c>
      <c r="C60" t="s">
        <v>98</v>
      </c>
    </row>
    <row r="61" spans="1:3" x14ac:dyDescent="0.3">
      <c r="A61" t="s">
        <v>41</v>
      </c>
      <c r="B61" t="s">
        <v>1107</v>
      </c>
      <c r="C61" t="s">
        <v>1398</v>
      </c>
    </row>
    <row r="62" spans="1:3" x14ac:dyDescent="0.3">
      <c r="A62" t="s">
        <v>41</v>
      </c>
      <c r="B62" t="s">
        <v>232</v>
      </c>
      <c r="C62" t="s">
        <v>960</v>
      </c>
    </row>
    <row r="63" spans="1:3" x14ac:dyDescent="0.3">
      <c r="A63" t="s">
        <v>41</v>
      </c>
      <c r="B63" t="s">
        <v>1607</v>
      </c>
      <c r="C63" t="s">
        <v>2034</v>
      </c>
    </row>
    <row r="64" spans="1:3" x14ac:dyDescent="0.3">
      <c r="A64" t="s">
        <v>41</v>
      </c>
      <c r="B64" t="s">
        <v>240</v>
      </c>
      <c r="C64" t="s">
        <v>984</v>
      </c>
    </row>
    <row r="65" spans="1:3" x14ac:dyDescent="0.3">
      <c r="A65" t="s">
        <v>41</v>
      </c>
      <c r="B65" t="s">
        <v>240</v>
      </c>
      <c r="C65" t="s">
        <v>1385</v>
      </c>
    </row>
    <row r="66" spans="1:3" x14ac:dyDescent="0.3">
      <c r="A66" t="s">
        <v>41</v>
      </c>
      <c r="B66" t="s">
        <v>240</v>
      </c>
      <c r="C66" t="s">
        <v>1948</v>
      </c>
    </row>
    <row r="67" spans="1:3" x14ac:dyDescent="0.3">
      <c r="A67" t="s">
        <v>41</v>
      </c>
      <c r="B67" t="s">
        <v>431</v>
      </c>
      <c r="C67" t="s">
        <v>98</v>
      </c>
    </row>
    <row r="68" spans="1:3" x14ac:dyDescent="0.3">
      <c r="A68" t="s">
        <v>41</v>
      </c>
      <c r="B68" t="s">
        <v>1295</v>
      </c>
      <c r="C68" t="s">
        <v>1296</v>
      </c>
    </row>
    <row r="69" spans="1:3" x14ac:dyDescent="0.3">
      <c r="A69" t="s">
        <v>41</v>
      </c>
      <c r="B69" t="s">
        <v>1052</v>
      </c>
      <c r="C69" t="s">
        <v>98</v>
      </c>
    </row>
    <row r="70" spans="1:3" x14ac:dyDescent="0.3">
      <c r="A70" t="s">
        <v>41</v>
      </c>
      <c r="B70" t="s">
        <v>1052</v>
      </c>
      <c r="C70" t="s">
        <v>98</v>
      </c>
    </row>
    <row r="71" spans="1:3" x14ac:dyDescent="0.3">
      <c r="A71" t="s">
        <v>41</v>
      </c>
      <c r="C71" t="s">
        <v>839</v>
      </c>
    </row>
    <row r="72" spans="1:3" x14ac:dyDescent="0.3">
      <c r="A72" t="s">
        <v>41</v>
      </c>
      <c r="C72" t="s">
        <v>425</v>
      </c>
    </row>
    <row r="73" spans="1:3" x14ac:dyDescent="0.3">
      <c r="A73" t="s">
        <v>41</v>
      </c>
      <c r="C73" t="s">
        <v>515</v>
      </c>
    </row>
    <row r="74" spans="1:3" x14ac:dyDescent="0.3">
      <c r="A74" t="s">
        <v>41</v>
      </c>
      <c r="C74" t="s">
        <v>974</v>
      </c>
    </row>
    <row r="75" spans="1:3" x14ac:dyDescent="0.3">
      <c r="A75" t="s">
        <v>41</v>
      </c>
      <c r="C75" t="s">
        <v>355</v>
      </c>
    </row>
    <row r="76" spans="1:3" x14ac:dyDescent="0.3">
      <c r="A76" t="s">
        <v>41</v>
      </c>
      <c r="C76" t="s">
        <v>219</v>
      </c>
    </row>
    <row r="77" spans="1:3" x14ac:dyDescent="0.3">
      <c r="A77" t="s">
        <v>1066</v>
      </c>
      <c r="B77" t="s">
        <v>544</v>
      </c>
      <c r="C77" t="s">
        <v>85</v>
      </c>
    </row>
    <row r="78" spans="1:3" x14ac:dyDescent="0.3">
      <c r="A78" t="s">
        <v>1283</v>
      </c>
      <c r="C78" t="s">
        <v>1284</v>
      </c>
    </row>
    <row r="79" spans="1:3" x14ac:dyDescent="0.3">
      <c r="A79" t="s">
        <v>539</v>
      </c>
      <c r="B79" t="s">
        <v>540</v>
      </c>
      <c r="C79" t="s">
        <v>824</v>
      </c>
    </row>
    <row r="80" spans="1:3" x14ac:dyDescent="0.3">
      <c r="A80" t="s">
        <v>539</v>
      </c>
      <c r="B80" t="s">
        <v>540</v>
      </c>
      <c r="C80" t="s">
        <v>126</v>
      </c>
    </row>
    <row r="81" spans="1:3" x14ac:dyDescent="0.3">
      <c r="A81" t="s">
        <v>684</v>
      </c>
      <c r="B81" t="s">
        <v>685</v>
      </c>
      <c r="C81" t="s">
        <v>686</v>
      </c>
    </row>
    <row r="82" spans="1:3" x14ac:dyDescent="0.3">
      <c r="A82" t="s">
        <v>1469</v>
      </c>
      <c r="B82" t="s">
        <v>685</v>
      </c>
      <c r="C82" t="s">
        <v>1470</v>
      </c>
    </row>
    <row r="83" spans="1:3" x14ac:dyDescent="0.3">
      <c r="A83" t="s">
        <v>233</v>
      </c>
      <c r="B83" t="s">
        <v>234</v>
      </c>
      <c r="C83" t="s">
        <v>121</v>
      </c>
    </row>
    <row r="84" spans="1:3" x14ac:dyDescent="0.3">
      <c r="A84" t="s">
        <v>1711</v>
      </c>
      <c r="B84" t="s">
        <v>1712</v>
      </c>
      <c r="C84" t="s">
        <v>1989</v>
      </c>
    </row>
    <row r="85" spans="1:3" x14ac:dyDescent="0.3">
      <c r="A85" t="s">
        <v>313</v>
      </c>
      <c r="B85" t="s">
        <v>314</v>
      </c>
      <c r="C85" t="s">
        <v>315</v>
      </c>
    </row>
    <row r="86" spans="1:3" x14ac:dyDescent="0.3">
      <c r="A86" t="s">
        <v>313</v>
      </c>
      <c r="B86" t="s">
        <v>314</v>
      </c>
      <c r="C86" t="s">
        <v>7</v>
      </c>
    </row>
    <row r="87" spans="1:3" x14ac:dyDescent="0.3">
      <c r="A87" t="s">
        <v>496</v>
      </c>
      <c r="B87" t="s">
        <v>497</v>
      </c>
      <c r="C87" t="s">
        <v>121</v>
      </c>
    </row>
    <row r="88" spans="1:3" x14ac:dyDescent="0.3">
      <c r="A88" t="s">
        <v>834</v>
      </c>
      <c r="B88" t="s">
        <v>244</v>
      </c>
      <c r="C88" t="s">
        <v>146</v>
      </c>
    </row>
    <row r="89" spans="1:3" x14ac:dyDescent="0.3">
      <c r="A89" t="s">
        <v>2122</v>
      </c>
      <c r="B89" t="s">
        <v>66</v>
      </c>
      <c r="C89" t="s">
        <v>176</v>
      </c>
    </row>
    <row r="90" spans="1:3" x14ac:dyDescent="0.3">
      <c r="A90" t="s">
        <v>1143</v>
      </c>
      <c r="C90" t="s">
        <v>27</v>
      </c>
    </row>
    <row r="91" spans="1:3" x14ac:dyDescent="0.3">
      <c r="A91" t="s">
        <v>576</v>
      </c>
      <c r="C91" t="s">
        <v>577</v>
      </c>
    </row>
    <row r="92" spans="1:3" x14ac:dyDescent="0.3">
      <c r="A92" t="s">
        <v>576</v>
      </c>
      <c r="C92" t="s">
        <v>585</v>
      </c>
    </row>
    <row r="93" spans="1:3" x14ac:dyDescent="0.3">
      <c r="A93" t="s">
        <v>220</v>
      </c>
      <c r="B93" t="s">
        <v>1379</v>
      </c>
      <c r="C93" t="s">
        <v>1372</v>
      </c>
    </row>
    <row r="94" spans="1:3" x14ac:dyDescent="0.3">
      <c r="A94" t="s">
        <v>220</v>
      </c>
      <c r="B94" t="s">
        <v>1410</v>
      </c>
      <c r="C94" t="s">
        <v>1411</v>
      </c>
    </row>
    <row r="95" spans="1:3" x14ac:dyDescent="0.3">
      <c r="A95" t="s">
        <v>220</v>
      </c>
      <c r="B95" t="s">
        <v>1216</v>
      </c>
      <c r="C95" t="s">
        <v>731</v>
      </c>
    </row>
    <row r="96" spans="1:3" x14ac:dyDescent="0.3">
      <c r="A96" t="s">
        <v>220</v>
      </c>
      <c r="B96" t="s">
        <v>1200</v>
      </c>
      <c r="C96" t="s">
        <v>85</v>
      </c>
    </row>
    <row r="97" spans="1:3" x14ac:dyDescent="0.3">
      <c r="A97" t="s">
        <v>220</v>
      </c>
      <c r="B97" t="s">
        <v>1199</v>
      </c>
      <c r="C97" t="s">
        <v>85</v>
      </c>
    </row>
    <row r="98" spans="1:3" x14ac:dyDescent="0.3">
      <c r="A98" t="s">
        <v>220</v>
      </c>
      <c r="B98" t="s">
        <v>1371</v>
      </c>
      <c r="C98" t="s">
        <v>1372</v>
      </c>
    </row>
    <row r="99" spans="1:3" x14ac:dyDescent="0.3">
      <c r="A99" t="s">
        <v>220</v>
      </c>
      <c r="B99" t="s">
        <v>1371</v>
      </c>
      <c r="C99" t="s">
        <v>1372</v>
      </c>
    </row>
    <row r="100" spans="1:3" x14ac:dyDescent="0.3">
      <c r="A100" t="s">
        <v>220</v>
      </c>
      <c r="B100" t="s">
        <v>1209</v>
      </c>
      <c r="C100" t="s">
        <v>85</v>
      </c>
    </row>
    <row r="101" spans="1:3" x14ac:dyDescent="0.3">
      <c r="A101" t="s">
        <v>220</v>
      </c>
      <c r="B101" t="s">
        <v>1424</v>
      </c>
      <c r="C101" t="s">
        <v>1425</v>
      </c>
    </row>
    <row r="102" spans="1:3" x14ac:dyDescent="0.3">
      <c r="A102" t="s">
        <v>220</v>
      </c>
      <c r="B102" t="s">
        <v>1233</v>
      </c>
      <c r="C102" t="s">
        <v>461</v>
      </c>
    </row>
    <row r="103" spans="1:3" x14ac:dyDescent="0.3">
      <c r="A103" t="s">
        <v>220</v>
      </c>
    </row>
    <row r="104" spans="1:3" x14ac:dyDescent="0.3">
      <c r="A104" t="s">
        <v>34</v>
      </c>
      <c r="B104" t="s">
        <v>1054</v>
      </c>
      <c r="C104" t="s">
        <v>1831</v>
      </c>
    </row>
    <row r="105" spans="1:3" x14ac:dyDescent="0.3">
      <c r="A105" t="s">
        <v>34</v>
      </c>
      <c r="B105" t="s">
        <v>1054</v>
      </c>
      <c r="C105" t="s">
        <v>1093</v>
      </c>
    </row>
    <row r="106" spans="1:3" x14ac:dyDescent="0.3">
      <c r="A106" t="s">
        <v>34</v>
      </c>
      <c r="B106" t="s">
        <v>1054</v>
      </c>
      <c r="C106" t="s">
        <v>662</v>
      </c>
    </row>
    <row r="107" spans="1:3" x14ac:dyDescent="0.3">
      <c r="A107" t="s">
        <v>34</v>
      </c>
      <c r="B107" t="s">
        <v>204</v>
      </c>
      <c r="C107" t="s">
        <v>146</v>
      </c>
    </row>
    <row r="108" spans="1:3" x14ac:dyDescent="0.3">
      <c r="A108" t="s">
        <v>34</v>
      </c>
      <c r="B108" t="s">
        <v>204</v>
      </c>
      <c r="C108" t="s">
        <v>1959</v>
      </c>
    </row>
    <row r="109" spans="1:3" x14ac:dyDescent="0.3">
      <c r="A109" t="s">
        <v>34</v>
      </c>
      <c r="C109" t="s">
        <v>35</v>
      </c>
    </row>
    <row r="110" spans="1:3" x14ac:dyDescent="0.3">
      <c r="A110" t="s">
        <v>892</v>
      </c>
      <c r="B110" t="s">
        <v>148</v>
      </c>
      <c r="C110" t="s">
        <v>893</v>
      </c>
    </row>
    <row r="111" spans="1:3" x14ac:dyDescent="0.3">
      <c r="A111" t="s">
        <v>1175</v>
      </c>
      <c r="B111" t="s">
        <v>26</v>
      </c>
      <c r="C111" t="s">
        <v>27</v>
      </c>
    </row>
    <row r="112" spans="1:3" x14ac:dyDescent="0.3">
      <c r="A112" t="s">
        <v>1175</v>
      </c>
      <c r="B112" t="s">
        <v>512</v>
      </c>
    </row>
    <row r="113" spans="1:3" x14ac:dyDescent="0.3">
      <c r="A113" t="s">
        <v>1175</v>
      </c>
      <c r="B113" t="s">
        <v>512</v>
      </c>
      <c r="C113" t="s">
        <v>1321</v>
      </c>
    </row>
    <row r="114" spans="1:3" x14ac:dyDescent="0.3">
      <c r="A114" t="s">
        <v>1175</v>
      </c>
      <c r="C114" t="s">
        <v>554</v>
      </c>
    </row>
    <row r="115" spans="1:3" x14ac:dyDescent="0.3">
      <c r="A115" t="s">
        <v>644</v>
      </c>
      <c r="C115" t="s">
        <v>645</v>
      </c>
    </row>
    <row r="116" spans="1:3" x14ac:dyDescent="0.3">
      <c r="A116" t="s">
        <v>1956</v>
      </c>
      <c r="B116" t="s">
        <v>444</v>
      </c>
      <c r="C116" t="s">
        <v>168</v>
      </c>
    </row>
    <row r="117" spans="1:3" x14ac:dyDescent="0.3">
      <c r="A117" t="s">
        <v>2131</v>
      </c>
      <c r="B117" t="s">
        <v>249</v>
      </c>
      <c r="C117" t="s">
        <v>2132</v>
      </c>
    </row>
    <row r="118" spans="1:3" x14ac:dyDescent="0.3">
      <c r="A118" t="s">
        <v>62</v>
      </c>
      <c r="B118" t="s">
        <v>63</v>
      </c>
      <c r="C118" t="s">
        <v>215</v>
      </c>
    </row>
    <row r="119" spans="1:3" x14ac:dyDescent="0.3">
      <c r="A119" t="s">
        <v>62</v>
      </c>
      <c r="B119" t="s">
        <v>63</v>
      </c>
      <c r="C119" t="s">
        <v>2144</v>
      </c>
    </row>
    <row r="120" spans="1:3" x14ac:dyDescent="0.3">
      <c r="A120" t="s">
        <v>62</v>
      </c>
      <c r="B120" t="s">
        <v>63</v>
      </c>
      <c r="C120" t="s">
        <v>332</v>
      </c>
    </row>
    <row r="121" spans="1:3" x14ac:dyDescent="0.3">
      <c r="A121" t="s">
        <v>62</v>
      </c>
      <c r="B121" t="s">
        <v>63</v>
      </c>
      <c r="C121" t="s">
        <v>423</v>
      </c>
    </row>
    <row r="122" spans="1:3" x14ac:dyDescent="0.3">
      <c r="A122" t="s">
        <v>62</v>
      </c>
      <c r="B122" t="s">
        <v>63</v>
      </c>
      <c r="C122" t="s">
        <v>950</v>
      </c>
    </row>
    <row r="123" spans="1:3" x14ac:dyDescent="0.3">
      <c r="A123" t="s">
        <v>62</v>
      </c>
      <c r="B123" t="s">
        <v>63</v>
      </c>
      <c r="C123" t="s">
        <v>64</v>
      </c>
    </row>
    <row r="124" spans="1:3" x14ac:dyDescent="0.3">
      <c r="A124" t="s">
        <v>62</v>
      </c>
      <c r="B124" t="s">
        <v>148</v>
      </c>
      <c r="C124" t="s">
        <v>297</v>
      </c>
    </row>
    <row r="125" spans="1:3" x14ac:dyDescent="0.3">
      <c r="A125" t="s">
        <v>62</v>
      </c>
      <c r="B125" t="s">
        <v>148</v>
      </c>
      <c r="C125" t="s">
        <v>1089</v>
      </c>
    </row>
    <row r="126" spans="1:3" x14ac:dyDescent="0.3">
      <c r="A126" t="s">
        <v>62</v>
      </c>
      <c r="B126" t="s">
        <v>148</v>
      </c>
      <c r="C126" t="s">
        <v>701</v>
      </c>
    </row>
    <row r="127" spans="1:3" x14ac:dyDescent="0.3">
      <c r="A127" t="s">
        <v>62</v>
      </c>
      <c r="B127" t="s">
        <v>148</v>
      </c>
      <c r="C127" t="s">
        <v>149</v>
      </c>
    </row>
    <row r="128" spans="1:3" x14ac:dyDescent="0.3">
      <c r="A128" t="s">
        <v>62</v>
      </c>
      <c r="B128" t="s">
        <v>295</v>
      </c>
      <c r="C128" t="s">
        <v>296</v>
      </c>
    </row>
    <row r="129" spans="1:3" x14ac:dyDescent="0.3">
      <c r="A129" t="s">
        <v>62</v>
      </c>
      <c r="B129" t="s">
        <v>979</v>
      </c>
      <c r="C129" t="s">
        <v>27</v>
      </c>
    </row>
    <row r="130" spans="1:3" x14ac:dyDescent="0.3">
      <c r="A130" t="s">
        <v>62</v>
      </c>
      <c r="C130" t="s">
        <v>27</v>
      </c>
    </row>
    <row r="131" spans="1:3" x14ac:dyDescent="0.3">
      <c r="A131" t="s">
        <v>62</v>
      </c>
      <c r="C131" t="s">
        <v>27</v>
      </c>
    </row>
    <row r="132" spans="1:3" x14ac:dyDescent="0.3">
      <c r="A132" t="s">
        <v>62</v>
      </c>
      <c r="C132" t="s">
        <v>933</v>
      </c>
    </row>
    <row r="133" spans="1:3" x14ac:dyDescent="0.3">
      <c r="A133" t="s">
        <v>178</v>
      </c>
      <c r="B133" t="s">
        <v>179</v>
      </c>
      <c r="C133" t="s">
        <v>145</v>
      </c>
    </row>
    <row r="134" spans="1:3" x14ac:dyDescent="0.3">
      <c r="A134" t="s">
        <v>659</v>
      </c>
      <c r="C134" t="s">
        <v>660</v>
      </c>
    </row>
    <row r="135" spans="1:3" x14ac:dyDescent="0.3">
      <c r="A135" t="s">
        <v>1352</v>
      </c>
      <c r="B135" t="s">
        <v>1353</v>
      </c>
      <c r="C135" t="s">
        <v>1354</v>
      </c>
    </row>
    <row r="136" spans="1:3" x14ac:dyDescent="0.3">
      <c r="A136" t="s">
        <v>1352</v>
      </c>
      <c r="B136" t="s">
        <v>1353</v>
      </c>
      <c r="C136" t="s">
        <v>2083</v>
      </c>
    </row>
    <row r="137" spans="1:3" x14ac:dyDescent="0.3">
      <c r="A137" t="s">
        <v>1352</v>
      </c>
      <c r="B137" t="s">
        <v>1353</v>
      </c>
      <c r="C137" t="s">
        <v>2074</v>
      </c>
    </row>
    <row r="138" spans="1:3" x14ac:dyDescent="0.3">
      <c r="A138" t="s">
        <v>1352</v>
      </c>
      <c r="B138" t="s">
        <v>1353</v>
      </c>
      <c r="C138" t="s">
        <v>1045</v>
      </c>
    </row>
    <row r="139" spans="1:3" x14ac:dyDescent="0.3">
      <c r="A139" t="s">
        <v>2029</v>
      </c>
      <c r="C139" t="s">
        <v>554</v>
      </c>
    </row>
    <row r="140" spans="1:3" x14ac:dyDescent="0.3">
      <c r="A140" t="s">
        <v>1356</v>
      </c>
      <c r="B140" t="s">
        <v>140</v>
      </c>
      <c r="C140" t="s">
        <v>1357</v>
      </c>
    </row>
    <row r="141" spans="1:3" x14ac:dyDescent="0.3">
      <c r="A141" t="s">
        <v>36</v>
      </c>
      <c r="B141" t="s">
        <v>193</v>
      </c>
      <c r="C141" t="s">
        <v>214</v>
      </c>
    </row>
    <row r="142" spans="1:3" x14ac:dyDescent="0.3">
      <c r="A142" t="s">
        <v>36</v>
      </c>
      <c r="B142" t="s">
        <v>193</v>
      </c>
    </row>
    <row r="143" spans="1:3" x14ac:dyDescent="0.3">
      <c r="A143" t="s">
        <v>36</v>
      </c>
      <c r="B143" t="s">
        <v>52</v>
      </c>
      <c r="C143" t="s">
        <v>53</v>
      </c>
    </row>
    <row r="144" spans="1:3" x14ac:dyDescent="0.3">
      <c r="A144" t="s">
        <v>36</v>
      </c>
      <c r="B144" t="s">
        <v>37</v>
      </c>
      <c r="C144" t="s">
        <v>39</v>
      </c>
    </row>
    <row r="145" spans="1:3" x14ac:dyDescent="0.3">
      <c r="A145" t="s">
        <v>36</v>
      </c>
      <c r="B145" t="s">
        <v>37</v>
      </c>
      <c r="C145" t="s">
        <v>38</v>
      </c>
    </row>
    <row r="146" spans="1:3" x14ac:dyDescent="0.3">
      <c r="A146" t="s">
        <v>36</v>
      </c>
      <c r="B146" t="s">
        <v>37</v>
      </c>
      <c r="C146" t="s">
        <v>5</v>
      </c>
    </row>
    <row r="147" spans="1:3" x14ac:dyDescent="0.3">
      <c r="A147" t="s">
        <v>36</v>
      </c>
      <c r="B147" t="s">
        <v>37</v>
      </c>
      <c r="C147" t="s">
        <v>40</v>
      </c>
    </row>
    <row r="148" spans="1:3" x14ac:dyDescent="0.3">
      <c r="A148" t="s">
        <v>36</v>
      </c>
      <c r="B148" t="s">
        <v>37</v>
      </c>
      <c r="C148" t="s">
        <v>451</v>
      </c>
    </row>
    <row r="149" spans="1:3" x14ac:dyDescent="0.3">
      <c r="A149" t="s">
        <v>36</v>
      </c>
      <c r="B149" t="s">
        <v>37</v>
      </c>
      <c r="C149" t="s">
        <v>145</v>
      </c>
    </row>
    <row r="150" spans="1:3" x14ac:dyDescent="0.3">
      <c r="A150" t="s">
        <v>36</v>
      </c>
      <c r="B150" t="s">
        <v>263</v>
      </c>
      <c r="C150" t="s">
        <v>5</v>
      </c>
    </row>
    <row r="151" spans="1:3" x14ac:dyDescent="0.3">
      <c r="A151" t="s">
        <v>36</v>
      </c>
      <c r="B151" t="s">
        <v>240</v>
      </c>
      <c r="C151" t="s">
        <v>1008</v>
      </c>
    </row>
    <row r="152" spans="1:3" x14ac:dyDescent="0.3">
      <c r="A152" t="s">
        <v>36</v>
      </c>
      <c r="B152" t="s">
        <v>240</v>
      </c>
      <c r="C152" t="s">
        <v>891</v>
      </c>
    </row>
    <row r="153" spans="1:3" x14ac:dyDescent="0.3">
      <c r="A153" t="s">
        <v>36</v>
      </c>
      <c r="B153" t="s">
        <v>240</v>
      </c>
      <c r="C153" t="s">
        <v>1049</v>
      </c>
    </row>
    <row r="154" spans="1:3" x14ac:dyDescent="0.3">
      <c r="A154" t="s">
        <v>36</v>
      </c>
      <c r="B154" t="s">
        <v>240</v>
      </c>
      <c r="C154" t="s">
        <v>1249</v>
      </c>
    </row>
    <row r="155" spans="1:3" x14ac:dyDescent="0.3">
      <c r="A155" t="s">
        <v>36</v>
      </c>
      <c r="B155" t="s">
        <v>240</v>
      </c>
      <c r="C155" t="s">
        <v>784</v>
      </c>
    </row>
    <row r="156" spans="1:3" x14ac:dyDescent="0.3">
      <c r="A156" t="s">
        <v>36</v>
      </c>
      <c r="B156" t="s">
        <v>930</v>
      </c>
      <c r="C156" t="s">
        <v>27</v>
      </c>
    </row>
    <row r="157" spans="1:3" x14ac:dyDescent="0.3">
      <c r="A157" t="s">
        <v>36</v>
      </c>
      <c r="B157" t="s">
        <v>930</v>
      </c>
      <c r="C157" t="s">
        <v>186</v>
      </c>
    </row>
    <row r="158" spans="1:3" x14ac:dyDescent="0.3">
      <c r="A158" t="s">
        <v>802</v>
      </c>
      <c r="B158" t="s">
        <v>803</v>
      </c>
      <c r="C158" t="s">
        <v>804</v>
      </c>
    </row>
    <row r="159" spans="1:3" x14ac:dyDescent="0.3">
      <c r="A159" t="s">
        <v>1063</v>
      </c>
      <c r="C159" t="s">
        <v>27</v>
      </c>
    </row>
    <row r="160" spans="1:3" x14ac:dyDescent="0.3">
      <c r="A160" t="s">
        <v>274</v>
      </c>
      <c r="B160" t="s">
        <v>1287</v>
      </c>
      <c r="C160" t="s">
        <v>403</v>
      </c>
    </row>
    <row r="161" spans="1:3" x14ac:dyDescent="0.3">
      <c r="A161" t="s">
        <v>274</v>
      </c>
      <c r="B161" t="s">
        <v>275</v>
      </c>
      <c r="C161" t="s">
        <v>145</v>
      </c>
    </row>
    <row r="162" spans="1:3" x14ac:dyDescent="0.3">
      <c r="A162" t="s">
        <v>274</v>
      </c>
      <c r="B162" t="s">
        <v>1369</v>
      </c>
      <c r="C162" t="s">
        <v>1370</v>
      </c>
    </row>
    <row r="163" spans="1:3" x14ac:dyDescent="0.3">
      <c r="A163" t="s">
        <v>1198</v>
      </c>
      <c r="C163" t="s">
        <v>1100</v>
      </c>
    </row>
    <row r="164" spans="1:3" x14ac:dyDescent="0.3">
      <c r="A164" t="s">
        <v>735</v>
      </c>
      <c r="C164" t="s">
        <v>736</v>
      </c>
    </row>
    <row r="165" spans="1:3" x14ac:dyDescent="0.3">
      <c r="A165" t="s">
        <v>281</v>
      </c>
      <c r="B165" t="s">
        <v>282</v>
      </c>
      <c r="C165" t="s">
        <v>283</v>
      </c>
    </row>
    <row r="166" spans="1:3" x14ac:dyDescent="0.3">
      <c r="A166" t="s">
        <v>689</v>
      </c>
      <c r="B166" t="s">
        <v>334</v>
      </c>
      <c r="C166" t="s">
        <v>121</v>
      </c>
    </row>
    <row r="167" spans="1:3" x14ac:dyDescent="0.3">
      <c r="A167" t="s">
        <v>689</v>
      </c>
      <c r="B167" t="s">
        <v>334</v>
      </c>
      <c r="C167" t="s">
        <v>710</v>
      </c>
    </row>
    <row r="168" spans="1:3" x14ac:dyDescent="0.3">
      <c r="A168" t="s">
        <v>790</v>
      </c>
      <c r="B168" t="s">
        <v>791</v>
      </c>
      <c r="C168" t="s">
        <v>615</v>
      </c>
    </row>
    <row r="169" spans="1:3" x14ac:dyDescent="0.3">
      <c r="A169" t="s">
        <v>864</v>
      </c>
      <c r="B169" t="s">
        <v>287</v>
      </c>
      <c r="C169" t="s">
        <v>865</v>
      </c>
    </row>
    <row r="170" spans="1:3" x14ac:dyDescent="0.3">
      <c r="A170" t="s">
        <v>901</v>
      </c>
      <c r="B170" t="s">
        <v>82</v>
      </c>
      <c r="C170" t="s">
        <v>902</v>
      </c>
    </row>
    <row r="171" spans="1:3" x14ac:dyDescent="0.3">
      <c r="A171" t="s">
        <v>817</v>
      </c>
      <c r="B171" t="s">
        <v>714</v>
      </c>
      <c r="C171" t="s">
        <v>818</v>
      </c>
    </row>
    <row r="172" spans="1:3" x14ac:dyDescent="0.3">
      <c r="A172" t="s">
        <v>1110</v>
      </c>
      <c r="B172" t="s">
        <v>1111</v>
      </c>
      <c r="C172" t="s">
        <v>1112</v>
      </c>
    </row>
    <row r="173" spans="1:3" x14ac:dyDescent="0.3">
      <c r="A173" t="s">
        <v>849</v>
      </c>
      <c r="B173" t="s">
        <v>252</v>
      </c>
      <c r="C173" t="s">
        <v>850</v>
      </c>
    </row>
    <row r="174" spans="1:3" x14ac:dyDescent="0.3">
      <c r="A174" t="s">
        <v>2150</v>
      </c>
      <c r="B174" t="s">
        <v>148</v>
      </c>
      <c r="C174" t="s">
        <v>1049</v>
      </c>
    </row>
    <row r="175" spans="1:3" x14ac:dyDescent="0.3">
      <c r="A175" t="s">
        <v>479</v>
      </c>
      <c r="B175" t="s">
        <v>118</v>
      </c>
      <c r="C175" t="s">
        <v>480</v>
      </c>
    </row>
    <row r="176" spans="1:3" x14ac:dyDescent="0.3">
      <c r="A176" t="s">
        <v>504</v>
      </c>
      <c r="B176" t="s">
        <v>379</v>
      </c>
      <c r="C176" t="s">
        <v>505</v>
      </c>
    </row>
    <row r="177" spans="1:3" x14ac:dyDescent="0.3">
      <c r="A177" t="s">
        <v>504</v>
      </c>
      <c r="B177" t="s">
        <v>379</v>
      </c>
      <c r="C177" t="s">
        <v>505</v>
      </c>
    </row>
    <row r="178" spans="1:3" x14ac:dyDescent="0.3">
      <c r="A178" t="s">
        <v>205</v>
      </c>
      <c r="B178" t="s">
        <v>106</v>
      </c>
      <c r="C178" t="s">
        <v>80</v>
      </c>
    </row>
    <row r="179" spans="1:3" x14ac:dyDescent="0.3">
      <c r="A179" t="s">
        <v>205</v>
      </c>
      <c r="B179" t="s">
        <v>106</v>
      </c>
      <c r="C179" t="s">
        <v>1467</v>
      </c>
    </row>
    <row r="180" spans="1:3" x14ac:dyDescent="0.3">
      <c r="A180" t="s">
        <v>205</v>
      </c>
      <c r="B180" t="s">
        <v>924</v>
      </c>
      <c r="C180" t="s">
        <v>159</v>
      </c>
    </row>
    <row r="181" spans="1:3" x14ac:dyDescent="0.3">
      <c r="A181" t="s">
        <v>205</v>
      </c>
      <c r="B181" t="s">
        <v>924</v>
      </c>
      <c r="C181" t="s">
        <v>146</v>
      </c>
    </row>
    <row r="182" spans="1:3" x14ac:dyDescent="0.3">
      <c r="A182" t="s">
        <v>205</v>
      </c>
      <c r="B182" t="s">
        <v>206</v>
      </c>
      <c r="C182" t="s">
        <v>207</v>
      </c>
    </row>
    <row r="183" spans="1:3" x14ac:dyDescent="0.3">
      <c r="A183" t="s">
        <v>2118</v>
      </c>
      <c r="C183" t="s">
        <v>880</v>
      </c>
    </row>
    <row r="184" spans="1:3" x14ac:dyDescent="0.3">
      <c r="A184" t="s">
        <v>1438</v>
      </c>
      <c r="B184" t="s">
        <v>334</v>
      </c>
      <c r="C184" t="s">
        <v>159</v>
      </c>
    </row>
    <row r="185" spans="1:3" x14ac:dyDescent="0.3">
      <c r="A185" t="s">
        <v>191</v>
      </c>
      <c r="B185" t="s">
        <v>252</v>
      </c>
      <c r="C185" t="s">
        <v>1377</v>
      </c>
    </row>
    <row r="186" spans="1:3" x14ac:dyDescent="0.3">
      <c r="A186" t="s">
        <v>191</v>
      </c>
      <c r="B186" t="s">
        <v>192</v>
      </c>
      <c r="C186" t="s">
        <v>27</v>
      </c>
    </row>
    <row r="187" spans="1:3" x14ac:dyDescent="0.3">
      <c r="A187" t="s">
        <v>191</v>
      </c>
      <c r="C187" t="s">
        <v>1362</v>
      </c>
    </row>
    <row r="188" spans="1:3" x14ac:dyDescent="0.3">
      <c r="A188" t="s">
        <v>71</v>
      </c>
      <c r="B188" t="s">
        <v>106</v>
      </c>
      <c r="C188" t="s">
        <v>823</v>
      </c>
    </row>
    <row r="189" spans="1:3" x14ac:dyDescent="0.3">
      <c r="A189" t="s">
        <v>71</v>
      </c>
      <c r="B189" t="s">
        <v>106</v>
      </c>
      <c r="C189" t="s">
        <v>153</v>
      </c>
    </row>
    <row r="190" spans="1:3" x14ac:dyDescent="0.3">
      <c r="A190" t="s">
        <v>71</v>
      </c>
      <c r="B190" t="s">
        <v>106</v>
      </c>
      <c r="C190" t="s">
        <v>1074</v>
      </c>
    </row>
    <row r="191" spans="1:3" x14ac:dyDescent="0.3">
      <c r="A191" t="s">
        <v>71</v>
      </c>
      <c r="B191" t="s">
        <v>106</v>
      </c>
      <c r="C191" t="s">
        <v>143</v>
      </c>
    </row>
    <row r="192" spans="1:3" x14ac:dyDescent="0.3">
      <c r="A192" t="s">
        <v>71</v>
      </c>
      <c r="B192" t="s">
        <v>106</v>
      </c>
      <c r="C192" t="s">
        <v>485</v>
      </c>
    </row>
    <row r="193" spans="1:3" x14ac:dyDescent="0.3">
      <c r="A193" t="s">
        <v>71</v>
      </c>
      <c r="B193" t="s">
        <v>106</v>
      </c>
      <c r="C193" t="s">
        <v>416</v>
      </c>
    </row>
    <row r="194" spans="1:3" x14ac:dyDescent="0.3">
      <c r="A194" t="s">
        <v>71</v>
      </c>
      <c r="B194" t="s">
        <v>106</v>
      </c>
      <c r="C194" t="s">
        <v>2054</v>
      </c>
    </row>
    <row r="195" spans="1:3" x14ac:dyDescent="0.3">
      <c r="A195" t="s">
        <v>71</v>
      </c>
      <c r="B195" t="s">
        <v>106</v>
      </c>
      <c r="C195" t="s">
        <v>1074</v>
      </c>
    </row>
    <row r="196" spans="1:3" x14ac:dyDescent="0.3">
      <c r="A196" t="s">
        <v>71</v>
      </c>
      <c r="B196" t="s">
        <v>106</v>
      </c>
      <c r="C196" t="s">
        <v>922</v>
      </c>
    </row>
    <row r="197" spans="1:3" x14ac:dyDescent="0.3">
      <c r="A197" t="s">
        <v>71</v>
      </c>
      <c r="B197" t="s">
        <v>106</v>
      </c>
      <c r="C197" t="s">
        <v>332</v>
      </c>
    </row>
    <row r="198" spans="1:3" x14ac:dyDescent="0.3">
      <c r="A198" t="s">
        <v>71</v>
      </c>
      <c r="B198" t="s">
        <v>106</v>
      </c>
      <c r="C198" t="s">
        <v>899</v>
      </c>
    </row>
    <row r="199" spans="1:3" x14ac:dyDescent="0.3">
      <c r="A199" t="s">
        <v>71</v>
      </c>
      <c r="B199" t="s">
        <v>106</v>
      </c>
      <c r="C199" t="s">
        <v>1133</v>
      </c>
    </row>
    <row r="200" spans="1:3" x14ac:dyDescent="0.3">
      <c r="A200" t="s">
        <v>71</v>
      </c>
      <c r="B200" t="s">
        <v>106</v>
      </c>
      <c r="C200" t="s">
        <v>898</v>
      </c>
    </row>
    <row r="201" spans="1:3" x14ac:dyDescent="0.3">
      <c r="A201" t="s">
        <v>71</v>
      </c>
      <c r="B201" t="s">
        <v>57</v>
      </c>
      <c r="C201" t="s">
        <v>1056</v>
      </c>
    </row>
    <row r="202" spans="1:3" x14ac:dyDescent="0.3">
      <c r="A202" t="s">
        <v>71</v>
      </c>
      <c r="B202" t="s">
        <v>57</v>
      </c>
      <c r="C202" t="s">
        <v>784</v>
      </c>
    </row>
    <row r="203" spans="1:3" x14ac:dyDescent="0.3">
      <c r="A203" t="s">
        <v>71</v>
      </c>
      <c r="B203" t="s">
        <v>57</v>
      </c>
      <c r="C203" t="s">
        <v>72</v>
      </c>
    </row>
    <row r="204" spans="1:3" x14ac:dyDescent="0.3">
      <c r="A204" t="s">
        <v>71</v>
      </c>
      <c r="B204" t="s">
        <v>57</v>
      </c>
      <c r="C204" t="s">
        <v>416</v>
      </c>
    </row>
    <row r="205" spans="1:3" x14ac:dyDescent="0.3">
      <c r="A205" t="s">
        <v>71</v>
      </c>
      <c r="B205" t="s">
        <v>57</v>
      </c>
      <c r="C205" t="s">
        <v>58</v>
      </c>
    </row>
    <row r="206" spans="1:3" x14ac:dyDescent="0.3">
      <c r="A206" t="s">
        <v>71</v>
      </c>
      <c r="B206" t="s">
        <v>541</v>
      </c>
      <c r="C206" t="s">
        <v>542</v>
      </c>
    </row>
    <row r="207" spans="1:3" x14ac:dyDescent="0.3">
      <c r="A207" t="s">
        <v>71</v>
      </c>
      <c r="B207" t="s">
        <v>642</v>
      </c>
      <c r="C207" t="s">
        <v>643</v>
      </c>
    </row>
    <row r="208" spans="1:3" x14ac:dyDescent="0.3">
      <c r="A208" t="s">
        <v>71</v>
      </c>
      <c r="B208" t="s">
        <v>533</v>
      </c>
      <c r="C208" t="s">
        <v>1987</v>
      </c>
    </row>
    <row r="209" spans="1:3" x14ac:dyDescent="0.3">
      <c r="A209" t="s">
        <v>71</v>
      </c>
      <c r="B209" t="s">
        <v>533</v>
      </c>
      <c r="C209" t="s">
        <v>1062</v>
      </c>
    </row>
    <row r="210" spans="1:3" x14ac:dyDescent="0.3">
      <c r="A210" t="s">
        <v>71</v>
      </c>
      <c r="B210" t="s">
        <v>533</v>
      </c>
      <c r="C210" t="s">
        <v>1048</v>
      </c>
    </row>
    <row r="211" spans="1:3" x14ac:dyDescent="0.3">
      <c r="A211" t="s">
        <v>71</v>
      </c>
      <c r="B211" t="s">
        <v>533</v>
      </c>
      <c r="C211" t="s">
        <v>1098</v>
      </c>
    </row>
    <row r="212" spans="1:3" x14ac:dyDescent="0.3">
      <c r="A212" t="s">
        <v>71</v>
      </c>
      <c r="B212" t="s">
        <v>32</v>
      </c>
      <c r="C212" t="s">
        <v>172</v>
      </c>
    </row>
    <row r="213" spans="1:3" x14ac:dyDescent="0.3">
      <c r="A213" t="s">
        <v>71</v>
      </c>
      <c r="B213" t="s">
        <v>32</v>
      </c>
      <c r="C213" t="s">
        <v>146</v>
      </c>
    </row>
    <row r="214" spans="1:3" x14ac:dyDescent="0.3">
      <c r="A214" t="s">
        <v>71</v>
      </c>
      <c r="B214" t="s">
        <v>32</v>
      </c>
      <c r="C214" t="s">
        <v>683</v>
      </c>
    </row>
    <row r="215" spans="1:3" x14ac:dyDescent="0.3">
      <c r="A215" t="s">
        <v>71</v>
      </c>
      <c r="B215" t="s">
        <v>32</v>
      </c>
      <c r="C215" t="s">
        <v>999</v>
      </c>
    </row>
    <row r="216" spans="1:3" x14ac:dyDescent="0.3">
      <c r="A216" t="s">
        <v>71</v>
      </c>
      <c r="B216" t="s">
        <v>32</v>
      </c>
      <c r="C216" t="s">
        <v>907</v>
      </c>
    </row>
    <row r="217" spans="1:3" x14ac:dyDescent="0.3">
      <c r="A217" t="s">
        <v>664</v>
      </c>
      <c r="C217" t="s">
        <v>27</v>
      </c>
    </row>
    <row r="218" spans="1:3" x14ac:dyDescent="0.3">
      <c r="A218" t="s">
        <v>1275</v>
      </c>
      <c r="C218" t="s">
        <v>27</v>
      </c>
    </row>
    <row r="219" spans="1:3" x14ac:dyDescent="0.3">
      <c r="A219" t="s">
        <v>264</v>
      </c>
      <c r="B219" t="s">
        <v>63</v>
      </c>
      <c r="C219" t="s">
        <v>172</v>
      </c>
    </row>
    <row r="220" spans="1:3" x14ac:dyDescent="0.3">
      <c r="A220" t="s">
        <v>264</v>
      </c>
      <c r="B220" t="s">
        <v>63</v>
      </c>
      <c r="C220" t="s">
        <v>289</v>
      </c>
    </row>
    <row r="221" spans="1:3" x14ac:dyDescent="0.3">
      <c r="A221" t="s">
        <v>264</v>
      </c>
      <c r="B221" t="s">
        <v>63</v>
      </c>
      <c r="C221" t="s">
        <v>163</v>
      </c>
    </row>
    <row r="222" spans="1:3" x14ac:dyDescent="0.3">
      <c r="A222" t="s">
        <v>264</v>
      </c>
      <c r="B222" t="s">
        <v>63</v>
      </c>
      <c r="C222" t="s">
        <v>1163</v>
      </c>
    </row>
    <row r="223" spans="1:3" x14ac:dyDescent="0.3">
      <c r="A223" t="s">
        <v>1376</v>
      </c>
      <c r="B223" t="s">
        <v>252</v>
      </c>
      <c r="C223" t="s">
        <v>1377</v>
      </c>
    </row>
    <row r="224" spans="1:3" x14ac:dyDescent="0.3">
      <c r="A224" t="s">
        <v>1376</v>
      </c>
      <c r="C224" t="s">
        <v>1418</v>
      </c>
    </row>
    <row r="225" spans="1:3" x14ac:dyDescent="0.3">
      <c r="A225" t="s">
        <v>1955</v>
      </c>
      <c r="B225" t="s">
        <v>1180</v>
      </c>
      <c r="C225" t="s">
        <v>1072</v>
      </c>
    </row>
    <row r="226" spans="1:3" x14ac:dyDescent="0.3">
      <c r="A226" t="s">
        <v>1949</v>
      </c>
      <c r="B226" t="s">
        <v>1228</v>
      </c>
      <c r="C226" t="s">
        <v>2100</v>
      </c>
    </row>
    <row r="227" spans="1:3" x14ac:dyDescent="0.3">
      <c r="A227" t="s">
        <v>1949</v>
      </c>
      <c r="B227" t="s">
        <v>831</v>
      </c>
      <c r="C227" t="s">
        <v>85</v>
      </c>
    </row>
    <row r="228" spans="1:3" x14ac:dyDescent="0.3">
      <c r="A228" t="s">
        <v>259</v>
      </c>
      <c r="B228" t="s">
        <v>63</v>
      </c>
      <c r="C228" t="s">
        <v>671</v>
      </c>
    </row>
    <row r="229" spans="1:3" x14ac:dyDescent="0.3">
      <c r="A229" t="s">
        <v>259</v>
      </c>
      <c r="B229" t="s">
        <v>63</v>
      </c>
      <c r="C229" t="s">
        <v>655</v>
      </c>
    </row>
    <row r="230" spans="1:3" x14ac:dyDescent="0.3">
      <c r="A230" t="s">
        <v>259</v>
      </c>
      <c r="B230" t="s">
        <v>327</v>
      </c>
      <c r="C230" t="s">
        <v>121</v>
      </c>
    </row>
    <row r="231" spans="1:3" x14ac:dyDescent="0.3">
      <c r="A231" t="s">
        <v>259</v>
      </c>
      <c r="B231" t="s">
        <v>260</v>
      </c>
      <c r="C231" t="s">
        <v>207</v>
      </c>
    </row>
    <row r="232" spans="1:3" x14ac:dyDescent="0.3">
      <c r="A232" t="s">
        <v>1351</v>
      </c>
      <c r="C232" t="s">
        <v>283</v>
      </c>
    </row>
    <row r="233" spans="1:3" x14ac:dyDescent="0.3">
      <c r="A233" t="s">
        <v>318</v>
      </c>
      <c r="C233" t="s">
        <v>319</v>
      </c>
    </row>
    <row r="234" spans="1:3" x14ac:dyDescent="0.3">
      <c r="A234" t="s">
        <v>343</v>
      </c>
      <c r="B234" t="s">
        <v>344</v>
      </c>
      <c r="C234" t="s">
        <v>85</v>
      </c>
    </row>
    <row r="235" spans="1:3" x14ac:dyDescent="0.3">
      <c r="A235" t="s">
        <v>378</v>
      </c>
      <c r="B235" t="s">
        <v>379</v>
      </c>
      <c r="C235" t="s">
        <v>380</v>
      </c>
    </row>
    <row r="236" spans="1:3" x14ac:dyDescent="0.3">
      <c r="A236" t="s">
        <v>794</v>
      </c>
      <c r="B236" t="s">
        <v>795</v>
      </c>
      <c r="C236" t="s">
        <v>796</v>
      </c>
    </row>
    <row r="237" spans="1:3" x14ac:dyDescent="0.3">
      <c r="A237" t="s">
        <v>794</v>
      </c>
      <c r="B237" t="s">
        <v>2109</v>
      </c>
      <c r="C237" t="s">
        <v>121</v>
      </c>
    </row>
    <row r="238" spans="1:3" x14ac:dyDescent="0.3">
      <c r="A238" t="s">
        <v>1027</v>
      </c>
      <c r="B238" t="s">
        <v>362</v>
      </c>
      <c r="C238" t="s">
        <v>1028</v>
      </c>
    </row>
    <row r="239" spans="1:3" x14ac:dyDescent="0.3">
      <c r="A239" t="s">
        <v>420</v>
      </c>
      <c r="B239" t="s">
        <v>421</v>
      </c>
      <c r="C239" t="s">
        <v>422</v>
      </c>
    </row>
    <row r="240" spans="1:3" x14ac:dyDescent="0.3">
      <c r="A240" t="s">
        <v>420</v>
      </c>
      <c r="C240" t="s">
        <v>27</v>
      </c>
    </row>
    <row r="241" spans="1:3" x14ac:dyDescent="0.3">
      <c r="A241" t="s">
        <v>2041</v>
      </c>
      <c r="B241" t="s">
        <v>2042</v>
      </c>
      <c r="C241" t="s">
        <v>121</v>
      </c>
    </row>
    <row r="242" spans="1:3" x14ac:dyDescent="0.3">
      <c r="A242" t="s">
        <v>635</v>
      </c>
      <c r="B242" t="s">
        <v>636</v>
      </c>
      <c r="C242" t="s">
        <v>637</v>
      </c>
    </row>
    <row r="243" spans="1:3" x14ac:dyDescent="0.3">
      <c r="A243" t="s">
        <v>1298</v>
      </c>
      <c r="B243" t="s">
        <v>1320</v>
      </c>
      <c r="C243" t="s">
        <v>1344</v>
      </c>
    </row>
    <row r="244" spans="1:3" x14ac:dyDescent="0.3">
      <c r="A244" t="s">
        <v>1298</v>
      </c>
      <c r="B244" t="s">
        <v>1320</v>
      </c>
    </row>
    <row r="245" spans="1:3" x14ac:dyDescent="0.3">
      <c r="A245" t="s">
        <v>1298</v>
      </c>
      <c r="B245" t="s">
        <v>1282</v>
      </c>
      <c r="C245" t="s">
        <v>1299</v>
      </c>
    </row>
    <row r="246" spans="1:3" x14ac:dyDescent="0.3">
      <c r="A246" t="s">
        <v>1298</v>
      </c>
      <c r="B246" t="s">
        <v>1282</v>
      </c>
      <c r="C246" t="s">
        <v>1368</v>
      </c>
    </row>
    <row r="247" spans="1:3" x14ac:dyDescent="0.3">
      <c r="A247" t="s">
        <v>745</v>
      </c>
      <c r="B247" t="s">
        <v>385</v>
      </c>
      <c r="C247" t="s">
        <v>183</v>
      </c>
    </row>
    <row r="248" spans="1:3" x14ac:dyDescent="0.3">
      <c r="A248" t="s">
        <v>914</v>
      </c>
      <c r="B248" t="s">
        <v>915</v>
      </c>
      <c r="C248" t="s">
        <v>916</v>
      </c>
    </row>
    <row r="249" spans="1:3" x14ac:dyDescent="0.3">
      <c r="A249" t="s">
        <v>432</v>
      </c>
      <c r="B249" t="s">
        <v>433</v>
      </c>
      <c r="C249" t="s">
        <v>377</v>
      </c>
    </row>
    <row r="250" spans="1:3" x14ac:dyDescent="0.3">
      <c r="A250" t="s">
        <v>266</v>
      </c>
      <c r="B250" t="s">
        <v>267</v>
      </c>
      <c r="C250" t="s">
        <v>876</v>
      </c>
    </row>
    <row r="251" spans="1:3" x14ac:dyDescent="0.3">
      <c r="A251" t="s">
        <v>266</v>
      </c>
      <c r="B251" t="s">
        <v>267</v>
      </c>
      <c r="C251" t="s">
        <v>983</v>
      </c>
    </row>
    <row r="252" spans="1:3" x14ac:dyDescent="0.3">
      <c r="A252" t="s">
        <v>266</v>
      </c>
      <c r="B252" t="s">
        <v>267</v>
      </c>
      <c r="C252" t="s">
        <v>268</v>
      </c>
    </row>
    <row r="253" spans="1:3" x14ac:dyDescent="0.3">
      <c r="A253" t="s">
        <v>1364</v>
      </c>
      <c r="B253" t="s">
        <v>1365</v>
      </c>
      <c r="C253" t="s">
        <v>1366</v>
      </c>
    </row>
    <row r="254" spans="1:3" x14ac:dyDescent="0.3">
      <c r="A254" t="s">
        <v>627</v>
      </c>
      <c r="B254" t="s">
        <v>628</v>
      </c>
      <c r="C254" t="s">
        <v>554</v>
      </c>
    </row>
    <row r="255" spans="1:3" x14ac:dyDescent="0.3">
      <c r="A255" t="s">
        <v>25</v>
      </c>
      <c r="B255" t="s">
        <v>138</v>
      </c>
      <c r="C255" t="s">
        <v>1051</v>
      </c>
    </row>
    <row r="256" spans="1:3" x14ac:dyDescent="0.3">
      <c r="A256" t="s">
        <v>25</v>
      </c>
      <c r="B256" t="s">
        <v>135</v>
      </c>
      <c r="C256" t="s">
        <v>136</v>
      </c>
    </row>
    <row r="257" spans="1:3" x14ac:dyDescent="0.3">
      <c r="A257" t="s">
        <v>25</v>
      </c>
      <c r="B257" t="s">
        <v>26</v>
      </c>
      <c r="C257" t="s">
        <v>27</v>
      </c>
    </row>
    <row r="258" spans="1:3" x14ac:dyDescent="0.3">
      <c r="A258" t="s">
        <v>25</v>
      </c>
      <c r="B258" t="s">
        <v>26</v>
      </c>
      <c r="C258" t="s">
        <v>127</v>
      </c>
    </row>
    <row r="259" spans="1:3" x14ac:dyDescent="0.3">
      <c r="A259" t="s">
        <v>25</v>
      </c>
      <c r="B259" t="s">
        <v>727</v>
      </c>
      <c r="C259" t="s">
        <v>728</v>
      </c>
    </row>
    <row r="260" spans="1:3" x14ac:dyDescent="0.3">
      <c r="A260" t="s">
        <v>25</v>
      </c>
      <c r="B260" t="s">
        <v>242</v>
      </c>
    </row>
    <row r="261" spans="1:3" x14ac:dyDescent="0.3">
      <c r="A261" t="s">
        <v>25</v>
      </c>
      <c r="C261" t="s">
        <v>27</v>
      </c>
    </row>
    <row r="262" spans="1:3" x14ac:dyDescent="0.3">
      <c r="A262" t="s">
        <v>25</v>
      </c>
      <c r="C262" t="s">
        <v>27</v>
      </c>
    </row>
    <row r="263" spans="1:3" x14ac:dyDescent="0.3">
      <c r="A263" t="s">
        <v>426</v>
      </c>
      <c r="B263" t="s">
        <v>232</v>
      </c>
      <c r="C263" t="s">
        <v>1995</v>
      </c>
    </row>
    <row r="264" spans="1:3" x14ac:dyDescent="0.3">
      <c r="A264" t="s">
        <v>426</v>
      </c>
      <c r="B264" t="s">
        <v>588</v>
      </c>
      <c r="C264" t="s">
        <v>589</v>
      </c>
    </row>
    <row r="265" spans="1:3" x14ac:dyDescent="0.3">
      <c r="A265" t="s">
        <v>426</v>
      </c>
      <c r="B265" t="s">
        <v>427</v>
      </c>
      <c r="C265" t="s">
        <v>428</v>
      </c>
    </row>
    <row r="266" spans="1:3" x14ac:dyDescent="0.3">
      <c r="A266" t="s">
        <v>1212</v>
      </c>
      <c r="B266" t="s">
        <v>1215</v>
      </c>
      <c r="C266" t="s">
        <v>415</v>
      </c>
    </row>
    <row r="267" spans="1:3" x14ac:dyDescent="0.3">
      <c r="A267" t="s">
        <v>1212</v>
      </c>
      <c r="B267" t="s">
        <v>1333</v>
      </c>
      <c r="C267" t="s">
        <v>121</v>
      </c>
    </row>
    <row r="268" spans="1:3" x14ac:dyDescent="0.3">
      <c r="A268" t="s">
        <v>1212</v>
      </c>
      <c r="B268" t="s">
        <v>1333</v>
      </c>
      <c r="C268" t="s">
        <v>1334</v>
      </c>
    </row>
    <row r="269" spans="1:3" x14ac:dyDescent="0.3">
      <c r="A269" t="s">
        <v>1212</v>
      </c>
      <c r="B269" t="s">
        <v>161</v>
      </c>
      <c r="C269" t="s">
        <v>1373</v>
      </c>
    </row>
    <row r="270" spans="1:3" x14ac:dyDescent="0.3">
      <c r="A270" t="s">
        <v>1212</v>
      </c>
      <c r="B270" t="s">
        <v>161</v>
      </c>
      <c r="C270" t="s">
        <v>1390</v>
      </c>
    </row>
    <row r="271" spans="1:3" x14ac:dyDescent="0.3">
      <c r="A271" t="s">
        <v>1212</v>
      </c>
      <c r="B271" t="s">
        <v>1213</v>
      </c>
      <c r="C271" t="s">
        <v>98</v>
      </c>
    </row>
    <row r="272" spans="1:3" x14ac:dyDescent="0.3">
      <c r="A272" t="s">
        <v>1212</v>
      </c>
      <c r="B272" t="s">
        <v>1213</v>
      </c>
      <c r="C272" t="s">
        <v>1262</v>
      </c>
    </row>
    <row r="273" spans="1:3" x14ac:dyDescent="0.3">
      <c r="A273" t="s">
        <v>527</v>
      </c>
      <c r="C273" t="s">
        <v>27</v>
      </c>
    </row>
    <row r="274" spans="1:3" x14ac:dyDescent="0.3">
      <c r="A274" t="s">
        <v>962</v>
      </c>
      <c r="B274" t="s">
        <v>2003</v>
      </c>
      <c r="C274" t="s">
        <v>549</v>
      </c>
    </row>
    <row r="275" spans="1:3" x14ac:dyDescent="0.3">
      <c r="A275" t="s">
        <v>962</v>
      </c>
      <c r="B275" t="s">
        <v>232</v>
      </c>
      <c r="C275" t="s">
        <v>960</v>
      </c>
    </row>
    <row r="276" spans="1:3" x14ac:dyDescent="0.3">
      <c r="A276" t="s">
        <v>962</v>
      </c>
      <c r="B276" t="s">
        <v>232</v>
      </c>
      <c r="C276" t="s">
        <v>973</v>
      </c>
    </row>
    <row r="277" spans="1:3" x14ac:dyDescent="0.3">
      <c r="A277" t="s">
        <v>237</v>
      </c>
      <c r="B277" t="s">
        <v>84</v>
      </c>
      <c r="C277" t="s">
        <v>212</v>
      </c>
    </row>
    <row r="278" spans="1:3" x14ac:dyDescent="0.3">
      <c r="A278" t="s">
        <v>237</v>
      </c>
      <c r="B278" t="s">
        <v>84</v>
      </c>
      <c r="C278" t="s">
        <v>377</v>
      </c>
    </row>
    <row r="279" spans="1:3" x14ac:dyDescent="0.3">
      <c r="A279" t="s">
        <v>237</v>
      </c>
      <c r="B279" t="s">
        <v>84</v>
      </c>
      <c r="C279" t="s">
        <v>238</v>
      </c>
    </row>
    <row r="280" spans="1:3" x14ac:dyDescent="0.3">
      <c r="A280" t="s">
        <v>237</v>
      </c>
      <c r="B280" t="s">
        <v>84</v>
      </c>
      <c r="C280" t="s">
        <v>731</v>
      </c>
    </row>
    <row r="281" spans="1:3" x14ac:dyDescent="0.3">
      <c r="A281" t="s">
        <v>237</v>
      </c>
      <c r="B281" t="s">
        <v>84</v>
      </c>
      <c r="C281" t="s">
        <v>2136</v>
      </c>
    </row>
    <row r="282" spans="1:3" x14ac:dyDescent="0.3">
      <c r="A282" t="s">
        <v>237</v>
      </c>
      <c r="B282" t="s">
        <v>84</v>
      </c>
      <c r="C282" t="s">
        <v>928</v>
      </c>
    </row>
    <row r="283" spans="1:3" x14ac:dyDescent="0.3">
      <c r="A283" t="s">
        <v>237</v>
      </c>
      <c r="B283" t="s">
        <v>84</v>
      </c>
      <c r="C283" t="s">
        <v>146</v>
      </c>
    </row>
    <row r="284" spans="1:3" x14ac:dyDescent="0.3">
      <c r="A284" t="s">
        <v>237</v>
      </c>
      <c r="B284" t="s">
        <v>84</v>
      </c>
      <c r="C284" t="s">
        <v>341</v>
      </c>
    </row>
    <row r="285" spans="1:3" x14ac:dyDescent="0.3">
      <c r="A285" t="s">
        <v>237</v>
      </c>
      <c r="B285" t="s">
        <v>84</v>
      </c>
      <c r="C285" t="s">
        <v>1078</v>
      </c>
    </row>
    <row r="286" spans="1:3" x14ac:dyDescent="0.3">
      <c r="A286" t="s">
        <v>237</v>
      </c>
      <c r="B286" t="s">
        <v>84</v>
      </c>
      <c r="C286" t="s">
        <v>1007</v>
      </c>
    </row>
    <row r="287" spans="1:3" x14ac:dyDescent="0.3">
      <c r="A287" t="s">
        <v>237</v>
      </c>
      <c r="B287" t="s">
        <v>84</v>
      </c>
      <c r="C287" t="s">
        <v>145</v>
      </c>
    </row>
    <row r="288" spans="1:3" x14ac:dyDescent="0.3">
      <c r="A288" t="s">
        <v>237</v>
      </c>
      <c r="B288" t="s">
        <v>84</v>
      </c>
      <c r="C288" t="s">
        <v>944</v>
      </c>
    </row>
    <row r="289" spans="1:3" x14ac:dyDescent="0.3">
      <c r="A289" t="s">
        <v>237</v>
      </c>
      <c r="B289" t="s">
        <v>84</v>
      </c>
      <c r="C289" t="s">
        <v>341</v>
      </c>
    </row>
    <row r="290" spans="1:3" x14ac:dyDescent="0.3">
      <c r="A290" t="s">
        <v>237</v>
      </c>
      <c r="B290" t="s">
        <v>84</v>
      </c>
      <c r="C290" t="s">
        <v>731</v>
      </c>
    </row>
    <row r="291" spans="1:3" x14ac:dyDescent="0.3">
      <c r="A291" t="s">
        <v>237</v>
      </c>
      <c r="B291" t="s">
        <v>84</v>
      </c>
      <c r="C291" t="s">
        <v>146</v>
      </c>
    </row>
    <row r="292" spans="1:3" x14ac:dyDescent="0.3">
      <c r="A292" t="s">
        <v>237</v>
      </c>
      <c r="B292" t="s">
        <v>84</v>
      </c>
      <c r="C292" t="s">
        <v>265</v>
      </c>
    </row>
    <row r="293" spans="1:3" x14ac:dyDescent="0.3">
      <c r="A293" t="s">
        <v>237</v>
      </c>
      <c r="B293" t="s">
        <v>84</v>
      </c>
      <c r="C293" t="s">
        <v>265</v>
      </c>
    </row>
    <row r="294" spans="1:3" x14ac:dyDescent="0.3">
      <c r="A294" t="s">
        <v>237</v>
      </c>
      <c r="B294" t="s">
        <v>84</v>
      </c>
      <c r="C294" t="s">
        <v>1011</v>
      </c>
    </row>
    <row r="295" spans="1:3" x14ac:dyDescent="0.3">
      <c r="A295" t="s">
        <v>237</v>
      </c>
      <c r="B295" t="s">
        <v>84</v>
      </c>
      <c r="C295" t="s">
        <v>341</v>
      </c>
    </row>
    <row r="296" spans="1:3" x14ac:dyDescent="0.3">
      <c r="A296" t="s">
        <v>237</v>
      </c>
      <c r="B296" t="s">
        <v>980</v>
      </c>
      <c r="C296" t="s">
        <v>981</v>
      </c>
    </row>
    <row r="297" spans="1:3" x14ac:dyDescent="0.3">
      <c r="A297" t="s">
        <v>237</v>
      </c>
      <c r="B297" t="s">
        <v>810</v>
      </c>
      <c r="C297" t="s">
        <v>731</v>
      </c>
    </row>
    <row r="298" spans="1:3" x14ac:dyDescent="0.3">
      <c r="A298" t="s">
        <v>1330</v>
      </c>
      <c r="B298" t="s">
        <v>1331</v>
      </c>
      <c r="C298" t="s">
        <v>1332</v>
      </c>
    </row>
    <row r="299" spans="1:3" x14ac:dyDescent="0.3">
      <c r="A299" t="s">
        <v>919</v>
      </c>
      <c r="B299" t="s">
        <v>179</v>
      </c>
    </row>
    <row r="300" spans="1:3" x14ac:dyDescent="0.3">
      <c r="A300" t="s">
        <v>919</v>
      </c>
      <c r="B300" t="s">
        <v>179</v>
      </c>
      <c r="C300" t="s">
        <v>85</v>
      </c>
    </row>
    <row r="301" spans="1:3" x14ac:dyDescent="0.3">
      <c r="A301" t="s">
        <v>919</v>
      </c>
      <c r="B301" t="s">
        <v>226</v>
      </c>
      <c r="C301" t="s">
        <v>27</v>
      </c>
    </row>
    <row r="302" spans="1:3" x14ac:dyDescent="0.3">
      <c r="A302" t="s">
        <v>919</v>
      </c>
      <c r="B302" t="s">
        <v>226</v>
      </c>
      <c r="C302" t="s">
        <v>1109</v>
      </c>
    </row>
    <row r="303" spans="1:3" x14ac:dyDescent="0.3">
      <c r="A303" t="s">
        <v>919</v>
      </c>
      <c r="B303" t="s">
        <v>1105</v>
      </c>
      <c r="C303" t="s">
        <v>958</v>
      </c>
    </row>
    <row r="304" spans="1:3" x14ac:dyDescent="0.3">
      <c r="A304" t="s">
        <v>1099</v>
      </c>
      <c r="B304" t="s">
        <v>362</v>
      </c>
      <c r="C304" t="s">
        <v>27</v>
      </c>
    </row>
    <row r="305" spans="1:3" x14ac:dyDescent="0.3">
      <c r="A305" t="s">
        <v>1099</v>
      </c>
      <c r="B305" t="s">
        <v>2011</v>
      </c>
      <c r="C305" t="s">
        <v>1047</v>
      </c>
    </row>
    <row r="306" spans="1:3" x14ac:dyDescent="0.3">
      <c r="A306" t="s">
        <v>1099</v>
      </c>
      <c r="B306" t="s">
        <v>272</v>
      </c>
      <c r="C306" t="s">
        <v>1100</v>
      </c>
    </row>
    <row r="307" spans="1:3" x14ac:dyDescent="0.3">
      <c r="A307" t="s">
        <v>1099</v>
      </c>
      <c r="B307" t="s">
        <v>272</v>
      </c>
      <c r="C307" t="s">
        <v>1329</v>
      </c>
    </row>
    <row r="308" spans="1:3" x14ac:dyDescent="0.3">
      <c r="A308" t="s">
        <v>1099</v>
      </c>
      <c r="B308" t="s">
        <v>272</v>
      </c>
      <c r="C308" t="s">
        <v>1970</v>
      </c>
    </row>
    <row r="309" spans="1:3" x14ac:dyDescent="0.3">
      <c r="A309" t="s">
        <v>1339</v>
      </c>
      <c r="B309" t="s">
        <v>453</v>
      </c>
      <c r="C309" t="s">
        <v>1340</v>
      </c>
    </row>
    <row r="310" spans="1:3" x14ac:dyDescent="0.3">
      <c r="A310" t="s">
        <v>1339</v>
      </c>
      <c r="B310" t="s">
        <v>453</v>
      </c>
      <c r="C310" t="s">
        <v>1378</v>
      </c>
    </row>
    <row r="311" spans="1:3" x14ac:dyDescent="0.3">
      <c r="A311" t="s">
        <v>1339</v>
      </c>
      <c r="B311" t="s">
        <v>453</v>
      </c>
      <c r="C311" t="s">
        <v>1382</v>
      </c>
    </row>
    <row r="312" spans="1:3" x14ac:dyDescent="0.3">
      <c r="A312" t="s">
        <v>1339</v>
      </c>
      <c r="B312" t="s">
        <v>453</v>
      </c>
      <c r="C312" t="s">
        <v>1437</v>
      </c>
    </row>
    <row r="313" spans="1:3" x14ac:dyDescent="0.3">
      <c r="A313" t="s">
        <v>1339</v>
      </c>
      <c r="C313" t="s">
        <v>27</v>
      </c>
    </row>
    <row r="314" spans="1:3" x14ac:dyDescent="0.3">
      <c r="A314" t="s">
        <v>108</v>
      </c>
      <c r="B314" t="s">
        <v>109</v>
      </c>
      <c r="C314" t="s">
        <v>110</v>
      </c>
    </row>
    <row r="315" spans="1:3" x14ac:dyDescent="0.3">
      <c r="A315" t="s">
        <v>108</v>
      </c>
      <c r="B315" t="s">
        <v>1123</v>
      </c>
      <c r="C315" t="s">
        <v>2049</v>
      </c>
    </row>
    <row r="316" spans="1:3" x14ac:dyDescent="0.3">
      <c r="A316" t="s">
        <v>108</v>
      </c>
      <c r="B316" t="s">
        <v>1123</v>
      </c>
      <c r="C316" t="s">
        <v>121</v>
      </c>
    </row>
    <row r="317" spans="1:3" x14ac:dyDescent="0.3">
      <c r="A317" t="s">
        <v>748</v>
      </c>
      <c r="B317" t="s">
        <v>749</v>
      </c>
      <c r="C317" t="s">
        <v>750</v>
      </c>
    </row>
    <row r="318" spans="1:3" x14ac:dyDescent="0.3">
      <c r="A318" t="s">
        <v>1462</v>
      </c>
      <c r="B318" t="s">
        <v>362</v>
      </c>
      <c r="C318" t="s">
        <v>1463</v>
      </c>
    </row>
    <row r="319" spans="1:3" x14ac:dyDescent="0.3">
      <c r="A319" t="s">
        <v>384</v>
      </c>
      <c r="B319" t="s">
        <v>385</v>
      </c>
      <c r="C319" t="s">
        <v>386</v>
      </c>
    </row>
    <row r="320" spans="1:3" x14ac:dyDescent="0.3">
      <c r="A320" t="s">
        <v>394</v>
      </c>
      <c r="B320" t="s">
        <v>395</v>
      </c>
      <c r="C320" t="s">
        <v>396</v>
      </c>
    </row>
    <row r="321" spans="1:3" x14ac:dyDescent="0.3">
      <c r="A321" t="s">
        <v>213</v>
      </c>
      <c r="C321" t="s">
        <v>27</v>
      </c>
    </row>
    <row r="322" spans="1:3" x14ac:dyDescent="0.3">
      <c r="A322" t="s">
        <v>213</v>
      </c>
      <c r="C322" t="s">
        <v>116</v>
      </c>
    </row>
    <row r="323" spans="1:3" x14ac:dyDescent="0.3">
      <c r="A323" t="s">
        <v>86</v>
      </c>
      <c r="B323" t="s">
        <v>148</v>
      </c>
      <c r="C323" t="s">
        <v>1089</v>
      </c>
    </row>
    <row r="324" spans="1:3" x14ac:dyDescent="0.3">
      <c r="A324" t="s">
        <v>86</v>
      </c>
      <c r="B324" t="s">
        <v>148</v>
      </c>
      <c r="C324" t="s">
        <v>40</v>
      </c>
    </row>
    <row r="325" spans="1:3" x14ac:dyDescent="0.3">
      <c r="A325" t="s">
        <v>86</v>
      </c>
      <c r="B325" t="s">
        <v>148</v>
      </c>
      <c r="C325" t="s">
        <v>701</v>
      </c>
    </row>
    <row r="326" spans="1:3" x14ac:dyDescent="0.3">
      <c r="A326" t="s">
        <v>86</v>
      </c>
      <c r="B326" t="s">
        <v>45</v>
      </c>
      <c r="C326" t="s">
        <v>121</v>
      </c>
    </row>
    <row r="327" spans="1:3" x14ac:dyDescent="0.3">
      <c r="A327" t="s">
        <v>86</v>
      </c>
      <c r="B327" t="s">
        <v>45</v>
      </c>
      <c r="C327" t="s">
        <v>87</v>
      </c>
    </row>
    <row r="328" spans="1:3" x14ac:dyDescent="0.3">
      <c r="A328" t="s">
        <v>86</v>
      </c>
      <c r="B328" t="s">
        <v>45</v>
      </c>
      <c r="C328" t="s">
        <v>145</v>
      </c>
    </row>
    <row r="329" spans="1:3" x14ac:dyDescent="0.3">
      <c r="A329" t="s">
        <v>86</v>
      </c>
      <c r="B329" t="s">
        <v>45</v>
      </c>
      <c r="C329" t="s">
        <v>163</v>
      </c>
    </row>
    <row r="330" spans="1:3" x14ac:dyDescent="0.3">
      <c r="A330" t="s">
        <v>86</v>
      </c>
      <c r="B330" t="s">
        <v>45</v>
      </c>
      <c r="C330" t="s">
        <v>285</v>
      </c>
    </row>
    <row r="331" spans="1:3" x14ac:dyDescent="0.3">
      <c r="A331" t="s">
        <v>86</v>
      </c>
      <c r="B331" t="s">
        <v>45</v>
      </c>
      <c r="C331" t="s">
        <v>284</v>
      </c>
    </row>
    <row r="332" spans="1:3" x14ac:dyDescent="0.3">
      <c r="A332" t="s">
        <v>86</v>
      </c>
      <c r="B332" t="s">
        <v>45</v>
      </c>
      <c r="C332" t="s">
        <v>538</v>
      </c>
    </row>
    <row r="333" spans="1:3" x14ac:dyDescent="0.3">
      <c r="A333" t="s">
        <v>86</v>
      </c>
      <c r="B333" t="s">
        <v>45</v>
      </c>
      <c r="C333" t="s">
        <v>410</v>
      </c>
    </row>
    <row r="334" spans="1:3" x14ac:dyDescent="0.3">
      <c r="A334" t="s">
        <v>86</v>
      </c>
      <c r="B334" t="s">
        <v>45</v>
      </c>
      <c r="C334" t="s">
        <v>410</v>
      </c>
    </row>
    <row r="335" spans="1:3" x14ac:dyDescent="0.3">
      <c r="A335" t="s">
        <v>86</v>
      </c>
      <c r="B335" t="s">
        <v>45</v>
      </c>
      <c r="C335" t="s">
        <v>255</v>
      </c>
    </row>
    <row r="336" spans="1:3" x14ac:dyDescent="0.3">
      <c r="A336" t="s">
        <v>86</v>
      </c>
      <c r="B336" t="s">
        <v>45</v>
      </c>
      <c r="C336" t="s">
        <v>58</v>
      </c>
    </row>
    <row r="337" spans="1:3" x14ac:dyDescent="0.3">
      <c r="A337" t="s">
        <v>86</v>
      </c>
      <c r="B337" t="s">
        <v>45</v>
      </c>
      <c r="C337" t="s">
        <v>255</v>
      </c>
    </row>
    <row r="338" spans="1:3" x14ac:dyDescent="0.3">
      <c r="A338" t="s">
        <v>86</v>
      </c>
      <c r="B338" t="s">
        <v>45</v>
      </c>
      <c r="C338" t="s">
        <v>558</v>
      </c>
    </row>
    <row r="339" spans="1:3" x14ac:dyDescent="0.3">
      <c r="A339" t="s">
        <v>86</v>
      </c>
      <c r="B339" t="s">
        <v>45</v>
      </c>
      <c r="C339" t="s">
        <v>485</v>
      </c>
    </row>
    <row r="340" spans="1:3" x14ac:dyDescent="0.3">
      <c r="A340" t="s">
        <v>86</v>
      </c>
      <c r="B340" t="s">
        <v>45</v>
      </c>
      <c r="C340" t="s">
        <v>202</v>
      </c>
    </row>
    <row r="341" spans="1:3" x14ac:dyDescent="0.3">
      <c r="A341" t="s">
        <v>86</v>
      </c>
      <c r="B341" t="s">
        <v>45</v>
      </c>
      <c r="C341" t="s">
        <v>671</v>
      </c>
    </row>
    <row r="342" spans="1:3" x14ac:dyDescent="0.3">
      <c r="A342" t="s">
        <v>86</v>
      </c>
      <c r="B342" t="s">
        <v>45</v>
      </c>
      <c r="C342" t="s">
        <v>121</v>
      </c>
    </row>
    <row r="343" spans="1:3" x14ac:dyDescent="0.3">
      <c r="A343" t="s">
        <v>86</v>
      </c>
      <c r="B343" t="s">
        <v>45</v>
      </c>
      <c r="C343" t="s">
        <v>1645</v>
      </c>
    </row>
    <row r="344" spans="1:3" x14ac:dyDescent="0.3">
      <c r="A344" t="s">
        <v>86</v>
      </c>
      <c r="B344" t="s">
        <v>45</v>
      </c>
      <c r="C344" t="s">
        <v>221</v>
      </c>
    </row>
    <row r="345" spans="1:3" x14ac:dyDescent="0.3">
      <c r="A345" t="s">
        <v>86</v>
      </c>
      <c r="B345" t="s">
        <v>45</v>
      </c>
      <c r="C345" t="s">
        <v>172</v>
      </c>
    </row>
    <row r="346" spans="1:3" x14ac:dyDescent="0.3">
      <c r="A346" t="s">
        <v>86</v>
      </c>
      <c r="B346" t="s">
        <v>45</v>
      </c>
      <c r="C346" t="s">
        <v>1147</v>
      </c>
    </row>
    <row r="347" spans="1:3" x14ac:dyDescent="0.3">
      <c r="A347" t="s">
        <v>86</v>
      </c>
      <c r="B347" t="s">
        <v>45</v>
      </c>
      <c r="C347" t="s">
        <v>64</v>
      </c>
    </row>
    <row r="348" spans="1:3" x14ac:dyDescent="0.3">
      <c r="A348" t="s">
        <v>86</v>
      </c>
      <c r="B348" t="s">
        <v>232</v>
      </c>
      <c r="C348" t="s">
        <v>960</v>
      </c>
    </row>
    <row r="349" spans="1:3" x14ac:dyDescent="0.3">
      <c r="A349" t="s">
        <v>758</v>
      </c>
      <c r="B349" t="s">
        <v>385</v>
      </c>
      <c r="C349" t="s">
        <v>759</v>
      </c>
    </row>
    <row r="350" spans="1:3" x14ac:dyDescent="0.3">
      <c r="A350" t="s">
        <v>758</v>
      </c>
      <c r="B350" t="s">
        <v>887</v>
      </c>
      <c r="C350" t="s">
        <v>888</v>
      </c>
    </row>
    <row r="351" spans="1:3" x14ac:dyDescent="0.3">
      <c r="A351" t="s">
        <v>758</v>
      </c>
      <c r="B351" t="s">
        <v>26</v>
      </c>
      <c r="C351" t="s">
        <v>822</v>
      </c>
    </row>
    <row r="352" spans="1:3" x14ac:dyDescent="0.3">
      <c r="A352" t="s">
        <v>758</v>
      </c>
      <c r="B352" t="s">
        <v>706</v>
      </c>
      <c r="C352" t="s">
        <v>121</v>
      </c>
    </row>
    <row r="353" spans="1:3" x14ac:dyDescent="0.3">
      <c r="A353" t="s">
        <v>758</v>
      </c>
      <c r="B353" t="s">
        <v>797</v>
      </c>
      <c r="C353" t="s">
        <v>798</v>
      </c>
    </row>
    <row r="354" spans="1:3" x14ac:dyDescent="0.3">
      <c r="A354" t="s">
        <v>758</v>
      </c>
      <c r="B354" t="s">
        <v>797</v>
      </c>
      <c r="C354" t="s">
        <v>929</v>
      </c>
    </row>
    <row r="355" spans="1:3" x14ac:dyDescent="0.3">
      <c r="A355" t="s">
        <v>1281</v>
      </c>
      <c r="B355" t="s">
        <v>1282</v>
      </c>
    </row>
    <row r="356" spans="1:3" x14ac:dyDescent="0.3">
      <c r="A356" t="s">
        <v>337</v>
      </c>
      <c r="B356" t="s">
        <v>75</v>
      </c>
      <c r="C356" t="s">
        <v>1962</v>
      </c>
    </row>
    <row r="357" spans="1:3" x14ac:dyDescent="0.3">
      <c r="A357" t="s">
        <v>337</v>
      </c>
      <c r="B357" t="s">
        <v>75</v>
      </c>
      <c r="C357" t="s">
        <v>1089</v>
      </c>
    </row>
    <row r="358" spans="1:3" x14ac:dyDescent="0.3">
      <c r="A358" t="s">
        <v>337</v>
      </c>
      <c r="B358" t="s">
        <v>75</v>
      </c>
      <c r="C358" t="s">
        <v>338</v>
      </c>
    </row>
    <row r="359" spans="1:3" x14ac:dyDescent="0.3">
      <c r="A359" t="s">
        <v>337</v>
      </c>
      <c r="B359" t="s">
        <v>367</v>
      </c>
      <c r="C359" t="s">
        <v>2024</v>
      </c>
    </row>
    <row r="360" spans="1:3" x14ac:dyDescent="0.3">
      <c r="A360" t="s">
        <v>1272</v>
      </c>
      <c r="B360" t="s">
        <v>26</v>
      </c>
    </row>
    <row r="361" spans="1:3" x14ac:dyDescent="0.3">
      <c r="A361" t="s">
        <v>1272</v>
      </c>
      <c r="B361" t="s">
        <v>2020</v>
      </c>
      <c r="C361" t="s">
        <v>2021</v>
      </c>
    </row>
    <row r="362" spans="1:3" x14ac:dyDescent="0.3">
      <c r="A362" t="s">
        <v>1272</v>
      </c>
      <c r="C362" t="s">
        <v>1273</v>
      </c>
    </row>
    <row r="363" spans="1:3" x14ac:dyDescent="0.3">
      <c r="A363" t="s">
        <v>290</v>
      </c>
      <c r="B363" t="s">
        <v>63</v>
      </c>
      <c r="C363" t="s">
        <v>424</v>
      </c>
    </row>
    <row r="364" spans="1:3" x14ac:dyDescent="0.3">
      <c r="A364" t="s">
        <v>290</v>
      </c>
      <c r="B364" t="s">
        <v>63</v>
      </c>
      <c r="C364" t="s">
        <v>1079</v>
      </c>
    </row>
    <row r="365" spans="1:3" x14ac:dyDescent="0.3">
      <c r="A365" t="s">
        <v>290</v>
      </c>
      <c r="B365" t="s">
        <v>63</v>
      </c>
      <c r="C365" t="s">
        <v>289</v>
      </c>
    </row>
    <row r="366" spans="1:3" x14ac:dyDescent="0.3">
      <c r="A366" t="s">
        <v>1466</v>
      </c>
      <c r="B366" t="s">
        <v>986</v>
      </c>
      <c r="C366" t="s">
        <v>186</v>
      </c>
    </row>
    <row r="367" spans="1:3" x14ac:dyDescent="0.3">
      <c r="A367" t="s">
        <v>1061</v>
      </c>
      <c r="B367" t="s">
        <v>1021</v>
      </c>
      <c r="C367" t="s">
        <v>615</v>
      </c>
    </row>
    <row r="368" spans="1:3" x14ac:dyDescent="0.3">
      <c r="A368" t="s">
        <v>851</v>
      </c>
      <c r="C368" t="s">
        <v>852</v>
      </c>
    </row>
    <row r="369" spans="1:3" x14ac:dyDescent="0.3">
      <c r="A369" t="s">
        <v>166</v>
      </c>
      <c r="B369" t="s">
        <v>167</v>
      </c>
      <c r="C369" t="s">
        <v>168</v>
      </c>
    </row>
    <row r="370" spans="1:3" x14ac:dyDescent="0.3">
      <c r="A370" t="s">
        <v>1265</v>
      </c>
      <c r="B370" t="s">
        <v>1266</v>
      </c>
      <c r="C370" t="s">
        <v>1267</v>
      </c>
    </row>
    <row r="371" spans="1:3" x14ac:dyDescent="0.3">
      <c r="A371" t="s">
        <v>2016</v>
      </c>
      <c r="B371" t="s">
        <v>2017</v>
      </c>
      <c r="C371" t="s">
        <v>168</v>
      </c>
    </row>
    <row r="372" spans="1:3" x14ac:dyDescent="0.3">
      <c r="A372" t="s">
        <v>393</v>
      </c>
      <c r="C372" t="s">
        <v>27</v>
      </c>
    </row>
    <row r="373" spans="1:3" x14ac:dyDescent="0.3">
      <c r="A373" t="s">
        <v>900</v>
      </c>
      <c r="B373" t="s">
        <v>140</v>
      </c>
      <c r="C373" t="s">
        <v>146</v>
      </c>
    </row>
    <row r="374" spans="1:3" x14ac:dyDescent="0.3">
      <c r="A374" t="s">
        <v>771</v>
      </c>
      <c r="C374" t="s">
        <v>772</v>
      </c>
    </row>
    <row r="375" spans="1:3" x14ac:dyDescent="0.3">
      <c r="A375" t="s">
        <v>868</v>
      </c>
      <c r="B375" t="s">
        <v>167</v>
      </c>
      <c r="C375" t="s">
        <v>869</v>
      </c>
    </row>
    <row r="376" spans="1:3" x14ac:dyDescent="0.3">
      <c r="A376" t="s">
        <v>1304</v>
      </c>
      <c r="B376" t="s">
        <v>1021</v>
      </c>
      <c r="C376" t="s">
        <v>1305</v>
      </c>
    </row>
    <row r="377" spans="1:3" x14ac:dyDescent="0.3">
      <c r="A377" t="s">
        <v>2097</v>
      </c>
      <c r="B377" t="s">
        <v>912</v>
      </c>
      <c r="C377" t="s">
        <v>1144</v>
      </c>
    </row>
    <row r="378" spans="1:3" x14ac:dyDescent="0.3">
      <c r="A378" t="s">
        <v>262</v>
      </c>
      <c r="B378" t="s">
        <v>596</v>
      </c>
      <c r="C378" t="s">
        <v>720</v>
      </c>
    </row>
    <row r="379" spans="1:3" x14ac:dyDescent="0.3">
      <c r="A379" t="s">
        <v>262</v>
      </c>
      <c r="B379" t="s">
        <v>596</v>
      </c>
      <c r="C379" t="s">
        <v>85</v>
      </c>
    </row>
    <row r="380" spans="1:3" x14ac:dyDescent="0.3">
      <c r="A380" t="s">
        <v>262</v>
      </c>
      <c r="B380" t="s">
        <v>263</v>
      </c>
      <c r="C380" t="s">
        <v>694</v>
      </c>
    </row>
    <row r="381" spans="1:3" x14ac:dyDescent="0.3">
      <c r="A381" t="s">
        <v>262</v>
      </c>
      <c r="B381" t="s">
        <v>263</v>
      </c>
      <c r="C381" t="s">
        <v>2014</v>
      </c>
    </row>
    <row r="382" spans="1:3" x14ac:dyDescent="0.3">
      <c r="A382" t="s">
        <v>262</v>
      </c>
      <c r="B382" t="s">
        <v>263</v>
      </c>
      <c r="C382" t="s">
        <v>766</v>
      </c>
    </row>
    <row r="383" spans="1:3" x14ac:dyDescent="0.3">
      <c r="A383" t="s">
        <v>262</v>
      </c>
      <c r="B383" t="s">
        <v>263</v>
      </c>
      <c r="C383" t="s">
        <v>767</v>
      </c>
    </row>
    <row r="384" spans="1:3" x14ac:dyDescent="0.3">
      <c r="A384" t="s">
        <v>262</v>
      </c>
      <c r="B384" t="s">
        <v>263</v>
      </c>
      <c r="C384" t="s">
        <v>121</v>
      </c>
    </row>
    <row r="385" spans="1:3" x14ac:dyDescent="0.3">
      <c r="A385" t="s">
        <v>262</v>
      </c>
      <c r="B385" t="s">
        <v>263</v>
      </c>
      <c r="C385" t="s">
        <v>788</v>
      </c>
    </row>
    <row r="386" spans="1:3" x14ac:dyDescent="0.3">
      <c r="A386" t="s">
        <v>262</v>
      </c>
      <c r="B386" t="s">
        <v>263</v>
      </c>
      <c r="C386" t="s">
        <v>121</v>
      </c>
    </row>
    <row r="387" spans="1:3" x14ac:dyDescent="0.3">
      <c r="A387" t="s">
        <v>262</v>
      </c>
      <c r="B387" t="s">
        <v>565</v>
      </c>
      <c r="C387" t="s">
        <v>566</v>
      </c>
    </row>
    <row r="388" spans="1:3" x14ac:dyDescent="0.3">
      <c r="A388" t="s">
        <v>555</v>
      </c>
      <c r="C388" t="s">
        <v>556</v>
      </c>
    </row>
    <row r="389" spans="1:3" x14ac:dyDescent="0.3">
      <c r="A389" t="s">
        <v>502</v>
      </c>
      <c r="B389" t="s">
        <v>32</v>
      </c>
      <c r="C389" t="s">
        <v>159</v>
      </c>
    </row>
    <row r="390" spans="1:3" x14ac:dyDescent="0.3">
      <c r="A390" t="s">
        <v>117</v>
      </c>
      <c r="B390" t="s">
        <v>118</v>
      </c>
      <c r="C390" t="s">
        <v>119</v>
      </c>
    </row>
    <row r="391" spans="1:3" x14ac:dyDescent="0.3">
      <c r="A391" t="s">
        <v>1040</v>
      </c>
      <c r="B391" t="s">
        <v>1279</v>
      </c>
      <c r="C391" t="s">
        <v>1280</v>
      </c>
    </row>
    <row r="392" spans="1:3" x14ac:dyDescent="0.3">
      <c r="A392" t="s">
        <v>1040</v>
      </c>
      <c r="B392" t="s">
        <v>158</v>
      </c>
      <c r="C392" t="s">
        <v>615</v>
      </c>
    </row>
    <row r="393" spans="1:3" x14ac:dyDescent="0.3">
      <c r="A393" t="s">
        <v>1040</v>
      </c>
      <c r="B393" t="s">
        <v>260</v>
      </c>
      <c r="C393" t="s">
        <v>615</v>
      </c>
    </row>
    <row r="394" spans="1:3" x14ac:dyDescent="0.3">
      <c r="A394" t="s">
        <v>1040</v>
      </c>
      <c r="B394" t="s">
        <v>260</v>
      </c>
      <c r="C394" t="s">
        <v>401</v>
      </c>
    </row>
    <row r="395" spans="1:3" x14ac:dyDescent="0.3">
      <c r="A395" t="s">
        <v>1040</v>
      </c>
      <c r="B395" t="s">
        <v>260</v>
      </c>
      <c r="C395" t="s">
        <v>615</v>
      </c>
    </row>
    <row r="396" spans="1:3" x14ac:dyDescent="0.3">
      <c r="A396" t="s">
        <v>1040</v>
      </c>
      <c r="B396" t="s">
        <v>260</v>
      </c>
      <c r="C396" t="s">
        <v>615</v>
      </c>
    </row>
    <row r="397" spans="1:3" x14ac:dyDescent="0.3">
      <c r="A397" t="s">
        <v>203</v>
      </c>
      <c r="B397" t="s">
        <v>204</v>
      </c>
      <c r="C397" t="s">
        <v>172</v>
      </c>
    </row>
    <row r="398" spans="1:3" x14ac:dyDescent="0.3">
      <c r="A398" t="s">
        <v>2102</v>
      </c>
      <c r="B398" t="s">
        <v>2103</v>
      </c>
      <c r="C398" t="s">
        <v>121</v>
      </c>
    </row>
    <row r="399" spans="1:3" x14ac:dyDescent="0.3">
      <c r="A399" t="s">
        <v>550</v>
      </c>
    </row>
    <row r="400" spans="1:3" x14ac:dyDescent="0.3">
      <c r="A400" t="s">
        <v>482</v>
      </c>
      <c r="B400" t="s">
        <v>587</v>
      </c>
      <c r="C400" t="s">
        <v>121</v>
      </c>
    </row>
    <row r="401" spans="1:3" x14ac:dyDescent="0.3">
      <c r="A401" t="s">
        <v>482</v>
      </c>
      <c r="B401" t="s">
        <v>63</v>
      </c>
      <c r="C401" t="s">
        <v>113</v>
      </c>
    </row>
    <row r="402" spans="1:3" x14ac:dyDescent="0.3">
      <c r="A402" t="s">
        <v>482</v>
      </c>
      <c r="B402" t="s">
        <v>179</v>
      </c>
      <c r="C402" t="s">
        <v>1049</v>
      </c>
    </row>
    <row r="403" spans="1:3" x14ac:dyDescent="0.3">
      <c r="A403" t="s">
        <v>482</v>
      </c>
      <c r="B403" t="s">
        <v>179</v>
      </c>
      <c r="C403" t="s">
        <v>483</v>
      </c>
    </row>
    <row r="404" spans="1:3" x14ac:dyDescent="0.3">
      <c r="A404" t="s">
        <v>482</v>
      </c>
      <c r="B404" t="s">
        <v>945</v>
      </c>
      <c r="C404" t="s">
        <v>946</v>
      </c>
    </row>
    <row r="405" spans="1:3" x14ac:dyDescent="0.3">
      <c r="A405" t="s">
        <v>482</v>
      </c>
      <c r="B405" t="s">
        <v>586</v>
      </c>
      <c r="C405" t="s">
        <v>121</v>
      </c>
    </row>
    <row r="406" spans="1:3" x14ac:dyDescent="0.3">
      <c r="A406" t="s">
        <v>406</v>
      </c>
      <c r="B406" t="s">
        <v>407</v>
      </c>
      <c r="C406" t="s">
        <v>255</v>
      </c>
    </row>
    <row r="407" spans="1:3" x14ac:dyDescent="0.3">
      <c r="A407" t="s">
        <v>911</v>
      </c>
      <c r="B407" t="s">
        <v>912</v>
      </c>
      <c r="C407" t="s">
        <v>913</v>
      </c>
    </row>
    <row r="408" spans="1:3" x14ac:dyDescent="0.3">
      <c r="A408" t="s">
        <v>780</v>
      </c>
      <c r="C408" t="s">
        <v>27</v>
      </c>
    </row>
    <row r="409" spans="1:3" x14ac:dyDescent="0.3">
      <c r="A409" t="s">
        <v>132</v>
      </c>
      <c r="B409" t="s">
        <v>133</v>
      </c>
      <c r="C409" t="s">
        <v>134</v>
      </c>
    </row>
    <row r="410" spans="1:3" x14ac:dyDescent="0.3">
      <c r="A410" t="s">
        <v>235</v>
      </c>
      <c r="B410" t="s">
        <v>234</v>
      </c>
      <c r="C410" t="s">
        <v>121</v>
      </c>
    </row>
    <row r="411" spans="1:3" x14ac:dyDescent="0.3">
      <c r="A411" t="s">
        <v>953</v>
      </c>
      <c r="B411" t="s">
        <v>252</v>
      </c>
      <c r="C411" t="s">
        <v>954</v>
      </c>
    </row>
    <row r="412" spans="1:3" x14ac:dyDescent="0.3">
      <c r="A412" t="s">
        <v>180</v>
      </c>
      <c r="B412" t="s">
        <v>181</v>
      </c>
      <c r="C412" t="s">
        <v>182</v>
      </c>
    </row>
    <row r="413" spans="1:3" x14ac:dyDescent="0.3">
      <c r="A413" t="s">
        <v>180</v>
      </c>
      <c r="B413" t="s">
        <v>181</v>
      </c>
      <c r="C413" t="s">
        <v>2000</v>
      </c>
    </row>
    <row r="414" spans="1:3" x14ac:dyDescent="0.3">
      <c r="A414" t="s">
        <v>180</v>
      </c>
      <c r="B414" t="s">
        <v>181</v>
      </c>
      <c r="C414" t="s">
        <v>145</v>
      </c>
    </row>
    <row r="415" spans="1:3" x14ac:dyDescent="0.3">
      <c r="A415" t="s">
        <v>180</v>
      </c>
      <c r="B415" t="s">
        <v>181</v>
      </c>
      <c r="C415" t="s">
        <v>146</v>
      </c>
    </row>
    <row r="416" spans="1:3" x14ac:dyDescent="0.3">
      <c r="A416" t="s">
        <v>180</v>
      </c>
      <c r="B416" t="s">
        <v>181</v>
      </c>
      <c r="C416" t="s">
        <v>35</v>
      </c>
    </row>
    <row r="417" spans="1:3" x14ac:dyDescent="0.3">
      <c r="A417" t="s">
        <v>180</v>
      </c>
      <c r="B417" t="s">
        <v>181</v>
      </c>
      <c r="C417" t="s">
        <v>255</v>
      </c>
    </row>
    <row r="418" spans="1:3" x14ac:dyDescent="0.3">
      <c r="A418" t="s">
        <v>180</v>
      </c>
      <c r="B418" t="s">
        <v>181</v>
      </c>
      <c r="C418" t="s">
        <v>1145</v>
      </c>
    </row>
    <row r="419" spans="1:3" x14ac:dyDescent="0.3">
      <c r="A419" t="s">
        <v>180</v>
      </c>
      <c r="B419" t="s">
        <v>181</v>
      </c>
      <c r="C419" t="s">
        <v>861</v>
      </c>
    </row>
    <row r="420" spans="1:3" x14ac:dyDescent="0.3">
      <c r="A420" t="s">
        <v>180</v>
      </c>
      <c r="B420" t="s">
        <v>181</v>
      </c>
      <c r="C420" t="s">
        <v>255</v>
      </c>
    </row>
    <row r="421" spans="1:3" x14ac:dyDescent="0.3">
      <c r="A421" t="s">
        <v>180</v>
      </c>
      <c r="B421" t="s">
        <v>181</v>
      </c>
      <c r="C421" t="s">
        <v>1072</v>
      </c>
    </row>
    <row r="422" spans="1:3" x14ac:dyDescent="0.3">
      <c r="A422" t="s">
        <v>180</v>
      </c>
      <c r="B422" t="s">
        <v>181</v>
      </c>
      <c r="C422" t="s">
        <v>583</v>
      </c>
    </row>
    <row r="423" spans="1:3" x14ac:dyDescent="0.3">
      <c r="A423" t="s">
        <v>956</v>
      </c>
      <c r="B423" t="s">
        <v>809</v>
      </c>
      <c r="C423" t="s">
        <v>957</v>
      </c>
    </row>
    <row r="424" spans="1:3" x14ac:dyDescent="0.3">
      <c r="A424" t="s">
        <v>1994</v>
      </c>
      <c r="C424" t="s">
        <v>1575</v>
      </c>
    </row>
    <row r="425" spans="1:3" x14ac:dyDescent="0.3">
      <c r="A425" t="s">
        <v>1972</v>
      </c>
      <c r="C425" t="s">
        <v>116</v>
      </c>
    </row>
    <row r="426" spans="1:3" x14ac:dyDescent="0.3">
      <c r="A426" t="s">
        <v>2031</v>
      </c>
      <c r="B426" t="s">
        <v>2032</v>
      </c>
      <c r="C426" t="s">
        <v>153</v>
      </c>
    </row>
    <row r="427" spans="1:3" x14ac:dyDescent="0.3">
      <c r="A427" t="s">
        <v>920</v>
      </c>
      <c r="C427" t="s">
        <v>921</v>
      </c>
    </row>
    <row r="428" spans="1:3" x14ac:dyDescent="0.3">
      <c r="A428" t="s">
        <v>399</v>
      </c>
      <c r="B428" t="s">
        <v>909</v>
      </c>
      <c r="C428" t="s">
        <v>683</v>
      </c>
    </row>
    <row r="429" spans="1:3" x14ac:dyDescent="0.3">
      <c r="A429" t="s">
        <v>399</v>
      </c>
      <c r="B429" t="s">
        <v>66</v>
      </c>
      <c r="C429" t="s">
        <v>495</v>
      </c>
    </row>
    <row r="430" spans="1:3" x14ac:dyDescent="0.3">
      <c r="A430" t="s">
        <v>399</v>
      </c>
      <c r="B430" t="s">
        <v>494</v>
      </c>
      <c r="C430" t="s">
        <v>495</v>
      </c>
    </row>
    <row r="431" spans="1:3" x14ac:dyDescent="0.3">
      <c r="A431" t="s">
        <v>399</v>
      </c>
      <c r="B431" t="s">
        <v>408</v>
      </c>
    </row>
    <row r="432" spans="1:3" x14ac:dyDescent="0.3">
      <c r="A432" t="s">
        <v>399</v>
      </c>
      <c r="B432" t="s">
        <v>400</v>
      </c>
      <c r="C432" t="s">
        <v>401</v>
      </c>
    </row>
    <row r="433" spans="1:3" x14ac:dyDescent="0.3">
      <c r="A433" t="s">
        <v>1183</v>
      </c>
      <c r="B433" t="s">
        <v>1184</v>
      </c>
      <c r="C433" t="s">
        <v>1185</v>
      </c>
    </row>
    <row r="434" spans="1:3" x14ac:dyDescent="0.3">
      <c r="A434" t="s">
        <v>1059</v>
      </c>
      <c r="B434" t="s">
        <v>106</v>
      </c>
      <c r="C434" t="s">
        <v>1060</v>
      </c>
    </row>
    <row r="435" spans="1:3" x14ac:dyDescent="0.3">
      <c r="A435" t="s">
        <v>1059</v>
      </c>
      <c r="B435" t="s">
        <v>32</v>
      </c>
      <c r="C435" t="s">
        <v>671</v>
      </c>
    </row>
    <row r="436" spans="1:3" x14ac:dyDescent="0.3">
      <c r="A436" t="s">
        <v>1059</v>
      </c>
      <c r="B436" t="s">
        <v>32</v>
      </c>
      <c r="C436" t="s">
        <v>991</v>
      </c>
    </row>
    <row r="437" spans="1:3" x14ac:dyDescent="0.3">
      <c r="A437" t="s">
        <v>1059</v>
      </c>
      <c r="B437" t="s">
        <v>32</v>
      </c>
      <c r="C437" t="s">
        <v>1151</v>
      </c>
    </row>
    <row r="438" spans="1:3" x14ac:dyDescent="0.3">
      <c r="A438" t="s">
        <v>1059</v>
      </c>
      <c r="B438" t="s">
        <v>32</v>
      </c>
      <c r="C438" t="s">
        <v>1116</v>
      </c>
    </row>
    <row r="439" spans="1:3" x14ac:dyDescent="0.3">
      <c r="A439" t="s">
        <v>1954</v>
      </c>
      <c r="B439" t="s">
        <v>408</v>
      </c>
      <c r="C439" t="s">
        <v>98</v>
      </c>
    </row>
    <row r="440" spans="1:3" x14ac:dyDescent="0.3">
      <c r="A440" t="s">
        <v>2037</v>
      </c>
      <c r="B440" t="s">
        <v>2038</v>
      </c>
      <c r="C440" t="s">
        <v>27</v>
      </c>
    </row>
    <row r="441" spans="1:3" x14ac:dyDescent="0.3">
      <c r="A441" t="s">
        <v>1229</v>
      </c>
      <c r="B441" t="s">
        <v>1230</v>
      </c>
      <c r="C441" t="s">
        <v>145</v>
      </c>
    </row>
    <row r="442" spans="1:3" x14ac:dyDescent="0.3">
      <c r="A442" t="s">
        <v>1229</v>
      </c>
      <c r="B442" t="s">
        <v>179</v>
      </c>
      <c r="C442" t="s">
        <v>2081</v>
      </c>
    </row>
    <row r="443" spans="1:3" x14ac:dyDescent="0.3">
      <c r="A443" t="s">
        <v>1229</v>
      </c>
      <c r="B443" t="s">
        <v>1439</v>
      </c>
      <c r="C443" t="s">
        <v>207</v>
      </c>
    </row>
    <row r="444" spans="1:3" x14ac:dyDescent="0.3">
      <c r="A444" t="s">
        <v>1229</v>
      </c>
      <c r="B444" t="s">
        <v>200</v>
      </c>
      <c r="C444" t="s">
        <v>145</v>
      </c>
    </row>
    <row r="445" spans="1:3" x14ac:dyDescent="0.3">
      <c r="A445" t="s">
        <v>1229</v>
      </c>
      <c r="B445" t="s">
        <v>200</v>
      </c>
      <c r="C445" t="s">
        <v>1328</v>
      </c>
    </row>
    <row r="446" spans="1:3" x14ac:dyDescent="0.3">
      <c r="A446" t="s">
        <v>1229</v>
      </c>
      <c r="B446" t="s">
        <v>1950</v>
      </c>
      <c r="C446" t="s">
        <v>1377</v>
      </c>
    </row>
    <row r="447" spans="1:3" x14ac:dyDescent="0.3">
      <c r="A447" t="s">
        <v>96</v>
      </c>
      <c r="B447" t="s">
        <v>94</v>
      </c>
      <c r="C447" t="s">
        <v>1260</v>
      </c>
    </row>
    <row r="448" spans="1:3" x14ac:dyDescent="0.3">
      <c r="A448" t="s">
        <v>96</v>
      </c>
      <c r="B448" t="s">
        <v>718</v>
      </c>
      <c r="C448" t="s">
        <v>1016</v>
      </c>
    </row>
    <row r="449" spans="1:3" x14ac:dyDescent="0.3">
      <c r="A449" t="s">
        <v>96</v>
      </c>
      <c r="B449" t="s">
        <v>718</v>
      </c>
      <c r="C449" t="s">
        <v>897</v>
      </c>
    </row>
    <row r="450" spans="1:3" x14ac:dyDescent="0.3">
      <c r="A450" t="s">
        <v>96</v>
      </c>
      <c r="B450" t="s">
        <v>179</v>
      </c>
      <c r="C450" t="s">
        <v>1074</v>
      </c>
    </row>
    <row r="451" spans="1:3" x14ac:dyDescent="0.3">
      <c r="A451" t="s">
        <v>96</v>
      </c>
      <c r="B451" t="s">
        <v>179</v>
      </c>
      <c r="C451" t="s">
        <v>1174</v>
      </c>
    </row>
    <row r="452" spans="1:3" x14ac:dyDescent="0.3">
      <c r="A452" t="s">
        <v>96</v>
      </c>
      <c r="B452" t="s">
        <v>179</v>
      </c>
      <c r="C452" t="s">
        <v>2076</v>
      </c>
    </row>
    <row r="453" spans="1:3" x14ac:dyDescent="0.3">
      <c r="A453" t="s">
        <v>96</v>
      </c>
      <c r="B453" t="s">
        <v>408</v>
      </c>
      <c r="C453" t="s">
        <v>777</v>
      </c>
    </row>
    <row r="454" spans="1:3" x14ac:dyDescent="0.3">
      <c r="A454" t="s">
        <v>96</v>
      </c>
      <c r="B454" t="s">
        <v>1259</v>
      </c>
      <c r="C454" t="s">
        <v>121</v>
      </c>
    </row>
    <row r="455" spans="1:3" x14ac:dyDescent="0.3">
      <c r="A455" t="s">
        <v>96</v>
      </c>
      <c r="B455" t="s">
        <v>97</v>
      </c>
      <c r="C455" t="s">
        <v>98</v>
      </c>
    </row>
    <row r="456" spans="1:3" x14ac:dyDescent="0.3">
      <c r="A456" t="s">
        <v>96</v>
      </c>
      <c r="B456" t="s">
        <v>436</v>
      </c>
      <c r="C456" t="s">
        <v>27</v>
      </c>
    </row>
    <row r="457" spans="1:3" x14ac:dyDescent="0.3">
      <c r="A457" t="s">
        <v>516</v>
      </c>
      <c r="B457" t="s">
        <v>63</v>
      </c>
      <c r="C457" t="s">
        <v>517</v>
      </c>
    </row>
    <row r="458" spans="1:3" x14ac:dyDescent="0.3">
      <c r="A458" t="s">
        <v>516</v>
      </c>
      <c r="B458" t="s">
        <v>63</v>
      </c>
      <c r="C458" t="s">
        <v>699</v>
      </c>
    </row>
    <row r="459" spans="1:3" x14ac:dyDescent="0.3">
      <c r="A459" t="s">
        <v>516</v>
      </c>
      <c r="B459" t="s">
        <v>63</v>
      </c>
      <c r="C459" t="s">
        <v>663</v>
      </c>
    </row>
    <row r="460" spans="1:3" x14ac:dyDescent="0.3">
      <c r="A460" t="s">
        <v>516</v>
      </c>
      <c r="B460" t="s">
        <v>63</v>
      </c>
      <c r="C460" t="s">
        <v>682</v>
      </c>
    </row>
    <row r="461" spans="1:3" x14ac:dyDescent="0.3">
      <c r="A461" t="s">
        <v>516</v>
      </c>
      <c r="B461" t="s">
        <v>63</v>
      </c>
      <c r="C461" t="s">
        <v>699</v>
      </c>
    </row>
    <row r="462" spans="1:3" x14ac:dyDescent="0.3">
      <c r="A462" t="s">
        <v>516</v>
      </c>
      <c r="B462" t="s">
        <v>293</v>
      </c>
      <c r="C462" t="s">
        <v>121</v>
      </c>
    </row>
    <row r="463" spans="1:3" x14ac:dyDescent="0.3">
      <c r="A463" t="s">
        <v>516</v>
      </c>
      <c r="C463" t="s">
        <v>380</v>
      </c>
    </row>
    <row r="464" spans="1:3" x14ac:dyDescent="0.3">
      <c r="A464" t="s">
        <v>610</v>
      </c>
      <c r="B464" t="s">
        <v>1980</v>
      </c>
      <c r="C464" t="s">
        <v>116</v>
      </c>
    </row>
    <row r="465" spans="1:3" x14ac:dyDescent="0.3">
      <c r="A465" t="s">
        <v>610</v>
      </c>
      <c r="C465" t="s">
        <v>27</v>
      </c>
    </row>
    <row r="466" spans="1:3" x14ac:dyDescent="0.3">
      <c r="A466" t="s">
        <v>1247</v>
      </c>
      <c r="B466" t="s">
        <v>249</v>
      </c>
      <c r="C466" t="s">
        <v>1285</v>
      </c>
    </row>
    <row r="467" spans="1:3" x14ac:dyDescent="0.3">
      <c r="A467" t="s">
        <v>1247</v>
      </c>
      <c r="B467" t="s">
        <v>249</v>
      </c>
      <c r="C467" t="s">
        <v>145</v>
      </c>
    </row>
    <row r="468" spans="1:3" x14ac:dyDescent="0.3">
      <c r="A468" t="s">
        <v>1247</v>
      </c>
      <c r="B468" t="s">
        <v>287</v>
      </c>
      <c r="C468" t="s">
        <v>1248</v>
      </c>
    </row>
    <row r="469" spans="1:3" x14ac:dyDescent="0.3">
      <c r="A469" t="s">
        <v>1247</v>
      </c>
      <c r="B469" t="s">
        <v>227</v>
      </c>
      <c r="C469" t="s">
        <v>2092</v>
      </c>
    </row>
    <row r="470" spans="1:3" x14ac:dyDescent="0.3">
      <c r="A470" t="s">
        <v>1247</v>
      </c>
      <c r="B470" t="s">
        <v>2093</v>
      </c>
      <c r="C470" t="s">
        <v>121</v>
      </c>
    </row>
    <row r="471" spans="1:3" x14ac:dyDescent="0.3">
      <c r="A471" t="s">
        <v>1247</v>
      </c>
      <c r="B471" t="s">
        <v>1345</v>
      </c>
      <c r="C471" t="s">
        <v>1346</v>
      </c>
    </row>
    <row r="472" spans="1:3" x14ac:dyDescent="0.3">
      <c r="A472" t="s">
        <v>827</v>
      </c>
      <c r="B472" t="s">
        <v>392</v>
      </c>
      <c r="C472" t="s">
        <v>415</v>
      </c>
    </row>
    <row r="473" spans="1:3" x14ac:dyDescent="0.3">
      <c r="A473" t="s">
        <v>535</v>
      </c>
      <c r="B473" t="s">
        <v>706</v>
      </c>
      <c r="C473" t="s">
        <v>707</v>
      </c>
    </row>
    <row r="474" spans="1:3" x14ac:dyDescent="0.3">
      <c r="A474" t="s">
        <v>535</v>
      </c>
      <c r="B474" t="s">
        <v>536</v>
      </c>
      <c r="C474" t="s">
        <v>537</v>
      </c>
    </row>
    <row r="475" spans="1:3" x14ac:dyDescent="0.3">
      <c r="A475" t="s">
        <v>521</v>
      </c>
      <c r="B475" t="s">
        <v>32</v>
      </c>
      <c r="C475" t="s">
        <v>522</v>
      </c>
    </row>
    <row r="476" spans="1:3" x14ac:dyDescent="0.3">
      <c r="A476" t="s">
        <v>647</v>
      </c>
      <c r="B476" t="s">
        <v>648</v>
      </c>
      <c r="C476" t="s">
        <v>649</v>
      </c>
    </row>
    <row r="477" spans="1:3" x14ac:dyDescent="0.3">
      <c r="A477" t="s">
        <v>441</v>
      </c>
      <c r="B477" t="s">
        <v>442</v>
      </c>
      <c r="C477" t="s">
        <v>410</v>
      </c>
    </row>
    <row r="478" spans="1:3" x14ac:dyDescent="0.3">
      <c r="A478" t="s">
        <v>441</v>
      </c>
      <c r="B478" t="s">
        <v>45</v>
      </c>
      <c r="C478" t="s">
        <v>947</v>
      </c>
    </row>
    <row r="479" spans="1:3" x14ac:dyDescent="0.3">
      <c r="A479" t="s">
        <v>441</v>
      </c>
      <c r="B479" t="s">
        <v>45</v>
      </c>
      <c r="C479" t="s">
        <v>698</v>
      </c>
    </row>
    <row r="480" spans="1:3" x14ac:dyDescent="0.3">
      <c r="A480" t="s">
        <v>441</v>
      </c>
      <c r="B480" t="s">
        <v>75</v>
      </c>
      <c r="C480" t="s">
        <v>1946</v>
      </c>
    </row>
    <row r="481" spans="1:3" x14ac:dyDescent="0.3">
      <c r="A481" t="s">
        <v>65</v>
      </c>
      <c r="B481" t="s">
        <v>148</v>
      </c>
      <c r="C481" t="s">
        <v>607</v>
      </c>
    </row>
    <row r="482" spans="1:3" x14ac:dyDescent="0.3">
      <c r="A482" t="s">
        <v>65</v>
      </c>
      <c r="B482" t="s">
        <v>66</v>
      </c>
      <c r="C482" t="s">
        <v>519</v>
      </c>
    </row>
    <row r="483" spans="1:3" x14ac:dyDescent="0.3">
      <c r="A483" t="s">
        <v>65</v>
      </c>
      <c r="B483" t="s">
        <v>66</v>
      </c>
      <c r="C483" t="s">
        <v>67</v>
      </c>
    </row>
    <row r="484" spans="1:3" x14ac:dyDescent="0.3">
      <c r="A484" t="s">
        <v>65</v>
      </c>
      <c r="B484" t="s">
        <v>408</v>
      </c>
      <c r="C484" t="s">
        <v>1049</v>
      </c>
    </row>
    <row r="485" spans="1:3" x14ac:dyDescent="0.3">
      <c r="A485" t="s">
        <v>65</v>
      </c>
      <c r="B485" t="s">
        <v>408</v>
      </c>
      <c r="C485" t="s">
        <v>255</v>
      </c>
    </row>
    <row r="486" spans="1:3" x14ac:dyDescent="0.3">
      <c r="A486" t="s">
        <v>65</v>
      </c>
      <c r="B486" t="s">
        <v>1998</v>
      </c>
      <c r="C486" t="s">
        <v>245</v>
      </c>
    </row>
    <row r="487" spans="1:3" x14ac:dyDescent="0.3">
      <c r="A487" t="s">
        <v>65</v>
      </c>
      <c r="C487" t="s">
        <v>933</v>
      </c>
    </row>
    <row r="488" spans="1:3" x14ac:dyDescent="0.3">
      <c r="A488" t="s">
        <v>1224</v>
      </c>
      <c r="C488" t="s">
        <v>738</v>
      </c>
    </row>
    <row r="489" spans="1:3" x14ac:dyDescent="0.3">
      <c r="A489" t="s">
        <v>357</v>
      </c>
      <c r="B489" t="s">
        <v>358</v>
      </c>
      <c r="C489" t="s">
        <v>359</v>
      </c>
    </row>
    <row r="490" spans="1:3" x14ac:dyDescent="0.3">
      <c r="A490" t="s">
        <v>187</v>
      </c>
      <c r="B490" t="s">
        <v>106</v>
      </c>
      <c r="C490" t="s">
        <v>633</v>
      </c>
    </row>
    <row r="491" spans="1:3" x14ac:dyDescent="0.3">
      <c r="A491" t="s">
        <v>187</v>
      </c>
      <c r="B491" t="s">
        <v>106</v>
      </c>
      <c r="C491" t="s">
        <v>741</v>
      </c>
    </row>
    <row r="492" spans="1:3" x14ac:dyDescent="0.3">
      <c r="A492" t="s">
        <v>187</v>
      </c>
      <c r="B492" t="s">
        <v>106</v>
      </c>
      <c r="C492" t="s">
        <v>2067</v>
      </c>
    </row>
    <row r="493" spans="1:3" x14ac:dyDescent="0.3">
      <c r="A493" t="s">
        <v>187</v>
      </c>
      <c r="B493" t="s">
        <v>106</v>
      </c>
      <c r="C493" t="s">
        <v>356</v>
      </c>
    </row>
    <row r="494" spans="1:3" x14ac:dyDescent="0.3">
      <c r="A494" t="s">
        <v>187</v>
      </c>
      <c r="B494" t="s">
        <v>106</v>
      </c>
      <c r="C494" t="s">
        <v>1085</v>
      </c>
    </row>
    <row r="495" spans="1:3" x14ac:dyDescent="0.3">
      <c r="A495" t="s">
        <v>187</v>
      </c>
      <c r="B495" t="s">
        <v>148</v>
      </c>
      <c r="C495" t="s">
        <v>646</v>
      </c>
    </row>
    <row r="496" spans="1:3" x14ac:dyDescent="0.3">
      <c r="A496" t="s">
        <v>187</v>
      </c>
      <c r="B496" t="s">
        <v>148</v>
      </c>
      <c r="C496" t="s">
        <v>940</v>
      </c>
    </row>
    <row r="497" spans="1:3" x14ac:dyDescent="0.3">
      <c r="A497" t="s">
        <v>187</v>
      </c>
      <c r="B497" t="s">
        <v>148</v>
      </c>
      <c r="C497" t="s">
        <v>40</v>
      </c>
    </row>
    <row r="498" spans="1:3" x14ac:dyDescent="0.3">
      <c r="A498" t="s">
        <v>187</v>
      </c>
      <c r="B498" t="s">
        <v>148</v>
      </c>
      <c r="C498" t="s">
        <v>188</v>
      </c>
    </row>
    <row r="499" spans="1:3" x14ac:dyDescent="0.3">
      <c r="A499" t="s">
        <v>187</v>
      </c>
      <c r="B499" t="s">
        <v>714</v>
      </c>
      <c r="C499" t="s">
        <v>742</v>
      </c>
    </row>
    <row r="500" spans="1:3" x14ac:dyDescent="0.3">
      <c r="A500" t="s">
        <v>187</v>
      </c>
      <c r="B500" t="s">
        <v>1131</v>
      </c>
      <c r="C500" t="s">
        <v>1132</v>
      </c>
    </row>
    <row r="501" spans="1:3" x14ac:dyDescent="0.3">
      <c r="A501" t="s">
        <v>551</v>
      </c>
      <c r="B501" t="s">
        <v>226</v>
      </c>
      <c r="C501" t="s">
        <v>757</v>
      </c>
    </row>
    <row r="502" spans="1:3" x14ac:dyDescent="0.3">
      <c r="A502" t="s">
        <v>551</v>
      </c>
      <c r="B502" t="s">
        <v>552</v>
      </c>
      <c r="C502" t="s">
        <v>553</v>
      </c>
    </row>
    <row r="503" spans="1:3" x14ac:dyDescent="0.3">
      <c r="A503" t="s">
        <v>150</v>
      </c>
      <c r="B503" t="s">
        <v>497</v>
      </c>
      <c r="C503" t="s">
        <v>634</v>
      </c>
    </row>
    <row r="504" spans="1:3" x14ac:dyDescent="0.3">
      <c r="A504" t="s">
        <v>150</v>
      </c>
      <c r="B504" t="s">
        <v>151</v>
      </c>
      <c r="C504" t="s">
        <v>717</v>
      </c>
    </row>
    <row r="505" spans="1:3" x14ac:dyDescent="0.3">
      <c r="A505" t="s">
        <v>150</v>
      </c>
      <c r="B505" t="s">
        <v>151</v>
      </c>
      <c r="C505" t="s">
        <v>152</v>
      </c>
    </row>
    <row r="506" spans="1:3" x14ac:dyDescent="0.3">
      <c r="A506" t="s">
        <v>150</v>
      </c>
      <c r="B506" t="s">
        <v>151</v>
      </c>
      <c r="C506" t="s">
        <v>152</v>
      </c>
    </row>
    <row r="507" spans="1:3" x14ac:dyDescent="0.3">
      <c r="A507" t="s">
        <v>195</v>
      </c>
      <c r="B507" t="s">
        <v>769</v>
      </c>
      <c r="C507" t="s">
        <v>770</v>
      </c>
    </row>
    <row r="508" spans="1:3" x14ac:dyDescent="0.3">
      <c r="A508" t="s">
        <v>195</v>
      </c>
      <c r="B508" t="s">
        <v>133</v>
      </c>
      <c r="C508" t="s">
        <v>40</v>
      </c>
    </row>
    <row r="509" spans="1:3" x14ac:dyDescent="0.3">
      <c r="A509" t="s">
        <v>195</v>
      </c>
      <c r="B509" t="s">
        <v>133</v>
      </c>
      <c r="C509" t="s">
        <v>615</v>
      </c>
    </row>
    <row r="510" spans="1:3" x14ac:dyDescent="0.3">
      <c r="A510" t="s">
        <v>195</v>
      </c>
      <c r="B510" t="s">
        <v>133</v>
      </c>
      <c r="C510" t="s">
        <v>1254</v>
      </c>
    </row>
    <row r="511" spans="1:3" x14ac:dyDescent="0.3">
      <c r="A511" t="s">
        <v>195</v>
      </c>
      <c r="B511" t="s">
        <v>227</v>
      </c>
      <c r="C511" t="s">
        <v>1347</v>
      </c>
    </row>
    <row r="512" spans="1:3" x14ac:dyDescent="0.3">
      <c r="A512" t="s">
        <v>195</v>
      </c>
      <c r="B512" t="s">
        <v>1164</v>
      </c>
      <c r="C512" t="s">
        <v>1165</v>
      </c>
    </row>
    <row r="513" spans="1:3" x14ac:dyDescent="0.3">
      <c r="A513" t="s">
        <v>195</v>
      </c>
      <c r="B513" t="s">
        <v>1468</v>
      </c>
      <c r="C513" t="s">
        <v>733</v>
      </c>
    </row>
    <row r="514" spans="1:3" x14ac:dyDescent="0.3">
      <c r="A514" t="s">
        <v>195</v>
      </c>
      <c r="B514" t="s">
        <v>1468</v>
      </c>
      <c r="C514" t="s">
        <v>609</v>
      </c>
    </row>
    <row r="515" spans="1:3" x14ac:dyDescent="0.3">
      <c r="A515" t="s">
        <v>195</v>
      </c>
      <c r="B515" t="s">
        <v>1429</v>
      </c>
      <c r="C515" t="s">
        <v>1430</v>
      </c>
    </row>
    <row r="516" spans="1:3" x14ac:dyDescent="0.3">
      <c r="A516" t="s">
        <v>195</v>
      </c>
      <c r="B516" t="s">
        <v>1326</v>
      </c>
      <c r="C516" t="s">
        <v>1327</v>
      </c>
    </row>
    <row r="517" spans="1:3" x14ac:dyDescent="0.3">
      <c r="A517" t="s">
        <v>195</v>
      </c>
      <c r="B517" t="s">
        <v>232</v>
      </c>
      <c r="C517" t="s">
        <v>960</v>
      </c>
    </row>
    <row r="518" spans="1:3" x14ac:dyDescent="0.3">
      <c r="A518" t="s">
        <v>195</v>
      </c>
      <c r="B518" t="s">
        <v>625</v>
      </c>
      <c r="C518" t="s">
        <v>626</v>
      </c>
    </row>
    <row r="519" spans="1:3" x14ac:dyDescent="0.3">
      <c r="A519" t="s">
        <v>195</v>
      </c>
      <c r="C519" t="s">
        <v>27</v>
      </c>
    </row>
    <row r="520" spans="1:3" x14ac:dyDescent="0.3">
      <c r="A520" t="s">
        <v>616</v>
      </c>
      <c r="B520" t="s">
        <v>179</v>
      </c>
      <c r="C520" t="s">
        <v>617</v>
      </c>
    </row>
    <row r="521" spans="1:3" x14ac:dyDescent="0.3">
      <c r="A521" t="s">
        <v>616</v>
      </c>
      <c r="B521" t="s">
        <v>244</v>
      </c>
      <c r="C521" t="s">
        <v>615</v>
      </c>
    </row>
    <row r="522" spans="1:3" x14ac:dyDescent="0.3">
      <c r="A522" t="s">
        <v>476</v>
      </c>
      <c r="B522" t="s">
        <v>477</v>
      </c>
      <c r="C522" t="s">
        <v>467</v>
      </c>
    </row>
    <row r="523" spans="1:3" x14ac:dyDescent="0.3">
      <c r="A523" t="s">
        <v>476</v>
      </c>
      <c r="B523" t="s">
        <v>232</v>
      </c>
      <c r="C523" t="s">
        <v>960</v>
      </c>
    </row>
    <row r="524" spans="1:3" x14ac:dyDescent="0.3">
      <c r="A524" t="s">
        <v>652</v>
      </c>
      <c r="C524" t="s">
        <v>27</v>
      </c>
    </row>
    <row r="525" spans="1:3" x14ac:dyDescent="0.3">
      <c r="A525" t="s">
        <v>79</v>
      </c>
      <c r="B525" t="s">
        <v>32</v>
      </c>
      <c r="C525" t="s">
        <v>615</v>
      </c>
    </row>
    <row r="526" spans="1:3" x14ac:dyDescent="0.3">
      <c r="A526" t="s">
        <v>79</v>
      </c>
      <c r="B526" t="s">
        <v>75</v>
      </c>
      <c r="C526" t="s">
        <v>80</v>
      </c>
    </row>
    <row r="527" spans="1:3" x14ac:dyDescent="0.3">
      <c r="A527" t="s">
        <v>79</v>
      </c>
      <c r="B527" t="s">
        <v>75</v>
      </c>
      <c r="C527" t="s">
        <v>216</v>
      </c>
    </row>
    <row r="528" spans="1:3" x14ac:dyDescent="0.3">
      <c r="A528" t="s">
        <v>79</v>
      </c>
      <c r="B528" t="s">
        <v>75</v>
      </c>
      <c r="C528" t="s">
        <v>80</v>
      </c>
    </row>
    <row r="529" spans="1:3" x14ac:dyDescent="0.3">
      <c r="A529" t="s">
        <v>79</v>
      </c>
      <c r="B529" t="s">
        <v>75</v>
      </c>
      <c r="C529" t="s">
        <v>558</v>
      </c>
    </row>
    <row r="530" spans="1:3" x14ac:dyDescent="0.3">
      <c r="A530" t="s">
        <v>79</v>
      </c>
      <c r="B530" t="s">
        <v>75</v>
      </c>
      <c r="C530" t="s">
        <v>146</v>
      </c>
    </row>
    <row r="531" spans="1:3" x14ac:dyDescent="0.3">
      <c r="A531" t="s">
        <v>79</v>
      </c>
      <c r="B531" t="s">
        <v>75</v>
      </c>
      <c r="C531" t="s">
        <v>1089</v>
      </c>
    </row>
    <row r="532" spans="1:3" x14ac:dyDescent="0.3">
      <c r="A532" t="s">
        <v>79</v>
      </c>
      <c r="B532" t="s">
        <v>75</v>
      </c>
      <c r="C532" t="s">
        <v>569</v>
      </c>
    </row>
    <row r="533" spans="1:3" x14ac:dyDescent="0.3">
      <c r="A533" t="s">
        <v>79</v>
      </c>
      <c r="B533" t="s">
        <v>75</v>
      </c>
      <c r="C533" t="s">
        <v>145</v>
      </c>
    </row>
    <row r="534" spans="1:3" x14ac:dyDescent="0.3">
      <c r="A534" t="s">
        <v>79</v>
      </c>
      <c r="B534" t="s">
        <v>131</v>
      </c>
      <c r="C534" t="s">
        <v>116</v>
      </c>
    </row>
    <row r="535" spans="1:3" x14ac:dyDescent="0.3">
      <c r="A535" t="s">
        <v>639</v>
      </c>
      <c r="B535" t="s">
        <v>94</v>
      </c>
      <c r="C535" t="s">
        <v>121</v>
      </c>
    </row>
    <row r="536" spans="1:3" x14ac:dyDescent="0.3">
      <c r="A536" t="s">
        <v>639</v>
      </c>
      <c r="B536" t="s">
        <v>106</v>
      </c>
      <c r="C536" t="s">
        <v>640</v>
      </c>
    </row>
    <row r="537" spans="1:3" x14ac:dyDescent="0.3">
      <c r="A537" t="s">
        <v>639</v>
      </c>
      <c r="B537" t="s">
        <v>106</v>
      </c>
      <c r="C537" t="s">
        <v>991</v>
      </c>
    </row>
    <row r="538" spans="1:3" x14ac:dyDescent="0.3">
      <c r="A538" t="s">
        <v>639</v>
      </c>
      <c r="B538" t="s">
        <v>32</v>
      </c>
      <c r="C538" t="s">
        <v>1088</v>
      </c>
    </row>
    <row r="539" spans="1:3" x14ac:dyDescent="0.3">
      <c r="A539" t="s">
        <v>639</v>
      </c>
      <c r="B539" t="s">
        <v>32</v>
      </c>
      <c r="C539" t="s">
        <v>1045</v>
      </c>
    </row>
    <row r="540" spans="1:3" x14ac:dyDescent="0.3">
      <c r="A540" t="s">
        <v>639</v>
      </c>
      <c r="B540" t="s">
        <v>715</v>
      </c>
      <c r="C540" t="s">
        <v>116</v>
      </c>
    </row>
    <row r="541" spans="1:3" x14ac:dyDescent="0.3">
      <c r="A541" t="s">
        <v>1449</v>
      </c>
      <c r="B541" t="s">
        <v>133</v>
      </c>
      <c r="C541" t="s">
        <v>1450</v>
      </c>
    </row>
    <row r="542" spans="1:3" x14ac:dyDescent="0.3">
      <c r="A542" t="s">
        <v>1449</v>
      </c>
      <c r="B542" t="s">
        <v>133</v>
      </c>
      <c r="C542" t="s">
        <v>168</v>
      </c>
    </row>
    <row r="543" spans="1:3" x14ac:dyDescent="0.3">
      <c r="A543" t="s">
        <v>222</v>
      </c>
      <c r="B543" t="s">
        <v>223</v>
      </c>
      <c r="C543" t="s">
        <v>224</v>
      </c>
    </row>
    <row r="544" spans="1:3" x14ac:dyDescent="0.3">
      <c r="A544" t="s">
        <v>222</v>
      </c>
      <c r="B544" t="s">
        <v>40</v>
      </c>
      <c r="C544" t="s">
        <v>2135</v>
      </c>
    </row>
    <row r="545" spans="1:3" x14ac:dyDescent="0.3">
      <c r="A545" t="s">
        <v>470</v>
      </c>
      <c r="B545" t="s">
        <v>179</v>
      </c>
      <c r="C545" t="s">
        <v>1002</v>
      </c>
    </row>
    <row r="546" spans="1:3" x14ac:dyDescent="0.3">
      <c r="A546" t="s">
        <v>470</v>
      </c>
      <c r="B546" t="s">
        <v>179</v>
      </c>
      <c r="C546" t="s">
        <v>615</v>
      </c>
    </row>
    <row r="547" spans="1:3" x14ac:dyDescent="0.3">
      <c r="A547" t="s">
        <v>470</v>
      </c>
      <c r="B547" t="s">
        <v>179</v>
      </c>
      <c r="C547" t="s">
        <v>145</v>
      </c>
    </row>
    <row r="548" spans="1:3" x14ac:dyDescent="0.3">
      <c r="A548" t="s">
        <v>470</v>
      </c>
      <c r="B548" t="s">
        <v>431</v>
      </c>
      <c r="C548" t="s">
        <v>98</v>
      </c>
    </row>
    <row r="549" spans="1:3" x14ac:dyDescent="0.3">
      <c r="A549" t="s">
        <v>756</v>
      </c>
      <c r="B549" t="s">
        <v>2068</v>
      </c>
      <c r="C549" t="s">
        <v>2069</v>
      </c>
    </row>
    <row r="550" spans="1:3" x14ac:dyDescent="0.3">
      <c r="A550" t="s">
        <v>756</v>
      </c>
      <c r="C550" t="s">
        <v>757</v>
      </c>
    </row>
    <row r="551" spans="1:3" x14ac:dyDescent="0.3">
      <c r="A551" t="s">
        <v>1380</v>
      </c>
      <c r="B551" t="s">
        <v>677</v>
      </c>
      <c r="C551" t="s">
        <v>1381</v>
      </c>
    </row>
    <row r="552" spans="1:3" x14ac:dyDescent="0.3">
      <c r="A552" t="s">
        <v>1380</v>
      </c>
      <c r="B552" t="s">
        <v>677</v>
      </c>
      <c r="C552" t="s">
        <v>998</v>
      </c>
    </row>
    <row r="553" spans="1:3" x14ac:dyDescent="0.3">
      <c r="A553" t="s">
        <v>1380</v>
      </c>
      <c r="B553" t="s">
        <v>718</v>
      </c>
      <c r="C553" t="s">
        <v>145</v>
      </c>
    </row>
    <row r="554" spans="1:3" x14ac:dyDescent="0.3">
      <c r="A554" t="s">
        <v>653</v>
      </c>
      <c r="B554" t="s">
        <v>94</v>
      </c>
      <c r="C554" t="s">
        <v>1086</v>
      </c>
    </row>
    <row r="555" spans="1:3" x14ac:dyDescent="0.3">
      <c r="A555" t="s">
        <v>653</v>
      </c>
      <c r="B555" t="s">
        <v>654</v>
      </c>
      <c r="C555" t="s">
        <v>126</v>
      </c>
    </row>
    <row r="556" spans="1:3" x14ac:dyDescent="0.3">
      <c r="A556" t="s">
        <v>653</v>
      </c>
      <c r="B556" t="s">
        <v>654</v>
      </c>
      <c r="C556" t="s">
        <v>733</v>
      </c>
    </row>
    <row r="557" spans="1:3" x14ac:dyDescent="0.3">
      <c r="A557" t="s">
        <v>210</v>
      </c>
      <c r="B557" t="s">
        <v>211</v>
      </c>
      <c r="C557" t="s">
        <v>212</v>
      </c>
    </row>
    <row r="558" spans="1:3" x14ac:dyDescent="0.3">
      <c r="A558" t="s">
        <v>210</v>
      </c>
      <c r="B558" t="s">
        <v>2109</v>
      </c>
      <c r="C558" t="s">
        <v>27</v>
      </c>
    </row>
    <row r="559" spans="1:3" x14ac:dyDescent="0.3">
      <c r="A559" t="s">
        <v>619</v>
      </c>
      <c r="B559" t="s">
        <v>232</v>
      </c>
      <c r="C559" t="s">
        <v>620</v>
      </c>
    </row>
    <row r="560" spans="1:3" x14ac:dyDescent="0.3">
      <c r="A560" t="s">
        <v>619</v>
      </c>
      <c r="B560" t="s">
        <v>232</v>
      </c>
      <c r="C560" t="s">
        <v>960</v>
      </c>
    </row>
    <row r="561" spans="1:3" x14ac:dyDescent="0.3">
      <c r="A561" t="s">
        <v>506</v>
      </c>
      <c r="B561" t="s">
        <v>507</v>
      </c>
      <c r="C561" t="s">
        <v>121</v>
      </c>
    </row>
    <row r="562" spans="1:3" x14ac:dyDescent="0.3">
      <c r="A562" t="s">
        <v>547</v>
      </c>
      <c r="B562" t="s">
        <v>548</v>
      </c>
      <c r="C562" t="s">
        <v>549</v>
      </c>
    </row>
    <row r="563" spans="1:3" x14ac:dyDescent="0.3">
      <c r="A563" t="s">
        <v>155</v>
      </c>
      <c r="B563" t="s">
        <v>524</v>
      </c>
      <c r="C563" t="s">
        <v>1049</v>
      </c>
    </row>
    <row r="564" spans="1:3" x14ac:dyDescent="0.3">
      <c r="A564" t="s">
        <v>155</v>
      </c>
      <c r="B564" t="s">
        <v>524</v>
      </c>
      <c r="C564" t="s">
        <v>416</v>
      </c>
    </row>
    <row r="565" spans="1:3" x14ac:dyDescent="0.3">
      <c r="A565" t="s">
        <v>155</v>
      </c>
      <c r="B565" t="s">
        <v>75</v>
      </c>
      <c r="C565" t="s">
        <v>807</v>
      </c>
    </row>
    <row r="566" spans="1:3" x14ac:dyDescent="0.3">
      <c r="A566" t="s">
        <v>155</v>
      </c>
      <c r="B566" t="s">
        <v>75</v>
      </c>
      <c r="C566" t="s">
        <v>615</v>
      </c>
    </row>
    <row r="567" spans="1:3" x14ac:dyDescent="0.3">
      <c r="A567" t="s">
        <v>155</v>
      </c>
      <c r="B567" t="s">
        <v>75</v>
      </c>
      <c r="C567" t="s">
        <v>58</v>
      </c>
    </row>
    <row r="568" spans="1:3" x14ac:dyDescent="0.3">
      <c r="A568" t="s">
        <v>155</v>
      </c>
      <c r="B568" t="s">
        <v>75</v>
      </c>
    </row>
    <row r="569" spans="1:3" x14ac:dyDescent="0.3">
      <c r="A569" t="s">
        <v>155</v>
      </c>
      <c r="B569" t="s">
        <v>75</v>
      </c>
      <c r="C569" t="s">
        <v>558</v>
      </c>
    </row>
    <row r="570" spans="1:3" x14ac:dyDescent="0.3">
      <c r="A570" t="s">
        <v>155</v>
      </c>
      <c r="B570" t="s">
        <v>1986</v>
      </c>
      <c r="C570" t="s">
        <v>121</v>
      </c>
    </row>
    <row r="571" spans="1:3" x14ac:dyDescent="0.3">
      <c r="A571" t="s">
        <v>155</v>
      </c>
      <c r="B571" t="s">
        <v>170</v>
      </c>
      <c r="C571" t="s">
        <v>176</v>
      </c>
    </row>
    <row r="572" spans="1:3" x14ac:dyDescent="0.3">
      <c r="A572" t="s">
        <v>155</v>
      </c>
      <c r="B572" t="s">
        <v>170</v>
      </c>
      <c r="C572" t="s">
        <v>171</v>
      </c>
    </row>
    <row r="573" spans="1:3" x14ac:dyDescent="0.3">
      <c r="A573" t="s">
        <v>1257</v>
      </c>
      <c r="B573" t="s">
        <v>763</v>
      </c>
      <c r="C573" t="s">
        <v>145</v>
      </c>
    </row>
    <row r="574" spans="1:3" x14ac:dyDescent="0.3">
      <c r="A574" t="s">
        <v>1257</v>
      </c>
      <c r="B574" t="s">
        <v>453</v>
      </c>
      <c r="C574" t="s">
        <v>1258</v>
      </c>
    </row>
    <row r="575" spans="1:3" x14ac:dyDescent="0.3">
      <c r="A575" t="s">
        <v>561</v>
      </c>
      <c r="B575" t="s">
        <v>75</v>
      </c>
      <c r="C575" t="s">
        <v>558</v>
      </c>
    </row>
    <row r="576" spans="1:3" x14ac:dyDescent="0.3">
      <c r="A576" t="s">
        <v>995</v>
      </c>
      <c r="B576" t="s">
        <v>244</v>
      </c>
      <c r="C576" t="s">
        <v>662</v>
      </c>
    </row>
    <row r="577" spans="1:3" x14ac:dyDescent="0.3">
      <c r="A577" t="s">
        <v>434</v>
      </c>
      <c r="B577" t="s">
        <v>435</v>
      </c>
      <c r="C577" t="s">
        <v>121</v>
      </c>
    </row>
    <row r="578" spans="1:3" x14ac:dyDescent="0.3">
      <c r="A578" t="s">
        <v>657</v>
      </c>
      <c r="B578" t="s">
        <v>658</v>
      </c>
    </row>
    <row r="579" spans="1:3" x14ac:dyDescent="0.3">
      <c r="A579" t="s">
        <v>486</v>
      </c>
      <c r="B579" t="s">
        <v>223</v>
      </c>
      <c r="C579" t="s">
        <v>686</v>
      </c>
    </row>
    <row r="580" spans="1:3" x14ac:dyDescent="0.3">
      <c r="A580" t="s">
        <v>486</v>
      </c>
      <c r="B580" t="s">
        <v>179</v>
      </c>
      <c r="C580" t="s">
        <v>1958</v>
      </c>
    </row>
    <row r="581" spans="1:3" x14ac:dyDescent="0.3">
      <c r="A581" t="s">
        <v>486</v>
      </c>
      <c r="B581" t="s">
        <v>45</v>
      </c>
      <c r="C581" t="s">
        <v>701</v>
      </c>
    </row>
    <row r="582" spans="1:3" x14ac:dyDescent="0.3">
      <c r="A582" t="s">
        <v>486</v>
      </c>
      <c r="B582" t="s">
        <v>45</v>
      </c>
      <c r="C582" t="s">
        <v>699</v>
      </c>
    </row>
    <row r="583" spans="1:3" x14ac:dyDescent="0.3">
      <c r="A583" t="s">
        <v>486</v>
      </c>
      <c r="B583" t="s">
        <v>181</v>
      </c>
      <c r="C583" t="s">
        <v>922</v>
      </c>
    </row>
    <row r="584" spans="1:3" x14ac:dyDescent="0.3">
      <c r="A584" t="s">
        <v>486</v>
      </c>
      <c r="B584" t="s">
        <v>487</v>
      </c>
      <c r="C584" t="s">
        <v>1012</v>
      </c>
    </row>
    <row r="585" spans="1:3" x14ac:dyDescent="0.3">
      <c r="A585" t="s">
        <v>486</v>
      </c>
      <c r="B585" t="s">
        <v>487</v>
      </c>
      <c r="C585" t="s">
        <v>2120</v>
      </c>
    </row>
    <row r="586" spans="1:3" x14ac:dyDescent="0.3">
      <c r="A586" t="s">
        <v>486</v>
      </c>
      <c r="B586" t="s">
        <v>487</v>
      </c>
      <c r="C586" t="s">
        <v>221</v>
      </c>
    </row>
    <row r="587" spans="1:3" x14ac:dyDescent="0.3">
      <c r="A587" t="s">
        <v>486</v>
      </c>
      <c r="B587" t="s">
        <v>487</v>
      </c>
      <c r="C587" t="s">
        <v>172</v>
      </c>
    </row>
    <row r="588" spans="1:3" x14ac:dyDescent="0.3">
      <c r="A588" t="s">
        <v>486</v>
      </c>
      <c r="B588" t="s">
        <v>487</v>
      </c>
      <c r="C588" t="s">
        <v>488</v>
      </c>
    </row>
    <row r="589" spans="1:3" x14ac:dyDescent="0.3">
      <c r="A589" t="s">
        <v>486</v>
      </c>
      <c r="B589" t="s">
        <v>487</v>
      </c>
      <c r="C589" t="s">
        <v>55</v>
      </c>
    </row>
    <row r="590" spans="1:3" x14ac:dyDescent="0.3">
      <c r="A590" t="s">
        <v>486</v>
      </c>
      <c r="B590" t="s">
        <v>668</v>
      </c>
      <c r="C590" t="s">
        <v>121</v>
      </c>
    </row>
    <row r="591" spans="1:3" x14ac:dyDescent="0.3">
      <c r="A591" t="s">
        <v>486</v>
      </c>
      <c r="B591" t="s">
        <v>990</v>
      </c>
      <c r="C591" t="s">
        <v>991</v>
      </c>
    </row>
    <row r="592" spans="1:3" x14ac:dyDescent="0.3">
      <c r="A592" t="s">
        <v>486</v>
      </c>
      <c r="B592" t="s">
        <v>704</v>
      </c>
    </row>
    <row r="593" spans="1:3" x14ac:dyDescent="0.3">
      <c r="A593" t="s">
        <v>1342</v>
      </c>
      <c r="B593" t="s">
        <v>1343</v>
      </c>
      <c r="C593" t="s">
        <v>121</v>
      </c>
    </row>
    <row r="594" spans="1:3" x14ac:dyDescent="0.3">
      <c r="A594" t="s">
        <v>1342</v>
      </c>
      <c r="B594" t="s">
        <v>1407</v>
      </c>
      <c r="C594" t="s">
        <v>1408</v>
      </c>
    </row>
    <row r="595" spans="1:3" x14ac:dyDescent="0.3">
      <c r="A595" t="s">
        <v>1342</v>
      </c>
      <c r="B595" t="s">
        <v>1407</v>
      </c>
      <c r="C595" t="s">
        <v>1377</v>
      </c>
    </row>
    <row r="596" spans="1:3" x14ac:dyDescent="0.3">
      <c r="A596" t="s">
        <v>751</v>
      </c>
      <c r="B596" t="s">
        <v>752</v>
      </c>
      <c r="C596" t="s">
        <v>159</v>
      </c>
    </row>
    <row r="597" spans="1:3" x14ac:dyDescent="0.3">
      <c r="A597" t="s">
        <v>292</v>
      </c>
      <c r="B597" t="s">
        <v>293</v>
      </c>
      <c r="C597" t="s">
        <v>683</v>
      </c>
    </row>
    <row r="598" spans="1:3" x14ac:dyDescent="0.3">
      <c r="A598" t="s">
        <v>292</v>
      </c>
      <c r="B598" t="s">
        <v>293</v>
      </c>
      <c r="C598" t="s">
        <v>289</v>
      </c>
    </row>
    <row r="599" spans="1:3" x14ac:dyDescent="0.3">
      <c r="A599" t="s">
        <v>292</v>
      </c>
      <c r="B599" t="s">
        <v>293</v>
      </c>
      <c r="C599" t="s">
        <v>64</v>
      </c>
    </row>
    <row r="600" spans="1:3" x14ac:dyDescent="0.3">
      <c r="A600" t="s">
        <v>292</v>
      </c>
      <c r="B600" t="s">
        <v>75</v>
      </c>
      <c r="C600" t="s">
        <v>2116</v>
      </c>
    </row>
    <row r="601" spans="1:3" x14ac:dyDescent="0.3">
      <c r="A601" t="s">
        <v>292</v>
      </c>
      <c r="B601" t="s">
        <v>75</v>
      </c>
      <c r="C601" t="s">
        <v>437</v>
      </c>
    </row>
    <row r="602" spans="1:3" x14ac:dyDescent="0.3">
      <c r="A602" t="s">
        <v>292</v>
      </c>
      <c r="B602" t="s">
        <v>75</v>
      </c>
      <c r="C602" t="s">
        <v>680</v>
      </c>
    </row>
    <row r="603" spans="1:3" x14ac:dyDescent="0.3">
      <c r="A603" t="s">
        <v>292</v>
      </c>
      <c r="B603" t="s">
        <v>75</v>
      </c>
      <c r="C603" t="s">
        <v>1088</v>
      </c>
    </row>
    <row r="604" spans="1:3" x14ac:dyDescent="0.3">
      <c r="A604" t="s">
        <v>292</v>
      </c>
      <c r="B604" t="s">
        <v>75</v>
      </c>
      <c r="C604" t="s">
        <v>1798</v>
      </c>
    </row>
    <row r="605" spans="1:3" x14ac:dyDescent="0.3">
      <c r="A605" t="s">
        <v>292</v>
      </c>
      <c r="B605" t="s">
        <v>2091</v>
      </c>
      <c r="C605" t="s">
        <v>85</v>
      </c>
    </row>
    <row r="606" spans="1:3" x14ac:dyDescent="0.3">
      <c r="A606" t="s">
        <v>292</v>
      </c>
      <c r="C606" t="s">
        <v>27</v>
      </c>
    </row>
    <row r="607" spans="1:3" x14ac:dyDescent="0.3">
      <c r="A607" t="s">
        <v>1104</v>
      </c>
      <c r="B607" t="s">
        <v>75</v>
      </c>
      <c r="C607" t="s">
        <v>146</v>
      </c>
    </row>
    <row r="608" spans="1:3" x14ac:dyDescent="0.3">
      <c r="A608" t="s">
        <v>1104</v>
      </c>
      <c r="B608" t="s">
        <v>1105</v>
      </c>
      <c r="C608" t="s">
        <v>85</v>
      </c>
    </row>
    <row r="609" spans="1:3" x14ac:dyDescent="0.3">
      <c r="A609" t="s">
        <v>678</v>
      </c>
      <c r="B609" t="s">
        <v>494</v>
      </c>
      <c r="C609" t="s">
        <v>495</v>
      </c>
    </row>
    <row r="610" spans="1:3" x14ac:dyDescent="0.3">
      <c r="A610" t="s">
        <v>365</v>
      </c>
      <c r="B610" t="s">
        <v>148</v>
      </c>
      <c r="C610" t="s">
        <v>366</v>
      </c>
    </row>
    <row r="611" spans="1:3" x14ac:dyDescent="0.3">
      <c r="A611" t="s">
        <v>365</v>
      </c>
      <c r="B611" t="s">
        <v>148</v>
      </c>
      <c r="C611" t="s">
        <v>779</v>
      </c>
    </row>
    <row r="612" spans="1:3" x14ac:dyDescent="0.3">
      <c r="A612" t="s">
        <v>365</v>
      </c>
      <c r="B612" t="s">
        <v>148</v>
      </c>
      <c r="C612" t="s">
        <v>832</v>
      </c>
    </row>
    <row r="613" spans="1:3" x14ac:dyDescent="0.3">
      <c r="A613" t="s">
        <v>1003</v>
      </c>
      <c r="B613" t="s">
        <v>223</v>
      </c>
      <c r="C613" t="s">
        <v>145</v>
      </c>
    </row>
    <row r="614" spans="1:3" x14ac:dyDescent="0.3">
      <c r="A614" t="s">
        <v>996</v>
      </c>
      <c r="B614" t="s">
        <v>544</v>
      </c>
      <c r="C614" t="s">
        <v>852</v>
      </c>
    </row>
    <row r="615" spans="1:3" x14ac:dyDescent="0.3">
      <c r="A615" t="s">
        <v>2108</v>
      </c>
      <c r="B615" t="s">
        <v>658</v>
      </c>
      <c r="C615" t="s">
        <v>2059</v>
      </c>
    </row>
    <row r="616" spans="1:3" x14ac:dyDescent="0.3">
      <c r="A616" t="s">
        <v>236</v>
      </c>
      <c r="B616" t="s">
        <v>75</v>
      </c>
      <c r="C616" t="s">
        <v>816</v>
      </c>
    </row>
    <row r="617" spans="1:3" x14ac:dyDescent="0.3">
      <c r="A617" t="s">
        <v>236</v>
      </c>
      <c r="B617" t="s">
        <v>75</v>
      </c>
      <c r="C617" t="s">
        <v>221</v>
      </c>
    </row>
    <row r="618" spans="1:3" x14ac:dyDescent="0.3">
      <c r="A618" t="s">
        <v>236</v>
      </c>
      <c r="B618" t="s">
        <v>75</v>
      </c>
      <c r="C618" t="s">
        <v>35</v>
      </c>
    </row>
    <row r="619" spans="1:3" x14ac:dyDescent="0.3">
      <c r="A619" t="s">
        <v>236</v>
      </c>
      <c r="B619" t="s">
        <v>2145</v>
      </c>
      <c r="C619" t="s">
        <v>2146</v>
      </c>
    </row>
    <row r="620" spans="1:3" x14ac:dyDescent="0.3">
      <c r="A620" t="s">
        <v>236</v>
      </c>
      <c r="C620" t="s">
        <v>27</v>
      </c>
    </row>
    <row r="621" spans="1:3" x14ac:dyDescent="0.3">
      <c r="A621" t="s">
        <v>1035</v>
      </c>
      <c r="B621" t="s">
        <v>211</v>
      </c>
      <c r="C621" t="s">
        <v>742</v>
      </c>
    </row>
    <row r="622" spans="1:3" x14ac:dyDescent="0.3">
      <c r="A622" t="s">
        <v>1035</v>
      </c>
      <c r="B622" t="s">
        <v>408</v>
      </c>
      <c r="C622" t="s">
        <v>146</v>
      </c>
    </row>
    <row r="623" spans="1:3" x14ac:dyDescent="0.3">
      <c r="A623" t="s">
        <v>2048</v>
      </c>
      <c r="C623" t="s">
        <v>27</v>
      </c>
    </row>
    <row r="624" spans="1:3" x14ac:dyDescent="0.3">
      <c r="A624" t="s">
        <v>672</v>
      </c>
      <c r="B624" t="s">
        <v>240</v>
      </c>
    </row>
    <row r="625" spans="1:3" x14ac:dyDescent="0.3">
      <c r="A625" t="s">
        <v>672</v>
      </c>
      <c r="B625" t="s">
        <v>240</v>
      </c>
      <c r="C625" t="s">
        <v>673</v>
      </c>
    </row>
    <row r="626" spans="1:3" x14ac:dyDescent="0.3">
      <c r="A626" t="s">
        <v>1082</v>
      </c>
      <c r="B626" t="s">
        <v>1083</v>
      </c>
      <c r="C626" t="s">
        <v>85</v>
      </c>
    </row>
    <row r="627" spans="1:3" x14ac:dyDescent="0.3">
      <c r="A627" t="s">
        <v>2149</v>
      </c>
      <c r="B627" t="s">
        <v>140</v>
      </c>
      <c r="C627" t="s">
        <v>662</v>
      </c>
    </row>
    <row r="628" spans="1:3" x14ac:dyDescent="0.3">
      <c r="A628" t="s">
        <v>231</v>
      </c>
      <c r="B628" t="s">
        <v>531</v>
      </c>
      <c r="C628" t="s">
        <v>532</v>
      </c>
    </row>
    <row r="629" spans="1:3" x14ac:dyDescent="0.3">
      <c r="A629" t="s">
        <v>231</v>
      </c>
      <c r="B629" t="s">
        <v>232</v>
      </c>
      <c r="C629" t="s">
        <v>121</v>
      </c>
    </row>
    <row r="630" spans="1:3" x14ac:dyDescent="0.3">
      <c r="A630" t="s">
        <v>231</v>
      </c>
      <c r="B630" t="s">
        <v>232</v>
      </c>
      <c r="C630" t="s">
        <v>960</v>
      </c>
    </row>
    <row r="631" spans="1:3" x14ac:dyDescent="0.3">
      <c r="A631" t="s">
        <v>231</v>
      </c>
      <c r="B631" t="s">
        <v>232</v>
      </c>
      <c r="C631" t="s">
        <v>121</v>
      </c>
    </row>
    <row r="632" spans="1:3" x14ac:dyDescent="0.3">
      <c r="A632" t="s">
        <v>321</v>
      </c>
      <c r="B632" t="s">
        <v>249</v>
      </c>
      <c r="C632" t="s">
        <v>207</v>
      </c>
    </row>
    <row r="633" spans="1:3" x14ac:dyDescent="0.3">
      <c r="A633" t="s">
        <v>321</v>
      </c>
      <c r="C633" t="s">
        <v>116</v>
      </c>
    </row>
    <row r="634" spans="1:3" x14ac:dyDescent="0.3">
      <c r="A634" t="s">
        <v>746</v>
      </c>
      <c r="B634" t="s">
        <v>718</v>
      </c>
      <c r="C634" t="s">
        <v>121</v>
      </c>
    </row>
    <row r="635" spans="1:3" x14ac:dyDescent="0.3">
      <c r="A635" t="s">
        <v>746</v>
      </c>
      <c r="B635" t="s">
        <v>718</v>
      </c>
      <c r="C635" t="s">
        <v>549</v>
      </c>
    </row>
    <row r="636" spans="1:3" x14ac:dyDescent="0.3">
      <c r="A636" t="s">
        <v>746</v>
      </c>
      <c r="C636" t="s">
        <v>747</v>
      </c>
    </row>
    <row r="637" spans="1:3" x14ac:dyDescent="0.3">
      <c r="A637" t="s">
        <v>2134</v>
      </c>
      <c r="B637" t="s">
        <v>718</v>
      </c>
      <c r="C637" t="s">
        <v>58</v>
      </c>
    </row>
    <row r="638" spans="1:3" x14ac:dyDescent="0.3">
      <c r="A638" t="s">
        <v>702</v>
      </c>
      <c r="B638" t="s">
        <v>45</v>
      </c>
      <c r="C638" t="s">
        <v>701</v>
      </c>
    </row>
    <row r="639" spans="1:3" x14ac:dyDescent="0.3">
      <c r="A639" t="s">
        <v>702</v>
      </c>
      <c r="B639" t="s">
        <v>1238</v>
      </c>
      <c r="C639" t="s">
        <v>1239</v>
      </c>
    </row>
    <row r="640" spans="1:3" x14ac:dyDescent="0.3">
      <c r="A640" t="s">
        <v>611</v>
      </c>
      <c r="B640" t="s">
        <v>2104</v>
      </c>
      <c r="C640" t="s">
        <v>121</v>
      </c>
    </row>
    <row r="641" spans="1:3" x14ac:dyDescent="0.3">
      <c r="A641" t="s">
        <v>611</v>
      </c>
      <c r="B641" t="s">
        <v>612</v>
      </c>
      <c r="C641" t="s">
        <v>613</v>
      </c>
    </row>
    <row r="642" spans="1:3" x14ac:dyDescent="0.3">
      <c r="A642" t="s">
        <v>611</v>
      </c>
      <c r="B642" t="s">
        <v>240</v>
      </c>
      <c r="C642" t="s">
        <v>884</v>
      </c>
    </row>
    <row r="643" spans="1:3" x14ac:dyDescent="0.3">
      <c r="A643" t="s">
        <v>847</v>
      </c>
      <c r="B643" t="s">
        <v>162</v>
      </c>
      <c r="C643" t="s">
        <v>324</v>
      </c>
    </row>
    <row r="644" spans="1:3" x14ac:dyDescent="0.3">
      <c r="A644" t="s">
        <v>1193</v>
      </c>
      <c r="B644" t="s">
        <v>1194</v>
      </c>
      <c r="C644" t="s">
        <v>1195</v>
      </c>
    </row>
    <row r="645" spans="1:3" x14ac:dyDescent="0.3">
      <c r="A645" t="s">
        <v>799</v>
      </c>
      <c r="B645" t="s">
        <v>179</v>
      </c>
      <c r="C645" t="s">
        <v>525</v>
      </c>
    </row>
    <row r="646" spans="1:3" x14ac:dyDescent="0.3">
      <c r="A646" t="s">
        <v>799</v>
      </c>
      <c r="B646" t="s">
        <v>179</v>
      </c>
      <c r="C646" t="s">
        <v>800</v>
      </c>
    </row>
    <row r="647" spans="1:3" x14ac:dyDescent="0.3">
      <c r="A647" t="s">
        <v>799</v>
      </c>
      <c r="B647" t="s">
        <v>179</v>
      </c>
      <c r="C647" t="s">
        <v>70</v>
      </c>
    </row>
    <row r="648" spans="1:3" x14ac:dyDescent="0.3">
      <c r="A648" t="s">
        <v>799</v>
      </c>
      <c r="B648" t="s">
        <v>112</v>
      </c>
      <c r="C648" t="s">
        <v>615</v>
      </c>
    </row>
    <row r="649" spans="1:3" x14ac:dyDescent="0.3">
      <c r="A649" t="s">
        <v>111</v>
      </c>
      <c r="B649" t="s">
        <v>112</v>
      </c>
      <c r="C649" t="s">
        <v>113</v>
      </c>
    </row>
    <row r="650" spans="1:3" x14ac:dyDescent="0.3">
      <c r="A650" t="s">
        <v>523</v>
      </c>
      <c r="B650" t="s">
        <v>604</v>
      </c>
      <c r="C650" t="s">
        <v>605</v>
      </c>
    </row>
    <row r="651" spans="1:3" x14ac:dyDescent="0.3">
      <c r="A651" t="s">
        <v>523</v>
      </c>
      <c r="B651" t="s">
        <v>524</v>
      </c>
      <c r="C651" t="s">
        <v>525</v>
      </c>
    </row>
    <row r="652" spans="1:3" x14ac:dyDescent="0.3">
      <c r="A652" t="s">
        <v>523</v>
      </c>
      <c r="B652" t="s">
        <v>75</v>
      </c>
      <c r="C652" t="s">
        <v>2128</v>
      </c>
    </row>
    <row r="653" spans="1:3" x14ac:dyDescent="0.3">
      <c r="A653" t="s">
        <v>1071</v>
      </c>
      <c r="B653" t="s">
        <v>277</v>
      </c>
      <c r="C653" t="s">
        <v>172</v>
      </c>
    </row>
    <row r="654" spans="1:3" x14ac:dyDescent="0.3">
      <c r="A654" t="s">
        <v>1071</v>
      </c>
      <c r="B654" t="s">
        <v>277</v>
      </c>
      <c r="C654" t="s">
        <v>926</v>
      </c>
    </row>
    <row r="655" spans="1:3" x14ac:dyDescent="0.3">
      <c r="A655" t="s">
        <v>1071</v>
      </c>
      <c r="B655" t="s">
        <v>204</v>
      </c>
      <c r="C655" t="s">
        <v>1072</v>
      </c>
    </row>
    <row r="656" spans="1:3" x14ac:dyDescent="0.3">
      <c r="A656" t="s">
        <v>1071</v>
      </c>
      <c r="B656" t="s">
        <v>227</v>
      </c>
      <c r="C656" t="s">
        <v>2087</v>
      </c>
    </row>
    <row r="657" spans="1:3" x14ac:dyDescent="0.3">
      <c r="A657" t="s">
        <v>1071</v>
      </c>
      <c r="B657" t="s">
        <v>1206</v>
      </c>
      <c r="C657" t="s">
        <v>104</v>
      </c>
    </row>
    <row r="658" spans="1:3" x14ac:dyDescent="0.3">
      <c r="A658" t="s">
        <v>1071</v>
      </c>
      <c r="B658" t="s">
        <v>1206</v>
      </c>
      <c r="C658" t="s">
        <v>172</v>
      </c>
    </row>
    <row r="659" spans="1:3" x14ac:dyDescent="0.3">
      <c r="A659" t="s">
        <v>881</v>
      </c>
      <c r="B659" t="s">
        <v>120</v>
      </c>
      <c r="C659" t="s">
        <v>882</v>
      </c>
    </row>
    <row r="660" spans="1:3" x14ac:dyDescent="0.3">
      <c r="A660" t="s">
        <v>881</v>
      </c>
      <c r="B660" t="s">
        <v>1023</v>
      </c>
      <c r="C660" t="s">
        <v>1024</v>
      </c>
    </row>
    <row r="661" spans="1:3" x14ac:dyDescent="0.3">
      <c r="A661" t="s">
        <v>1234</v>
      </c>
      <c r="B661" t="s">
        <v>94</v>
      </c>
      <c r="C661" t="s">
        <v>1255</v>
      </c>
    </row>
    <row r="662" spans="1:3" x14ac:dyDescent="0.3">
      <c r="A662" t="s">
        <v>1234</v>
      </c>
      <c r="B662" t="s">
        <v>94</v>
      </c>
      <c r="C662" t="s">
        <v>1310</v>
      </c>
    </row>
    <row r="663" spans="1:3" x14ac:dyDescent="0.3">
      <c r="A663" t="s">
        <v>1234</v>
      </c>
      <c r="B663" t="s">
        <v>1355</v>
      </c>
      <c r="C663" t="s">
        <v>27</v>
      </c>
    </row>
    <row r="664" spans="1:3" x14ac:dyDescent="0.3">
      <c r="A664" t="s">
        <v>1234</v>
      </c>
      <c r="B664" t="s">
        <v>1393</v>
      </c>
      <c r="C664" t="s">
        <v>186</v>
      </c>
    </row>
    <row r="665" spans="1:3" x14ac:dyDescent="0.3">
      <c r="A665" t="s">
        <v>1234</v>
      </c>
      <c r="B665" t="s">
        <v>1235</v>
      </c>
    </row>
    <row r="666" spans="1:3" x14ac:dyDescent="0.3">
      <c r="A666" t="s">
        <v>1234</v>
      </c>
      <c r="B666" t="s">
        <v>1452</v>
      </c>
    </row>
    <row r="667" spans="1:3" x14ac:dyDescent="0.3">
      <c r="A667" t="s">
        <v>1234</v>
      </c>
      <c r="C667" t="s">
        <v>185</v>
      </c>
    </row>
    <row r="668" spans="1:3" x14ac:dyDescent="0.3">
      <c r="A668" t="s">
        <v>1234</v>
      </c>
      <c r="C668" t="s">
        <v>1233</v>
      </c>
    </row>
    <row r="669" spans="1:3" x14ac:dyDescent="0.3">
      <c r="A669" t="s">
        <v>1243</v>
      </c>
      <c r="B669" t="s">
        <v>293</v>
      </c>
      <c r="C669" t="s">
        <v>1244</v>
      </c>
    </row>
    <row r="670" spans="1:3" x14ac:dyDescent="0.3">
      <c r="A670" t="s">
        <v>1243</v>
      </c>
      <c r="B670" t="s">
        <v>293</v>
      </c>
      <c r="C670" t="s">
        <v>927</v>
      </c>
    </row>
    <row r="671" spans="1:3" x14ac:dyDescent="0.3">
      <c r="A671" t="s">
        <v>1243</v>
      </c>
      <c r="B671" t="s">
        <v>148</v>
      </c>
      <c r="C671" t="s">
        <v>1253</v>
      </c>
    </row>
    <row r="672" spans="1:3" x14ac:dyDescent="0.3">
      <c r="A672" t="s">
        <v>1243</v>
      </c>
      <c r="B672" t="s">
        <v>1292</v>
      </c>
      <c r="C672" t="s">
        <v>1293</v>
      </c>
    </row>
    <row r="673" spans="1:3" x14ac:dyDescent="0.3">
      <c r="A673" t="s">
        <v>866</v>
      </c>
      <c r="B673" t="s">
        <v>867</v>
      </c>
      <c r="C673" t="s">
        <v>662</v>
      </c>
    </row>
    <row r="674" spans="1:3" x14ac:dyDescent="0.3">
      <c r="A674" t="s">
        <v>1030</v>
      </c>
      <c r="C674" t="s">
        <v>116</v>
      </c>
    </row>
    <row r="675" spans="1:3" x14ac:dyDescent="0.3">
      <c r="A675" t="s">
        <v>977</v>
      </c>
      <c r="B675" t="s">
        <v>909</v>
      </c>
      <c r="C675" t="s">
        <v>978</v>
      </c>
    </row>
    <row r="676" spans="1:3" x14ac:dyDescent="0.3">
      <c r="A676" t="s">
        <v>320</v>
      </c>
      <c r="B676" t="s">
        <v>26</v>
      </c>
      <c r="C676" t="s">
        <v>121</v>
      </c>
    </row>
    <row r="677" spans="1:3" x14ac:dyDescent="0.3">
      <c r="A677" t="s">
        <v>987</v>
      </c>
      <c r="C677" t="s">
        <v>27</v>
      </c>
    </row>
    <row r="678" spans="1:3" x14ac:dyDescent="0.3">
      <c r="A678" t="s">
        <v>1274</v>
      </c>
      <c r="B678" t="s">
        <v>442</v>
      </c>
      <c r="C678" t="s">
        <v>30</v>
      </c>
    </row>
    <row r="679" spans="1:3" x14ac:dyDescent="0.3">
      <c r="A679" t="s">
        <v>890</v>
      </c>
      <c r="B679" t="s">
        <v>362</v>
      </c>
      <c r="C679" t="s">
        <v>27</v>
      </c>
    </row>
    <row r="680" spans="1:3" x14ac:dyDescent="0.3">
      <c r="A680" t="s">
        <v>890</v>
      </c>
      <c r="B680" t="s">
        <v>1015</v>
      </c>
    </row>
    <row r="681" spans="1:3" x14ac:dyDescent="0.3">
      <c r="A681" t="s">
        <v>993</v>
      </c>
      <c r="B681" t="s">
        <v>227</v>
      </c>
      <c r="C681" t="s">
        <v>994</v>
      </c>
    </row>
    <row r="682" spans="1:3" x14ac:dyDescent="0.3">
      <c r="A682" t="s">
        <v>622</v>
      </c>
      <c r="B682" t="s">
        <v>133</v>
      </c>
      <c r="C682" t="s">
        <v>801</v>
      </c>
    </row>
    <row r="683" spans="1:3" x14ac:dyDescent="0.3">
      <c r="A683" t="s">
        <v>622</v>
      </c>
      <c r="B683" t="s">
        <v>623</v>
      </c>
      <c r="C683" t="s">
        <v>624</v>
      </c>
    </row>
    <row r="684" spans="1:3" x14ac:dyDescent="0.3">
      <c r="A684" t="s">
        <v>622</v>
      </c>
      <c r="B684" t="s">
        <v>1114</v>
      </c>
      <c r="C684" t="s">
        <v>1115</v>
      </c>
    </row>
    <row r="685" spans="1:3" x14ac:dyDescent="0.3">
      <c r="A685" t="s">
        <v>1124</v>
      </c>
      <c r="B685" t="s">
        <v>1125</v>
      </c>
      <c r="C685" t="s">
        <v>428</v>
      </c>
    </row>
    <row r="686" spans="1:3" x14ac:dyDescent="0.3">
      <c r="A686" t="s">
        <v>1124</v>
      </c>
      <c r="B686" t="s">
        <v>1125</v>
      </c>
      <c r="C686" t="s">
        <v>121</v>
      </c>
    </row>
    <row r="687" spans="1:3" x14ac:dyDescent="0.3">
      <c r="A687" t="s">
        <v>1124</v>
      </c>
      <c r="B687" t="s">
        <v>709</v>
      </c>
      <c r="C687" t="s">
        <v>121</v>
      </c>
    </row>
    <row r="688" spans="1:3" x14ac:dyDescent="0.3">
      <c r="A688" t="s">
        <v>1124</v>
      </c>
      <c r="B688" t="s">
        <v>2043</v>
      </c>
      <c r="C688" t="s">
        <v>2044</v>
      </c>
    </row>
    <row r="689" spans="1:3" x14ac:dyDescent="0.3">
      <c r="A689" t="s">
        <v>1222</v>
      </c>
      <c r="B689" t="s">
        <v>133</v>
      </c>
      <c r="C689" t="s">
        <v>1223</v>
      </c>
    </row>
    <row r="690" spans="1:3" x14ac:dyDescent="0.3">
      <c r="A690" t="s">
        <v>370</v>
      </c>
      <c r="B690" t="s">
        <v>277</v>
      </c>
      <c r="C690" t="s">
        <v>371</v>
      </c>
    </row>
    <row r="691" spans="1:3" x14ac:dyDescent="0.3">
      <c r="A691" t="s">
        <v>1106</v>
      </c>
      <c r="B691" t="s">
        <v>763</v>
      </c>
      <c r="C691" t="s">
        <v>801</v>
      </c>
    </row>
    <row r="692" spans="1:3" x14ac:dyDescent="0.3">
      <c r="A692" t="s">
        <v>1106</v>
      </c>
      <c r="B692" t="s">
        <v>1290</v>
      </c>
    </row>
    <row r="693" spans="1:3" x14ac:dyDescent="0.3">
      <c r="A693" t="s">
        <v>1106</v>
      </c>
      <c r="B693" t="s">
        <v>1214</v>
      </c>
      <c r="C693" t="s">
        <v>801</v>
      </c>
    </row>
    <row r="694" spans="1:3" x14ac:dyDescent="0.3">
      <c r="A694" t="s">
        <v>1106</v>
      </c>
      <c r="B694" t="s">
        <v>1214</v>
      </c>
      <c r="C694" t="s">
        <v>926</v>
      </c>
    </row>
    <row r="695" spans="1:3" x14ac:dyDescent="0.3">
      <c r="A695" t="s">
        <v>1106</v>
      </c>
      <c r="B695" t="s">
        <v>453</v>
      </c>
      <c r="C695" t="s">
        <v>1261</v>
      </c>
    </row>
    <row r="696" spans="1:3" x14ac:dyDescent="0.3">
      <c r="A696" t="s">
        <v>1106</v>
      </c>
      <c r="B696" t="s">
        <v>1289</v>
      </c>
    </row>
    <row r="697" spans="1:3" x14ac:dyDescent="0.3">
      <c r="A697" t="s">
        <v>1106</v>
      </c>
      <c r="B697" t="s">
        <v>1412</v>
      </c>
      <c r="C697" t="s">
        <v>1413</v>
      </c>
    </row>
    <row r="698" spans="1:3" x14ac:dyDescent="0.3">
      <c r="A698" t="s">
        <v>1106</v>
      </c>
      <c r="B698" t="s">
        <v>1107</v>
      </c>
      <c r="C698" t="s">
        <v>146</v>
      </c>
    </row>
    <row r="699" spans="1:3" x14ac:dyDescent="0.3">
      <c r="A699" t="s">
        <v>1106</v>
      </c>
      <c r="B699" t="s">
        <v>1107</v>
      </c>
      <c r="C699" t="s">
        <v>1182</v>
      </c>
    </row>
    <row r="700" spans="1:3" x14ac:dyDescent="0.3">
      <c r="A700" t="s">
        <v>1951</v>
      </c>
      <c r="B700" t="s">
        <v>718</v>
      </c>
      <c r="C700" t="s">
        <v>1952</v>
      </c>
    </row>
    <row r="701" spans="1:3" x14ac:dyDescent="0.3">
      <c r="A701" t="s">
        <v>1217</v>
      </c>
      <c r="B701" t="s">
        <v>718</v>
      </c>
      <c r="C701" t="s">
        <v>1261</v>
      </c>
    </row>
    <row r="702" spans="1:3" x14ac:dyDescent="0.3">
      <c r="A702" t="s">
        <v>1217</v>
      </c>
      <c r="B702" t="s">
        <v>453</v>
      </c>
      <c r="C702" t="s">
        <v>1443</v>
      </c>
    </row>
    <row r="703" spans="1:3" x14ac:dyDescent="0.3">
      <c r="A703" t="s">
        <v>1217</v>
      </c>
      <c r="B703" t="s">
        <v>453</v>
      </c>
      <c r="C703" t="s">
        <v>801</v>
      </c>
    </row>
    <row r="704" spans="1:3" x14ac:dyDescent="0.3">
      <c r="A704" t="s">
        <v>1217</v>
      </c>
      <c r="B704" t="s">
        <v>453</v>
      </c>
      <c r="C704" t="s">
        <v>777</v>
      </c>
    </row>
    <row r="705" spans="1:3" x14ac:dyDescent="0.3">
      <c r="A705" t="s">
        <v>1217</v>
      </c>
      <c r="B705" t="s">
        <v>1336</v>
      </c>
      <c r="C705" t="s">
        <v>1264</v>
      </c>
    </row>
    <row r="706" spans="1:3" x14ac:dyDescent="0.3">
      <c r="A706" t="s">
        <v>1217</v>
      </c>
      <c r="B706" t="s">
        <v>1336</v>
      </c>
      <c r="C706" t="s">
        <v>1010</v>
      </c>
    </row>
    <row r="707" spans="1:3" x14ac:dyDescent="0.3">
      <c r="A707" t="s">
        <v>1217</v>
      </c>
      <c r="B707" t="s">
        <v>2075</v>
      </c>
    </row>
    <row r="708" spans="1:3" x14ac:dyDescent="0.3">
      <c r="A708" t="s">
        <v>1217</v>
      </c>
      <c r="C708" t="s">
        <v>1218</v>
      </c>
    </row>
    <row r="709" spans="1:3" x14ac:dyDescent="0.3">
      <c r="A709" t="s">
        <v>1217</v>
      </c>
      <c r="C709" t="s">
        <v>818</v>
      </c>
    </row>
    <row r="710" spans="1:3" x14ac:dyDescent="0.3">
      <c r="A710" t="s">
        <v>1217</v>
      </c>
      <c r="C710" t="s">
        <v>1301</v>
      </c>
    </row>
    <row r="711" spans="1:3" x14ac:dyDescent="0.3">
      <c r="A711" t="s">
        <v>1217</v>
      </c>
      <c r="C711" t="s">
        <v>1291</v>
      </c>
    </row>
    <row r="712" spans="1:3" x14ac:dyDescent="0.3">
      <c r="A712" t="s">
        <v>2085</v>
      </c>
      <c r="B712" t="s">
        <v>249</v>
      </c>
      <c r="C712" t="s">
        <v>145</v>
      </c>
    </row>
    <row r="713" spans="1:3" x14ac:dyDescent="0.3">
      <c r="A713" t="s">
        <v>669</v>
      </c>
      <c r="C713" t="s">
        <v>670</v>
      </c>
    </row>
    <row r="714" spans="1:3" x14ac:dyDescent="0.3">
      <c r="A714" t="s">
        <v>669</v>
      </c>
      <c r="C714" t="s">
        <v>27</v>
      </c>
    </row>
    <row r="715" spans="1:3" x14ac:dyDescent="0.3">
      <c r="A715" t="s">
        <v>144</v>
      </c>
      <c r="B715" t="s">
        <v>106</v>
      </c>
      <c r="C715" t="s">
        <v>145</v>
      </c>
    </row>
    <row r="716" spans="1:3" x14ac:dyDescent="0.3">
      <c r="A716" t="s">
        <v>144</v>
      </c>
      <c r="B716" t="s">
        <v>227</v>
      </c>
      <c r="C716" t="s">
        <v>145</v>
      </c>
    </row>
    <row r="717" spans="1:3" x14ac:dyDescent="0.3">
      <c r="A717" t="s">
        <v>144</v>
      </c>
      <c r="B717" t="s">
        <v>84</v>
      </c>
      <c r="C717" t="s">
        <v>145</v>
      </c>
    </row>
    <row r="718" spans="1:3" x14ac:dyDescent="0.3">
      <c r="A718" t="s">
        <v>144</v>
      </c>
      <c r="B718" t="s">
        <v>489</v>
      </c>
    </row>
    <row r="719" spans="1:3" x14ac:dyDescent="0.3">
      <c r="A719" t="s">
        <v>325</v>
      </c>
      <c r="B719" t="s">
        <v>572</v>
      </c>
      <c r="C719" t="s">
        <v>437</v>
      </c>
    </row>
    <row r="720" spans="1:3" x14ac:dyDescent="0.3">
      <c r="A720" t="s">
        <v>325</v>
      </c>
      <c r="B720" t="s">
        <v>75</v>
      </c>
      <c r="C720" t="s">
        <v>558</v>
      </c>
    </row>
    <row r="721" spans="1:3" x14ac:dyDescent="0.3">
      <c r="A721" t="s">
        <v>325</v>
      </c>
      <c r="B721" t="s">
        <v>75</v>
      </c>
      <c r="C721" t="s">
        <v>40</v>
      </c>
    </row>
    <row r="722" spans="1:3" x14ac:dyDescent="0.3">
      <c r="A722" t="s">
        <v>325</v>
      </c>
      <c r="B722" t="s">
        <v>75</v>
      </c>
      <c r="C722" t="s">
        <v>207</v>
      </c>
    </row>
    <row r="723" spans="1:3" x14ac:dyDescent="0.3">
      <c r="A723" t="s">
        <v>325</v>
      </c>
      <c r="B723" t="s">
        <v>75</v>
      </c>
      <c r="C723" t="s">
        <v>146</v>
      </c>
    </row>
    <row r="724" spans="1:3" x14ac:dyDescent="0.3">
      <c r="A724" t="s">
        <v>325</v>
      </c>
      <c r="B724" t="s">
        <v>367</v>
      </c>
      <c r="C724" t="s">
        <v>163</v>
      </c>
    </row>
    <row r="725" spans="1:3" x14ac:dyDescent="0.3">
      <c r="A725" t="s">
        <v>325</v>
      </c>
      <c r="B725" t="s">
        <v>367</v>
      </c>
      <c r="C725" t="s">
        <v>491</v>
      </c>
    </row>
    <row r="726" spans="1:3" x14ac:dyDescent="0.3">
      <c r="A726" t="s">
        <v>325</v>
      </c>
      <c r="B726" t="s">
        <v>367</v>
      </c>
      <c r="C726" t="s">
        <v>163</v>
      </c>
    </row>
    <row r="727" spans="1:3" x14ac:dyDescent="0.3">
      <c r="A727" t="s">
        <v>325</v>
      </c>
      <c r="B727" t="s">
        <v>367</v>
      </c>
      <c r="C727" t="s">
        <v>923</v>
      </c>
    </row>
    <row r="728" spans="1:3" x14ac:dyDescent="0.3">
      <c r="A728" t="s">
        <v>325</v>
      </c>
      <c r="B728" t="s">
        <v>367</v>
      </c>
      <c r="C728" t="s">
        <v>163</v>
      </c>
    </row>
    <row r="729" spans="1:3" x14ac:dyDescent="0.3">
      <c r="A729" t="s">
        <v>325</v>
      </c>
      <c r="B729" t="s">
        <v>367</v>
      </c>
      <c r="C729" t="s">
        <v>172</v>
      </c>
    </row>
    <row r="730" spans="1:3" x14ac:dyDescent="0.3">
      <c r="A730" t="s">
        <v>325</v>
      </c>
      <c r="B730" t="s">
        <v>367</v>
      </c>
      <c r="C730" t="s">
        <v>2094</v>
      </c>
    </row>
    <row r="731" spans="1:3" x14ac:dyDescent="0.3">
      <c r="A731" t="s">
        <v>325</v>
      </c>
      <c r="B731" t="s">
        <v>367</v>
      </c>
      <c r="C731" t="s">
        <v>163</v>
      </c>
    </row>
    <row r="732" spans="1:3" x14ac:dyDescent="0.3">
      <c r="A732" t="s">
        <v>325</v>
      </c>
      <c r="B732" t="s">
        <v>367</v>
      </c>
      <c r="C732" t="s">
        <v>218</v>
      </c>
    </row>
    <row r="733" spans="1:3" x14ac:dyDescent="0.3">
      <c r="A733" t="s">
        <v>325</v>
      </c>
      <c r="B733" t="s">
        <v>367</v>
      </c>
      <c r="C733" t="s">
        <v>186</v>
      </c>
    </row>
    <row r="734" spans="1:3" x14ac:dyDescent="0.3">
      <c r="A734" t="s">
        <v>325</v>
      </c>
      <c r="B734" t="s">
        <v>531</v>
      </c>
      <c r="C734" t="s">
        <v>145</v>
      </c>
    </row>
    <row r="735" spans="1:3" x14ac:dyDescent="0.3">
      <c r="A735" t="s">
        <v>208</v>
      </c>
      <c r="B735" t="s">
        <v>209</v>
      </c>
    </row>
    <row r="736" spans="1:3" x14ac:dyDescent="0.3">
      <c r="A736" t="s">
        <v>208</v>
      </c>
      <c r="B736" t="s">
        <v>209</v>
      </c>
    </row>
    <row r="737" spans="1:3" x14ac:dyDescent="0.3">
      <c r="A737" t="s">
        <v>402</v>
      </c>
      <c r="B737" t="s">
        <v>148</v>
      </c>
      <c r="C737" t="s">
        <v>403</v>
      </c>
    </row>
    <row r="738" spans="1:3" x14ac:dyDescent="0.3">
      <c r="A738" t="s">
        <v>1245</v>
      </c>
      <c r="B738" t="s">
        <v>299</v>
      </c>
      <c r="C738" t="s">
        <v>1246</v>
      </c>
    </row>
    <row r="739" spans="1:3" x14ac:dyDescent="0.3">
      <c r="A739" t="s">
        <v>1245</v>
      </c>
      <c r="B739" t="s">
        <v>299</v>
      </c>
      <c r="C739" t="s">
        <v>1294</v>
      </c>
    </row>
    <row r="740" spans="1:3" x14ac:dyDescent="0.3">
      <c r="A740" t="s">
        <v>1245</v>
      </c>
      <c r="B740" t="s">
        <v>299</v>
      </c>
      <c r="C740" t="s">
        <v>1311</v>
      </c>
    </row>
    <row r="741" spans="1:3" x14ac:dyDescent="0.3">
      <c r="A741" t="s">
        <v>1245</v>
      </c>
      <c r="B741" t="s">
        <v>299</v>
      </c>
      <c r="C741" t="s">
        <v>255</v>
      </c>
    </row>
    <row r="742" spans="1:3" x14ac:dyDescent="0.3">
      <c r="A742" t="s">
        <v>278</v>
      </c>
      <c r="B742" t="s">
        <v>45</v>
      </c>
      <c r="C742" t="s">
        <v>146</v>
      </c>
    </row>
    <row r="743" spans="1:3" x14ac:dyDescent="0.3">
      <c r="A743" t="s">
        <v>278</v>
      </c>
      <c r="C743" t="s">
        <v>27</v>
      </c>
    </row>
    <row r="744" spans="1:3" x14ac:dyDescent="0.3">
      <c r="A744" t="s">
        <v>1974</v>
      </c>
      <c r="B744" t="s">
        <v>797</v>
      </c>
      <c r="C744" t="s">
        <v>1975</v>
      </c>
    </row>
    <row r="745" spans="1:3" x14ac:dyDescent="0.3">
      <c r="A745" t="s">
        <v>1090</v>
      </c>
      <c r="B745" t="s">
        <v>133</v>
      </c>
      <c r="C745" t="s">
        <v>1089</v>
      </c>
    </row>
    <row r="746" spans="1:3" x14ac:dyDescent="0.3">
      <c r="A746" t="s">
        <v>1090</v>
      </c>
      <c r="B746" t="s">
        <v>179</v>
      </c>
      <c r="C746" t="s">
        <v>2002</v>
      </c>
    </row>
    <row r="747" spans="1:3" x14ac:dyDescent="0.3">
      <c r="A747" t="s">
        <v>661</v>
      </c>
      <c r="B747" t="s">
        <v>763</v>
      </c>
      <c r="C747" t="s">
        <v>662</v>
      </c>
    </row>
    <row r="748" spans="1:3" x14ac:dyDescent="0.3">
      <c r="A748" t="s">
        <v>661</v>
      </c>
      <c r="B748" t="s">
        <v>442</v>
      </c>
      <c r="C748" t="s">
        <v>662</v>
      </c>
    </row>
    <row r="749" spans="1:3" x14ac:dyDescent="0.3">
      <c r="A749" t="s">
        <v>661</v>
      </c>
      <c r="B749" t="s">
        <v>133</v>
      </c>
      <c r="C749" t="s">
        <v>1076</v>
      </c>
    </row>
    <row r="750" spans="1:3" x14ac:dyDescent="0.3">
      <c r="A750" t="s">
        <v>661</v>
      </c>
      <c r="B750" t="s">
        <v>133</v>
      </c>
      <c r="C750" t="s">
        <v>1144</v>
      </c>
    </row>
    <row r="751" spans="1:3" x14ac:dyDescent="0.3">
      <c r="A751" t="s">
        <v>661</v>
      </c>
      <c r="B751" t="s">
        <v>179</v>
      </c>
      <c r="C751" t="s">
        <v>221</v>
      </c>
    </row>
    <row r="752" spans="1:3" x14ac:dyDescent="0.3">
      <c r="A752" t="s">
        <v>661</v>
      </c>
      <c r="B752" t="s">
        <v>854</v>
      </c>
      <c r="C752" t="s">
        <v>968</v>
      </c>
    </row>
    <row r="753" spans="1:3" x14ac:dyDescent="0.3">
      <c r="A753" t="s">
        <v>286</v>
      </c>
      <c r="B753" t="s">
        <v>287</v>
      </c>
      <c r="C753" t="s">
        <v>330</v>
      </c>
    </row>
    <row r="754" spans="1:3" x14ac:dyDescent="0.3">
      <c r="A754" t="s">
        <v>286</v>
      </c>
      <c r="B754" t="s">
        <v>287</v>
      </c>
      <c r="C754" t="s">
        <v>207</v>
      </c>
    </row>
    <row r="755" spans="1:3" x14ac:dyDescent="0.3">
      <c r="A755" t="s">
        <v>286</v>
      </c>
      <c r="B755" t="s">
        <v>287</v>
      </c>
      <c r="C755" t="s">
        <v>288</v>
      </c>
    </row>
    <row r="756" spans="1:3" x14ac:dyDescent="0.3">
      <c r="A756" t="s">
        <v>286</v>
      </c>
      <c r="B756" t="s">
        <v>45</v>
      </c>
      <c r="C756" t="s">
        <v>558</v>
      </c>
    </row>
    <row r="757" spans="1:3" x14ac:dyDescent="0.3">
      <c r="A757" t="s">
        <v>286</v>
      </c>
      <c r="B757" t="s">
        <v>45</v>
      </c>
      <c r="C757" t="s">
        <v>701</v>
      </c>
    </row>
    <row r="758" spans="1:3" x14ac:dyDescent="0.3">
      <c r="A758" t="s">
        <v>286</v>
      </c>
      <c r="B758" t="s">
        <v>45</v>
      </c>
      <c r="C758" t="s">
        <v>671</v>
      </c>
    </row>
    <row r="759" spans="1:3" x14ac:dyDescent="0.3">
      <c r="A759" t="s">
        <v>286</v>
      </c>
      <c r="B759" t="s">
        <v>45</v>
      </c>
      <c r="C759" t="s">
        <v>61</v>
      </c>
    </row>
    <row r="760" spans="1:3" x14ac:dyDescent="0.3">
      <c r="A760" t="s">
        <v>286</v>
      </c>
      <c r="C760" t="s">
        <v>27</v>
      </c>
    </row>
    <row r="761" spans="1:3" x14ac:dyDescent="0.3">
      <c r="A761" t="s">
        <v>286</v>
      </c>
      <c r="C761" t="s">
        <v>183</v>
      </c>
    </row>
    <row r="762" spans="1:3" x14ac:dyDescent="0.3">
      <c r="A762" t="s">
        <v>286</v>
      </c>
      <c r="C762" t="s">
        <v>310</v>
      </c>
    </row>
    <row r="763" spans="1:3" x14ac:dyDescent="0.3">
      <c r="A763" t="s">
        <v>1535</v>
      </c>
      <c r="B763" t="s">
        <v>444</v>
      </c>
      <c r="C763" t="s">
        <v>176</v>
      </c>
    </row>
    <row r="764" spans="1:3" x14ac:dyDescent="0.3">
      <c r="A764" t="s">
        <v>1535</v>
      </c>
      <c r="B764" t="s">
        <v>45</v>
      </c>
      <c r="C764" t="s">
        <v>1089</v>
      </c>
    </row>
    <row r="765" spans="1:3" x14ac:dyDescent="0.3">
      <c r="A765" t="s">
        <v>1313</v>
      </c>
      <c r="B765" t="s">
        <v>512</v>
      </c>
      <c r="C765" t="s">
        <v>1314</v>
      </c>
    </row>
    <row r="766" spans="1:3" x14ac:dyDescent="0.3">
      <c r="A766" t="s">
        <v>1968</v>
      </c>
      <c r="B766" t="s">
        <v>138</v>
      </c>
      <c r="C766" t="s">
        <v>1148</v>
      </c>
    </row>
    <row r="767" spans="1:3" x14ac:dyDescent="0.3">
      <c r="A767" t="s">
        <v>1701</v>
      </c>
      <c r="B767" t="s">
        <v>563</v>
      </c>
      <c r="C767" t="s">
        <v>1660</v>
      </c>
    </row>
    <row r="768" spans="1:3" x14ac:dyDescent="0.3">
      <c r="A768" t="s">
        <v>1701</v>
      </c>
    </row>
    <row r="769" spans="1:3" x14ac:dyDescent="0.3">
      <c r="A769" t="s">
        <v>404</v>
      </c>
      <c r="C769" t="s">
        <v>405</v>
      </c>
    </row>
    <row r="770" spans="1:3" x14ac:dyDescent="0.3">
      <c r="A770" t="s">
        <v>674</v>
      </c>
      <c r="B770" t="s">
        <v>106</v>
      </c>
      <c r="C770" t="s">
        <v>950</v>
      </c>
    </row>
    <row r="771" spans="1:3" x14ac:dyDescent="0.3">
      <c r="A771" t="s">
        <v>674</v>
      </c>
      <c r="B771" t="s">
        <v>106</v>
      </c>
      <c r="C771" t="s">
        <v>889</v>
      </c>
    </row>
    <row r="772" spans="1:3" x14ac:dyDescent="0.3">
      <c r="A772" t="s">
        <v>674</v>
      </c>
      <c r="B772" t="s">
        <v>106</v>
      </c>
      <c r="C772" t="s">
        <v>1091</v>
      </c>
    </row>
    <row r="773" spans="1:3" x14ac:dyDescent="0.3">
      <c r="A773" t="s">
        <v>674</v>
      </c>
      <c r="B773" t="s">
        <v>362</v>
      </c>
      <c r="C773" t="s">
        <v>537</v>
      </c>
    </row>
    <row r="774" spans="1:3" x14ac:dyDescent="0.3">
      <c r="A774" t="s">
        <v>674</v>
      </c>
      <c r="B774" t="s">
        <v>675</v>
      </c>
      <c r="C774" t="s">
        <v>134</v>
      </c>
    </row>
    <row r="775" spans="1:3" x14ac:dyDescent="0.3">
      <c r="A775" t="s">
        <v>674</v>
      </c>
      <c r="B775" t="s">
        <v>675</v>
      </c>
      <c r="C775" t="s">
        <v>2110</v>
      </c>
    </row>
    <row r="776" spans="1:3" x14ac:dyDescent="0.3">
      <c r="A776" t="s">
        <v>375</v>
      </c>
      <c r="B776" t="s">
        <v>32</v>
      </c>
      <c r="C776" t="s">
        <v>215</v>
      </c>
    </row>
    <row r="777" spans="1:3" x14ac:dyDescent="0.3">
      <c r="A777" t="s">
        <v>375</v>
      </c>
      <c r="B777" t="s">
        <v>32</v>
      </c>
      <c r="C777" t="s">
        <v>1006</v>
      </c>
    </row>
    <row r="778" spans="1:3" x14ac:dyDescent="0.3">
      <c r="A778" t="s">
        <v>375</v>
      </c>
      <c r="B778" t="s">
        <v>133</v>
      </c>
      <c r="C778" t="s">
        <v>98</v>
      </c>
    </row>
    <row r="779" spans="1:3" x14ac:dyDescent="0.3">
      <c r="A779" t="s">
        <v>375</v>
      </c>
      <c r="B779" t="s">
        <v>75</v>
      </c>
      <c r="C779" t="s">
        <v>376</v>
      </c>
    </row>
    <row r="780" spans="1:3" x14ac:dyDescent="0.3">
      <c r="A780" t="s">
        <v>375</v>
      </c>
      <c r="B780" t="s">
        <v>75</v>
      </c>
      <c r="C780" t="s">
        <v>207</v>
      </c>
    </row>
    <row r="781" spans="1:3" x14ac:dyDescent="0.3">
      <c r="A781" t="s">
        <v>375</v>
      </c>
      <c r="B781" t="s">
        <v>75</v>
      </c>
      <c r="C781" t="s">
        <v>525</v>
      </c>
    </row>
    <row r="782" spans="1:3" x14ac:dyDescent="0.3">
      <c r="A782" t="s">
        <v>375</v>
      </c>
      <c r="B782" t="s">
        <v>75</v>
      </c>
      <c r="C782" t="s">
        <v>816</v>
      </c>
    </row>
    <row r="783" spans="1:3" x14ac:dyDescent="0.3">
      <c r="A783" t="s">
        <v>375</v>
      </c>
      <c r="B783" t="s">
        <v>75</v>
      </c>
      <c r="C783" t="s">
        <v>525</v>
      </c>
    </row>
    <row r="784" spans="1:3" x14ac:dyDescent="0.3">
      <c r="A784" t="s">
        <v>375</v>
      </c>
      <c r="B784" t="s">
        <v>75</v>
      </c>
      <c r="C784" t="s">
        <v>525</v>
      </c>
    </row>
    <row r="785" spans="1:3" x14ac:dyDescent="0.3">
      <c r="A785" t="s">
        <v>375</v>
      </c>
      <c r="B785" t="s">
        <v>75</v>
      </c>
      <c r="C785" t="s">
        <v>1005</v>
      </c>
    </row>
    <row r="786" spans="1:3" x14ac:dyDescent="0.3">
      <c r="A786" t="s">
        <v>602</v>
      </c>
      <c r="B786" t="s">
        <v>179</v>
      </c>
    </row>
    <row r="787" spans="1:3" x14ac:dyDescent="0.3">
      <c r="A787" t="s">
        <v>328</v>
      </c>
      <c r="B787" t="s">
        <v>148</v>
      </c>
      <c r="C787" t="s">
        <v>946</v>
      </c>
    </row>
    <row r="788" spans="1:3" x14ac:dyDescent="0.3">
      <c r="A788" t="s">
        <v>328</v>
      </c>
      <c r="B788" t="s">
        <v>487</v>
      </c>
      <c r="C788" t="s">
        <v>592</v>
      </c>
    </row>
    <row r="789" spans="1:3" x14ac:dyDescent="0.3">
      <c r="A789" t="s">
        <v>328</v>
      </c>
      <c r="B789" t="s">
        <v>487</v>
      </c>
      <c r="C789" t="s">
        <v>1084</v>
      </c>
    </row>
    <row r="790" spans="1:3" x14ac:dyDescent="0.3">
      <c r="A790" t="s">
        <v>328</v>
      </c>
      <c r="B790" t="s">
        <v>487</v>
      </c>
      <c r="C790" t="s">
        <v>1049</v>
      </c>
    </row>
    <row r="791" spans="1:3" x14ac:dyDescent="0.3">
      <c r="A791" t="s">
        <v>328</v>
      </c>
      <c r="B791" t="s">
        <v>329</v>
      </c>
    </row>
    <row r="792" spans="1:3" x14ac:dyDescent="0.3">
      <c r="A792" t="s">
        <v>328</v>
      </c>
      <c r="B792" t="s">
        <v>791</v>
      </c>
      <c r="C792" t="s">
        <v>145</v>
      </c>
    </row>
    <row r="793" spans="1:3" x14ac:dyDescent="0.3">
      <c r="A793" t="s">
        <v>328</v>
      </c>
      <c r="C793" t="s">
        <v>593</v>
      </c>
    </row>
    <row r="794" spans="1:3" x14ac:dyDescent="0.3">
      <c r="A794" t="s">
        <v>350</v>
      </c>
      <c r="B794" t="s">
        <v>1000</v>
      </c>
      <c r="C794" t="s">
        <v>1001</v>
      </c>
    </row>
    <row r="795" spans="1:3" x14ac:dyDescent="0.3">
      <c r="A795" t="s">
        <v>350</v>
      </c>
      <c r="B795" t="s">
        <v>351</v>
      </c>
      <c r="C795" t="s">
        <v>145</v>
      </c>
    </row>
    <row r="796" spans="1:3" x14ac:dyDescent="0.3">
      <c r="A796" t="s">
        <v>350</v>
      </c>
      <c r="B796" t="s">
        <v>351</v>
      </c>
      <c r="C796" t="s">
        <v>383</v>
      </c>
    </row>
    <row r="797" spans="1:3" x14ac:dyDescent="0.3">
      <c r="A797" t="s">
        <v>350</v>
      </c>
      <c r="B797" t="s">
        <v>351</v>
      </c>
      <c r="C797" t="s">
        <v>372</v>
      </c>
    </row>
    <row r="798" spans="1:3" x14ac:dyDescent="0.3">
      <c r="A798" t="s">
        <v>350</v>
      </c>
      <c r="B798" t="s">
        <v>351</v>
      </c>
      <c r="C798" t="s">
        <v>352</v>
      </c>
    </row>
    <row r="799" spans="1:3" x14ac:dyDescent="0.3">
      <c r="A799" t="s">
        <v>141</v>
      </c>
      <c r="B799" t="s">
        <v>63</v>
      </c>
      <c r="C799" t="s">
        <v>926</v>
      </c>
    </row>
    <row r="800" spans="1:3" x14ac:dyDescent="0.3">
      <c r="A800" t="s">
        <v>141</v>
      </c>
      <c r="B800" t="s">
        <v>63</v>
      </c>
      <c r="C800" t="s">
        <v>270</v>
      </c>
    </row>
    <row r="801" spans="1:3" x14ac:dyDescent="0.3">
      <c r="A801" t="s">
        <v>141</v>
      </c>
      <c r="B801" t="s">
        <v>133</v>
      </c>
      <c r="C801" t="s">
        <v>142</v>
      </c>
    </row>
    <row r="802" spans="1:3" x14ac:dyDescent="0.3">
      <c r="A802" t="s">
        <v>141</v>
      </c>
      <c r="B802" t="s">
        <v>133</v>
      </c>
      <c r="C802" t="s">
        <v>598</v>
      </c>
    </row>
    <row r="803" spans="1:3" x14ac:dyDescent="0.3">
      <c r="A803" t="s">
        <v>1324</v>
      </c>
      <c r="B803" t="s">
        <v>440</v>
      </c>
      <c r="C803" t="s">
        <v>1325</v>
      </c>
    </row>
    <row r="804" spans="1:3" x14ac:dyDescent="0.3">
      <c r="A804" t="s">
        <v>1324</v>
      </c>
      <c r="B804" t="s">
        <v>1326</v>
      </c>
      <c r="C804" t="s">
        <v>2084</v>
      </c>
    </row>
    <row r="805" spans="1:3" x14ac:dyDescent="0.3">
      <c r="A805" t="s">
        <v>1324</v>
      </c>
      <c r="B805" t="s">
        <v>1358</v>
      </c>
    </row>
    <row r="806" spans="1:3" x14ac:dyDescent="0.3">
      <c r="A806" t="s">
        <v>1324</v>
      </c>
      <c r="B806" t="s">
        <v>1358</v>
      </c>
      <c r="C806" t="s">
        <v>1451</v>
      </c>
    </row>
    <row r="807" spans="1:3" x14ac:dyDescent="0.3">
      <c r="A807" t="s">
        <v>1324</v>
      </c>
      <c r="C807" t="s">
        <v>952</v>
      </c>
    </row>
    <row r="808" spans="1:3" x14ac:dyDescent="0.3">
      <c r="A808" t="s">
        <v>2046</v>
      </c>
      <c r="B808" t="s">
        <v>588</v>
      </c>
      <c r="C808" t="s">
        <v>315</v>
      </c>
    </row>
    <row r="809" spans="1:3" x14ac:dyDescent="0.3">
      <c r="A809" t="s">
        <v>1117</v>
      </c>
      <c r="B809" t="s">
        <v>32</v>
      </c>
      <c r="C809" t="s">
        <v>1982</v>
      </c>
    </row>
    <row r="810" spans="1:3" x14ac:dyDescent="0.3">
      <c r="A810" t="s">
        <v>1117</v>
      </c>
      <c r="B810" t="s">
        <v>32</v>
      </c>
      <c r="C810" t="s">
        <v>215</v>
      </c>
    </row>
    <row r="811" spans="1:3" x14ac:dyDescent="0.3">
      <c r="A811" t="s">
        <v>1117</v>
      </c>
      <c r="B811" t="s">
        <v>45</v>
      </c>
      <c r="C811" t="s">
        <v>589</v>
      </c>
    </row>
    <row r="812" spans="1:3" x14ac:dyDescent="0.3">
      <c r="A812" t="s">
        <v>1117</v>
      </c>
      <c r="B812" t="s">
        <v>45</v>
      </c>
      <c r="C812" t="s">
        <v>1436</v>
      </c>
    </row>
    <row r="813" spans="1:3" x14ac:dyDescent="0.3">
      <c r="A813" t="s">
        <v>1117</v>
      </c>
      <c r="B813" t="s">
        <v>1118</v>
      </c>
      <c r="C813" t="s">
        <v>1119</v>
      </c>
    </row>
    <row r="814" spans="1:3" x14ac:dyDescent="0.3">
      <c r="A814" t="s">
        <v>1117</v>
      </c>
      <c r="B814" t="s">
        <v>1118</v>
      </c>
      <c r="C814" t="s">
        <v>146</v>
      </c>
    </row>
    <row r="815" spans="1:3" x14ac:dyDescent="0.3">
      <c r="A815" t="s">
        <v>1117</v>
      </c>
      <c r="B815" t="s">
        <v>1474</v>
      </c>
      <c r="C815" t="s">
        <v>755</v>
      </c>
    </row>
    <row r="816" spans="1:3" x14ac:dyDescent="0.3">
      <c r="A816" t="s">
        <v>1117</v>
      </c>
      <c r="B816" t="s">
        <v>1384</v>
      </c>
      <c r="C816" t="s">
        <v>415</v>
      </c>
    </row>
    <row r="817" spans="1:3" x14ac:dyDescent="0.3">
      <c r="A817" t="s">
        <v>1117</v>
      </c>
      <c r="B817" t="s">
        <v>1177</v>
      </c>
      <c r="C817" t="s">
        <v>1178</v>
      </c>
    </row>
    <row r="818" spans="1:3" x14ac:dyDescent="0.3">
      <c r="A818" t="s">
        <v>1117</v>
      </c>
      <c r="B818" t="s">
        <v>1177</v>
      </c>
      <c r="C818" t="s">
        <v>1072</v>
      </c>
    </row>
    <row r="819" spans="1:3" x14ac:dyDescent="0.3">
      <c r="A819" t="s">
        <v>1117</v>
      </c>
      <c r="B819" t="s">
        <v>1455</v>
      </c>
      <c r="C819" t="s">
        <v>615</v>
      </c>
    </row>
    <row r="820" spans="1:3" x14ac:dyDescent="0.3">
      <c r="A820" t="s">
        <v>1041</v>
      </c>
      <c r="B820" t="s">
        <v>1042</v>
      </c>
      <c r="C820" t="s">
        <v>1043</v>
      </c>
    </row>
    <row r="821" spans="1:3" x14ac:dyDescent="0.3">
      <c r="A821" t="s">
        <v>1971</v>
      </c>
      <c r="B821" t="s">
        <v>544</v>
      </c>
      <c r="C821" t="s">
        <v>85</v>
      </c>
    </row>
    <row r="822" spans="1:3" x14ac:dyDescent="0.3">
      <c r="A822" t="s">
        <v>439</v>
      </c>
      <c r="B822" t="s">
        <v>440</v>
      </c>
      <c r="C822" t="s">
        <v>98</v>
      </c>
    </row>
    <row r="823" spans="1:3" x14ac:dyDescent="0.3">
      <c r="A823" t="s">
        <v>439</v>
      </c>
      <c r="B823" t="s">
        <v>440</v>
      </c>
      <c r="C823" t="s">
        <v>134</v>
      </c>
    </row>
    <row r="824" spans="1:3" x14ac:dyDescent="0.3">
      <c r="A824" t="s">
        <v>439</v>
      </c>
      <c r="B824" t="s">
        <v>133</v>
      </c>
      <c r="C824" t="s">
        <v>880</v>
      </c>
    </row>
    <row r="825" spans="1:3" x14ac:dyDescent="0.3">
      <c r="A825" t="s">
        <v>439</v>
      </c>
      <c r="B825" t="s">
        <v>133</v>
      </c>
      <c r="C825" t="s">
        <v>770</v>
      </c>
    </row>
    <row r="826" spans="1:3" x14ac:dyDescent="0.3">
      <c r="A826" t="s">
        <v>439</v>
      </c>
      <c r="B826" t="s">
        <v>133</v>
      </c>
      <c r="C826" t="s">
        <v>1089</v>
      </c>
    </row>
    <row r="827" spans="1:3" x14ac:dyDescent="0.3">
      <c r="A827" t="s">
        <v>439</v>
      </c>
      <c r="B827" t="s">
        <v>133</v>
      </c>
      <c r="C827" t="s">
        <v>699</v>
      </c>
    </row>
    <row r="828" spans="1:3" x14ac:dyDescent="0.3">
      <c r="A828" t="s">
        <v>439</v>
      </c>
      <c r="B828" t="s">
        <v>133</v>
      </c>
      <c r="C828" t="s">
        <v>701</v>
      </c>
    </row>
    <row r="829" spans="1:3" x14ac:dyDescent="0.3">
      <c r="A829" t="s">
        <v>439</v>
      </c>
      <c r="B829" t="s">
        <v>718</v>
      </c>
      <c r="C829" t="s">
        <v>121</v>
      </c>
    </row>
    <row r="830" spans="1:3" x14ac:dyDescent="0.3">
      <c r="A830" t="s">
        <v>439</v>
      </c>
      <c r="B830" t="s">
        <v>718</v>
      </c>
      <c r="C830" t="s">
        <v>1134</v>
      </c>
    </row>
    <row r="831" spans="1:3" x14ac:dyDescent="0.3">
      <c r="A831" t="s">
        <v>439</v>
      </c>
      <c r="B831" t="s">
        <v>148</v>
      </c>
      <c r="C831" t="s">
        <v>874</v>
      </c>
    </row>
    <row r="832" spans="1:3" x14ac:dyDescent="0.3">
      <c r="A832" t="s">
        <v>439</v>
      </c>
      <c r="B832" t="s">
        <v>148</v>
      </c>
      <c r="C832" t="s">
        <v>699</v>
      </c>
    </row>
    <row r="833" spans="1:3" x14ac:dyDescent="0.3">
      <c r="A833" t="s">
        <v>439</v>
      </c>
      <c r="B833" t="s">
        <v>148</v>
      </c>
      <c r="C833" t="s">
        <v>857</v>
      </c>
    </row>
    <row r="834" spans="1:3" x14ac:dyDescent="0.3">
      <c r="A834" t="s">
        <v>439</v>
      </c>
      <c r="B834" t="s">
        <v>232</v>
      </c>
      <c r="C834" t="s">
        <v>960</v>
      </c>
    </row>
    <row r="835" spans="1:3" x14ac:dyDescent="0.3">
      <c r="A835" t="s">
        <v>439</v>
      </c>
      <c r="B835" t="s">
        <v>650</v>
      </c>
      <c r="C835" t="s">
        <v>649</v>
      </c>
    </row>
    <row r="836" spans="1:3" x14ac:dyDescent="0.3">
      <c r="A836" t="s">
        <v>439</v>
      </c>
      <c r="C836" t="s">
        <v>27</v>
      </c>
    </row>
    <row r="837" spans="1:3" x14ac:dyDescent="0.3">
      <c r="A837" t="s">
        <v>439</v>
      </c>
      <c r="C837" t="s">
        <v>959</v>
      </c>
    </row>
    <row r="838" spans="1:3" x14ac:dyDescent="0.3">
      <c r="A838" t="s">
        <v>229</v>
      </c>
      <c r="B838" t="s">
        <v>436</v>
      </c>
      <c r="C838" t="s">
        <v>98</v>
      </c>
    </row>
    <row r="839" spans="1:3" x14ac:dyDescent="0.3">
      <c r="A839" t="s">
        <v>229</v>
      </c>
      <c r="C839" t="s">
        <v>230</v>
      </c>
    </row>
    <row r="840" spans="1:3" x14ac:dyDescent="0.3">
      <c r="A840" t="s">
        <v>2147</v>
      </c>
      <c r="B840" t="s">
        <v>252</v>
      </c>
      <c r="C840" t="s">
        <v>1001</v>
      </c>
    </row>
    <row r="841" spans="1:3" x14ac:dyDescent="0.3">
      <c r="A841" t="s">
        <v>88</v>
      </c>
      <c r="C841" t="s">
        <v>89</v>
      </c>
    </row>
    <row r="842" spans="1:3" x14ac:dyDescent="0.3">
      <c r="A842" t="s">
        <v>1471</v>
      </c>
      <c r="B842" t="s">
        <v>1472</v>
      </c>
      <c r="C842" t="s">
        <v>168</v>
      </c>
    </row>
    <row r="843" spans="1:3" x14ac:dyDescent="0.3">
      <c r="A843" t="s">
        <v>1032</v>
      </c>
      <c r="B843" t="s">
        <v>1033</v>
      </c>
      <c r="C843" t="s">
        <v>615</v>
      </c>
    </row>
    <row r="844" spans="1:3" x14ac:dyDescent="0.3">
      <c r="A844" t="s">
        <v>2137</v>
      </c>
      <c r="B844" t="s">
        <v>295</v>
      </c>
      <c r="C844" t="s">
        <v>176</v>
      </c>
    </row>
    <row r="845" spans="1:3" x14ac:dyDescent="0.3">
      <c r="A845" t="s">
        <v>1073</v>
      </c>
      <c r="B845" t="s">
        <v>305</v>
      </c>
      <c r="C845" t="s">
        <v>27</v>
      </c>
    </row>
    <row r="846" spans="1:3" x14ac:dyDescent="0.3">
      <c r="A846" t="s">
        <v>518</v>
      </c>
      <c r="C846" t="s">
        <v>519</v>
      </c>
    </row>
    <row r="847" spans="1:3" x14ac:dyDescent="0.3">
      <c r="A847" t="s">
        <v>2071</v>
      </c>
      <c r="B847" t="s">
        <v>2072</v>
      </c>
      <c r="C847" t="s">
        <v>615</v>
      </c>
    </row>
    <row r="848" spans="1:3" x14ac:dyDescent="0.3">
      <c r="A848" t="s">
        <v>239</v>
      </c>
      <c r="B848" t="s">
        <v>240</v>
      </c>
      <c r="C848" t="s">
        <v>621</v>
      </c>
    </row>
    <row r="849" spans="1:3" x14ac:dyDescent="0.3">
      <c r="A849" t="s">
        <v>239</v>
      </c>
      <c r="B849" t="s">
        <v>240</v>
      </c>
      <c r="C849" t="s">
        <v>241</v>
      </c>
    </row>
    <row r="850" spans="1:3" x14ac:dyDescent="0.3">
      <c r="A850" t="s">
        <v>239</v>
      </c>
      <c r="B850" t="s">
        <v>240</v>
      </c>
      <c r="C850" t="s">
        <v>925</v>
      </c>
    </row>
    <row r="851" spans="1:3" x14ac:dyDescent="0.3">
      <c r="A851" t="s">
        <v>239</v>
      </c>
      <c r="B851" t="s">
        <v>240</v>
      </c>
      <c r="C851" t="s">
        <v>2082</v>
      </c>
    </row>
    <row r="852" spans="1:3" x14ac:dyDescent="0.3">
      <c r="A852" t="s">
        <v>239</v>
      </c>
      <c r="B852" t="s">
        <v>240</v>
      </c>
      <c r="C852" t="s">
        <v>2139</v>
      </c>
    </row>
    <row r="853" spans="1:3" x14ac:dyDescent="0.3">
      <c r="A853" t="s">
        <v>239</v>
      </c>
      <c r="B853" t="s">
        <v>1203</v>
      </c>
      <c r="C853" t="s">
        <v>2027</v>
      </c>
    </row>
    <row r="854" spans="1:3" x14ac:dyDescent="0.3">
      <c r="A854" t="s">
        <v>239</v>
      </c>
      <c r="B854" t="s">
        <v>1203</v>
      </c>
      <c r="C854" t="s">
        <v>1204</v>
      </c>
    </row>
    <row r="855" spans="1:3" x14ac:dyDescent="0.3">
      <c r="A855" t="s">
        <v>239</v>
      </c>
      <c r="B855" t="s">
        <v>930</v>
      </c>
      <c r="C855" t="s">
        <v>931</v>
      </c>
    </row>
    <row r="856" spans="1:3" x14ac:dyDescent="0.3">
      <c r="A856" t="s">
        <v>239</v>
      </c>
      <c r="B856" t="s">
        <v>546</v>
      </c>
      <c r="C856" t="s">
        <v>172</v>
      </c>
    </row>
    <row r="857" spans="1:3" x14ac:dyDescent="0.3">
      <c r="A857" t="s">
        <v>239</v>
      </c>
      <c r="B857" t="s">
        <v>546</v>
      </c>
      <c r="C857" t="s">
        <v>691</v>
      </c>
    </row>
    <row r="858" spans="1:3" x14ac:dyDescent="0.3">
      <c r="A858" t="s">
        <v>239</v>
      </c>
      <c r="B858" t="s">
        <v>546</v>
      </c>
      <c r="C858" t="s">
        <v>1116</v>
      </c>
    </row>
    <row r="859" spans="1:3" x14ac:dyDescent="0.3">
      <c r="A859" t="s">
        <v>239</v>
      </c>
      <c r="B859" t="s">
        <v>546</v>
      </c>
      <c r="C859" t="s">
        <v>1101</v>
      </c>
    </row>
    <row r="860" spans="1:3" x14ac:dyDescent="0.3">
      <c r="A860" t="s">
        <v>239</v>
      </c>
      <c r="B860" t="s">
        <v>546</v>
      </c>
      <c r="C860" t="s">
        <v>1049</v>
      </c>
    </row>
    <row r="861" spans="1:3" x14ac:dyDescent="0.3">
      <c r="A861" t="s">
        <v>239</v>
      </c>
      <c r="B861" t="s">
        <v>546</v>
      </c>
      <c r="C861" t="s">
        <v>58</v>
      </c>
    </row>
    <row r="862" spans="1:3" x14ac:dyDescent="0.3">
      <c r="A862" t="s">
        <v>239</v>
      </c>
      <c r="B862" t="s">
        <v>546</v>
      </c>
      <c r="C862" t="s">
        <v>1404</v>
      </c>
    </row>
    <row r="863" spans="1:3" x14ac:dyDescent="0.3">
      <c r="A863" t="s">
        <v>239</v>
      </c>
      <c r="B863" t="s">
        <v>546</v>
      </c>
      <c r="C863" t="s">
        <v>777</v>
      </c>
    </row>
    <row r="864" spans="1:3" x14ac:dyDescent="0.3">
      <c r="A864" t="s">
        <v>239</v>
      </c>
      <c r="B864" t="s">
        <v>546</v>
      </c>
      <c r="C864" t="s">
        <v>1405</v>
      </c>
    </row>
    <row r="865" spans="1:3" x14ac:dyDescent="0.3">
      <c r="A865" t="s">
        <v>239</v>
      </c>
      <c r="B865" t="s">
        <v>546</v>
      </c>
      <c r="C865" t="s">
        <v>1406</v>
      </c>
    </row>
    <row r="866" spans="1:3" x14ac:dyDescent="0.3">
      <c r="A866" t="s">
        <v>239</v>
      </c>
      <c r="B866" t="s">
        <v>546</v>
      </c>
      <c r="C866" t="s">
        <v>1404</v>
      </c>
    </row>
    <row r="867" spans="1:3" x14ac:dyDescent="0.3">
      <c r="A867" t="s">
        <v>239</v>
      </c>
      <c r="B867" t="s">
        <v>546</v>
      </c>
      <c r="C867" t="s">
        <v>1450</v>
      </c>
    </row>
    <row r="868" spans="1:3" x14ac:dyDescent="0.3">
      <c r="A868" t="s">
        <v>239</v>
      </c>
      <c r="B868" t="s">
        <v>546</v>
      </c>
      <c r="C868" t="s">
        <v>1957</v>
      </c>
    </row>
    <row r="869" spans="1:3" x14ac:dyDescent="0.3">
      <c r="A869" t="s">
        <v>239</v>
      </c>
      <c r="B869" t="s">
        <v>546</v>
      </c>
      <c r="C869" t="s">
        <v>1969</v>
      </c>
    </row>
    <row r="870" spans="1:3" x14ac:dyDescent="0.3">
      <c r="A870" t="s">
        <v>239</v>
      </c>
      <c r="B870" t="s">
        <v>546</v>
      </c>
      <c r="C870" t="s">
        <v>1450</v>
      </c>
    </row>
    <row r="871" spans="1:3" x14ac:dyDescent="0.3">
      <c r="A871" t="s">
        <v>239</v>
      </c>
      <c r="B871" t="s">
        <v>546</v>
      </c>
      <c r="C871" t="s">
        <v>1467</v>
      </c>
    </row>
    <row r="872" spans="1:3" x14ac:dyDescent="0.3">
      <c r="A872" t="s">
        <v>239</v>
      </c>
      <c r="B872" t="s">
        <v>546</v>
      </c>
      <c r="C872" t="s">
        <v>146</v>
      </c>
    </row>
    <row r="873" spans="1:3" x14ac:dyDescent="0.3">
      <c r="A873" t="s">
        <v>239</v>
      </c>
      <c r="B873" t="s">
        <v>546</v>
      </c>
      <c r="C873" t="s">
        <v>2073</v>
      </c>
    </row>
    <row r="874" spans="1:3" x14ac:dyDescent="0.3">
      <c r="A874" t="s">
        <v>239</v>
      </c>
      <c r="B874" t="s">
        <v>546</v>
      </c>
      <c r="C874" t="s">
        <v>1467</v>
      </c>
    </row>
    <row r="875" spans="1:3" x14ac:dyDescent="0.3">
      <c r="A875" t="s">
        <v>368</v>
      </c>
      <c r="B875" t="s">
        <v>369</v>
      </c>
      <c r="C875" t="s">
        <v>255</v>
      </c>
    </row>
    <row r="876" spans="1:3" x14ac:dyDescent="0.3">
      <c r="A876" t="s">
        <v>253</v>
      </c>
      <c r="B876" t="s">
        <v>254</v>
      </c>
      <c r="C876" t="s">
        <v>255</v>
      </c>
    </row>
    <row r="877" spans="1:3" x14ac:dyDescent="0.3">
      <c r="A877" t="s">
        <v>105</v>
      </c>
      <c r="B877" t="s">
        <v>106</v>
      </c>
      <c r="C877" t="s">
        <v>58</v>
      </c>
    </row>
    <row r="878" spans="1:3" x14ac:dyDescent="0.3">
      <c r="A878" t="s">
        <v>105</v>
      </c>
      <c r="B878" t="s">
        <v>526</v>
      </c>
      <c r="C878" t="s">
        <v>98</v>
      </c>
    </row>
    <row r="879" spans="1:3" x14ac:dyDescent="0.3">
      <c r="A879" t="s">
        <v>1268</v>
      </c>
      <c r="B879" t="s">
        <v>540</v>
      </c>
      <c r="C879" t="s">
        <v>1269</v>
      </c>
    </row>
    <row r="880" spans="1:3" x14ac:dyDescent="0.3">
      <c r="A880" t="s">
        <v>1263</v>
      </c>
      <c r="B880" t="s">
        <v>50</v>
      </c>
      <c r="C880" t="s">
        <v>1264</v>
      </c>
    </row>
    <row r="881" spans="1:3" x14ac:dyDescent="0.3">
      <c r="A881" t="s">
        <v>1263</v>
      </c>
      <c r="B881" t="s">
        <v>154</v>
      </c>
      <c r="C881" t="s">
        <v>1010</v>
      </c>
    </row>
    <row r="882" spans="1:3" x14ac:dyDescent="0.3">
      <c r="A882" t="s">
        <v>1263</v>
      </c>
    </row>
    <row r="883" spans="1:3" x14ac:dyDescent="0.3">
      <c r="A883" t="s">
        <v>778</v>
      </c>
      <c r="B883" t="s">
        <v>752</v>
      </c>
      <c r="C883" t="s">
        <v>1001</v>
      </c>
    </row>
    <row r="884" spans="1:3" x14ac:dyDescent="0.3">
      <c r="A884" t="s">
        <v>778</v>
      </c>
      <c r="B884" t="s">
        <v>752</v>
      </c>
      <c r="C884" t="s">
        <v>779</v>
      </c>
    </row>
    <row r="885" spans="1:3" x14ac:dyDescent="0.3">
      <c r="A885" t="s">
        <v>1169</v>
      </c>
      <c r="B885" t="s">
        <v>440</v>
      </c>
      <c r="C885" t="s">
        <v>1170</v>
      </c>
    </row>
    <row r="886" spans="1:3" x14ac:dyDescent="0.3">
      <c r="A886" t="s">
        <v>1169</v>
      </c>
      <c r="B886" t="s">
        <v>440</v>
      </c>
      <c r="C886" t="s">
        <v>503</v>
      </c>
    </row>
    <row r="887" spans="1:3" x14ac:dyDescent="0.3">
      <c r="A887" t="s">
        <v>1169</v>
      </c>
      <c r="B887" t="s">
        <v>440</v>
      </c>
      <c r="C887" t="s">
        <v>423</v>
      </c>
    </row>
    <row r="888" spans="1:3" x14ac:dyDescent="0.3">
      <c r="A888" t="s">
        <v>1169</v>
      </c>
      <c r="B888" t="s">
        <v>568</v>
      </c>
      <c r="C888" t="s">
        <v>145</v>
      </c>
    </row>
    <row r="889" spans="1:3" x14ac:dyDescent="0.3">
      <c r="A889" t="s">
        <v>1169</v>
      </c>
      <c r="B889" t="s">
        <v>227</v>
      </c>
      <c r="C889" t="s">
        <v>1220</v>
      </c>
    </row>
    <row r="890" spans="1:3" x14ac:dyDescent="0.3">
      <c r="A890" t="s">
        <v>1169</v>
      </c>
      <c r="B890" t="s">
        <v>1458</v>
      </c>
      <c r="C890" t="s">
        <v>1459</v>
      </c>
    </row>
    <row r="891" spans="1:3" x14ac:dyDescent="0.3">
      <c r="A891" t="s">
        <v>1169</v>
      </c>
      <c r="B891" t="s">
        <v>2098</v>
      </c>
      <c r="C891" t="s">
        <v>2099</v>
      </c>
    </row>
    <row r="892" spans="1:3" x14ac:dyDescent="0.3">
      <c r="A892" t="s">
        <v>1169</v>
      </c>
      <c r="B892" t="s">
        <v>26</v>
      </c>
      <c r="C892" t="s">
        <v>1341</v>
      </c>
    </row>
    <row r="893" spans="1:3" x14ac:dyDescent="0.3">
      <c r="A893" t="s">
        <v>1169</v>
      </c>
      <c r="B893" t="s">
        <v>512</v>
      </c>
    </row>
    <row r="894" spans="1:3" x14ac:dyDescent="0.3">
      <c r="A894" t="s">
        <v>1169</v>
      </c>
      <c r="B894" t="s">
        <v>1392</v>
      </c>
      <c r="C894" t="s">
        <v>670</v>
      </c>
    </row>
    <row r="895" spans="1:3" x14ac:dyDescent="0.3">
      <c r="A895" t="s">
        <v>2106</v>
      </c>
      <c r="B895" t="s">
        <v>2107</v>
      </c>
      <c r="C895" t="s">
        <v>121</v>
      </c>
    </row>
    <row r="896" spans="1:3" x14ac:dyDescent="0.3">
      <c r="A896" t="s">
        <v>509</v>
      </c>
      <c r="B896" t="s">
        <v>440</v>
      </c>
      <c r="C896" t="s">
        <v>1979</v>
      </c>
    </row>
    <row r="897" spans="1:3" x14ac:dyDescent="0.3">
      <c r="A897" t="s">
        <v>509</v>
      </c>
      <c r="B897" t="s">
        <v>440</v>
      </c>
      <c r="C897" t="s">
        <v>510</v>
      </c>
    </row>
    <row r="898" spans="1:3" x14ac:dyDescent="0.3">
      <c r="A898" t="s">
        <v>2057</v>
      </c>
      <c r="B898" t="s">
        <v>2058</v>
      </c>
      <c r="C898" t="s">
        <v>2059</v>
      </c>
    </row>
    <row r="899" spans="1:3" x14ac:dyDescent="0.3">
      <c r="A899" t="s">
        <v>225</v>
      </c>
      <c r="B899" t="s">
        <v>348</v>
      </c>
      <c r="C899" t="s">
        <v>374</v>
      </c>
    </row>
    <row r="900" spans="1:3" x14ac:dyDescent="0.3">
      <c r="A900" t="s">
        <v>225</v>
      </c>
      <c r="B900" t="s">
        <v>348</v>
      </c>
      <c r="C900" t="s">
        <v>349</v>
      </c>
    </row>
    <row r="901" spans="1:3" x14ac:dyDescent="0.3">
      <c r="A901" t="s">
        <v>225</v>
      </c>
      <c r="B901" t="s">
        <v>348</v>
      </c>
      <c r="C901" t="s">
        <v>760</v>
      </c>
    </row>
    <row r="902" spans="1:3" x14ac:dyDescent="0.3">
      <c r="A902" t="s">
        <v>225</v>
      </c>
      <c r="B902" t="s">
        <v>32</v>
      </c>
      <c r="C902" t="s">
        <v>485</v>
      </c>
    </row>
    <row r="903" spans="1:3" x14ac:dyDescent="0.3">
      <c r="A903" t="s">
        <v>225</v>
      </c>
      <c r="B903" t="s">
        <v>226</v>
      </c>
      <c r="C903" t="s">
        <v>121</v>
      </c>
    </row>
    <row r="904" spans="1:3" x14ac:dyDescent="0.3">
      <c r="A904" t="s">
        <v>225</v>
      </c>
      <c r="B904" t="s">
        <v>226</v>
      </c>
      <c r="C904" t="s">
        <v>186</v>
      </c>
    </row>
    <row r="905" spans="1:3" x14ac:dyDescent="0.3">
      <c r="A905" t="s">
        <v>225</v>
      </c>
      <c r="C905" t="s">
        <v>918</v>
      </c>
    </row>
    <row r="906" spans="1:3" x14ac:dyDescent="0.3">
      <c r="A906" t="s">
        <v>225</v>
      </c>
      <c r="C906" t="s">
        <v>934</v>
      </c>
    </row>
    <row r="907" spans="1:3" x14ac:dyDescent="0.3">
      <c r="A907" t="s">
        <v>225</v>
      </c>
      <c r="C907" t="s">
        <v>969</v>
      </c>
    </row>
    <row r="908" spans="1:3" x14ac:dyDescent="0.3">
      <c r="A908" t="s">
        <v>225</v>
      </c>
      <c r="C908" t="s">
        <v>554</v>
      </c>
    </row>
    <row r="909" spans="1:3" x14ac:dyDescent="0.3">
      <c r="A909" t="s">
        <v>251</v>
      </c>
      <c r="B909" t="s">
        <v>32</v>
      </c>
      <c r="C909" t="s">
        <v>1096</v>
      </c>
    </row>
    <row r="910" spans="1:3" x14ac:dyDescent="0.3">
      <c r="A910" t="s">
        <v>251</v>
      </c>
      <c r="B910" t="s">
        <v>1429</v>
      </c>
      <c r="C910" t="s">
        <v>2070</v>
      </c>
    </row>
    <row r="911" spans="1:3" x14ac:dyDescent="0.3">
      <c r="A911" t="s">
        <v>251</v>
      </c>
      <c r="B911" t="s">
        <v>665</v>
      </c>
      <c r="C911" t="s">
        <v>480</v>
      </c>
    </row>
    <row r="912" spans="1:3" x14ac:dyDescent="0.3">
      <c r="A912" t="s">
        <v>251</v>
      </c>
      <c r="B912" t="s">
        <v>252</v>
      </c>
      <c r="C912" t="s">
        <v>207</v>
      </c>
    </row>
    <row r="913" spans="1:3" x14ac:dyDescent="0.3">
      <c r="A913" t="s">
        <v>251</v>
      </c>
      <c r="C913" t="s">
        <v>575</v>
      </c>
    </row>
    <row r="914" spans="1:3" x14ac:dyDescent="0.3">
      <c r="A914" t="s">
        <v>1460</v>
      </c>
      <c r="C914" t="s">
        <v>1461</v>
      </c>
    </row>
    <row r="915" spans="1:3" x14ac:dyDescent="0.3">
      <c r="A915" t="s">
        <v>28</v>
      </c>
      <c r="B915" t="s">
        <v>29</v>
      </c>
      <c r="C915" t="s">
        <v>30</v>
      </c>
    </row>
    <row r="916" spans="1:3" x14ac:dyDescent="0.3">
      <c r="A916" t="s">
        <v>1414</v>
      </c>
      <c r="B916" t="s">
        <v>305</v>
      </c>
      <c r="C916" t="s">
        <v>1415</v>
      </c>
    </row>
    <row r="917" spans="1:3" x14ac:dyDescent="0.3">
      <c r="A917" t="s">
        <v>1029</v>
      </c>
      <c r="B917" t="s">
        <v>179</v>
      </c>
      <c r="C917" t="s">
        <v>153</v>
      </c>
    </row>
    <row r="918" spans="1:3" x14ac:dyDescent="0.3">
      <c r="A918" t="s">
        <v>291</v>
      </c>
      <c r="B918" t="s">
        <v>32</v>
      </c>
      <c r="C918" t="s">
        <v>289</v>
      </c>
    </row>
    <row r="919" spans="1:3" x14ac:dyDescent="0.3">
      <c r="A919" t="s">
        <v>291</v>
      </c>
      <c r="B919" t="s">
        <v>629</v>
      </c>
      <c r="C919" t="s">
        <v>121</v>
      </c>
    </row>
    <row r="920" spans="1:3" x14ac:dyDescent="0.3">
      <c r="A920" t="s">
        <v>291</v>
      </c>
      <c r="B920" t="s">
        <v>738</v>
      </c>
    </row>
    <row r="921" spans="1:3" x14ac:dyDescent="0.3">
      <c r="A921" t="s">
        <v>935</v>
      </c>
      <c r="B921" t="s">
        <v>1013</v>
      </c>
      <c r="C921" t="s">
        <v>1014</v>
      </c>
    </row>
    <row r="922" spans="1:3" x14ac:dyDescent="0.3">
      <c r="A922" t="s">
        <v>935</v>
      </c>
      <c r="C922" t="s">
        <v>936</v>
      </c>
    </row>
    <row r="923" spans="1:3" x14ac:dyDescent="0.3">
      <c r="A923" t="s">
        <v>460</v>
      </c>
      <c r="B923" t="s">
        <v>232</v>
      </c>
      <c r="C923" t="s">
        <v>960</v>
      </c>
    </row>
    <row r="924" spans="1:3" x14ac:dyDescent="0.3">
      <c r="A924" t="s">
        <v>460</v>
      </c>
      <c r="B924" t="s">
        <v>461</v>
      </c>
      <c r="C924" t="s">
        <v>462</v>
      </c>
    </row>
    <row r="925" spans="1:3" x14ac:dyDescent="0.3">
      <c r="A925" t="s">
        <v>460</v>
      </c>
      <c r="B925" t="s">
        <v>461</v>
      </c>
      <c r="C925" t="s">
        <v>641</v>
      </c>
    </row>
    <row r="926" spans="1:3" x14ac:dyDescent="0.3">
      <c r="A926" t="s">
        <v>303</v>
      </c>
      <c r="B926" t="s">
        <v>305</v>
      </c>
    </row>
    <row r="927" spans="1:3" x14ac:dyDescent="0.3">
      <c r="A927" t="s">
        <v>303</v>
      </c>
      <c r="B927" t="s">
        <v>304</v>
      </c>
      <c r="C927" t="s">
        <v>218</v>
      </c>
    </row>
    <row r="928" spans="1:3" x14ac:dyDescent="0.3">
      <c r="A928" t="s">
        <v>490</v>
      </c>
      <c r="B928" t="s">
        <v>217</v>
      </c>
      <c r="C928" t="s">
        <v>493</v>
      </c>
    </row>
    <row r="929" spans="1:3" x14ac:dyDescent="0.3">
      <c r="A929" t="s">
        <v>490</v>
      </c>
      <c r="B929" t="s">
        <v>217</v>
      </c>
      <c r="C929" t="s">
        <v>492</v>
      </c>
    </row>
    <row r="930" spans="1:3" x14ac:dyDescent="0.3">
      <c r="A930" t="s">
        <v>490</v>
      </c>
      <c r="B930" t="s">
        <v>217</v>
      </c>
      <c r="C930" t="s">
        <v>491</v>
      </c>
    </row>
    <row r="931" spans="1:3" x14ac:dyDescent="0.3">
      <c r="A931" t="s">
        <v>1302</v>
      </c>
      <c r="B931" t="s">
        <v>217</v>
      </c>
      <c r="C931" t="s">
        <v>1303</v>
      </c>
    </row>
    <row r="932" spans="1:3" x14ac:dyDescent="0.3">
      <c r="A932" t="s">
        <v>1302</v>
      </c>
      <c r="B932" t="s">
        <v>217</v>
      </c>
      <c r="C932" t="s">
        <v>1457</v>
      </c>
    </row>
    <row r="933" spans="1:3" x14ac:dyDescent="0.3">
      <c r="A933" t="s">
        <v>1395</v>
      </c>
      <c r="B933" t="s">
        <v>1396</v>
      </c>
      <c r="C933" t="s">
        <v>1397</v>
      </c>
    </row>
    <row r="934" spans="1:3" x14ac:dyDescent="0.3">
      <c r="A934" t="s">
        <v>1137</v>
      </c>
      <c r="B934" t="s">
        <v>797</v>
      </c>
      <c r="C934" t="s">
        <v>549</v>
      </c>
    </row>
    <row r="935" spans="1:3" x14ac:dyDescent="0.3">
      <c r="A935" t="s">
        <v>387</v>
      </c>
      <c r="B935" t="s">
        <v>388</v>
      </c>
      <c r="C935" t="s">
        <v>121</v>
      </c>
    </row>
    <row r="936" spans="1:3" x14ac:dyDescent="0.3">
      <c r="A936" t="s">
        <v>387</v>
      </c>
      <c r="B936" t="s">
        <v>388</v>
      </c>
      <c r="C936" t="s">
        <v>121</v>
      </c>
    </row>
    <row r="937" spans="1:3" x14ac:dyDescent="0.3">
      <c r="A937" t="s">
        <v>811</v>
      </c>
      <c r="B937" t="s">
        <v>812</v>
      </c>
      <c r="C937" t="s">
        <v>121</v>
      </c>
    </row>
    <row r="938" spans="1:3" x14ac:dyDescent="0.3">
      <c r="A938" t="s">
        <v>457</v>
      </c>
      <c r="B938" t="s">
        <v>458</v>
      </c>
      <c r="C938" t="s">
        <v>459</v>
      </c>
    </row>
    <row r="939" spans="1:3" x14ac:dyDescent="0.3">
      <c r="A939" t="s">
        <v>457</v>
      </c>
      <c r="B939" t="s">
        <v>599</v>
      </c>
      <c r="C939" t="s">
        <v>121</v>
      </c>
    </row>
    <row r="940" spans="1:3" x14ac:dyDescent="0.3">
      <c r="A940" t="s">
        <v>457</v>
      </c>
      <c r="C940" t="s">
        <v>27</v>
      </c>
    </row>
    <row r="941" spans="1:3" x14ac:dyDescent="0.3">
      <c r="A941" t="s">
        <v>59</v>
      </c>
      <c r="B941" t="s">
        <v>60</v>
      </c>
      <c r="C941" t="s">
        <v>61</v>
      </c>
    </row>
    <row r="942" spans="1:3" x14ac:dyDescent="0.3">
      <c r="A942" t="s">
        <v>59</v>
      </c>
      <c r="B942" t="s">
        <v>77</v>
      </c>
      <c r="C942" t="s">
        <v>78</v>
      </c>
    </row>
    <row r="943" spans="1:3" x14ac:dyDescent="0.3">
      <c r="A943" t="s">
        <v>1270</v>
      </c>
      <c r="B943" t="s">
        <v>1228</v>
      </c>
      <c r="C943" t="s">
        <v>1271</v>
      </c>
    </row>
    <row r="944" spans="1:3" x14ac:dyDescent="0.3">
      <c r="A944" t="s">
        <v>681</v>
      </c>
      <c r="B944" t="s">
        <v>45</v>
      </c>
      <c r="C944" t="s">
        <v>801</v>
      </c>
    </row>
    <row r="945" spans="1:3" x14ac:dyDescent="0.3">
      <c r="A945" t="s">
        <v>681</v>
      </c>
      <c r="B945" t="s">
        <v>45</v>
      </c>
      <c r="C945" t="s">
        <v>64</v>
      </c>
    </row>
    <row r="946" spans="1:3" x14ac:dyDescent="0.3">
      <c r="A946" t="s">
        <v>44</v>
      </c>
      <c r="B946" t="s">
        <v>32</v>
      </c>
      <c r="C946" t="s">
        <v>2047</v>
      </c>
    </row>
    <row r="947" spans="1:3" x14ac:dyDescent="0.3">
      <c r="A947" t="s">
        <v>44</v>
      </c>
      <c r="B947" t="s">
        <v>45</v>
      </c>
      <c r="C947" t="s">
        <v>46</v>
      </c>
    </row>
    <row r="948" spans="1:3" x14ac:dyDescent="0.3">
      <c r="A948" t="s">
        <v>543</v>
      </c>
      <c r="B948" t="s">
        <v>544</v>
      </c>
      <c r="C948" t="s">
        <v>545</v>
      </c>
    </row>
    <row r="949" spans="1:3" x14ac:dyDescent="0.3">
      <c r="A949" t="s">
        <v>543</v>
      </c>
      <c r="B949" t="s">
        <v>544</v>
      </c>
      <c r="C949" t="s">
        <v>403</v>
      </c>
    </row>
    <row r="950" spans="1:3" x14ac:dyDescent="0.3">
      <c r="A950" t="s">
        <v>271</v>
      </c>
      <c r="B950" t="s">
        <v>915</v>
      </c>
      <c r="C950" t="s">
        <v>992</v>
      </c>
    </row>
    <row r="951" spans="1:3" x14ac:dyDescent="0.3">
      <c r="A951" t="s">
        <v>271</v>
      </c>
      <c r="B951" t="s">
        <v>915</v>
      </c>
      <c r="C951" t="s">
        <v>640</v>
      </c>
    </row>
    <row r="952" spans="1:3" x14ac:dyDescent="0.3">
      <c r="A952" t="s">
        <v>271</v>
      </c>
      <c r="B952" t="s">
        <v>272</v>
      </c>
      <c r="C952" t="s">
        <v>273</v>
      </c>
    </row>
    <row r="953" spans="1:3" x14ac:dyDescent="0.3">
      <c r="A953" t="s">
        <v>271</v>
      </c>
      <c r="B953" t="s">
        <v>272</v>
      </c>
      <c r="C953" t="s">
        <v>2025</v>
      </c>
    </row>
    <row r="954" spans="1:3" x14ac:dyDescent="0.3">
      <c r="A954" t="s">
        <v>666</v>
      </c>
      <c r="C954" t="s">
        <v>667</v>
      </c>
    </row>
    <row r="955" spans="1:3" x14ac:dyDescent="0.3">
      <c r="A955" t="s">
        <v>511</v>
      </c>
      <c r="B955" t="s">
        <v>106</v>
      </c>
      <c r="C955" t="s">
        <v>1221</v>
      </c>
    </row>
    <row r="956" spans="1:3" x14ac:dyDescent="0.3">
      <c r="A956" t="s">
        <v>511</v>
      </c>
      <c r="B956" t="s">
        <v>106</v>
      </c>
      <c r="C956" t="s">
        <v>640</v>
      </c>
    </row>
    <row r="957" spans="1:3" x14ac:dyDescent="0.3">
      <c r="A957" t="s">
        <v>511</v>
      </c>
      <c r="B957" t="s">
        <v>2119</v>
      </c>
      <c r="C957" t="s">
        <v>958</v>
      </c>
    </row>
    <row r="958" spans="1:3" x14ac:dyDescent="0.3">
      <c r="A958" t="s">
        <v>511</v>
      </c>
      <c r="B958" t="s">
        <v>512</v>
      </c>
      <c r="C958" t="s">
        <v>513</v>
      </c>
    </row>
    <row r="959" spans="1:3" x14ac:dyDescent="0.3">
      <c r="A959" t="s">
        <v>511</v>
      </c>
      <c r="B959" t="s">
        <v>528</v>
      </c>
      <c r="C959" t="s">
        <v>512</v>
      </c>
    </row>
    <row r="960" spans="1:3" x14ac:dyDescent="0.3">
      <c r="A960" t="s">
        <v>743</v>
      </c>
      <c r="C960" t="s">
        <v>744</v>
      </c>
    </row>
    <row r="961" spans="1:3" x14ac:dyDescent="0.3">
      <c r="A961" t="s">
        <v>345</v>
      </c>
      <c r="B961" t="s">
        <v>84</v>
      </c>
      <c r="C961" t="s">
        <v>346</v>
      </c>
    </row>
    <row r="962" spans="1:3" x14ac:dyDescent="0.3">
      <c r="A962" t="s">
        <v>813</v>
      </c>
      <c r="B962" t="s">
        <v>814</v>
      </c>
      <c r="C962" t="s">
        <v>815</v>
      </c>
    </row>
    <row r="963" spans="1:3" x14ac:dyDescent="0.3">
      <c r="A963" t="s">
        <v>2079</v>
      </c>
      <c r="B963" t="s">
        <v>133</v>
      </c>
      <c r="C963" t="s">
        <v>145</v>
      </c>
    </row>
    <row r="964" spans="1:3" x14ac:dyDescent="0.3">
      <c r="A964" t="s">
        <v>2079</v>
      </c>
      <c r="B964" t="s">
        <v>133</v>
      </c>
      <c r="C964" t="s">
        <v>927</v>
      </c>
    </row>
    <row r="965" spans="1:3" x14ac:dyDescent="0.3">
      <c r="A965" t="s">
        <v>102</v>
      </c>
      <c r="B965" t="s">
        <v>103</v>
      </c>
      <c r="C965" t="s">
        <v>104</v>
      </c>
    </row>
    <row r="966" spans="1:3" x14ac:dyDescent="0.3">
      <c r="A966" t="s">
        <v>102</v>
      </c>
      <c r="B966" t="s">
        <v>32</v>
      </c>
      <c r="C966" t="s">
        <v>949</v>
      </c>
    </row>
    <row r="967" spans="1:3" x14ac:dyDescent="0.3">
      <c r="A967" t="s">
        <v>102</v>
      </c>
      <c r="B967" t="s">
        <v>32</v>
      </c>
      <c r="C967" t="s">
        <v>107</v>
      </c>
    </row>
    <row r="968" spans="1:3" x14ac:dyDescent="0.3">
      <c r="A968" t="s">
        <v>102</v>
      </c>
      <c r="B968" t="s">
        <v>718</v>
      </c>
      <c r="C968" t="s">
        <v>1089</v>
      </c>
    </row>
    <row r="969" spans="1:3" x14ac:dyDescent="0.3">
      <c r="A969" t="s">
        <v>102</v>
      </c>
      <c r="B969" t="s">
        <v>718</v>
      </c>
      <c r="C969" t="s">
        <v>719</v>
      </c>
    </row>
    <row r="970" spans="1:3" x14ac:dyDescent="0.3">
      <c r="A970" t="s">
        <v>102</v>
      </c>
      <c r="B970" t="s">
        <v>417</v>
      </c>
      <c r="C970" t="s">
        <v>145</v>
      </c>
    </row>
    <row r="971" spans="1:3" x14ac:dyDescent="0.3">
      <c r="A971" t="s">
        <v>381</v>
      </c>
      <c r="B971" t="s">
        <v>249</v>
      </c>
      <c r="C971" t="s">
        <v>145</v>
      </c>
    </row>
    <row r="972" spans="1:3" x14ac:dyDescent="0.3">
      <c r="A972" t="s">
        <v>83</v>
      </c>
      <c r="B972" t="s">
        <v>84</v>
      </c>
      <c r="C972" t="s">
        <v>85</v>
      </c>
    </row>
    <row r="973" spans="1:3" x14ac:dyDescent="0.3">
      <c r="A973" t="s">
        <v>83</v>
      </c>
      <c r="B973" t="s">
        <v>84</v>
      </c>
      <c r="C973" t="s">
        <v>228</v>
      </c>
    </row>
    <row r="974" spans="1:3" x14ac:dyDescent="0.3">
      <c r="A974" t="s">
        <v>83</v>
      </c>
      <c r="B974" t="s">
        <v>84</v>
      </c>
      <c r="C974" t="s">
        <v>1394</v>
      </c>
    </row>
    <row r="975" spans="1:3" x14ac:dyDescent="0.3">
      <c r="A975" t="s">
        <v>83</v>
      </c>
      <c r="B975" t="s">
        <v>240</v>
      </c>
      <c r="C975" t="s">
        <v>1173</v>
      </c>
    </row>
    <row r="976" spans="1:3" x14ac:dyDescent="0.3">
      <c r="A976" t="s">
        <v>83</v>
      </c>
      <c r="B976" t="s">
        <v>240</v>
      </c>
      <c r="C976" t="s">
        <v>1176</v>
      </c>
    </row>
    <row r="977" spans="1:3" x14ac:dyDescent="0.3">
      <c r="A977" t="s">
        <v>83</v>
      </c>
      <c r="B977" t="s">
        <v>240</v>
      </c>
      <c r="C977" t="s">
        <v>415</v>
      </c>
    </row>
    <row r="978" spans="1:3" x14ac:dyDescent="0.3">
      <c r="A978" t="s">
        <v>83</v>
      </c>
      <c r="B978" t="s">
        <v>240</v>
      </c>
      <c r="C978" t="s">
        <v>1445</v>
      </c>
    </row>
    <row r="979" spans="1:3" x14ac:dyDescent="0.3">
      <c r="A979" t="s">
        <v>83</v>
      </c>
      <c r="B979" t="s">
        <v>331</v>
      </c>
      <c r="C979" t="s">
        <v>332</v>
      </c>
    </row>
    <row r="980" spans="1:3" x14ac:dyDescent="0.3">
      <c r="A980" t="s">
        <v>83</v>
      </c>
      <c r="B980" t="s">
        <v>331</v>
      </c>
      <c r="C980" t="s">
        <v>332</v>
      </c>
    </row>
    <row r="981" spans="1:3" x14ac:dyDescent="0.3">
      <c r="A981" t="s">
        <v>713</v>
      </c>
      <c r="B981" t="s">
        <v>714</v>
      </c>
      <c r="C981" t="s">
        <v>176</v>
      </c>
    </row>
    <row r="982" spans="1:3" x14ac:dyDescent="0.3">
      <c r="A982" t="s">
        <v>413</v>
      </c>
      <c r="B982" t="s">
        <v>414</v>
      </c>
      <c r="C982" t="s">
        <v>415</v>
      </c>
    </row>
    <row r="983" spans="1:3" x14ac:dyDescent="0.3">
      <c r="A983" t="s">
        <v>581</v>
      </c>
      <c r="B983" t="s">
        <v>249</v>
      </c>
      <c r="C983" t="s">
        <v>159</v>
      </c>
    </row>
    <row r="984" spans="1:3" x14ac:dyDescent="0.3">
      <c r="A984" t="s">
        <v>581</v>
      </c>
      <c r="C984" t="s">
        <v>582</v>
      </c>
    </row>
    <row r="985" spans="1:3" x14ac:dyDescent="0.3">
      <c r="A985" t="s">
        <v>739</v>
      </c>
      <c r="C985" t="s">
        <v>819</v>
      </c>
    </row>
    <row r="986" spans="1:3" x14ac:dyDescent="0.3">
      <c r="A986" t="s">
        <v>739</v>
      </c>
      <c r="C986" t="s">
        <v>740</v>
      </c>
    </row>
    <row r="987" spans="1:3" x14ac:dyDescent="0.3">
      <c r="A987" t="s">
        <v>567</v>
      </c>
      <c r="B987" t="s">
        <v>299</v>
      </c>
      <c r="C987" t="s">
        <v>779</v>
      </c>
    </row>
    <row r="988" spans="1:3" x14ac:dyDescent="0.3">
      <c r="A988" t="s">
        <v>567</v>
      </c>
      <c r="B988" t="s">
        <v>299</v>
      </c>
      <c r="C988" t="s">
        <v>779</v>
      </c>
    </row>
    <row r="989" spans="1:3" x14ac:dyDescent="0.3">
      <c r="A989" t="s">
        <v>567</v>
      </c>
      <c r="B989" t="s">
        <v>568</v>
      </c>
      <c r="C989" t="s">
        <v>569</v>
      </c>
    </row>
    <row r="990" spans="1:3" x14ac:dyDescent="0.3">
      <c r="A990" t="s">
        <v>567</v>
      </c>
      <c r="B990" t="s">
        <v>775</v>
      </c>
      <c r="C990" t="s">
        <v>776</v>
      </c>
    </row>
    <row r="991" spans="1:3" x14ac:dyDescent="0.3">
      <c r="A991" t="s">
        <v>567</v>
      </c>
      <c r="B991" t="s">
        <v>295</v>
      </c>
      <c r="C991" t="s">
        <v>176</v>
      </c>
    </row>
    <row r="992" spans="1:3" x14ac:dyDescent="0.3">
      <c r="A992" t="s">
        <v>2114</v>
      </c>
      <c r="C992" t="s">
        <v>27</v>
      </c>
    </row>
    <row r="993" spans="1:3" x14ac:dyDescent="0.3">
      <c r="A993" t="s">
        <v>2063</v>
      </c>
      <c r="B993" t="s">
        <v>252</v>
      </c>
      <c r="C993" t="s">
        <v>255</v>
      </c>
    </row>
    <row r="994" spans="1:3" x14ac:dyDescent="0.3">
      <c r="A994" t="s">
        <v>1374</v>
      </c>
      <c r="B994" t="s">
        <v>1375</v>
      </c>
      <c r="C994" t="s">
        <v>145</v>
      </c>
    </row>
    <row r="995" spans="1:3" x14ac:dyDescent="0.3">
      <c r="A995" t="s">
        <v>630</v>
      </c>
      <c r="B995" t="s">
        <v>631</v>
      </c>
      <c r="C995" t="s">
        <v>632</v>
      </c>
    </row>
    <row r="996" spans="1:3" x14ac:dyDescent="0.3">
      <c r="A996" t="s">
        <v>997</v>
      </c>
      <c r="C996" t="s">
        <v>998</v>
      </c>
    </row>
    <row r="997" spans="1:3" x14ac:dyDescent="0.3">
      <c r="A997" t="s">
        <v>164</v>
      </c>
      <c r="B997" t="s">
        <v>453</v>
      </c>
      <c r="C997" t="s">
        <v>134</v>
      </c>
    </row>
    <row r="998" spans="1:3" x14ac:dyDescent="0.3">
      <c r="A998" t="s">
        <v>164</v>
      </c>
      <c r="B998" t="s">
        <v>453</v>
      </c>
      <c r="C998" t="s">
        <v>525</v>
      </c>
    </row>
    <row r="999" spans="1:3" x14ac:dyDescent="0.3">
      <c r="A999" t="s">
        <v>164</v>
      </c>
      <c r="B999" t="s">
        <v>453</v>
      </c>
      <c r="C999" t="s">
        <v>615</v>
      </c>
    </row>
    <row r="1000" spans="1:3" x14ac:dyDescent="0.3">
      <c r="A1000" t="s">
        <v>164</v>
      </c>
      <c r="B1000" t="s">
        <v>175</v>
      </c>
      <c r="C1000" t="s">
        <v>176</v>
      </c>
    </row>
    <row r="1001" spans="1:3" x14ac:dyDescent="0.3">
      <c r="A1001" t="s">
        <v>164</v>
      </c>
      <c r="C1001" t="s">
        <v>165</v>
      </c>
    </row>
    <row r="1002" spans="1:3" x14ac:dyDescent="0.3">
      <c r="A1002" t="s">
        <v>164</v>
      </c>
      <c r="C1002" t="s">
        <v>27</v>
      </c>
    </row>
    <row r="1003" spans="1:3" x14ac:dyDescent="0.3">
      <c r="A1003" t="s">
        <v>1419</v>
      </c>
      <c r="B1003" t="s">
        <v>1420</v>
      </c>
      <c r="C1003" t="s">
        <v>1421</v>
      </c>
    </row>
    <row r="1004" spans="1:3" x14ac:dyDescent="0.3">
      <c r="A1004" t="s">
        <v>194</v>
      </c>
      <c r="B1004" t="s">
        <v>695</v>
      </c>
      <c r="C1004" t="s">
        <v>696</v>
      </c>
    </row>
    <row r="1005" spans="1:3" x14ac:dyDescent="0.3">
      <c r="A1005" t="s">
        <v>194</v>
      </c>
      <c r="B1005" t="s">
        <v>84</v>
      </c>
      <c r="C1005" t="s">
        <v>373</v>
      </c>
    </row>
    <row r="1006" spans="1:3" x14ac:dyDescent="0.3">
      <c r="A1006" t="s">
        <v>194</v>
      </c>
      <c r="B1006" t="s">
        <v>84</v>
      </c>
      <c r="C1006" t="s">
        <v>104</v>
      </c>
    </row>
    <row r="1007" spans="1:3" x14ac:dyDescent="0.3">
      <c r="A1007" t="s">
        <v>194</v>
      </c>
      <c r="B1007" t="s">
        <v>84</v>
      </c>
      <c r="C1007" t="s">
        <v>146</v>
      </c>
    </row>
    <row r="1008" spans="1:3" x14ac:dyDescent="0.3">
      <c r="A1008" t="s">
        <v>194</v>
      </c>
      <c r="B1008" t="s">
        <v>84</v>
      </c>
      <c r="C1008" t="s">
        <v>843</v>
      </c>
    </row>
    <row r="1009" spans="1:3" x14ac:dyDescent="0.3">
      <c r="A1009" t="s">
        <v>194</v>
      </c>
      <c r="B1009" t="s">
        <v>84</v>
      </c>
      <c r="C1009" t="s">
        <v>145</v>
      </c>
    </row>
    <row r="1010" spans="1:3" x14ac:dyDescent="0.3">
      <c r="A1010" t="s">
        <v>194</v>
      </c>
      <c r="B1010" t="s">
        <v>84</v>
      </c>
      <c r="C1010" t="s">
        <v>207</v>
      </c>
    </row>
    <row r="1011" spans="1:3" x14ac:dyDescent="0.3">
      <c r="A1011" t="s">
        <v>194</v>
      </c>
      <c r="B1011" t="s">
        <v>418</v>
      </c>
      <c r="C1011" t="s">
        <v>419</v>
      </c>
    </row>
    <row r="1012" spans="1:3" x14ac:dyDescent="0.3">
      <c r="A1012" t="s">
        <v>894</v>
      </c>
      <c r="B1012" t="s">
        <v>252</v>
      </c>
      <c r="C1012" t="s">
        <v>283</v>
      </c>
    </row>
    <row r="1013" spans="1:3" x14ac:dyDescent="0.3">
      <c r="A1013" t="s">
        <v>708</v>
      </c>
      <c r="B1013" t="s">
        <v>709</v>
      </c>
      <c r="C1013" t="s">
        <v>121</v>
      </c>
    </row>
    <row r="1014" spans="1:3" x14ac:dyDescent="0.3">
      <c r="A1014" t="s">
        <v>199</v>
      </c>
      <c r="B1014" t="s">
        <v>293</v>
      </c>
      <c r="C1014" t="s">
        <v>98</v>
      </c>
    </row>
    <row r="1015" spans="1:3" x14ac:dyDescent="0.3">
      <c r="A1015" t="s">
        <v>199</v>
      </c>
      <c r="B1015" t="s">
        <v>293</v>
      </c>
      <c r="C1015" t="s">
        <v>2045</v>
      </c>
    </row>
    <row r="1016" spans="1:3" x14ac:dyDescent="0.3">
      <c r="A1016" t="s">
        <v>199</v>
      </c>
      <c r="B1016" t="s">
        <v>200</v>
      </c>
      <c r="C1016" t="s">
        <v>201</v>
      </c>
    </row>
    <row r="1017" spans="1:3" x14ac:dyDescent="0.3">
      <c r="A1017" t="s">
        <v>199</v>
      </c>
      <c r="B1017" t="s">
        <v>258</v>
      </c>
      <c r="C1017" t="s">
        <v>153</v>
      </c>
    </row>
    <row r="1018" spans="1:3" x14ac:dyDescent="0.3">
      <c r="A1018" t="s">
        <v>398</v>
      </c>
      <c r="B1018" t="s">
        <v>120</v>
      </c>
      <c r="C1018" t="s">
        <v>121</v>
      </c>
    </row>
    <row r="1019" spans="1:3" x14ac:dyDescent="0.3">
      <c r="A1019" t="s">
        <v>31</v>
      </c>
      <c r="B1019" t="s">
        <v>32</v>
      </c>
      <c r="C1019" t="s">
        <v>33</v>
      </c>
    </row>
    <row r="1020" spans="1:3" x14ac:dyDescent="0.3">
      <c r="A1020" t="s">
        <v>31</v>
      </c>
      <c r="B1020" t="s">
        <v>120</v>
      </c>
      <c r="C1020" t="s">
        <v>121</v>
      </c>
    </row>
    <row r="1021" spans="1:3" x14ac:dyDescent="0.3">
      <c r="A1021" t="s">
        <v>294</v>
      </c>
      <c r="B1021" t="s">
        <v>94</v>
      </c>
      <c r="C1021" t="s">
        <v>289</v>
      </c>
    </row>
    <row r="1022" spans="1:3" x14ac:dyDescent="0.3">
      <c r="A1022" t="s">
        <v>294</v>
      </c>
      <c r="C1022" t="s">
        <v>27</v>
      </c>
    </row>
    <row r="1023" spans="1:3" x14ac:dyDescent="0.3">
      <c r="A1023" t="s">
        <v>294</v>
      </c>
      <c r="C1023" t="s">
        <v>734</v>
      </c>
    </row>
    <row r="1024" spans="1:3" x14ac:dyDescent="0.3">
      <c r="A1024" t="s">
        <v>1432</v>
      </c>
      <c r="B1024" t="s">
        <v>179</v>
      </c>
      <c r="C1024" t="s">
        <v>1433</v>
      </c>
    </row>
    <row r="1025" spans="1:3" x14ac:dyDescent="0.3">
      <c r="A1025" t="s">
        <v>389</v>
      </c>
      <c r="B1025" t="s">
        <v>390</v>
      </c>
      <c r="C1025" t="s">
        <v>391</v>
      </c>
    </row>
    <row r="1026" spans="1:3" x14ac:dyDescent="0.3">
      <c r="A1026" t="s">
        <v>157</v>
      </c>
      <c r="B1026" t="s">
        <v>158</v>
      </c>
      <c r="C1026" t="s">
        <v>159</v>
      </c>
    </row>
    <row r="1027" spans="1:3" x14ac:dyDescent="0.3">
      <c r="A1027" t="s">
        <v>1160</v>
      </c>
      <c r="B1027">
        <v>640</v>
      </c>
      <c r="C1027" t="s">
        <v>1161</v>
      </c>
    </row>
    <row r="1028" spans="1:3" x14ac:dyDescent="0.3">
      <c r="A1028" t="s">
        <v>1359</v>
      </c>
      <c r="C1028" t="s">
        <v>1360</v>
      </c>
    </row>
    <row r="1029" spans="1:3" x14ac:dyDescent="0.3">
      <c r="A1029" t="s">
        <v>1036</v>
      </c>
      <c r="B1029" t="s">
        <v>775</v>
      </c>
      <c r="C1029" t="s">
        <v>1037</v>
      </c>
    </row>
    <row r="1030" spans="1:3" x14ac:dyDescent="0.3">
      <c r="A1030" t="s">
        <v>74</v>
      </c>
      <c r="B1030" t="s">
        <v>763</v>
      </c>
      <c r="C1030" t="s">
        <v>145</v>
      </c>
    </row>
    <row r="1031" spans="1:3" x14ac:dyDescent="0.3">
      <c r="A1031" t="s">
        <v>74</v>
      </c>
      <c r="B1031" t="s">
        <v>179</v>
      </c>
      <c r="C1031" t="s">
        <v>2066</v>
      </c>
    </row>
    <row r="1032" spans="1:3" x14ac:dyDescent="0.3">
      <c r="A1032" t="s">
        <v>74</v>
      </c>
      <c r="B1032" t="s">
        <v>179</v>
      </c>
      <c r="C1032" t="s">
        <v>85</v>
      </c>
    </row>
    <row r="1033" spans="1:3" x14ac:dyDescent="0.3">
      <c r="A1033" t="s">
        <v>74</v>
      </c>
      <c r="B1033" t="s">
        <v>179</v>
      </c>
      <c r="C1033" t="s">
        <v>1335</v>
      </c>
    </row>
    <row r="1034" spans="1:3" x14ac:dyDescent="0.3">
      <c r="A1034" t="s">
        <v>74</v>
      </c>
      <c r="B1034" t="s">
        <v>75</v>
      </c>
      <c r="C1034" t="s">
        <v>76</v>
      </c>
    </row>
    <row r="1035" spans="1:3" x14ac:dyDescent="0.3">
      <c r="A1035" t="s">
        <v>74</v>
      </c>
      <c r="B1035" t="s">
        <v>75</v>
      </c>
      <c r="C1035" t="s">
        <v>383</v>
      </c>
    </row>
    <row r="1036" spans="1:3" x14ac:dyDescent="0.3">
      <c r="A1036" t="s">
        <v>74</v>
      </c>
      <c r="B1036" t="s">
        <v>75</v>
      </c>
      <c r="C1036" t="s">
        <v>145</v>
      </c>
    </row>
    <row r="1037" spans="1:3" x14ac:dyDescent="0.3">
      <c r="A1037" t="s">
        <v>74</v>
      </c>
      <c r="B1037" t="s">
        <v>367</v>
      </c>
      <c r="C1037" t="s">
        <v>1134</v>
      </c>
    </row>
    <row r="1038" spans="1:3" x14ac:dyDescent="0.3">
      <c r="A1038" t="s">
        <v>74</v>
      </c>
      <c r="B1038" t="s">
        <v>367</v>
      </c>
      <c r="C1038" t="s">
        <v>146</v>
      </c>
    </row>
    <row r="1039" spans="1:3" x14ac:dyDescent="0.3">
      <c r="A1039" t="s">
        <v>74</v>
      </c>
      <c r="B1039" t="s">
        <v>367</v>
      </c>
      <c r="C1039" t="s">
        <v>471</v>
      </c>
    </row>
    <row r="1040" spans="1:3" x14ac:dyDescent="0.3">
      <c r="A1040" t="s">
        <v>74</v>
      </c>
      <c r="B1040" t="s">
        <v>367</v>
      </c>
      <c r="C1040" t="s">
        <v>463</v>
      </c>
    </row>
    <row r="1041" spans="1:3" x14ac:dyDescent="0.3">
      <c r="A1041" t="s">
        <v>74</v>
      </c>
      <c r="B1041" t="s">
        <v>367</v>
      </c>
      <c r="C1041" t="s">
        <v>121</v>
      </c>
    </row>
    <row r="1042" spans="1:3" x14ac:dyDescent="0.3">
      <c r="A1042" t="s">
        <v>74</v>
      </c>
      <c r="B1042" t="s">
        <v>367</v>
      </c>
      <c r="C1042" t="s">
        <v>1406</v>
      </c>
    </row>
    <row r="1043" spans="1:3" x14ac:dyDescent="0.3">
      <c r="A1043" t="s">
        <v>74</v>
      </c>
      <c r="B1043" t="s">
        <v>367</v>
      </c>
      <c r="C1043" t="s">
        <v>1256</v>
      </c>
    </row>
    <row r="1044" spans="1:3" x14ac:dyDescent="0.3">
      <c r="A1044" t="s">
        <v>74</v>
      </c>
      <c r="B1044" t="s">
        <v>367</v>
      </c>
      <c r="C1044" t="s">
        <v>1297</v>
      </c>
    </row>
    <row r="1045" spans="1:3" x14ac:dyDescent="0.3">
      <c r="A1045" t="s">
        <v>74</v>
      </c>
      <c r="B1045" t="s">
        <v>367</v>
      </c>
      <c r="C1045" t="s">
        <v>1300</v>
      </c>
    </row>
    <row r="1046" spans="1:3" x14ac:dyDescent="0.3">
      <c r="A1046" t="s">
        <v>74</v>
      </c>
      <c r="B1046" t="s">
        <v>367</v>
      </c>
      <c r="C1046" t="s">
        <v>1088</v>
      </c>
    </row>
    <row r="1047" spans="1:3" x14ac:dyDescent="0.3">
      <c r="A1047" t="s">
        <v>74</v>
      </c>
      <c r="B1047" t="s">
        <v>367</v>
      </c>
      <c r="C1047" t="s">
        <v>784</v>
      </c>
    </row>
    <row r="1048" spans="1:3" x14ac:dyDescent="0.3">
      <c r="A1048" t="s">
        <v>74</v>
      </c>
      <c r="B1048" t="s">
        <v>367</v>
      </c>
      <c r="C1048" t="s">
        <v>58</v>
      </c>
    </row>
    <row r="1049" spans="1:3" x14ac:dyDescent="0.3">
      <c r="A1049" t="s">
        <v>74</v>
      </c>
      <c r="B1049" t="s">
        <v>872</v>
      </c>
      <c r="C1049" t="s">
        <v>873</v>
      </c>
    </row>
    <row r="1050" spans="1:3" x14ac:dyDescent="0.3">
      <c r="A1050" t="s">
        <v>74</v>
      </c>
      <c r="B1050" t="s">
        <v>217</v>
      </c>
      <c r="C1050" t="s">
        <v>2078</v>
      </c>
    </row>
    <row r="1051" spans="1:3" x14ac:dyDescent="0.3">
      <c r="A1051" t="s">
        <v>74</v>
      </c>
      <c r="B1051" t="s">
        <v>948</v>
      </c>
      <c r="C1051" t="s">
        <v>145</v>
      </c>
    </row>
    <row r="1052" spans="1:3" x14ac:dyDescent="0.3">
      <c r="A1052" t="s">
        <v>74</v>
      </c>
      <c r="B1052" t="s">
        <v>1053</v>
      </c>
      <c r="C1052" t="s">
        <v>145</v>
      </c>
    </row>
    <row r="1053" spans="1:3" x14ac:dyDescent="0.3">
      <c r="A1053" t="s">
        <v>74</v>
      </c>
      <c r="B1053" t="s">
        <v>1442</v>
      </c>
      <c r="C1053" t="s">
        <v>145</v>
      </c>
    </row>
    <row r="1054" spans="1:3" x14ac:dyDescent="0.3">
      <c r="A1054" t="s">
        <v>74</v>
      </c>
      <c r="B1054" t="s">
        <v>579</v>
      </c>
      <c r="C1054" t="s">
        <v>580</v>
      </c>
    </row>
    <row r="1055" spans="1:3" x14ac:dyDescent="0.3">
      <c r="A1055" t="s">
        <v>74</v>
      </c>
      <c r="B1055" t="s">
        <v>836</v>
      </c>
      <c r="C1055" t="s">
        <v>121</v>
      </c>
    </row>
    <row r="1056" spans="1:3" x14ac:dyDescent="0.3">
      <c r="A1056" t="s">
        <v>74</v>
      </c>
      <c r="B1056" t="s">
        <v>279</v>
      </c>
      <c r="C1056" t="s">
        <v>280</v>
      </c>
    </row>
    <row r="1057" spans="1:3" x14ac:dyDescent="0.3">
      <c r="A1057" t="s">
        <v>74</v>
      </c>
      <c r="C1057" t="s">
        <v>27</v>
      </c>
    </row>
    <row r="1058" spans="1:3" x14ac:dyDescent="0.3">
      <c r="A1058" t="s">
        <v>1960</v>
      </c>
      <c r="B1058" t="s">
        <v>442</v>
      </c>
      <c r="C1058" t="s">
        <v>373</v>
      </c>
    </row>
    <row r="1059" spans="1:3" x14ac:dyDescent="0.3">
      <c r="A1059" t="s">
        <v>1960</v>
      </c>
      <c r="B1059" t="s">
        <v>312</v>
      </c>
      <c r="C1059" t="s">
        <v>2040</v>
      </c>
    </row>
    <row r="1060" spans="1:3" x14ac:dyDescent="0.3">
      <c r="A1060" t="s">
        <v>1960</v>
      </c>
      <c r="B1060" t="s">
        <v>295</v>
      </c>
      <c r="C1060" t="s">
        <v>787</v>
      </c>
    </row>
    <row r="1061" spans="1:3" x14ac:dyDescent="0.3">
      <c r="A1061" t="s">
        <v>2113</v>
      </c>
      <c r="C1061" t="s">
        <v>27</v>
      </c>
    </row>
    <row r="1062" spans="1:3" x14ac:dyDescent="0.3">
      <c r="A1062" t="s">
        <v>853</v>
      </c>
      <c r="B1062" t="s">
        <v>854</v>
      </c>
      <c r="C1062" t="s">
        <v>855</v>
      </c>
    </row>
    <row r="1063" spans="1:3" x14ac:dyDescent="0.3">
      <c r="A1063" t="s">
        <v>591</v>
      </c>
      <c r="B1063" t="s">
        <v>32</v>
      </c>
      <c r="C1063" t="s">
        <v>2101</v>
      </c>
    </row>
    <row r="1064" spans="1:3" x14ac:dyDescent="0.3">
      <c r="A1064" t="s">
        <v>591</v>
      </c>
      <c r="B1064" t="s">
        <v>32</v>
      </c>
      <c r="C1064" t="s">
        <v>168</v>
      </c>
    </row>
    <row r="1065" spans="1:3" x14ac:dyDescent="0.3">
      <c r="A1065" t="s">
        <v>591</v>
      </c>
      <c r="B1065" t="s">
        <v>1363</v>
      </c>
      <c r="C1065" t="s">
        <v>145</v>
      </c>
    </row>
    <row r="1066" spans="1:3" x14ac:dyDescent="0.3">
      <c r="A1066" t="s">
        <v>591</v>
      </c>
      <c r="B1066" t="s">
        <v>200</v>
      </c>
      <c r="C1066" t="s">
        <v>592</v>
      </c>
    </row>
    <row r="1067" spans="1:3" x14ac:dyDescent="0.3">
      <c r="A1067" t="s">
        <v>2004</v>
      </c>
    </row>
    <row r="1068" spans="1:3" x14ac:dyDescent="0.3">
      <c r="A1068" t="s">
        <v>903</v>
      </c>
      <c r="B1068" t="s">
        <v>904</v>
      </c>
      <c r="C1068" t="s">
        <v>121</v>
      </c>
    </row>
    <row r="1069" spans="1:3" x14ac:dyDescent="0.3">
      <c r="A1069" t="s">
        <v>903</v>
      </c>
      <c r="B1069" t="s">
        <v>260</v>
      </c>
      <c r="C1069" t="s">
        <v>1045</v>
      </c>
    </row>
    <row r="1070" spans="1:3" x14ac:dyDescent="0.3">
      <c r="A1070" t="s">
        <v>835</v>
      </c>
      <c r="B1070" t="s">
        <v>685</v>
      </c>
      <c r="C1070" t="s">
        <v>615</v>
      </c>
    </row>
    <row r="1071" spans="1:3" x14ac:dyDescent="0.3">
      <c r="A1071" t="s">
        <v>1149</v>
      </c>
      <c r="C1071" t="s">
        <v>1150</v>
      </c>
    </row>
    <row r="1072" spans="1:3" x14ac:dyDescent="0.3">
      <c r="A1072" t="s">
        <v>1162</v>
      </c>
      <c r="B1072" t="s">
        <v>217</v>
      </c>
      <c r="C1072" t="s">
        <v>1163</v>
      </c>
    </row>
    <row r="1073" spans="1:3" x14ac:dyDescent="0.3">
      <c r="A1073" t="s">
        <v>1162</v>
      </c>
      <c r="B1073" t="s">
        <v>217</v>
      </c>
      <c r="C1073" t="s">
        <v>159</v>
      </c>
    </row>
    <row r="1074" spans="1:3" x14ac:dyDescent="0.3">
      <c r="A1074" t="s">
        <v>1162</v>
      </c>
      <c r="B1074" t="s">
        <v>1233</v>
      </c>
    </row>
    <row r="1075" spans="1:3" x14ac:dyDescent="0.3">
      <c r="A1075" t="s">
        <v>761</v>
      </c>
      <c r="B1075" t="s">
        <v>358</v>
      </c>
      <c r="C1075" t="s">
        <v>762</v>
      </c>
    </row>
    <row r="1076" spans="1:3" x14ac:dyDescent="0.3">
      <c r="A1076" t="s">
        <v>761</v>
      </c>
      <c r="B1076" t="s">
        <v>718</v>
      </c>
      <c r="C1076" t="s">
        <v>1034</v>
      </c>
    </row>
    <row r="1077" spans="1:3" x14ac:dyDescent="0.3">
      <c r="A1077" t="s">
        <v>761</v>
      </c>
      <c r="B1077" t="s">
        <v>82</v>
      </c>
      <c r="C1077" t="s">
        <v>744</v>
      </c>
    </row>
    <row r="1078" spans="1:3" x14ac:dyDescent="0.3">
      <c r="A1078" t="s">
        <v>761</v>
      </c>
      <c r="B1078" t="s">
        <v>1999</v>
      </c>
      <c r="C1078" t="s">
        <v>85</v>
      </c>
    </row>
    <row r="1079" spans="1:3" x14ac:dyDescent="0.3">
      <c r="A1079" t="s">
        <v>243</v>
      </c>
      <c r="B1079" t="s">
        <v>244</v>
      </c>
      <c r="C1079" t="s">
        <v>245</v>
      </c>
    </row>
    <row r="1080" spans="1:3" x14ac:dyDescent="0.3">
      <c r="A1080" t="s">
        <v>1219</v>
      </c>
      <c r="B1080" t="s">
        <v>140</v>
      </c>
      <c r="C1080" t="s">
        <v>55</v>
      </c>
    </row>
    <row r="1081" spans="1:3" x14ac:dyDescent="0.3">
      <c r="A1081" t="s">
        <v>1219</v>
      </c>
      <c r="B1081" t="s">
        <v>140</v>
      </c>
      <c r="C1081" t="s">
        <v>168</v>
      </c>
    </row>
    <row r="1082" spans="1:3" x14ac:dyDescent="0.3">
      <c r="A1082" t="s">
        <v>870</v>
      </c>
      <c r="B1082" t="s">
        <v>179</v>
      </c>
      <c r="C1082" t="s">
        <v>777</v>
      </c>
    </row>
    <row r="1083" spans="1:3" x14ac:dyDescent="0.3">
      <c r="A1083" t="s">
        <v>870</v>
      </c>
      <c r="B1083" t="s">
        <v>252</v>
      </c>
      <c r="C1083" t="s">
        <v>871</v>
      </c>
    </row>
    <row r="1084" spans="1:3" x14ac:dyDescent="0.3">
      <c r="A1084" t="s">
        <v>1087</v>
      </c>
      <c r="B1084" t="s">
        <v>148</v>
      </c>
      <c r="C1084" t="s">
        <v>98</v>
      </c>
    </row>
    <row r="1085" spans="1:3" x14ac:dyDescent="0.3">
      <c r="A1085" t="s">
        <v>2009</v>
      </c>
      <c r="B1085" t="s">
        <v>223</v>
      </c>
      <c r="C1085" t="s">
        <v>2010</v>
      </c>
    </row>
    <row r="1086" spans="1:3" x14ac:dyDescent="0.3">
      <c r="A1086" t="s">
        <v>1276</v>
      </c>
      <c r="B1086" t="s">
        <v>1277</v>
      </c>
      <c r="C1086" t="s">
        <v>1278</v>
      </c>
    </row>
    <row r="1087" spans="1:3" x14ac:dyDescent="0.3">
      <c r="A1087" t="s">
        <v>1276</v>
      </c>
      <c r="B1087" t="s">
        <v>75</v>
      </c>
      <c r="C1087" t="s">
        <v>1323</v>
      </c>
    </row>
    <row r="1088" spans="1:3" x14ac:dyDescent="0.3">
      <c r="A1088" t="s">
        <v>468</v>
      </c>
      <c r="B1088" t="s">
        <v>45</v>
      </c>
      <c r="C1088" t="s">
        <v>784</v>
      </c>
    </row>
    <row r="1089" spans="1:3" x14ac:dyDescent="0.3">
      <c r="A1089" t="s">
        <v>468</v>
      </c>
      <c r="B1089" t="s">
        <v>45</v>
      </c>
      <c r="C1089" t="s">
        <v>1068</v>
      </c>
    </row>
    <row r="1090" spans="1:3" x14ac:dyDescent="0.3">
      <c r="A1090" t="s">
        <v>468</v>
      </c>
      <c r="B1090" t="s">
        <v>45</v>
      </c>
      <c r="C1090" t="s">
        <v>701</v>
      </c>
    </row>
    <row r="1091" spans="1:3" x14ac:dyDescent="0.3">
      <c r="A1091" t="s">
        <v>468</v>
      </c>
      <c r="B1091" t="s">
        <v>45</v>
      </c>
    </row>
    <row r="1092" spans="1:3" x14ac:dyDescent="0.3">
      <c r="A1092" t="s">
        <v>468</v>
      </c>
      <c r="B1092" t="s">
        <v>2138</v>
      </c>
      <c r="C1092" t="s">
        <v>519</v>
      </c>
    </row>
    <row r="1093" spans="1:3" x14ac:dyDescent="0.3">
      <c r="A1093" t="s">
        <v>468</v>
      </c>
      <c r="B1093" t="s">
        <v>314</v>
      </c>
      <c r="C1093" t="s">
        <v>469</v>
      </c>
    </row>
    <row r="1094" spans="1:3" x14ac:dyDescent="0.3">
      <c r="A1094" t="s">
        <v>468</v>
      </c>
      <c r="B1094" t="s">
        <v>1999</v>
      </c>
      <c r="C1094" t="s">
        <v>121</v>
      </c>
    </row>
    <row r="1095" spans="1:3" x14ac:dyDescent="0.3">
      <c r="A1095" t="s">
        <v>468</v>
      </c>
      <c r="B1095" t="s">
        <v>1999</v>
      </c>
      <c r="C1095" t="s">
        <v>121</v>
      </c>
    </row>
    <row r="1096" spans="1:3" x14ac:dyDescent="0.3">
      <c r="A1096" t="s">
        <v>638</v>
      </c>
      <c r="C1096" t="s">
        <v>554</v>
      </c>
    </row>
    <row r="1097" spans="1:3" x14ac:dyDescent="0.3">
      <c r="A1097" t="s">
        <v>2026</v>
      </c>
      <c r="B1097" t="s">
        <v>405</v>
      </c>
    </row>
    <row r="1098" spans="1:3" x14ac:dyDescent="0.3">
      <c r="A1098" t="s">
        <v>560</v>
      </c>
      <c r="B1098" t="s">
        <v>45</v>
      </c>
      <c r="C1098" t="s">
        <v>558</v>
      </c>
    </row>
    <row r="1099" spans="1:3" x14ac:dyDescent="0.3">
      <c r="A1099" t="s">
        <v>560</v>
      </c>
      <c r="B1099" t="s">
        <v>45</v>
      </c>
      <c r="C1099" t="s">
        <v>1067</v>
      </c>
    </row>
    <row r="1100" spans="1:3" x14ac:dyDescent="0.3">
      <c r="A1100" t="s">
        <v>789</v>
      </c>
      <c r="B1100" t="s">
        <v>32</v>
      </c>
      <c r="C1100" t="s">
        <v>121</v>
      </c>
    </row>
    <row r="1101" spans="1:3" x14ac:dyDescent="0.3">
      <c r="A1101" t="s">
        <v>789</v>
      </c>
      <c r="B1101" t="s">
        <v>45</v>
      </c>
      <c r="C1101" t="s">
        <v>121</v>
      </c>
    </row>
    <row r="1102" spans="1:3" x14ac:dyDescent="0.3">
      <c r="A1102" t="s">
        <v>789</v>
      </c>
      <c r="B1102" t="s">
        <v>45</v>
      </c>
      <c r="C1102" t="s">
        <v>1122</v>
      </c>
    </row>
    <row r="1103" spans="1:3" x14ac:dyDescent="0.3">
      <c r="A1103" t="s">
        <v>789</v>
      </c>
      <c r="C1103" t="s">
        <v>27</v>
      </c>
    </row>
    <row r="1104" spans="1:3" x14ac:dyDescent="0.3">
      <c r="A1104" t="s">
        <v>93</v>
      </c>
      <c r="B1104" t="s">
        <v>94</v>
      </c>
      <c r="C1104" t="s">
        <v>95</v>
      </c>
    </row>
    <row r="1105" spans="1:3" x14ac:dyDescent="0.3">
      <c r="A1105" t="s">
        <v>128</v>
      </c>
      <c r="B1105" t="s">
        <v>82</v>
      </c>
      <c r="C1105" t="s">
        <v>964</v>
      </c>
    </row>
    <row r="1106" spans="1:3" x14ac:dyDescent="0.3">
      <c r="A1106" t="s">
        <v>128</v>
      </c>
      <c r="B1106" t="s">
        <v>1396</v>
      </c>
      <c r="C1106" t="s">
        <v>1456</v>
      </c>
    </row>
    <row r="1107" spans="1:3" x14ac:dyDescent="0.3">
      <c r="A1107" t="s">
        <v>128</v>
      </c>
      <c r="B1107" t="s">
        <v>129</v>
      </c>
      <c r="C1107" t="s">
        <v>130</v>
      </c>
    </row>
    <row r="1108" spans="1:3" x14ac:dyDescent="0.3">
      <c r="A1108" t="s">
        <v>306</v>
      </c>
      <c r="B1108" t="s">
        <v>94</v>
      </c>
      <c r="C1108" t="s">
        <v>172</v>
      </c>
    </row>
    <row r="1109" spans="1:3" x14ac:dyDescent="0.3">
      <c r="A1109" t="s">
        <v>306</v>
      </c>
      <c r="B1109" t="s">
        <v>63</v>
      </c>
      <c r="C1109" t="s">
        <v>484</v>
      </c>
    </row>
    <row r="1110" spans="1:3" x14ac:dyDescent="0.3">
      <c r="A1110" t="s">
        <v>306</v>
      </c>
      <c r="B1110" t="s">
        <v>63</v>
      </c>
      <c r="C1110" t="s">
        <v>307</v>
      </c>
    </row>
    <row r="1111" spans="1:3" x14ac:dyDescent="0.3">
      <c r="A1111" t="s">
        <v>306</v>
      </c>
      <c r="B1111" t="s">
        <v>63</v>
      </c>
      <c r="C1111" t="s">
        <v>716</v>
      </c>
    </row>
    <row r="1112" spans="1:3" x14ac:dyDescent="0.3">
      <c r="A1112" t="s">
        <v>306</v>
      </c>
      <c r="B1112" t="s">
        <v>362</v>
      </c>
      <c r="C1112" t="s">
        <v>958</v>
      </c>
    </row>
    <row r="1113" spans="1:3" x14ac:dyDescent="0.3">
      <c r="A1113" t="s">
        <v>2123</v>
      </c>
      <c r="B1113" t="s">
        <v>106</v>
      </c>
      <c r="C1113" t="s">
        <v>134</v>
      </c>
    </row>
    <row r="1114" spans="1:3" x14ac:dyDescent="0.3">
      <c r="A1114" t="s">
        <v>700</v>
      </c>
      <c r="B1114" t="s">
        <v>106</v>
      </c>
      <c r="C1114" t="s">
        <v>121</v>
      </c>
    </row>
    <row r="1115" spans="1:3" x14ac:dyDescent="0.3">
      <c r="A1115" t="s">
        <v>700</v>
      </c>
      <c r="B1115" t="s">
        <v>862</v>
      </c>
      <c r="C1115" t="s">
        <v>863</v>
      </c>
    </row>
    <row r="1116" spans="1:3" x14ac:dyDescent="0.3">
      <c r="A1116" t="s">
        <v>1793</v>
      </c>
      <c r="B1116" t="s">
        <v>106</v>
      </c>
      <c r="C1116" t="s">
        <v>2117</v>
      </c>
    </row>
    <row r="1117" spans="1:3" x14ac:dyDescent="0.3">
      <c r="A1117" t="s">
        <v>409</v>
      </c>
      <c r="B1117" t="s">
        <v>63</v>
      </c>
      <c r="C1117" t="s">
        <v>215</v>
      </c>
    </row>
    <row r="1118" spans="1:3" x14ac:dyDescent="0.3">
      <c r="A1118" t="s">
        <v>409</v>
      </c>
      <c r="B1118" t="s">
        <v>63</v>
      </c>
      <c r="C1118" t="s">
        <v>182</v>
      </c>
    </row>
    <row r="1119" spans="1:3" x14ac:dyDescent="0.3">
      <c r="A1119" t="s">
        <v>475</v>
      </c>
      <c r="B1119" t="s">
        <v>106</v>
      </c>
    </row>
    <row r="1120" spans="1:3" x14ac:dyDescent="0.3">
      <c r="A1120" t="s">
        <v>941</v>
      </c>
      <c r="B1120" t="s">
        <v>1121</v>
      </c>
      <c r="C1120" t="s">
        <v>146</v>
      </c>
    </row>
    <row r="1121" spans="1:3" x14ac:dyDescent="0.3">
      <c r="A1121" t="s">
        <v>941</v>
      </c>
      <c r="B1121" t="s">
        <v>942</v>
      </c>
      <c r="C1121" t="s">
        <v>943</v>
      </c>
    </row>
    <row r="1122" spans="1:3" x14ac:dyDescent="0.3">
      <c r="A1122" t="s">
        <v>845</v>
      </c>
      <c r="B1122" t="s">
        <v>1064</v>
      </c>
      <c r="C1122" t="s">
        <v>1065</v>
      </c>
    </row>
    <row r="1123" spans="1:3" x14ac:dyDescent="0.3">
      <c r="A1123" t="s">
        <v>845</v>
      </c>
      <c r="B1123" t="s">
        <v>252</v>
      </c>
      <c r="C1123" t="s">
        <v>846</v>
      </c>
    </row>
    <row r="1124" spans="1:3" x14ac:dyDescent="0.3">
      <c r="A1124" t="s">
        <v>805</v>
      </c>
      <c r="B1124" t="s">
        <v>185</v>
      </c>
      <c r="C1124" t="s">
        <v>603</v>
      </c>
    </row>
    <row r="1125" spans="1:3" x14ac:dyDescent="0.3">
      <c r="A1125" t="s">
        <v>711</v>
      </c>
      <c r="B1125" t="s">
        <v>712</v>
      </c>
      <c r="C1125" t="s">
        <v>176</v>
      </c>
    </row>
    <row r="1126" spans="1:3" x14ac:dyDescent="0.3">
      <c r="A1126" t="s">
        <v>122</v>
      </c>
      <c r="B1126" t="s">
        <v>125</v>
      </c>
      <c r="C1126" t="s">
        <v>126</v>
      </c>
    </row>
    <row r="1127" spans="1:3" x14ac:dyDescent="0.3">
      <c r="A1127" t="s">
        <v>122</v>
      </c>
      <c r="B1127" t="s">
        <v>125</v>
      </c>
      <c r="C1127" t="s">
        <v>146</v>
      </c>
    </row>
    <row r="1128" spans="1:3" x14ac:dyDescent="0.3">
      <c r="A1128" t="s">
        <v>122</v>
      </c>
      <c r="B1128" t="s">
        <v>764</v>
      </c>
      <c r="C1128" t="s">
        <v>765</v>
      </c>
    </row>
    <row r="1129" spans="1:3" x14ac:dyDescent="0.3">
      <c r="A1129" t="s">
        <v>122</v>
      </c>
      <c r="B1129" t="s">
        <v>123</v>
      </c>
      <c r="C1129" t="s">
        <v>958</v>
      </c>
    </row>
    <row r="1130" spans="1:3" x14ac:dyDescent="0.3">
      <c r="A1130" t="s">
        <v>122</v>
      </c>
      <c r="B1130" t="s">
        <v>123</v>
      </c>
      <c r="C1130" t="s">
        <v>124</v>
      </c>
    </row>
    <row r="1131" spans="1:3" x14ac:dyDescent="0.3">
      <c r="A1131" t="s">
        <v>122</v>
      </c>
      <c r="B1131" t="s">
        <v>123</v>
      </c>
      <c r="C1131" t="s">
        <v>1092</v>
      </c>
    </row>
    <row r="1132" spans="1:3" x14ac:dyDescent="0.3">
      <c r="A1132" t="s">
        <v>122</v>
      </c>
      <c r="B1132" t="s">
        <v>879</v>
      </c>
      <c r="C1132" t="s">
        <v>880</v>
      </c>
    </row>
    <row r="1133" spans="1:3" x14ac:dyDescent="0.3">
      <c r="A1133" t="s">
        <v>122</v>
      </c>
      <c r="B1133" t="s">
        <v>169</v>
      </c>
      <c r="C1133" t="s">
        <v>146</v>
      </c>
    </row>
    <row r="1134" spans="1:3" x14ac:dyDescent="0.3">
      <c r="A1134" t="s">
        <v>122</v>
      </c>
      <c r="B1134" t="s">
        <v>809</v>
      </c>
      <c r="C1134" t="s">
        <v>70</v>
      </c>
    </row>
    <row r="1135" spans="1:3" x14ac:dyDescent="0.3">
      <c r="A1135" t="s">
        <v>122</v>
      </c>
      <c r="B1135" t="s">
        <v>2111</v>
      </c>
      <c r="C1135" t="s">
        <v>720</v>
      </c>
    </row>
    <row r="1136" spans="1:3" x14ac:dyDescent="0.3">
      <c r="A1136" t="s">
        <v>122</v>
      </c>
      <c r="B1136" t="s">
        <v>906</v>
      </c>
    </row>
    <row r="1137" spans="1:3" x14ac:dyDescent="0.3">
      <c r="A1137" t="s">
        <v>122</v>
      </c>
      <c r="C1137" t="s">
        <v>679</v>
      </c>
    </row>
    <row r="1138" spans="1:3" x14ac:dyDescent="0.3">
      <c r="A1138" t="s">
        <v>1179</v>
      </c>
      <c r="B1138" t="s">
        <v>1180</v>
      </c>
      <c r="C1138" t="s">
        <v>1181</v>
      </c>
    </row>
    <row r="1139" spans="1:3" x14ac:dyDescent="0.3">
      <c r="A1139" t="s">
        <v>1179</v>
      </c>
      <c r="B1139" t="s">
        <v>1191</v>
      </c>
      <c r="C1139" t="s">
        <v>1192</v>
      </c>
    </row>
    <row r="1140" spans="1:3" x14ac:dyDescent="0.3">
      <c r="A1140" t="s">
        <v>1348</v>
      </c>
      <c r="B1140" t="s">
        <v>1349</v>
      </c>
      <c r="C1140" t="s">
        <v>1350</v>
      </c>
    </row>
    <row r="1141" spans="1:3" x14ac:dyDescent="0.3">
      <c r="A1141" t="s">
        <v>1953</v>
      </c>
      <c r="B1141" t="s">
        <v>904</v>
      </c>
      <c r="C1141" t="s">
        <v>1256</v>
      </c>
    </row>
    <row r="1142" spans="1:3" x14ac:dyDescent="0.3">
      <c r="A1142" t="s">
        <v>1446</v>
      </c>
      <c r="B1142" t="s">
        <v>1194</v>
      </c>
      <c r="C1142" t="s">
        <v>255</v>
      </c>
    </row>
    <row r="1143" spans="1:3" x14ac:dyDescent="0.3">
      <c r="A1143" t="s">
        <v>1446</v>
      </c>
      <c r="B1143" t="s">
        <v>1194</v>
      </c>
      <c r="C1143" t="s">
        <v>255</v>
      </c>
    </row>
    <row r="1144" spans="1:3" x14ac:dyDescent="0.3">
      <c r="A1144" t="s">
        <v>1446</v>
      </c>
      <c r="B1144" t="s">
        <v>1194</v>
      </c>
      <c r="C1144" t="s">
        <v>283</v>
      </c>
    </row>
    <row r="1145" spans="1:3" x14ac:dyDescent="0.3">
      <c r="A1145" t="s">
        <v>1446</v>
      </c>
      <c r="B1145" t="s">
        <v>1194</v>
      </c>
      <c r="C1145" t="s">
        <v>283</v>
      </c>
    </row>
    <row r="1146" spans="1:3" x14ac:dyDescent="0.3">
      <c r="A1146" t="s">
        <v>1236</v>
      </c>
      <c r="B1146" t="s">
        <v>125</v>
      </c>
      <c r="C1146" t="s">
        <v>1237</v>
      </c>
    </row>
    <row r="1147" spans="1:3" x14ac:dyDescent="0.3">
      <c r="A1147" t="s">
        <v>114</v>
      </c>
      <c r="B1147" t="s">
        <v>115</v>
      </c>
      <c r="C1147" t="s">
        <v>116</v>
      </c>
    </row>
    <row r="1148" spans="1:3" x14ac:dyDescent="0.3">
      <c r="A1148" t="s">
        <v>99</v>
      </c>
      <c r="B1148" t="s">
        <v>100</v>
      </c>
      <c r="C1148" t="s">
        <v>101</v>
      </c>
    </row>
    <row r="1149" spans="1:3" x14ac:dyDescent="0.3">
      <c r="A1149" t="s">
        <v>99</v>
      </c>
      <c r="B1149" t="s">
        <v>185</v>
      </c>
      <c r="C1149" t="s">
        <v>603</v>
      </c>
    </row>
    <row r="1150" spans="1:3" x14ac:dyDescent="0.3">
      <c r="A1150" t="s">
        <v>99</v>
      </c>
      <c r="B1150" t="s">
        <v>392</v>
      </c>
      <c r="C1150" t="s">
        <v>176</v>
      </c>
    </row>
    <row r="1151" spans="1:3" x14ac:dyDescent="0.3">
      <c r="A1151" t="s">
        <v>1402</v>
      </c>
      <c r="B1151" t="s">
        <v>1349</v>
      </c>
      <c r="C1151" t="s">
        <v>1403</v>
      </c>
    </row>
    <row r="1152" spans="1:3" x14ac:dyDescent="0.3">
      <c r="A1152" t="s">
        <v>1402</v>
      </c>
      <c r="B1152" t="s">
        <v>1349</v>
      </c>
      <c r="C1152" t="s">
        <v>1422</v>
      </c>
    </row>
    <row r="1153" spans="1:3" x14ac:dyDescent="0.3">
      <c r="A1153" t="s">
        <v>1402</v>
      </c>
      <c r="B1153" t="s">
        <v>1349</v>
      </c>
      <c r="C1153" t="s">
        <v>1984</v>
      </c>
    </row>
    <row r="1154" spans="1:3" x14ac:dyDescent="0.3">
      <c r="A1154" t="s">
        <v>1963</v>
      </c>
      <c r="B1154" t="s">
        <v>106</v>
      </c>
      <c r="C1154" t="s">
        <v>1894</v>
      </c>
    </row>
    <row r="1155" spans="1:3" x14ac:dyDescent="0.3">
      <c r="A1155" t="s">
        <v>81</v>
      </c>
      <c r="B1155" t="s">
        <v>106</v>
      </c>
      <c r="C1155" t="s">
        <v>289</v>
      </c>
    </row>
    <row r="1156" spans="1:3" x14ac:dyDescent="0.3">
      <c r="A1156" t="s">
        <v>81</v>
      </c>
      <c r="B1156" t="s">
        <v>106</v>
      </c>
      <c r="C1156" t="s">
        <v>147</v>
      </c>
    </row>
    <row r="1157" spans="1:3" x14ac:dyDescent="0.3">
      <c r="A1157" t="s">
        <v>81</v>
      </c>
      <c r="B1157" t="s">
        <v>82</v>
      </c>
      <c r="C1157" t="s">
        <v>58</v>
      </c>
    </row>
    <row r="1158" spans="1:3" x14ac:dyDescent="0.3">
      <c r="A1158" t="s">
        <v>951</v>
      </c>
      <c r="B1158" t="s">
        <v>688</v>
      </c>
      <c r="C1158" t="s">
        <v>1943</v>
      </c>
    </row>
    <row r="1159" spans="1:3" x14ac:dyDescent="0.3">
      <c r="A1159" t="s">
        <v>951</v>
      </c>
      <c r="B1159" t="s">
        <v>688</v>
      </c>
      <c r="C1159" t="s">
        <v>952</v>
      </c>
    </row>
    <row r="1160" spans="1:3" x14ac:dyDescent="0.3">
      <c r="A1160" t="s">
        <v>353</v>
      </c>
      <c r="B1160" t="s">
        <v>32</v>
      </c>
      <c r="C1160" t="s">
        <v>354</v>
      </c>
    </row>
    <row r="1161" spans="1:3" x14ac:dyDescent="0.3">
      <c r="A1161" t="s">
        <v>353</v>
      </c>
      <c r="B1161" t="s">
        <v>32</v>
      </c>
      <c r="C1161" t="s">
        <v>423</v>
      </c>
    </row>
    <row r="1162" spans="1:3" x14ac:dyDescent="0.3">
      <c r="A1162" t="s">
        <v>353</v>
      </c>
      <c r="B1162" t="s">
        <v>32</v>
      </c>
      <c r="C1162" t="s">
        <v>488</v>
      </c>
    </row>
    <row r="1163" spans="1:3" x14ac:dyDescent="0.3">
      <c r="A1163" t="s">
        <v>56</v>
      </c>
      <c r="B1163" t="s">
        <v>94</v>
      </c>
      <c r="C1163" t="s">
        <v>289</v>
      </c>
    </row>
    <row r="1164" spans="1:3" x14ac:dyDescent="0.3">
      <c r="A1164" t="s">
        <v>56</v>
      </c>
      <c r="B1164" t="s">
        <v>94</v>
      </c>
      <c r="C1164" t="s">
        <v>988</v>
      </c>
    </row>
    <row r="1165" spans="1:3" x14ac:dyDescent="0.3">
      <c r="A1165" t="s">
        <v>56</v>
      </c>
      <c r="B1165" t="s">
        <v>106</v>
      </c>
      <c r="C1165" t="s">
        <v>671</v>
      </c>
    </row>
    <row r="1166" spans="1:3" x14ac:dyDescent="0.3">
      <c r="A1166" t="s">
        <v>56</v>
      </c>
      <c r="B1166" t="s">
        <v>57</v>
      </c>
      <c r="C1166" t="s">
        <v>58</v>
      </c>
    </row>
    <row r="1167" spans="1:3" x14ac:dyDescent="0.3">
      <c r="A1167" t="s">
        <v>56</v>
      </c>
      <c r="B1167" t="s">
        <v>533</v>
      </c>
      <c r="C1167" t="s">
        <v>534</v>
      </c>
    </row>
    <row r="1168" spans="1:3" x14ac:dyDescent="0.3">
      <c r="A1168" t="s">
        <v>56</v>
      </c>
      <c r="B1168" t="s">
        <v>362</v>
      </c>
      <c r="C1168" t="s">
        <v>186</v>
      </c>
    </row>
    <row r="1169" spans="1:3" x14ac:dyDescent="0.3">
      <c r="A1169" t="s">
        <v>56</v>
      </c>
      <c r="B1169" t="s">
        <v>362</v>
      </c>
      <c r="C1169" t="s">
        <v>27</v>
      </c>
    </row>
    <row r="1170" spans="1:3" x14ac:dyDescent="0.3">
      <c r="A1170" t="s">
        <v>56</v>
      </c>
      <c r="B1170" t="s">
        <v>764</v>
      </c>
      <c r="C1170" t="s">
        <v>833</v>
      </c>
    </row>
    <row r="1171" spans="1:3" x14ac:dyDescent="0.3">
      <c r="A1171" t="s">
        <v>56</v>
      </c>
      <c r="B1171" t="s">
        <v>764</v>
      </c>
      <c r="C1171" t="s">
        <v>768</v>
      </c>
    </row>
    <row r="1172" spans="1:3" x14ac:dyDescent="0.3">
      <c r="A1172" t="s">
        <v>56</v>
      </c>
      <c r="B1172" t="s">
        <v>82</v>
      </c>
      <c r="C1172" t="s">
        <v>347</v>
      </c>
    </row>
    <row r="1173" spans="1:3" x14ac:dyDescent="0.3">
      <c r="A1173" t="s">
        <v>56</v>
      </c>
      <c r="B1173" t="s">
        <v>1113</v>
      </c>
      <c r="C1173" t="s">
        <v>121</v>
      </c>
    </row>
    <row r="1174" spans="1:3" x14ac:dyDescent="0.3">
      <c r="A1174" t="s">
        <v>56</v>
      </c>
      <c r="B1174" t="s">
        <v>244</v>
      </c>
      <c r="C1174" t="s">
        <v>146</v>
      </c>
    </row>
    <row r="1175" spans="1:3" x14ac:dyDescent="0.3">
      <c r="A1175" t="s">
        <v>137</v>
      </c>
      <c r="B1175" t="s">
        <v>138</v>
      </c>
      <c r="C1175" t="s">
        <v>139</v>
      </c>
    </row>
    <row r="1176" spans="1:3" x14ac:dyDescent="0.3">
      <c r="A1176" t="s">
        <v>1126</v>
      </c>
      <c r="B1176" t="s">
        <v>1013</v>
      </c>
      <c r="C1176" t="s">
        <v>1127</v>
      </c>
    </row>
    <row r="1177" spans="1:3" x14ac:dyDescent="0.3">
      <c r="A1177" t="s">
        <v>1146</v>
      </c>
      <c r="C1177" t="s">
        <v>116</v>
      </c>
    </row>
    <row r="1178" spans="1:3" x14ac:dyDescent="0.3">
      <c r="A1178" t="s">
        <v>1141</v>
      </c>
      <c r="B1178" t="s">
        <v>803</v>
      </c>
      <c r="C1178" t="s">
        <v>1142</v>
      </c>
    </row>
    <row r="1179" spans="1:3" x14ac:dyDescent="0.3">
      <c r="A1179" t="s">
        <v>1205</v>
      </c>
      <c r="B1179" t="s">
        <v>1206</v>
      </c>
      <c r="C1179" t="s">
        <v>1207</v>
      </c>
    </row>
    <row r="1180" spans="1:3" x14ac:dyDescent="0.3">
      <c r="A1180" t="s">
        <v>1205</v>
      </c>
      <c r="B1180" t="s">
        <v>1206</v>
      </c>
    </row>
    <row r="1181" spans="1:3" x14ac:dyDescent="0.3">
      <c r="A1181" t="s">
        <v>785</v>
      </c>
      <c r="B1181" t="s">
        <v>786</v>
      </c>
      <c r="C1181" t="s">
        <v>787</v>
      </c>
    </row>
    <row r="1182" spans="1:3" x14ac:dyDescent="0.3">
      <c r="A1182" t="s">
        <v>1208</v>
      </c>
      <c r="B1182" t="s">
        <v>1209</v>
      </c>
      <c r="C1182" t="s">
        <v>1210</v>
      </c>
    </row>
    <row r="1183" spans="1:3" x14ac:dyDescent="0.3">
      <c r="A1183" t="s">
        <v>1208</v>
      </c>
      <c r="B1183" t="s">
        <v>1209</v>
      </c>
      <c r="C1183" t="s">
        <v>1428</v>
      </c>
    </row>
    <row r="1184" spans="1:3" x14ac:dyDescent="0.3">
      <c r="A1184" t="s">
        <v>1208</v>
      </c>
      <c r="B1184" t="s">
        <v>1434</v>
      </c>
      <c r="C1184" t="s">
        <v>341</v>
      </c>
    </row>
    <row r="1185" spans="1:3" x14ac:dyDescent="0.3">
      <c r="A1185" t="s">
        <v>1208</v>
      </c>
      <c r="B1185" t="s">
        <v>2007</v>
      </c>
      <c r="C1185" t="s">
        <v>85</v>
      </c>
    </row>
    <row r="1186" spans="1:3" x14ac:dyDescent="0.3">
      <c r="A1186" t="s">
        <v>1208</v>
      </c>
      <c r="B1186" t="s">
        <v>2006</v>
      </c>
      <c r="C1186" t="s">
        <v>85</v>
      </c>
    </row>
    <row r="1187" spans="1:3" x14ac:dyDescent="0.3">
      <c r="A1187" t="s">
        <v>1208</v>
      </c>
      <c r="B1187" t="s">
        <v>1431</v>
      </c>
      <c r="C1187" t="s">
        <v>779</v>
      </c>
    </row>
    <row r="1188" spans="1:3" x14ac:dyDescent="0.3">
      <c r="A1188" t="s">
        <v>1241</v>
      </c>
      <c r="B1188" t="s">
        <v>249</v>
      </c>
      <c r="C1188" t="s">
        <v>1242</v>
      </c>
    </row>
    <row r="1189" spans="1:3" x14ac:dyDescent="0.3">
      <c r="A1189" t="s">
        <v>1964</v>
      </c>
      <c r="B1189" t="s">
        <v>1965</v>
      </c>
    </row>
    <row r="1190" spans="1:3" x14ac:dyDescent="0.3">
      <c r="A1190" t="s">
        <v>246</v>
      </c>
      <c r="B1190" t="s">
        <v>247</v>
      </c>
      <c r="C1190" t="s">
        <v>172</v>
      </c>
    </row>
    <row r="1191" spans="1:3" x14ac:dyDescent="0.3">
      <c r="A1191" t="s">
        <v>246</v>
      </c>
      <c r="B1191" t="s">
        <v>247</v>
      </c>
      <c r="C1191" t="s">
        <v>172</v>
      </c>
    </row>
    <row r="1192" spans="1:3" x14ac:dyDescent="0.3">
      <c r="A1192" t="s">
        <v>246</v>
      </c>
      <c r="B1192" t="s">
        <v>247</v>
      </c>
      <c r="C1192" t="s">
        <v>640</v>
      </c>
    </row>
    <row r="1193" spans="1:3" x14ac:dyDescent="0.3">
      <c r="A1193" t="s">
        <v>246</v>
      </c>
      <c r="B1193" t="s">
        <v>247</v>
      </c>
      <c r="C1193" t="s">
        <v>172</v>
      </c>
    </row>
    <row r="1194" spans="1:3" x14ac:dyDescent="0.3">
      <c r="A1194" t="s">
        <v>246</v>
      </c>
      <c r="B1194" t="s">
        <v>464</v>
      </c>
      <c r="C1194" t="s">
        <v>503</v>
      </c>
    </row>
    <row r="1195" spans="1:3" x14ac:dyDescent="0.3">
      <c r="A1195" t="s">
        <v>246</v>
      </c>
      <c r="B1195" t="s">
        <v>464</v>
      </c>
      <c r="C1195" t="s">
        <v>146</v>
      </c>
    </row>
    <row r="1196" spans="1:3" x14ac:dyDescent="0.3">
      <c r="A1196" t="s">
        <v>246</v>
      </c>
      <c r="C1196" t="s">
        <v>27</v>
      </c>
    </row>
    <row r="1197" spans="1:3" x14ac:dyDescent="0.3">
      <c r="A1197" t="s">
        <v>309</v>
      </c>
      <c r="B1197" t="s">
        <v>106</v>
      </c>
      <c r="C1197" t="s">
        <v>215</v>
      </c>
    </row>
    <row r="1198" spans="1:3" x14ac:dyDescent="0.3">
      <c r="A1198" t="s">
        <v>309</v>
      </c>
      <c r="B1198" t="s">
        <v>63</v>
      </c>
    </row>
    <row r="1199" spans="1:3" x14ac:dyDescent="0.3">
      <c r="A1199" t="s">
        <v>309</v>
      </c>
      <c r="B1199" t="s">
        <v>133</v>
      </c>
      <c r="C1199" t="s">
        <v>1306</v>
      </c>
    </row>
    <row r="1200" spans="1:3" x14ac:dyDescent="0.3">
      <c r="A1200" t="s">
        <v>309</v>
      </c>
      <c r="B1200" t="s">
        <v>45</v>
      </c>
      <c r="C1200" t="s">
        <v>558</v>
      </c>
    </row>
    <row r="1201" spans="1:3" x14ac:dyDescent="0.3">
      <c r="A1201" t="s">
        <v>309</v>
      </c>
      <c r="B1201" t="s">
        <v>45</v>
      </c>
      <c r="C1201" t="s">
        <v>680</v>
      </c>
    </row>
    <row r="1202" spans="1:3" x14ac:dyDescent="0.3">
      <c r="A1202" t="s">
        <v>309</v>
      </c>
      <c r="B1202" t="s">
        <v>45</v>
      </c>
      <c r="C1202" t="s">
        <v>690</v>
      </c>
    </row>
    <row r="1203" spans="1:3" x14ac:dyDescent="0.3">
      <c r="A1203" t="s">
        <v>309</v>
      </c>
      <c r="B1203" t="s">
        <v>2105</v>
      </c>
      <c r="C1203" t="s">
        <v>126</v>
      </c>
    </row>
    <row r="1204" spans="1:3" x14ac:dyDescent="0.3">
      <c r="A1204" t="s">
        <v>309</v>
      </c>
      <c r="B1204" t="s">
        <v>181</v>
      </c>
    </row>
    <row r="1205" spans="1:3" x14ac:dyDescent="0.3">
      <c r="A1205" t="s">
        <v>309</v>
      </c>
      <c r="B1205" t="s">
        <v>487</v>
      </c>
      <c r="C1205" t="s">
        <v>1317</v>
      </c>
    </row>
    <row r="1206" spans="1:3" x14ac:dyDescent="0.3">
      <c r="A1206" t="s">
        <v>309</v>
      </c>
      <c r="B1206" t="s">
        <v>924</v>
      </c>
      <c r="C1206" t="s">
        <v>880</v>
      </c>
    </row>
    <row r="1207" spans="1:3" x14ac:dyDescent="0.3">
      <c r="A1207" t="s">
        <v>309</v>
      </c>
      <c r="B1207" t="s">
        <v>1107</v>
      </c>
      <c r="C1207" t="s">
        <v>1426</v>
      </c>
    </row>
    <row r="1208" spans="1:3" x14ac:dyDescent="0.3">
      <c r="A1208" t="s">
        <v>309</v>
      </c>
      <c r="B1208" t="s">
        <v>1416</v>
      </c>
      <c r="C1208" t="s">
        <v>1417</v>
      </c>
    </row>
    <row r="1209" spans="1:3" x14ac:dyDescent="0.3">
      <c r="A1209" t="s">
        <v>309</v>
      </c>
      <c r="B1209" t="s">
        <v>970</v>
      </c>
      <c r="C1209" t="s">
        <v>960</v>
      </c>
    </row>
    <row r="1210" spans="1:3" x14ac:dyDescent="0.3">
      <c r="A1210" t="s">
        <v>309</v>
      </c>
      <c r="B1210" t="s">
        <v>240</v>
      </c>
      <c r="C1210" t="s">
        <v>884</v>
      </c>
    </row>
    <row r="1211" spans="1:3" x14ac:dyDescent="0.3">
      <c r="A1211" t="s">
        <v>336</v>
      </c>
      <c r="B1211" t="s">
        <v>45</v>
      </c>
      <c r="C1211" t="s">
        <v>121</v>
      </c>
    </row>
    <row r="1212" spans="1:3" x14ac:dyDescent="0.3">
      <c r="A1212" t="s">
        <v>559</v>
      </c>
      <c r="B1212" t="s">
        <v>718</v>
      </c>
      <c r="C1212" t="s">
        <v>828</v>
      </c>
    </row>
    <row r="1213" spans="1:3" x14ac:dyDescent="0.3">
      <c r="A1213" t="s">
        <v>559</v>
      </c>
      <c r="B1213" t="s">
        <v>45</v>
      </c>
      <c r="C1213" t="s">
        <v>1128</v>
      </c>
    </row>
    <row r="1214" spans="1:3" x14ac:dyDescent="0.3">
      <c r="A1214" t="s">
        <v>559</v>
      </c>
      <c r="B1214" t="s">
        <v>45</v>
      </c>
      <c r="C1214" t="s">
        <v>726</v>
      </c>
    </row>
    <row r="1215" spans="1:3" x14ac:dyDescent="0.3">
      <c r="A1215" t="s">
        <v>559</v>
      </c>
      <c r="B1215" t="s">
        <v>45</v>
      </c>
      <c r="C1215" t="s">
        <v>671</v>
      </c>
    </row>
    <row r="1216" spans="1:3" x14ac:dyDescent="0.3">
      <c r="A1216" t="s">
        <v>559</v>
      </c>
      <c r="B1216" t="s">
        <v>45</v>
      </c>
      <c r="C1216" t="s">
        <v>1120</v>
      </c>
    </row>
    <row r="1217" spans="1:3" x14ac:dyDescent="0.3">
      <c r="A1217" t="s">
        <v>559</v>
      </c>
      <c r="B1217" t="s">
        <v>45</v>
      </c>
      <c r="C1217" t="s">
        <v>841</v>
      </c>
    </row>
    <row r="1218" spans="1:3" x14ac:dyDescent="0.3">
      <c r="A1218" t="s">
        <v>559</v>
      </c>
      <c r="B1218" t="s">
        <v>45</v>
      </c>
      <c r="C1218" t="s">
        <v>701</v>
      </c>
    </row>
    <row r="1219" spans="1:3" x14ac:dyDescent="0.3">
      <c r="A1219" t="s">
        <v>559</v>
      </c>
      <c r="B1219" t="s">
        <v>45</v>
      </c>
      <c r="C1219" t="s">
        <v>784</v>
      </c>
    </row>
    <row r="1220" spans="1:3" x14ac:dyDescent="0.3">
      <c r="A1220" t="s">
        <v>559</v>
      </c>
      <c r="B1220" t="s">
        <v>45</v>
      </c>
      <c r="C1220" t="s">
        <v>1088</v>
      </c>
    </row>
    <row r="1221" spans="1:3" x14ac:dyDescent="0.3">
      <c r="A1221" t="s">
        <v>559</v>
      </c>
      <c r="B1221" t="s">
        <v>45</v>
      </c>
      <c r="C1221" t="s">
        <v>558</v>
      </c>
    </row>
    <row r="1222" spans="1:3" x14ac:dyDescent="0.3">
      <c r="A1222" t="s">
        <v>559</v>
      </c>
      <c r="B1222" t="s">
        <v>45</v>
      </c>
      <c r="C1222" t="s">
        <v>955</v>
      </c>
    </row>
    <row r="1223" spans="1:3" x14ac:dyDescent="0.3">
      <c r="A1223" t="s">
        <v>559</v>
      </c>
      <c r="B1223" t="s">
        <v>764</v>
      </c>
      <c r="C1223" t="s">
        <v>534</v>
      </c>
    </row>
    <row r="1224" spans="1:3" x14ac:dyDescent="0.3">
      <c r="A1224" t="s">
        <v>559</v>
      </c>
      <c r="B1224" t="s">
        <v>1017</v>
      </c>
      <c r="C1224" t="s">
        <v>1148</v>
      </c>
    </row>
    <row r="1225" spans="1:3" x14ac:dyDescent="0.3">
      <c r="A1225" t="s">
        <v>559</v>
      </c>
      <c r="B1225" t="s">
        <v>1017</v>
      </c>
      <c r="C1225" t="s">
        <v>319</v>
      </c>
    </row>
    <row r="1226" spans="1:3" x14ac:dyDescent="0.3">
      <c r="A1226" t="s">
        <v>559</v>
      </c>
      <c r="B1226" t="s">
        <v>2121</v>
      </c>
      <c r="C1226" t="s">
        <v>186</v>
      </c>
    </row>
    <row r="1227" spans="1:3" x14ac:dyDescent="0.3">
      <c r="A1227" t="s">
        <v>1020</v>
      </c>
      <c r="B1227" t="s">
        <v>1021</v>
      </c>
      <c r="C1227" t="s">
        <v>1022</v>
      </c>
    </row>
    <row r="1228" spans="1:3" x14ac:dyDescent="0.3">
      <c r="A1228" t="s">
        <v>1186</v>
      </c>
      <c r="B1228" t="s">
        <v>1211</v>
      </c>
      <c r="C1228" t="s">
        <v>1197</v>
      </c>
    </row>
    <row r="1229" spans="1:3" x14ac:dyDescent="0.3">
      <c r="A1229" t="s">
        <v>1186</v>
      </c>
      <c r="B1229" t="s">
        <v>1211</v>
      </c>
      <c r="C1229" t="s">
        <v>1435</v>
      </c>
    </row>
    <row r="1230" spans="1:3" x14ac:dyDescent="0.3">
      <c r="A1230" t="s">
        <v>1186</v>
      </c>
      <c r="B1230" t="s">
        <v>1187</v>
      </c>
      <c r="C1230" t="s">
        <v>1188</v>
      </c>
    </row>
    <row r="1231" spans="1:3" x14ac:dyDescent="0.3">
      <c r="A1231" t="s">
        <v>339</v>
      </c>
      <c r="B1231" t="s">
        <v>106</v>
      </c>
      <c r="C1231" t="s">
        <v>340</v>
      </c>
    </row>
    <row r="1232" spans="1:3" x14ac:dyDescent="0.3">
      <c r="A1232" t="s">
        <v>339</v>
      </c>
      <c r="B1232" t="s">
        <v>106</v>
      </c>
      <c r="C1232" t="s">
        <v>578</v>
      </c>
    </row>
    <row r="1233" spans="1:3" x14ac:dyDescent="0.3">
      <c r="A1233" t="s">
        <v>474</v>
      </c>
      <c r="B1233" t="s">
        <v>45</v>
      </c>
      <c r="C1233" t="s">
        <v>829</v>
      </c>
    </row>
    <row r="1234" spans="1:3" x14ac:dyDescent="0.3">
      <c r="A1234" t="s">
        <v>474</v>
      </c>
      <c r="B1234" t="s">
        <v>45</v>
      </c>
      <c r="C1234" t="s">
        <v>145</v>
      </c>
    </row>
    <row r="1235" spans="1:3" x14ac:dyDescent="0.3">
      <c r="A1235" t="s">
        <v>474</v>
      </c>
      <c r="B1235" t="s">
        <v>45</v>
      </c>
      <c r="C1235" t="s">
        <v>98</v>
      </c>
    </row>
    <row r="1236" spans="1:3" x14ac:dyDescent="0.3">
      <c r="A1236" t="s">
        <v>474</v>
      </c>
      <c r="B1236" t="s">
        <v>886</v>
      </c>
      <c r="C1236" t="s">
        <v>319</v>
      </c>
    </row>
    <row r="1237" spans="1:3" x14ac:dyDescent="0.3">
      <c r="A1237" t="s">
        <v>474</v>
      </c>
      <c r="C1237" t="s">
        <v>590</v>
      </c>
    </row>
    <row r="1238" spans="1:3" x14ac:dyDescent="0.3">
      <c r="A1238" t="s">
        <v>1004</v>
      </c>
      <c r="B1238" t="s">
        <v>169</v>
      </c>
      <c r="C1238" t="s">
        <v>662</v>
      </c>
    </row>
    <row r="1239" spans="1:3" x14ac:dyDescent="0.3">
      <c r="A1239" t="s">
        <v>1055</v>
      </c>
      <c r="C1239" t="s">
        <v>933</v>
      </c>
    </row>
    <row r="1240" spans="1:3" x14ac:dyDescent="0.3">
      <c r="A1240" t="s">
        <v>360</v>
      </c>
      <c r="B1240" t="s">
        <v>1318</v>
      </c>
      <c r="C1240" t="s">
        <v>1319</v>
      </c>
    </row>
    <row r="1241" spans="1:3" x14ac:dyDescent="0.3">
      <c r="A1241" t="s">
        <v>360</v>
      </c>
      <c r="C1241" t="s">
        <v>361</v>
      </c>
    </row>
    <row r="1242" spans="1:3" x14ac:dyDescent="0.3">
      <c r="A1242" t="s">
        <v>322</v>
      </c>
      <c r="B1242" t="s">
        <v>323</v>
      </c>
      <c r="C1242" t="s">
        <v>324</v>
      </c>
    </row>
    <row r="1243" spans="1:3" x14ac:dyDescent="0.3">
      <c r="A1243" t="s">
        <v>965</v>
      </c>
      <c r="B1243" t="s">
        <v>966</v>
      </c>
      <c r="C1243" t="s">
        <v>85</v>
      </c>
    </row>
    <row r="1244" spans="1:3" x14ac:dyDescent="0.3">
      <c r="A1244" t="s">
        <v>1189</v>
      </c>
      <c r="B1244" t="s">
        <v>26</v>
      </c>
      <c r="C1244" t="s">
        <v>1190</v>
      </c>
    </row>
    <row r="1245" spans="1:3" x14ac:dyDescent="0.3">
      <c r="A1245" t="s">
        <v>1189</v>
      </c>
      <c r="C1245" t="s">
        <v>1367</v>
      </c>
    </row>
    <row r="1246" spans="1:3" x14ac:dyDescent="0.3">
      <c r="A1246" t="s">
        <v>1337</v>
      </c>
      <c r="B1246" t="s">
        <v>1194</v>
      </c>
      <c r="C1246" t="s">
        <v>733</v>
      </c>
    </row>
    <row r="1247" spans="1:3" x14ac:dyDescent="0.3">
      <c r="A1247" t="s">
        <v>1337</v>
      </c>
      <c r="B1247" t="s">
        <v>1194</v>
      </c>
      <c r="C1247" t="s">
        <v>592</v>
      </c>
    </row>
    <row r="1248" spans="1:3" x14ac:dyDescent="0.3">
      <c r="A1248" t="s">
        <v>2129</v>
      </c>
      <c r="B1248" t="s">
        <v>227</v>
      </c>
      <c r="C1248" t="s">
        <v>2130</v>
      </c>
    </row>
    <row r="1249" spans="1:3" x14ac:dyDescent="0.3">
      <c r="A1249" t="s">
        <v>1423</v>
      </c>
      <c r="B1249" t="s">
        <v>334</v>
      </c>
      <c r="C1249" t="s">
        <v>954</v>
      </c>
    </row>
    <row r="1250" spans="1:3" x14ac:dyDescent="0.3">
      <c r="A1250" t="s">
        <v>196</v>
      </c>
      <c r="B1250" t="s">
        <v>197</v>
      </c>
      <c r="C1250" t="s">
        <v>198</v>
      </c>
    </row>
    <row r="1251" spans="1:3" x14ac:dyDescent="0.3">
      <c r="A1251" t="s">
        <v>1225</v>
      </c>
      <c r="B1251" t="s">
        <v>1226</v>
      </c>
      <c r="C1251" t="s">
        <v>615</v>
      </c>
    </row>
    <row r="1252" spans="1:3" x14ac:dyDescent="0.3">
      <c r="A1252" t="s">
        <v>1225</v>
      </c>
      <c r="B1252" t="s">
        <v>1226</v>
      </c>
      <c r="C1252" t="s">
        <v>176</v>
      </c>
    </row>
    <row r="1253" spans="1:3" x14ac:dyDescent="0.3">
      <c r="A1253" t="s">
        <v>1307</v>
      </c>
      <c r="B1253" t="s">
        <v>84</v>
      </c>
      <c r="C1253" t="s">
        <v>377</v>
      </c>
    </row>
    <row r="1254" spans="1:3" x14ac:dyDescent="0.3">
      <c r="A1254" t="s">
        <v>1307</v>
      </c>
      <c r="B1254" t="s">
        <v>84</v>
      </c>
      <c r="C1254" t="s">
        <v>1409</v>
      </c>
    </row>
    <row r="1255" spans="1:3" x14ac:dyDescent="0.3">
      <c r="A1255" t="s">
        <v>837</v>
      </c>
      <c r="B1255" t="s">
        <v>838</v>
      </c>
      <c r="C1255" t="s">
        <v>121</v>
      </c>
    </row>
    <row r="1256" spans="1:3" x14ac:dyDescent="0.3">
      <c r="A1256" t="s">
        <v>961</v>
      </c>
      <c r="B1256" t="s">
        <v>232</v>
      </c>
      <c r="C1256" t="s">
        <v>960</v>
      </c>
    </row>
    <row r="1257" spans="1:3" x14ac:dyDescent="0.3">
      <c r="A1257" t="s">
        <v>478</v>
      </c>
      <c r="B1257" t="s">
        <v>232</v>
      </c>
      <c r="C1257" t="s">
        <v>467</v>
      </c>
    </row>
    <row r="1258" spans="1:3" x14ac:dyDescent="0.3">
      <c r="A1258" t="s">
        <v>276</v>
      </c>
      <c r="B1258" t="s">
        <v>277</v>
      </c>
      <c r="C1258" t="s">
        <v>168</v>
      </c>
    </row>
    <row r="1259" spans="1:3" x14ac:dyDescent="0.3">
      <c r="A1259" t="s">
        <v>276</v>
      </c>
      <c r="B1259" t="s">
        <v>277</v>
      </c>
      <c r="C1259" t="s">
        <v>168</v>
      </c>
    </row>
    <row r="1260" spans="1:3" x14ac:dyDescent="0.3">
      <c r="A1260" t="s">
        <v>276</v>
      </c>
      <c r="B1260" t="s">
        <v>2005</v>
      </c>
      <c r="C1260" t="s">
        <v>495</v>
      </c>
    </row>
    <row r="1261" spans="1:3" x14ac:dyDescent="0.3">
      <c r="A1261" t="s">
        <v>276</v>
      </c>
      <c r="B1261" t="s">
        <v>1094</v>
      </c>
      <c r="C1261" t="s">
        <v>1095</v>
      </c>
    </row>
    <row r="1262" spans="1:3" x14ac:dyDescent="0.3">
      <c r="A1262" t="s">
        <v>276</v>
      </c>
      <c r="B1262" t="s">
        <v>967</v>
      </c>
      <c r="C1262" t="s">
        <v>927</v>
      </c>
    </row>
    <row r="1263" spans="1:3" x14ac:dyDescent="0.3">
      <c r="A1263" t="s">
        <v>429</v>
      </c>
      <c r="B1263" t="s">
        <v>91</v>
      </c>
      <c r="C1263" t="s">
        <v>430</v>
      </c>
    </row>
    <row r="1264" spans="1:3" x14ac:dyDescent="0.3">
      <c r="A1264" t="s">
        <v>1069</v>
      </c>
      <c r="B1264" t="s">
        <v>179</v>
      </c>
      <c r="C1264" t="s">
        <v>1070</v>
      </c>
    </row>
    <row r="1265" spans="1:3" x14ac:dyDescent="0.3">
      <c r="A1265" t="s">
        <v>875</v>
      </c>
      <c r="B1265" t="s">
        <v>277</v>
      </c>
      <c r="C1265" t="s">
        <v>598</v>
      </c>
    </row>
    <row r="1266" spans="1:3" x14ac:dyDescent="0.3">
      <c r="A1266" t="s">
        <v>875</v>
      </c>
      <c r="B1266" t="s">
        <v>277</v>
      </c>
      <c r="C1266" t="s">
        <v>373</v>
      </c>
    </row>
    <row r="1267" spans="1:3" x14ac:dyDescent="0.3">
      <c r="A1267" t="s">
        <v>875</v>
      </c>
      <c r="B1267" t="s">
        <v>106</v>
      </c>
      <c r="C1267" t="s">
        <v>1049</v>
      </c>
    </row>
    <row r="1268" spans="1:3" x14ac:dyDescent="0.3">
      <c r="A1268" t="s">
        <v>875</v>
      </c>
      <c r="B1268" t="s">
        <v>1102</v>
      </c>
      <c r="C1268" t="s">
        <v>121</v>
      </c>
    </row>
    <row r="1269" spans="1:3" x14ac:dyDescent="0.3">
      <c r="A1269" t="s">
        <v>875</v>
      </c>
      <c r="B1269" t="s">
        <v>982</v>
      </c>
      <c r="C1269" t="s">
        <v>255</v>
      </c>
    </row>
    <row r="1270" spans="1:3" x14ac:dyDescent="0.3">
      <c r="A1270" t="s">
        <v>2056</v>
      </c>
      <c r="C1270" t="s">
        <v>27</v>
      </c>
    </row>
    <row r="1271" spans="1:3" x14ac:dyDescent="0.3">
      <c r="A1271" t="s">
        <v>1026</v>
      </c>
      <c r="B1271" t="s">
        <v>1444</v>
      </c>
      <c r="C1271" t="s">
        <v>788</v>
      </c>
    </row>
    <row r="1272" spans="1:3" x14ac:dyDescent="0.3">
      <c r="A1272" t="s">
        <v>1026</v>
      </c>
      <c r="B1272" t="s">
        <v>1464</v>
      </c>
      <c r="C1272" t="s">
        <v>1465</v>
      </c>
    </row>
    <row r="1273" spans="1:3" x14ac:dyDescent="0.3">
      <c r="A1273" t="s">
        <v>1026</v>
      </c>
      <c r="B1273" t="s">
        <v>362</v>
      </c>
      <c r="C1273" t="s">
        <v>1077</v>
      </c>
    </row>
    <row r="1274" spans="1:3" x14ac:dyDescent="0.3">
      <c r="A1274" t="s">
        <v>1026</v>
      </c>
      <c r="B1274" t="s">
        <v>362</v>
      </c>
      <c r="C1274" t="s">
        <v>85</v>
      </c>
    </row>
    <row r="1275" spans="1:3" x14ac:dyDescent="0.3">
      <c r="A1275" t="s">
        <v>1026</v>
      </c>
      <c r="B1275" t="s">
        <v>1209</v>
      </c>
      <c r="C1275" t="s">
        <v>1427</v>
      </c>
    </row>
    <row r="1276" spans="1:3" x14ac:dyDescent="0.3">
      <c r="A1276" t="s">
        <v>1026</v>
      </c>
    </row>
    <row r="1277" spans="1:3" x14ac:dyDescent="0.3">
      <c r="A1277" t="s">
        <v>792</v>
      </c>
      <c r="B1277" t="s">
        <v>793</v>
      </c>
      <c r="C1277" t="s">
        <v>145</v>
      </c>
    </row>
    <row r="1278" spans="1:3" x14ac:dyDescent="0.3">
      <c r="A1278" t="s">
        <v>1240</v>
      </c>
      <c r="B1278" t="s">
        <v>1180</v>
      </c>
      <c r="C1278" t="s">
        <v>72</v>
      </c>
    </row>
    <row r="1279" spans="1:3" x14ac:dyDescent="0.3">
      <c r="A1279" t="s">
        <v>1240</v>
      </c>
      <c r="B1279" t="s">
        <v>1391</v>
      </c>
    </row>
    <row r="1280" spans="1:3" x14ac:dyDescent="0.3">
      <c r="A1280" t="s">
        <v>1240</v>
      </c>
      <c r="B1280" t="s">
        <v>1391</v>
      </c>
      <c r="C1280" t="s">
        <v>1256</v>
      </c>
    </row>
    <row r="1281" spans="1:3" x14ac:dyDescent="0.3">
      <c r="A1281" t="s">
        <v>600</v>
      </c>
      <c r="B1281" t="s">
        <v>2088</v>
      </c>
      <c r="C1281" t="s">
        <v>2089</v>
      </c>
    </row>
    <row r="1282" spans="1:3" x14ac:dyDescent="0.3">
      <c r="A1282" t="s">
        <v>600</v>
      </c>
      <c r="B1282" t="s">
        <v>497</v>
      </c>
      <c r="C1282" t="s">
        <v>601</v>
      </c>
    </row>
    <row r="1283" spans="1:3" x14ac:dyDescent="0.3">
      <c r="A1283" t="s">
        <v>1473</v>
      </c>
      <c r="B1283" t="s">
        <v>495</v>
      </c>
      <c r="C1283" t="s">
        <v>1377</v>
      </c>
    </row>
    <row r="1284" spans="1:3" x14ac:dyDescent="0.3">
      <c r="A1284" t="s">
        <v>1135</v>
      </c>
      <c r="B1284" t="s">
        <v>63</v>
      </c>
      <c r="C1284" t="s">
        <v>145</v>
      </c>
    </row>
    <row r="1285" spans="1:3" x14ac:dyDescent="0.3">
      <c r="A1285" t="s">
        <v>1135</v>
      </c>
      <c r="B1285" t="s">
        <v>63</v>
      </c>
      <c r="C1285" t="s">
        <v>172</v>
      </c>
    </row>
    <row r="1286" spans="1:3" x14ac:dyDescent="0.3">
      <c r="A1286" t="s">
        <v>1135</v>
      </c>
      <c r="B1286" t="s">
        <v>63</v>
      </c>
      <c r="C1286" t="s">
        <v>1074</v>
      </c>
    </row>
    <row r="1287" spans="1:3" x14ac:dyDescent="0.3">
      <c r="A1287" t="s">
        <v>1135</v>
      </c>
      <c r="B1287" t="s">
        <v>63</v>
      </c>
      <c r="C1287" t="s">
        <v>255</v>
      </c>
    </row>
    <row r="1288" spans="1:3" x14ac:dyDescent="0.3">
      <c r="A1288" t="s">
        <v>1135</v>
      </c>
      <c r="B1288" t="s">
        <v>63</v>
      </c>
      <c r="C1288" t="s">
        <v>1136</v>
      </c>
    </row>
    <row r="1289" spans="1:3" x14ac:dyDescent="0.3">
      <c r="A1289" t="s">
        <v>584</v>
      </c>
      <c r="B1289" t="s">
        <v>63</v>
      </c>
      <c r="C1289" t="s">
        <v>2133</v>
      </c>
    </row>
    <row r="1290" spans="1:3" x14ac:dyDescent="0.3">
      <c r="A1290" t="s">
        <v>584</v>
      </c>
      <c r="B1290" t="s">
        <v>63</v>
      </c>
      <c r="C1290" t="s">
        <v>598</v>
      </c>
    </row>
    <row r="1291" spans="1:3" x14ac:dyDescent="0.3">
      <c r="A1291" t="s">
        <v>584</v>
      </c>
      <c r="B1291" t="s">
        <v>63</v>
      </c>
      <c r="C1291" t="s">
        <v>753</v>
      </c>
    </row>
    <row r="1292" spans="1:3" x14ac:dyDescent="0.3">
      <c r="A1292" t="s">
        <v>584</v>
      </c>
      <c r="C1292" t="s">
        <v>585</v>
      </c>
    </row>
    <row r="1293" spans="1:3" x14ac:dyDescent="0.3">
      <c r="A1293" t="s">
        <v>498</v>
      </c>
      <c r="B1293" t="s">
        <v>148</v>
      </c>
      <c r="C1293" t="s">
        <v>701</v>
      </c>
    </row>
    <row r="1294" spans="1:3" x14ac:dyDescent="0.3">
      <c r="A1294" t="s">
        <v>498</v>
      </c>
      <c r="B1294" t="s">
        <v>148</v>
      </c>
      <c r="C1294" t="s">
        <v>841</v>
      </c>
    </row>
    <row r="1295" spans="1:3" x14ac:dyDescent="0.3">
      <c r="A1295" t="s">
        <v>498</v>
      </c>
      <c r="B1295" t="s">
        <v>148</v>
      </c>
      <c r="C1295" t="s">
        <v>416</v>
      </c>
    </row>
    <row r="1296" spans="1:3" x14ac:dyDescent="0.3">
      <c r="A1296" t="s">
        <v>498</v>
      </c>
      <c r="B1296" t="s">
        <v>75</v>
      </c>
      <c r="C1296" t="s">
        <v>58</v>
      </c>
    </row>
    <row r="1297" spans="1:3" x14ac:dyDescent="0.3">
      <c r="A1297" t="s">
        <v>498</v>
      </c>
      <c r="B1297" t="s">
        <v>75</v>
      </c>
      <c r="C1297" t="s">
        <v>558</v>
      </c>
    </row>
    <row r="1298" spans="1:3" x14ac:dyDescent="0.3">
      <c r="A1298" t="s">
        <v>1536</v>
      </c>
      <c r="B1298" t="s">
        <v>148</v>
      </c>
      <c r="C1298" t="s">
        <v>1089</v>
      </c>
    </row>
    <row r="1299" spans="1:3" x14ac:dyDescent="0.3">
      <c r="A1299" t="s">
        <v>1536</v>
      </c>
      <c r="B1299" t="s">
        <v>75</v>
      </c>
      <c r="C1299" t="s">
        <v>424</v>
      </c>
    </row>
    <row r="1300" spans="1:3" x14ac:dyDescent="0.3">
      <c r="A1300" t="s">
        <v>1387</v>
      </c>
      <c r="B1300" t="s">
        <v>1388</v>
      </c>
      <c r="C1300" t="s">
        <v>1389</v>
      </c>
    </row>
    <row r="1301" spans="1:3" x14ac:dyDescent="0.3">
      <c r="A1301" t="s">
        <v>1387</v>
      </c>
      <c r="B1301" t="s">
        <v>1388</v>
      </c>
      <c r="C1301" t="s">
        <v>2086</v>
      </c>
    </row>
    <row r="1302" spans="1:3" x14ac:dyDescent="0.3">
      <c r="A1302" t="s">
        <v>594</v>
      </c>
      <c r="B1302" t="s">
        <v>596</v>
      </c>
      <c r="C1302" t="s">
        <v>597</v>
      </c>
    </row>
    <row r="1303" spans="1:3" x14ac:dyDescent="0.3">
      <c r="A1303" t="s">
        <v>594</v>
      </c>
      <c r="B1303" t="s">
        <v>263</v>
      </c>
      <c r="C1303" t="s">
        <v>618</v>
      </c>
    </row>
    <row r="1304" spans="1:3" x14ac:dyDescent="0.3">
      <c r="A1304" t="s">
        <v>594</v>
      </c>
      <c r="B1304" t="s">
        <v>263</v>
      </c>
      <c r="C1304" t="s">
        <v>595</v>
      </c>
    </row>
    <row r="1305" spans="1:3" x14ac:dyDescent="0.3">
      <c r="A1305" t="s">
        <v>1009</v>
      </c>
      <c r="B1305" t="s">
        <v>227</v>
      </c>
      <c r="C1305" t="s">
        <v>1010</v>
      </c>
    </row>
    <row r="1306" spans="1:3" x14ac:dyDescent="0.3">
      <c r="A1306" t="s">
        <v>1009</v>
      </c>
      <c r="B1306" t="s">
        <v>227</v>
      </c>
      <c r="C1306" t="s">
        <v>356</v>
      </c>
    </row>
    <row r="1307" spans="1:3" x14ac:dyDescent="0.3">
      <c r="A1307" t="s">
        <v>1009</v>
      </c>
      <c r="B1307" t="s">
        <v>227</v>
      </c>
      <c r="C1307" t="s">
        <v>145</v>
      </c>
    </row>
    <row r="1308" spans="1:3" x14ac:dyDescent="0.3">
      <c r="A1308" t="s">
        <v>514</v>
      </c>
      <c r="B1308" t="s">
        <v>692</v>
      </c>
      <c r="C1308" t="s">
        <v>693</v>
      </c>
    </row>
    <row r="1309" spans="1:3" x14ac:dyDescent="0.3">
      <c r="A1309" t="s">
        <v>514</v>
      </c>
      <c r="C1309" t="s">
        <v>146</v>
      </c>
    </row>
    <row r="1310" spans="1:3" x14ac:dyDescent="0.3">
      <c r="A1310" t="s">
        <v>1081</v>
      </c>
      <c r="B1310" t="s">
        <v>254</v>
      </c>
      <c r="C1310" t="s">
        <v>1012</v>
      </c>
    </row>
    <row r="1311" spans="1:3" x14ac:dyDescent="0.3">
      <c r="A1311" t="s">
        <v>90</v>
      </c>
      <c r="B1311" t="s">
        <v>162</v>
      </c>
      <c r="C1311" t="s">
        <v>163</v>
      </c>
    </row>
    <row r="1312" spans="1:3" x14ac:dyDescent="0.3">
      <c r="A1312" t="s">
        <v>90</v>
      </c>
      <c r="B1312" t="s">
        <v>162</v>
      </c>
      <c r="C1312" t="s">
        <v>145</v>
      </c>
    </row>
    <row r="1313" spans="1:3" x14ac:dyDescent="0.3">
      <c r="A1313" t="s">
        <v>90</v>
      </c>
      <c r="B1313" t="s">
        <v>45</v>
      </c>
      <c r="C1313" t="s">
        <v>121</v>
      </c>
    </row>
    <row r="1314" spans="1:3" x14ac:dyDescent="0.3">
      <c r="A1314" t="s">
        <v>90</v>
      </c>
      <c r="B1314" t="s">
        <v>254</v>
      </c>
      <c r="C1314" t="s">
        <v>2115</v>
      </c>
    </row>
    <row r="1315" spans="1:3" x14ac:dyDescent="0.3">
      <c r="A1315" t="s">
        <v>90</v>
      </c>
      <c r="B1315" t="s">
        <v>217</v>
      </c>
      <c r="C1315" t="s">
        <v>218</v>
      </c>
    </row>
    <row r="1316" spans="1:3" x14ac:dyDescent="0.3">
      <c r="A1316" t="s">
        <v>90</v>
      </c>
      <c r="B1316" t="s">
        <v>217</v>
      </c>
      <c r="C1316" t="s">
        <v>207</v>
      </c>
    </row>
    <row r="1317" spans="1:3" x14ac:dyDescent="0.3">
      <c r="A1317" t="s">
        <v>90</v>
      </c>
      <c r="B1317" t="s">
        <v>217</v>
      </c>
      <c r="C1317" t="s">
        <v>163</v>
      </c>
    </row>
    <row r="1318" spans="1:3" x14ac:dyDescent="0.3">
      <c r="A1318" t="s">
        <v>90</v>
      </c>
      <c r="B1318" t="s">
        <v>217</v>
      </c>
      <c r="C1318" t="s">
        <v>397</v>
      </c>
    </row>
    <row r="1319" spans="1:3" x14ac:dyDescent="0.3">
      <c r="A1319" t="s">
        <v>90</v>
      </c>
      <c r="B1319" t="s">
        <v>185</v>
      </c>
      <c r="C1319" t="s">
        <v>27</v>
      </c>
    </row>
    <row r="1320" spans="1:3" x14ac:dyDescent="0.3">
      <c r="A1320" t="s">
        <v>90</v>
      </c>
      <c r="B1320" t="s">
        <v>82</v>
      </c>
      <c r="C1320" t="s">
        <v>269</v>
      </c>
    </row>
    <row r="1321" spans="1:3" x14ac:dyDescent="0.3">
      <c r="A1321" t="s">
        <v>90</v>
      </c>
      <c r="B1321" t="s">
        <v>91</v>
      </c>
      <c r="C1321" t="s">
        <v>92</v>
      </c>
    </row>
    <row r="1322" spans="1:3" x14ac:dyDescent="0.3">
      <c r="A1322" t="s">
        <v>90</v>
      </c>
      <c r="B1322" t="s">
        <v>91</v>
      </c>
      <c r="C1322" t="s">
        <v>603</v>
      </c>
    </row>
    <row r="1323" spans="1:3" x14ac:dyDescent="0.3">
      <c r="A1323" t="s">
        <v>90</v>
      </c>
      <c r="B1323" t="s">
        <v>431</v>
      </c>
      <c r="C1323" t="s">
        <v>85</v>
      </c>
    </row>
    <row r="1324" spans="1:3" x14ac:dyDescent="0.3">
      <c r="A1324" t="s">
        <v>90</v>
      </c>
      <c r="B1324" t="s">
        <v>1999</v>
      </c>
      <c r="C1324" t="s">
        <v>2025</v>
      </c>
    </row>
    <row r="1325" spans="1:3" x14ac:dyDescent="0.3">
      <c r="A1325" t="s">
        <v>90</v>
      </c>
      <c r="C1325" t="s">
        <v>27</v>
      </c>
    </row>
    <row r="1326" spans="1:3" x14ac:dyDescent="0.3">
      <c r="A1326" t="s">
        <v>721</v>
      </c>
      <c r="B1326" t="s">
        <v>722</v>
      </c>
      <c r="C1326" t="s">
        <v>723</v>
      </c>
    </row>
    <row r="1327" spans="1:3" x14ac:dyDescent="0.3">
      <c r="A1327" t="s">
        <v>721</v>
      </c>
      <c r="B1327" t="s">
        <v>118</v>
      </c>
      <c r="C1327" t="s">
        <v>1031</v>
      </c>
    </row>
    <row r="1328" spans="1:3" x14ac:dyDescent="0.3">
      <c r="A1328" t="s">
        <v>1916</v>
      </c>
      <c r="B1328" t="s">
        <v>148</v>
      </c>
      <c r="C1328" t="s">
        <v>1089</v>
      </c>
    </row>
    <row r="1329" spans="1:3" x14ac:dyDescent="0.3">
      <c r="A1329" t="s">
        <v>858</v>
      </c>
      <c r="B1329" t="s">
        <v>859</v>
      </c>
      <c r="C1329" t="s">
        <v>860</v>
      </c>
    </row>
    <row r="1330" spans="1:3" x14ac:dyDescent="0.3">
      <c r="A1330" t="s">
        <v>2148</v>
      </c>
      <c r="B1330" t="s">
        <v>1131</v>
      </c>
      <c r="C1330" t="s">
        <v>1370</v>
      </c>
    </row>
    <row r="1331" spans="1:3" x14ac:dyDescent="0.3">
      <c r="A1331" t="s">
        <v>614</v>
      </c>
      <c r="B1331" t="s">
        <v>227</v>
      </c>
      <c r="C1331" t="s">
        <v>615</v>
      </c>
    </row>
    <row r="1332" spans="1:3" x14ac:dyDescent="0.3">
      <c r="A1332" t="s">
        <v>1966</v>
      </c>
      <c r="B1332" t="s">
        <v>1226</v>
      </c>
      <c r="C1332" t="s">
        <v>168</v>
      </c>
    </row>
    <row r="1333" spans="1:3" x14ac:dyDescent="0.3">
      <c r="A1333" t="s">
        <v>1966</v>
      </c>
      <c r="B1333" t="s">
        <v>1226</v>
      </c>
      <c r="C1333" t="s">
        <v>85</v>
      </c>
    </row>
    <row r="1334" spans="1:3" x14ac:dyDescent="0.3">
      <c r="A1334" t="s">
        <v>1966</v>
      </c>
      <c r="B1334" t="s">
        <v>1967</v>
      </c>
      <c r="C1334" t="s">
        <v>168</v>
      </c>
    </row>
    <row r="1335" spans="1:3" x14ac:dyDescent="0.3">
      <c r="A1335" t="s">
        <v>298</v>
      </c>
      <c r="B1335" t="s">
        <v>299</v>
      </c>
      <c r="C1335" t="s">
        <v>300</v>
      </c>
    </row>
    <row r="1336" spans="1:3" x14ac:dyDescent="0.3">
      <c r="A1336" t="s">
        <v>1977</v>
      </c>
      <c r="B1336" t="s">
        <v>1978</v>
      </c>
      <c r="C1336" t="s">
        <v>121</v>
      </c>
    </row>
    <row r="1337" spans="1:3" x14ac:dyDescent="0.3">
      <c r="A1337" t="s">
        <v>705</v>
      </c>
      <c r="B1337" t="s">
        <v>133</v>
      </c>
      <c r="C1337" t="s">
        <v>701</v>
      </c>
    </row>
    <row r="1338" spans="1:3" x14ac:dyDescent="0.3">
      <c r="A1338" t="s">
        <v>443</v>
      </c>
      <c r="B1338" t="s">
        <v>444</v>
      </c>
      <c r="C1338" t="s">
        <v>732</v>
      </c>
    </row>
    <row r="1339" spans="1:3" x14ac:dyDescent="0.3">
      <c r="A1339" t="s">
        <v>443</v>
      </c>
      <c r="B1339" t="s">
        <v>444</v>
      </c>
      <c r="C1339" t="s">
        <v>445</v>
      </c>
    </row>
    <row r="1340" spans="1:3" x14ac:dyDescent="0.3">
      <c r="A1340" t="s">
        <v>687</v>
      </c>
      <c r="B1340" t="s">
        <v>688</v>
      </c>
      <c r="C1340" t="s">
        <v>787</v>
      </c>
    </row>
    <row r="1341" spans="1:3" x14ac:dyDescent="0.3">
      <c r="A1341" t="s">
        <v>687</v>
      </c>
      <c r="B1341" t="s">
        <v>688</v>
      </c>
      <c r="C1341" t="s">
        <v>525</v>
      </c>
    </row>
    <row r="1342" spans="1:3" x14ac:dyDescent="0.3">
      <c r="A1342" t="s">
        <v>687</v>
      </c>
      <c r="B1342" t="s">
        <v>688</v>
      </c>
      <c r="C1342" t="s">
        <v>401</v>
      </c>
    </row>
    <row r="1343" spans="1:3" x14ac:dyDescent="0.3">
      <c r="A1343" t="s">
        <v>687</v>
      </c>
      <c r="B1343" t="s">
        <v>162</v>
      </c>
      <c r="C1343" t="s">
        <v>2051</v>
      </c>
    </row>
    <row r="1344" spans="1:3" x14ac:dyDescent="0.3">
      <c r="A1344" t="s">
        <v>1139</v>
      </c>
      <c r="B1344" t="s">
        <v>181</v>
      </c>
      <c r="C1344" t="s">
        <v>207</v>
      </c>
    </row>
    <row r="1345" spans="1:3" x14ac:dyDescent="0.3">
      <c r="A1345" t="s">
        <v>184</v>
      </c>
      <c r="B1345" t="s">
        <v>185</v>
      </c>
      <c r="C1345" t="s">
        <v>186</v>
      </c>
    </row>
    <row r="1346" spans="1:3" x14ac:dyDescent="0.3">
      <c r="A1346" t="s">
        <v>184</v>
      </c>
      <c r="B1346" t="s">
        <v>316</v>
      </c>
      <c r="C1346" t="s">
        <v>7</v>
      </c>
    </row>
    <row r="1347" spans="1:3" x14ac:dyDescent="0.3">
      <c r="A1347" t="s">
        <v>184</v>
      </c>
      <c r="B1347" t="s">
        <v>316</v>
      </c>
    </row>
    <row r="1348" spans="1:3" x14ac:dyDescent="0.3">
      <c r="A1348" t="s">
        <v>184</v>
      </c>
      <c r="C1348" t="s">
        <v>317</v>
      </c>
    </row>
    <row r="1349" spans="1:3" x14ac:dyDescent="0.3">
      <c r="A1349" t="s">
        <v>917</v>
      </c>
      <c r="B1349" t="s">
        <v>133</v>
      </c>
      <c r="C1349" t="s">
        <v>615</v>
      </c>
    </row>
    <row r="1350" spans="1:3" x14ac:dyDescent="0.3">
      <c r="A1350" t="s">
        <v>917</v>
      </c>
      <c r="B1350" t="s">
        <v>718</v>
      </c>
      <c r="C1350" t="s">
        <v>615</v>
      </c>
    </row>
    <row r="1351" spans="1:3" x14ac:dyDescent="0.3">
      <c r="A1351" t="s">
        <v>917</v>
      </c>
      <c r="B1351" t="s">
        <v>718</v>
      </c>
      <c r="C1351" t="s">
        <v>1025</v>
      </c>
    </row>
    <row r="1352" spans="1:3" x14ac:dyDescent="0.3">
      <c r="A1352" t="s">
        <v>917</v>
      </c>
      <c r="C1352" t="s">
        <v>938</v>
      </c>
    </row>
    <row r="1353" spans="1:3" x14ac:dyDescent="0.3">
      <c r="A1353" t="s">
        <v>326</v>
      </c>
      <c r="C1353" t="s">
        <v>27</v>
      </c>
    </row>
    <row r="1354" spans="1:3" x14ac:dyDescent="0.3">
      <c r="A1354" t="s">
        <v>326</v>
      </c>
      <c r="C1354" t="s">
        <v>27</v>
      </c>
    </row>
    <row r="1355" spans="1:3" x14ac:dyDescent="0.3">
      <c r="A1355" t="s">
        <v>724</v>
      </c>
      <c r="B1355" t="s">
        <v>252</v>
      </c>
      <c r="C1355" t="s">
        <v>725</v>
      </c>
    </row>
    <row r="1356" spans="1:3" x14ac:dyDescent="0.3">
      <c r="A1356" t="s">
        <v>825</v>
      </c>
      <c r="B1356" t="s">
        <v>826</v>
      </c>
      <c r="C1356" t="s">
        <v>283</v>
      </c>
    </row>
    <row r="1357" spans="1:3" x14ac:dyDescent="0.3">
      <c r="A1357" t="s">
        <v>68</v>
      </c>
      <c r="B1357" t="s">
        <v>69</v>
      </c>
      <c r="C1357" t="s">
        <v>70</v>
      </c>
    </row>
    <row r="1358" spans="1:3" x14ac:dyDescent="0.3">
      <c r="A1358" t="s">
        <v>975</v>
      </c>
      <c r="B1358" t="s">
        <v>287</v>
      </c>
      <c r="C1358" t="s">
        <v>1138</v>
      </c>
    </row>
    <row r="1359" spans="1:3" x14ac:dyDescent="0.3">
      <c r="A1359" t="s">
        <v>975</v>
      </c>
      <c r="B1359" t="s">
        <v>75</v>
      </c>
      <c r="C1359" t="s">
        <v>784</v>
      </c>
    </row>
    <row r="1360" spans="1:3" x14ac:dyDescent="0.3">
      <c r="A1360" t="s">
        <v>975</v>
      </c>
      <c r="C1360" t="s">
        <v>976</v>
      </c>
    </row>
    <row r="1361" spans="1:3" x14ac:dyDescent="0.3">
      <c r="A1361" t="s">
        <v>1232</v>
      </c>
      <c r="B1361" t="s">
        <v>1233</v>
      </c>
    </row>
    <row r="1362" spans="1:3" x14ac:dyDescent="0.3">
      <c r="A1362" t="s">
        <v>1227</v>
      </c>
      <c r="B1362" t="s">
        <v>1228</v>
      </c>
      <c r="C1362" t="s">
        <v>401</v>
      </c>
    </row>
    <row r="1363" spans="1:3" x14ac:dyDescent="0.3">
      <c r="A1363" t="s">
        <v>446</v>
      </c>
      <c r="B1363" t="s">
        <v>75</v>
      </c>
      <c r="C1363" t="s">
        <v>121</v>
      </c>
    </row>
    <row r="1364" spans="1:3" x14ac:dyDescent="0.3">
      <c r="A1364" t="s">
        <v>446</v>
      </c>
      <c r="B1364" t="s">
        <v>75</v>
      </c>
      <c r="C1364" t="s">
        <v>1088</v>
      </c>
    </row>
    <row r="1365" spans="1:3" x14ac:dyDescent="0.3">
      <c r="A1365" t="s">
        <v>446</v>
      </c>
      <c r="B1365" t="s">
        <v>75</v>
      </c>
      <c r="C1365" t="s">
        <v>615</v>
      </c>
    </row>
    <row r="1366" spans="1:3" x14ac:dyDescent="0.3">
      <c r="A1366" t="s">
        <v>446</v>
      </c>
      <c r="B1366" t="s">
        <v>367</v>
      </c>
      <c r="C1366" t="s">
        <v>1436</v>
      </c>
    </row>
    <row r="1367" spans="1:3" x14ac:dyDescent="0.3">
      <c r="A1367" t="s">
        <v>446</v>
      </c>
      <c r="C1367" t="s">
        <v>558</v>
      </c>
    </row>
    <row r="1368" spans="1:3" x14ac:dyDescent="0.3">
      <c r="A1368" t="s">
        <v>411</v>
      </c>
      <c r="B1368" t="s">
        <v>32</v>
      </c>
      <c r="C1368" t="s">
        <v>683</v>
      </c>
    </row>
    <row r="1369" spans="1:3" x14ac:dyDescent="0.3">
      <c r="A1369" t="s">
        <v>411</v>
      </c>
      <c r="B1369" t="s">
        <v>32</v>
      </c>
      <c r="C1369" t="s">
        <v>683</v>
      </c>
    </row>
    <row r="1370" spans="1:3" x14ac:dyDescent="0.3">
      <c r="A1370" t="s">
        <v>411</v>
      </c>
      <c r="B1370" t="s">
        <v>32</v>
      </c>
      <c r="C1370" t="s">
        <v>416</v>
      </c>
    </row>
    <row r="1371" spans="1:3" x14ac:dyDescent="0.3">
      <c r="A1371" t="s">
        <v>411</v>
      </c>
      <c r="B1371" t="s">
        <v>412</v>
      </c>
      <c r="C1371" t="s">
        <v>163</v>
      </c>
    </row>
    <row r="1372" spans="1:3" x14ac:dyDescent="0.3">
      <c r="A1372" t="s">
        <v>411</v>
      </c>
      <c r="B1372" t="s">
        <v>179</v>
      </c>
      <c r="C1372" t="s">
        <v>848</v>
      </c>
    </row>
    <row r="1373" spans="1:3" x14ac:dyDescent="0.3">
      <c r="A1373" t="s">
        <v>411</v>
      </c>
      <c r="B1373" t="s">
        <v>179</v>
      </c>
      <c r="C1373" t="s">
        <v>737</v>
      </c>
    </row>
    <row r="1374" spans="1:3" x14ac:dyDescent="0.3">
      <c r="A1374" t="s">
        <v>411</v>
      </c>
      <c r="B1374" t="s">
        <v>179</v>
      </c>
      <c r="C1374" t="s">
        <v>947</v>
      </c>
    </row>
    <row r="1375" spans="1:3" x14ac:dyDescent="0.3">
      <c r="A1375" t="s">
        <v>411</v>
      </c>
      <c r="B1375" t="s">
        <v>179</v>
      </c>
      <c r="C1375" t="s">
        <v>255</v>
      </c>
    </row>
    <row r="1376" spans="1:3" x14ac:dyDescent="0.3">
      <c r="A1376" t="s">
        <v>411</v>
      </c>
      <c r="B1376" t="s">
        <v>179</v>
      </c>
      <c r="C1376" t="s">
        <v>840</v>
      </c>
    </row>
    <row r="1377" spans="1:3" x14ac:dyDescent="0.3">
      <c r="A1377" t="s">
        <v>411</v>
      </c>
      <c r="B1377" t="s">
        <v>179</v>
      </c>
      <c r="C1377" t="s">
        <v>1140</v>
      </c>
    </row>
    <row r="1378" spans="1:3" x14ac:dyDescent="0.3">
      <c r="A1378" t="s">
        <v>908</v>
      </c>
      <c r="B1378" t="s">
        <v>909</v>
      </c>
      <c r="C1378" t="s">
        <v>910</v>
      </c>
    </row>
    <row r="1379" spans="1:3" x14ac:dyDescent="0.3">
      <c r="A1379" t="s">
        <v>2124</v>
      </c>
      <c r="B1379" t="s">
        <v>2125</v>
      </c>
      <c r="C1379" t="s">
        <v>121</v>
      </c>
    </row>
    <row r="1380" spans="1:3" x14ac:dyDescent="0.3">
      <c r="A1380" t="s">
        <v>1361</v>
      </c>
      <c r="B1380" t="s">
        <v>1226</v>
      </c>
    </row>
    <row r="1381" spans="1:3" x14ac:dyDescent="0.3">
      <c r="A1381" t="s">
        <v>985</v>
      </c>
      <c r="B1381" t="s">
        <v>986</v>
      </c>
      <c r="C1381" t="s">
        <v>172</v>
      </c>
    </row>
    <row r="1382" spans="1:3" x14ac:dyDescent="0.3">
      <c r="A1382" t="s">
        <v>73</v>
      </c>
      <c r="B1382" t="s">
        <v>1057</v>
      </c>
      <c r="C1382" t="s">
        <v>1058</v>
      </c>
    </row>
    <row r="1383" spans="1:3" x14ac:dyDescent="0.3">
      <c r="A1383" t="s">
        <v>73</v>
      </c>
      <c r="B1383" t="s">
        <v>227</v>
      </c>
      <c r="C1383" t="s">
        <v>505</v>
      </c>
    </row>
    <row r="1384" spans="1:3" x14ac:dyDescent="0.3">
      <c r="A1384" t="s">
        <v>73</v>
      </c>
      <c r="C1384" t="s">
        <v>27</v>
      </c>
    </row>
    <row r="1385" spans="1:3" x14ac:dyDescent="0.3">
      <c r="A1385" t="s">
        <v>73</v>
      </c>
      <c r="C1385" t="s">
        <v>27</v>
      </c>
    </row>
    <row r="1386" spans="1:3" x14ac:dyDescent="0.3">
      <c r="A1386" t="s">
        <v>73</v>
      </c>
      <c r="C1386" t="s">
        <v>1945</v>
      </c>
    </row>
    <row r="1387" spans="1:3" x14ac:dyDescent="0.3">
      <c r="A1387" t="s">
        <v>520</v>
      </c>
      <c r="B1387" t="s">
        <v>167</v>
      </c>
    </row>
    <row r="1388" spans="1:3" x14ac:dyDescent="0.3">
      <c r="A1388" t="s">
        <v>465</v>
      </c>
      <c r="B1388" t="s">
        <v>1054</v>
      </c>
      <c r="C1388" t="s">
        <v>946</v>
      </c>
    </row>
    <row r="1389" spans="1:3" x14ac:dyDescent="0.3">
      <c r="A1389" t="s">
        <v>465</v>
      </c>
      <c r="B1389" t="s">
        <v>466</v>
      </c>
      <c r="C1389" t="s">
        <v>467</v>
      </c>
    </row>
    <row r="1390" spans="1:3" x14ac:dyDescent="0.3">
      <c r="A1390" t="s">
        <v>189</v>
      </c>
      <c r="B1390" t="s">
        <v>362</v>
      </c>
      <c r="C1390" t="s">
        <v>186</v>
      </c>
    </row>
    <row r="1391" spans="1:3" x14ac:dyDescent="0.3">
      <c r="A1391" t="s">
        <v>189</v>
      </c>
      <c r="B1391" t="s">
        <v>261</v>
      </c>
      <c r="C1391" t="s">
        <v>186</v>
      </c>
    </row>
    <row r="1392" spans="1:3" x14ac:dyDescent="0.3">
      <c r="A1392" t="s">
        <v>189</v>
      </c>
      <c r="B1392" t="s">
        <v>2030</v>
      </c>
      <c r="C1392" t="s">
        <v>1757</v>
      </c>
    </row>
    <row r="1393" spans="1:3" x14ac:dyDescent="0.3">
      <c r="A1393" t="s">
        <v>189</v>
      </c>
      <c r="B1393" t="s">
        <v>190</v>
      </c>
      <c r="C1393" t="s">
        <v>153</v>
      </c>
    </row>
    <row r="1394" spans="1:3" x14ac:dyDescent="0.3">
      <c r="A1394" t="s">
        <v>450</v>
      </c>
      <c r="B1394" t="s">
        <v>444</v>
      </c>
      <c r="C1394" t="s">
        <v>615</v>
      </c>
    </row>
    <row r="1395" spans="1:3" x14ac:dyDescent="0.3">
      <c r="A1395" t="s">
        <v>450</v>
      </c>
      <c r="B1395" t="s">
        <v>444</v>
      </c>
      <c r="C1395" t="s">
        <v>732</v>
      </c>
    </row>
    <row r="1396" spans="1:3" x14ac:dyDescent="0.3">
      <c r="A1396" t="s">
        <v>450</v>
      </c>
      <c r="B1396" t="s">
        <v>524</v>
      </c>
      <c r="C1396" t="s">
        <v>1992</v>
      </c>
    </row>
    <row r="1397" spans="1:3" x14ac:dyDescent="0.3">
      <c r="A1397" t="s">
        <v>450</v>
      </c>
      <c r="B1397" t="s">
        <v>379</v>
      </c>
      <c r="C1397" t="s">
        <v>843</v>
      </c>
    </row>
    <row r="1398" spans="1:3" x14ac:dyDescent="0.3">
      <c r="A1398" t="s">
        <v>450</v>
      </c>
      <c r="B1398" t="s">
        <v>379</v>
      </c>
      <c r="C1398" t="s">
        <v>145</v>
      </c>
    </row>
    <row r="1399" spans="1:3" x14ac:dyDescent="0.3">
      <c r="A1399" t="s">
        <v>450</v>
      </c>
      <c r="B1399" t="s">
        <v>133</v>
      </c>
      <c r="C1399" t="s">
        <v>783</v>
      </c>
    </row>
    <row r="1400" spans="1:3" x14ac:dyDescent="0.3">
      <c r="A1400" t="s">
        <v>450</v>
      </c>
      <c r="B1400" t="s">
        <v>133</v>
      </c>
      <c r="C1400" t="s">
        <v>145</v>
      </c>
    </row>
    <row r="1401" spans="1:3" x14ac:dyDescent="0.3">
      <c r="A1401" t="s">
        <v>450</v>
      </c>
      <c r="B1401" t="s">
        <v>133</v>
      </c>
      <c r="C1401" t="s">
        <v>145</v>
      </c>
    </row>
    <row r="1402" spans="1:3" x14ac:dyDescent="0.3">
      <c r="A1402" t="s">
        <v>450</v>
      </c>
      <c r="B1402" t="s">
        <v>254</v>
      </c>
      <c r="C1402" t="s">
        <v>891</v>
      </c>
    </row>
    <row r="1403" spans="1:3" x14ac:dyDescent="0.3">
      <c r="A1403" t="s">
        <v>450</v>
      </c>
      <c r="B1403" t="s">
        <v>254</v>
      </c>
      <c r="C1403" t="s">
        <v>932</v>
      </c>
    </row>
    <row r="1404" spans="1:3" x14ac:dyDescent="0.3">
      <c r="A1404" t="s">
        <v>450</v>
      </c>
      <c r="B1404" t="s">
        <v>254</v>
      </c>
      <c r="C1404" t="s">
        <v>615</v>
      </c>
    </row>
    <row r="1405" spans="1:3" x14ac:dyDescent="0.3">
      <c r="A1405" t="s">
        <v>450</v>
      </c>
      <c r="B1405" t="s">
        <v>254</v>
      </c>
      <c r="C1405" t="s">
        <v>452</v>
      </c>
    </row>
    <row r="1406" spans="1:3" x14ac:dyDescent="0.3">
      <c r="A1406" t="s">
        <v>450</v>
      </c>
      <c r="B1406" t="s">
        <v>820</v>
      </c>
      <c r="C1406" t="s">
        <v>821</v>
      </c>
    </row>
    <row r="1407" spans="1:3" x14ac:dyDescent="0.3">
      <c r="A1407" t="s">
        <v>608</v>
      </c>
      <c r="B1407" t="s">
        <v>133</v>
      </c>
      <c r="C1407" t="s">
        <v>609</v>
      </c>
    </row>
    <row r="1408" spans="1:3" x14ac:dyDescent="0.3">
      <c r="A1408" t="s">
        <v>256</v>
      </c>
      <c r="B1408" t="s">
        <v>677</v>
      </c>
      <c r="C1408" t="s">
        <v>615</v>
      </c>
    </row>
    <row r="1409" spans="1:3" x14ac:dyDescent="0.3">
      <c r="A1409" t="s">
        <v>256</v>
      </c>
      <c r="B1409" t="s">
        <v>524</v>
      </c>
      <c r="C1409" t="s">
        <v>255</v>
      </c>
    </row>
    <row r="1410" spans="1:3" x14ac:dyDescent="0.3">
      <c r="A1410" t="s">
        <v>256</v>
      </c>
      <c r="B1410" t="s">
        <v>524</v>
      </c>
      <c r="C1410" t="s">
        <v>146</v>
      </c>
    </row>
    <row r="1411" spans="1:3" x14ac:dyDescent="0.3">
      <c r="A1411" t="s">
        <v>256</v>
      </c>
      <c r="B1411" t="s">
        <v>754</v>
      </c>
      <c r="C1411" t="s">
        <v>755</v>
      </c>
    </row>
    <row r="1412" spans="1:3" x14ac:dyDescent="0.3">
      <c r="A1412" t="s">
        <v>256</v>
      </c>
      <c r="B1412" t="s">
        <v>154</v>
      </c>
      <c r="C1412" t="s">
        <v>257</v>
      </c>
    </row>
    <row r="1413" spans="1:3" x14ac:dyDescent="0.3">
      <c r="A1413" t="s">
        <v>256</v>
      </c>
      <c r="B1413" t="s">
        <v>1018</v>
      </c>
      <c r="C1413" t="s">
        <v>1019</v>
      </c>
    </row>
    <row r="1414" spans="1:3" x14ac:dyDescent="0.3">
      <c r="A1414" t="s">
        <v>256</v>
      </c>
      <c r="B1414" t="s">
        <v>301</v>
      </c>
      <c r="C1414" t="s">
        <v>302</v>
      </c>
    </row>
    <row r="1415" spans="1:3" x14ac:dyDescent="0.3">
      <c r="A1415" t="s">
        <v>256</v>
      </c>
      <c r="B1415" t="s">
        <v>1129</v>
      </c>
      <c r="C1415" t="s">
        <v>1130</v>
      </c>
    </row>
    <row r="1416" spans="1:3" x14ac:dyDescent="0.3">
      <c r="A1416" t="s">
        <v>256</v>
      </c>
      <c r="B1416" t="s">
        <v>1129</v>
      </c>
      <c r="C1416" t="s">
        <v>70</v>
      </c>
    </row>
    <row r="1417" spans="1:3" x14ac:dyDescent="0.3">
      <c r="A1417" t="s">
        <v>256</v>
      </c>
      <c r="B1417" t="s">
        <v>140</v>
      </c>
      <c r="C1417" t="s">
        <v>172</v>
      </c>
    </row>
    <row r="1418" spans="1:3" x14ac:dyDescent="0.3">
      <c r="A1418" t="s">
        <v>562</v>
      </c>
      <c r="B1418" t="s">
        <v>563</v>
      </c>
      <c r="C1418" t="s">
        <v>1044</v>
      </c>
    </row>
    <row r="1419" spans="1:3" x14ac:dyDescent="0.3">
      <c r="A1419" t="s">
        <v>562</v>
      </c>
      <c r="B1419" t="s">
        <v>563</v>
      </c>
      <c r="C1419" t="s">
        <v>564</v>
      </c>
    </row>
    <row r="1420" spans="1:3" x14ac:dyDescent="0.3">
      <c r="A1420" t="s">
        <v>562</v>
      </c>
      <c r="B1420" t="s">
        <v>563</v>
      </c>
      <c r="C1420" t="s">
        <v>1103</v>
      </c>
    </row>
    <row r="1421" spans="1:3" x14ac:dyDescent="0.3">
      <c r="A1421" t="s">
        <v>2112</v>
      </c>
      <c r="B1421" t="s">
        <v>1999</v>
      </c>
      <c r="C1421" t="s">
        <v>121</v>
      </c>
    </row>
    <row r="1422" spans="1:3" x14ac:dyDescent="0.3">
      <c r="A1422" t="s">
        <v>333</v>
      </c>
      <c r="B1422" t="s">
        <v>32</v>
      </c>
      <c r="C1422" t="s">
        <v>126</v>
      </c>
    </row>
    <row r="1423" spans="1:3" x14ac:dyDescent="0.3">
      <c r="A1423" t="s">
        <v>333</v>
      </c>
      <c r="B1423" t="s">
        <v>133</v>
      </c>
    </row>
    <row r="1424" spans="1:3" x14ac:dyDescent="0.3">
      <c r="A1424" t="s">
        <v>333</v>
      </c>
      <c r="B1424" t="s">
        <v>133</v>
      </c>
      <c r="C1424" t="s">
        <v>168</v>
      </c>
    </row>
    <row r="1425" spans="1:3" x14ac:dyDescent="0.3">
      <c r="A1425" t="s">
        <v>333</v>
      </c>
      <c r="B1425" t="s">
        <v>133</v>
      </c>
      <c r="C1425" t="s">
        <v>168</v>
      </c>
    </row>
    <row r="1426" spans="1:3" x14ac:dyDescent="0.3">
      <c r="A1426" t="s">
        <v>333</v>
      </c>
      <c r="B1426" t="s">
        <v>412</v>
      </c>
      <c r="C1426" t="s">
        <v>598</v>
      </c>
    </row>
    <row r="1427" spans="1:3" x14ac:dyDescent="0.3">
      <c r="A1427" t="s">
        <v>333</v>
      </c>
      <c r="B1427" t="s">
        <v>1167</v>
      </c>
      <c r="C1427" t="s">
        <v>1168</v>
      </c>
    </row>
    <row r="1428" spans="1:3" x14ac:dyDescent="0.3">
      <c r="A1428" t="s">
        <v>333</v>
      </c>
      <c r="B1428" t="s">
        <v>1167</v>
      </c>
      <c r="C1428" t="s">
        <v>662</v>
      </c>
    </row>
    <row r="1429" spans="1:3" x14ac:dyDescent="0.3">
      <c r="A1429" t="s">
        <v>333</v>
      </c>
      <c r="B1429" t="s">
        <v>1167</v>
      </c>
      <c r="C1429" t="s">
        <v>880</v>
      </c>
    </row>
    <row r="1430" spans="1:3" x14ac:dyDescent="0.3">
      <c r="A1430" t="s">
        <v>333</v>
      </c>
      <c r="B1430" t="s">
        <v>1167</v>
      </c>
      <c r="C1430" t="s">
        <v>1151</v>
      </c>
    </row>
    <row r="1431" spans="1:3" x14ac:dyDescent="0.3">
      <c r="A1431" t="s">
        <v>333</v>
      </c>
      <c r="B1431" t="s">
        <v>1167</v>
      </c>
      <c r="C1431" t="s">
        <v>85</v>
      </c>
    </row>
    <row r="1432" spans="1:3" x14ac:dyDescent="0.3">
      <c r="A1432" t="s">
        <v>333</v>
      </c>
      <c r="B1432" t="s">
        <v>1167</v>
      </c>
      <c r="C1432" t="s">
        <v>2008</v>
      </c>
    </row>
    <row r="1433" spans="1:3" x14ac:dyDescent="0.3">
      <c r="A1433" t="s">
        <v>333</v>
      </c>
      <c r="B1433" t="s">
        <v>1167</v>
      </c>
      <c r="C1433" t="s">
        <v>415</v>
      </c>
    </row>
    <row r="1434" spans="1:3" x14ac:dyDescent="0.3">
      <c r="A1434" t="s">
        <v>333</v>
      </c>
      <c r="B1434" t="s">
        <v>1164</v>
      </c>
      <c r="C1434" t="s">
        <v>1221</v>
      </c>
    </row>
    <row r="1435" spans="1:3" x14ac:dyDescent="0.3">
      <c r="A1435" t="s">
        <v>333</v>
      </c>
      <c r="B1435" t="s">
        <v>1164</v>
      </c>
      <c r="C1435" t="s">
        <v>1309</v>
      </c>
    </row>
    <row r="1436" spans="1:3" x14ac:dyDescent="0.3">
      <c r="A1436" t="s">
        <v>333</v>
      </c>
      <c r="B1436" t="s">
        <v>1164</v>
      </c>
    </row>
    <row r="1437" spans="1:3" x14ac:dyDescent="0.3">
      <c r="A1437" t="s">
        <v>333</v>
      </c>
      <c r="B1437" t="s">
        <v>1164</v>
      </c>
      <c r="C1437" t="s">
        <v>1338</v>
      </c>
    </row>
    <row r="1438" spans="1:3" x14ac:dyDescent="0.3">
      <c r="A1438" t="s">
        <v>333</v>
      </c>
      <c r="B1438" t="s">
        <v>334</v>
      </c>
      <c r="C1438" t="s">
        <v>255</v>
      </c>
    </row>
    <row r="1439" spans="1:3" x14ac:dyDescent="0.3">
      <c r="A1439" t="s">
        <v>333</v>
      </c>
      <c r="B1439" t="s">
        <v>334</v>
      </c>
      <c r="C1439" t="s">
        <v>176</v>
      </c>
    </row>
    <row r="1440" spans="1:3" x14ac:dyDescent="0.3">
      <c r="A1440" t="s">
        <v>333</v>
      </c>
      <c r="B1440" t="s">
        <v>334</v>
      </c>
      <c r="C1440" t="s">
        <v>335</v>
      </c>
    </row>
    <row r="1441" spans="1:3" x14ac:dyDescent="0.3">
      <c r="A1441" t="s">
        <v>333</v>
      </c>
      <c r="B1441" t="s">
        <v>334</v>
      </c>
      <c r="C1441" t="s">
        <v>176</v>
      </c>
    </row>
    <row r="1442" spans="1:3" x14ac:dyDescent="0.3">
      <c r="A1442" t="s">
        <v>333</v>
      </c>
      <c r="B1442" t="s">
        <v>334</v>
      </c>
      <c r="C1442" t="s">
        <v>335</v>
      </c>
    </row>
    <row r="1443" spans="1:3" x14ac:dyDescent="0.3">
      <c r="A1443" t="s">
        <v>333</v>
      </c>
      <c r="B1443" t="s">
        <v>334</v>
      </c>
      <c r="C1443" t="s">
        <v>335</v>
      </c>
    </row>
    <row r="1444" spans="1:3" x14ac:dyDescent="0.3">
      <c r="A1444" t="s">
        <v>333</v>
      </c>
      <c r="B1444" t="s">
        <v>334</v>
      </c>
      <c r="C1444" t="s">
        <v>335</v>
      </c>
    </row>
    <row r="1445" spans="1:3" x14ac:dyDescent="0.3">
      <c r="A1445" t="s">
        <v>333</v>
      </c>
      <c r="B1445" t="s">
        <v>334</v>
      </c>
      <c r="C1445" t="s">
        <v>335</v>
      </c>
    </row>
    <row r="1446" spans="1:3" x14ac:dyDescent="0.3">
      <c r="A1446" t="s">
        <v>333</v>
      </c>
      <c r="B1446" t="s">
        <v>334</v>
      </c>
      <c r="C1446" t="s">
        <v>176</v>
      </c>
    </row>
    <row r="1447" spans="1:3" x14ac:dyDescent="0.3">
      <c r="A1447" t="s">
        <v>333</v>
      </c>
      <c r="B1447" t="s">
        <v>334</v>
      </c>
      <c r="C1447" t="s">
        <v>255</v>
      </c>
    </row>
    <row r="1448" spans="1:3" x14ac:dyDescent="0.3">
      <c r="A1448" t="s">
        <v>333</v>
      </c>
      <c r="B1448" t="s">
        <v>334</v>
      </c>
      <c r="C1448" t="s">
        <v>927</v>
      </c>
    </row>
    <row r="1449" spans="1:3" x14ac:dyDescent="0.3">
      <c r="A1449" t="s">
        <v>333</v>
      </c>
      <c r="B1449" t="s">
        <v>334</v>
      </c>
      <c r="C1449" t="s">
        <v>1048</v>
      </c>
    </row>
    <row r="1450" spans="1:3" x14ac:dyDescent="0.3">
      <c r="A1450" t="s">
        <v>333</v>
      </c>
      <c r="B1450" t="s">
        <v>334</v>
      </c>
      <c r="C1450" t="s">
        <v>1005</v>
      </c>
    </row>
    <row r="1451" spans="1:3" x14ac:dyDescent="0.3">
      <c r="A1451" t="s">
        <v>333</v>
      </c>
      <c r="B1451" t="s">
        <v>334</v>
      </c>
      <c r="C1451" t="s">
        <v>1221</v>
      </c>
    </row>
    <row r="1452" spans="1:3" x14ac:dyDescent="0.3">
      <c r="A1452" t="s">
        <v>333</v>
      </c>
      <c r="B1452" t="s">
        <v>334</v>
      </c>
      <c r="C1452" t="s">
        <v>424</v>
      </c>
    </row>
    <row r="1453" spans="1:3" x14ac:dyDescent="0.3">
      <c r="A1453" t="s">
        <v>333</v>
      </c>
      <c r="C1453" t="s">
        <v>1291</v>
      </c>
    </row>
    <row r="1454" spans="1:3" x14ac:dyDescent="0.3">
      <c r="A1454" t="s">
        <v>1447</v>
      </c>
      <c r="B1454" t="s">
        <v>133</v>
      </c>
      <c r="C1454" t="s">
        <v>1448</v>
      </c>
    </row>
    <row r="1455" spans="1:3" x14ac:dyDescent="0.3">
      <c r="A1455" t="s">
        <v>1447</v>
      </c>
      <c r="B1455" t="s">
        <v>133</v>
      </c>
      <c r="C1455" t="s">
        <v>2143</v>
      </c>
    </row>
    <row r="1456" spans="1:3" x14ac:dyDescent="0.3">
      <c r="A1456" t="s">
        <v>2142</v>
      </c>
      <c r="B1456" t="s">
        <v>1950</v>
      </c>
      <c r="C1456" t="s">
        <v>1005</v>
      </c>
    </row>
    <row r="1457" spans="1:3" x14ac:dyDescent="0.3">
      <c r="A1457" t="s">
        <v>729</v>
      </c>
      <c r="B1457" t="s">
        <v>249</v>
      </c>
      <c r="C1457" t="s">
        <v>145</v>
      </c>
    </row>
    <row r="1458" spans="1:3" x14ac:dyDescent="0.3">
      <c r="A1458" t="s">
        <v>729</v>
      </c>
      <c r="B1458" t="s">
        <v>1108</v>
      </c>
      <c r="C1458" t="s">
        <v>172</v>
      </c>
    </row>
    <row r="1459" spans="1:3" x14ac:dyDescent="0.3">
      <c r="A1459" t="s">
        <v>729</v>
      </c>
      <c r="B1459" t="s">
        <v>369</v>
      </c>
      <c r="C1459" t="s">
        <v>730</v>
      </c>
    </row>
    <row r="1460" spans="1:3" x14ac:dyDescent="0.3">
      <c r="A1460" t="s">
        <v>729</v>
      </c>
      <c r="B1460" t="s">
        <v>369</v>
      </c>
      <c r="C1460" t="s">
        <v>1961</v>
      </c>
    </row>
    <row r="1461" spans="1:3" x14ac:dyDescent="0.3">
      <c r="A1461" t="s">
        <v>729</v>
      </c>
      <c r="B1461" t="s">
        <v>369</v>
      </c>
      <c r="C1461" t="s">
        <v>2126</v>
      </c>
    </row>
    <row r="1462" spans="1:3" x14ac:dyDescent="0.3">
      <c r="A1462" t="s">
        <v>729</v>
      </c>
      <c r="B1462" t="s">
        <v>877</v>
      </c>
      <c r="C1462" t="s">
        <v>878</v>
      </c>
    </row>
    <row r="1463" spans="1:3" x14ac:dyDescent="0.3">
      <c r="A1463" t="s">
        <v>454</v>
      </c>
      <c r="B1463" t="s">
        <v>133</v>
      </c>
      <c r="C1463" t="s">
        <v>403</v>
      </c>
    </row>
    <row r="1464" spans="1:3" x14ac:dyDescent="0.3">
      <c r="A1464" t="s">
        <v>454</v>
      </c>
      <c r="B1464" t="s">
        <v>453</v>
      </c>
      <c r="C1464" t="s">
        <v>255</v>
      </c>
    </row>
    <row r="1465" spans="1:3" x14ac:dyDescent="0.3">
      <c r="A1465" t="s">
        <v>454</v>
      </c>
      <c r="B1465" t="s">
        <v>856</v>
      </c>
      <c r="C1465" t="s">
        <v>428</v>
      </c>
    </row>
    <row r="1466" spans="1:3" x14ac:dyDescent="0.3">
      <c r="A1466" t="s">
        <v>454</v>
      </c>
      <c r="B1466" t="s">
        <v>455</v>
      </c>
      <c r="C1466" t="s">
        <v>456</v>
      </c>
    </row>
    <row r="1467" spans="1:3" x14ac:dyDescent="0.3">
      <c r="A1467" t="s">
        <v>2039</v>
      </c>
      <c r="B1467" t="s">
        <v>120</v>
      </c>
      <c r="C1467" t="s">
        <v>121</v>
      </c>
    </row>
    <row r="1468" spans="1:3" x14ac:dyDescent="0.3">
      <c r="A1468" t="s">
        <v>2039</v>
      </c>
      <c r="B1468" t="s">
        <v>2109</v>
      </c>
      <c r="C1468" t="s">
        <v>121</v>
      </c>
    </row>
    <row r="1469" spans="1:3" x14ac:dyDescent="0.3">
      <c r="A1469" t="s">
        <v>49</v>
      </c>
      <c r="B1469" t="s">
        <v>148</v>
      </c>
      <c r="C1469" t="s">
        <v>703</v>
      </c>
    </row>
    <row r="1470" spans="1:3" x14ac:dyDescent="0.3">
      <c r="A1470" t="s">
        <v>49</v>
      </c>
      <c r="B1470" t="s">
        <v>148</v>
      </c>
      <c r="C1470" t="s">
        <v>651</v>
      </c>
    </row>
    <row r="1471" spans="1:3" x14ac:dyDescent="0.3">
      <c r="A1471" t="s">
        <v>49</v>
      </c>
      <c r="B1471" t="s">
        <v>50</v>
      </c>
      <c r="C1471" t="s">
        <v>51</v>
      </c>
    </row>
    <row r="1472" spans="1:3" x14ac:dyDescent="0.3">
      <c r="A1472" t="s">
        <v>49</v>
      </c>
      <c r="B1472" t="s">
        <v>154</v>
      </c>
    </row>
    <row r="1473" spans="1:3" x14ac:dyDescent="0.3">
      <c r="A1473" t="s">
        <v>1038</v>
      </c>
      <c r="B1473" t="s">
        <v>1039</v>
      </c>
      <c r="C1473" t="s">
        <v>98</v>
      </c>
    </row>
    <row r="1474" spans="1:3" x14ac:dyDescent="0.3">
      <c r="A1474" t="s">
        <v>1312</v>
      </c>
      <c r="C1474" t="s">
        <v>495</v>
      </c>
    </row>
    <row r="1475" spans="1:3" x14ac:dyDescent="0.3">
      <c r="A1475" t="s">
        <v>1075</v>
      </c>
      <c r="B1475" t="s">
        <v>133</v>
      </c>
      <c r="C1475" t="s">
        <v>356</v>
      </c>
    </row>
    <row r="1476" spans="1:3" x14ac:dyDescent="0.3">
      <c r="A1476" t="s">
        <v>248</v>
      </c>
      <c r="B1476" t="s">
        <v>249</v>
      </c>
      <c r="C1476" t="s">
        <v>250</v>
      </c>
    </row>
    <row r="1477" spans="1:3" x14ac:dyDescent="0.3">
      <c r="A1477" t="s">
        <v>448</v>
      </c>
      <c r="B1477" t="s">
        <v>133</v>
      </c>
      <c r="C1477" t="s">
        <v>449</v>
      </c>
    </row>
    <row r="1478" spans="1:3" x14ac:dyDescent="0.3">
      <c r="A1478" t="s">
        <v>570</v>
      </c>
      <c r="B1478" t="s">
        <v>249</v>
      </c>
      <c r="C1478" t="s">
        <v>571</v>
      </c>
    </row>
    <row r="1479" spans="1:3" x14ac:dyDescent="0.3">
      <c r="A1479" t="s">
        <v>570</v>
      </c>
      <c r="B1479" t="s">
        <v>1054</v>
      </c>
      <c r="C1479" t="s">
        <v>373</v>
      </c>
    </row>
    <row r="1480" spans="1:3" x14ac:dyDescent="0.3">
      <c r="A1480" t="s">
        <v>570</v>
      </c>
      <c r="B1480" t="s">
        <v>453</v>
      </c>
      <c r="C1480" t="s">
        <v>1050</v>
      </c>
    </row>
    <row r="1481" spans="1:3" x14ac:dyDescent="0.3">
      <c r="A1481" t="s">
        <v>570</v>
      </c>
      <c r="B1481" t="s">
        <v>453</v>
      </c>
      <c r="C1481" t="s">
        <v>2127</v>
      </c>
    </row>
    <row r="1482" spans="1:3" x14ac:dyDescent="0.3">
      <c r="A1482" t="s">
        <v>570</v>
      </c>
      <c r="B1482" t="s">
        <v>232</v>
      </c>
      <c r="C1482" t="s">
        <v>960</v>
      </c>
    </row>
    <row r="1483" spans="1:3" x14ac:dyDescent="0.3">
      <c r="A1483" t="s">
        <v>570</v>
      </c>
      <c r="B1483" t="s">
        <v>240</v>
      </c>
      <c r="C1483" t="s">
        <v>85</v>
      </c>
    </row>
    <row r="1484" spans="1:3" x14ac:dyDescent="0.3">
      <c r="A1484" t="s">
        <v>570</v>
      </c>
      <c r="B1484" t="s">
        <v>240</v>
      </c>
      <c r="C1484" t="s">
        <v>885</v>
      </c>
    </row>
    <row r="1485" spans="1:3" x14ac:dyDescent="0.3">
      <c r="A1485" t="s">
        <v>570</v>
      </c>
      <c r="B1485" t="s">
        <v>240</v>
      </c>
      <c r="C1485" t="s">
        <v>255</v>
      </c>
    </row>
    <row r="1486" spans="1:3" x14ac:dyDescent="0.3">
      <c r="A1486" t="s">
        <v>570</v>
      </c>
      <c r="B1486" t="s">
        <v>240</v>
      </c>
      <c r="C1486" t="s">
        <v>885</v>
      </c>
    </row>
    <row r="1487" spans="1:3" x14ac:dyDescent="0.3">
      <c r="A1487" t="s">
        <v>570</v>
      </c>
      <c r="B1487" t="s">
        <v>240</v>
      </c>
      <c r="C1487" t="s">
        <v>905</v>
      </c>
    </row>
    <row r="1488" spans="1:3" x14ac:dyDescent="0.3">
      <c r="A1488" t="s">
        <v>808</v>
      </c>
      <c r="B1488" t="s">
        <v>1000</v>
      </c>
      <c r="C1488" t="s">
        <v>615</v>
      </c>
    </row>
    <row r="1489" spans="1:3" x14ac:dyDescent="0.3">
      <c r="A1489" t="s">
        <v>808</v>
      </c>
      <c r="B1489" t="s">
        <v>718</v>
      </c>
      <c r="C1489" t="s">
        <v>145</v>
      </c>
    </row>
    <row r="1490" spans="1:3" x14ac:dyDescent="0.3">
      <c r="A1490" t="s">
        <v>808</v>
      </c>
      <c r="B1490" t="s">
        <v>718</v>
      </c>
      <c r="C1490" t="s">
        <v>755</v>
      </c>
    </row>
    <row r="1491" spans="1:3" x14ac:dyDescent="0.3">
      <c r="A1491" t="s">
        <v>808</v>
      </c>
      <c r="C1491" t="s">
        <v>1080</v>
      </c>
    </row>
    <row r="1492" spans="1:3" x14ac:dyDescent="0.3">
      <c r="A1492" t="s">
        <v>573</v>
      </c>
      <c r="B1492" t="s">
        <v>574</v>
      </c>
      <c r="C1492" t="s">
        <v>121</v>
      </c>
    </row>
    <row r="1493" spans="1:3" x14ac:dyDescent="0.3">
      <c r="A1493" t="s">
        <v>573</v>
      </c>
      <c r="B1493" t="s">
        <v>244</v>
      </c>
      <c r="C1493" t="s">
        <v>927</v>
      </c>
    </row>
    <row r="1494" spans="1:3" x14ac:dyDescent="0.3">
      <c r="A1494" t="s">
        <v>676</v>
      </c>
      <c r="B1494" t="s">
        <v>677</v>
      </c>
      <c r="C1494" t="s">
        <v>145</v>
      </c>
    </row>
    <row r="1495" spans="1:3" x14ac:dyDescent="0.3">
      <c r="A1495" t="s">
        <v>676</v>
      </c>
      <c r="B1495" t="s">
        <v>677</v>
      </c>
      <c r="C1495" t="s">
        <v>145</v>
      </c>
    </row>
    <row r="1496" spans="1:3" x14ac:dyDescent="0.3">
      <c r="A1496" t="s">
        <v>363</v>
      </c>
      <c r="B1496" t="s">
        <v>227</v>
      </c>
      <c r="C1496" t="s">
        <v>364</v>
      </c>
    </row>
    <row r="1497" spans="1:3" x14ac:dyDescent="0.3">
      <c r="A1497" t="s">
        <v>1152</v>
      </c>
      <c r="C1497" t="s">
        <v>27</v>
      </c>
    </row>
    <row r="1498" spans="1:3" x14ac:dyDescent="0.3">
      <c r="A1498" t="s">
        <v>160</v>
      </c>
      <c r="B1498" t="s">
        <v>308</v>
      </c>
      <c r="C1498" t="s">
        <v>309</v>
      </c>
    </row>
    <row r="1499" spans="1:3" x14ac:dyDescent="0.3">
      <c r="A1499" t="s">
        <v>160</v>
      </c>
      <c r="B1499" t="s">
        <v>161</v>
      </c>
    </row>
    <row r="1500" spans="1:3" x14ac:dyDescent="0.3">
      <c r="A1500" t="s">
        <v>160</v>
      </c>
      <c r="B1500" t="s">
        <v>161</v>
      </c>
      <c r="C1500" t="s">
        <v>1386</v>
      </c>
    </row>
    <row r="1501" spans="1:3" x14ac:dyDescent="0.3">
      <c r="A1501" t="s">
        <v>1454</v>
      </c>
      <c r="B1501" t="s">
        <v>179</v>
      </c>
      <c r="C1501" t="s">
        <v>615</v>
      </c>
    </row>
    <row r="1502" spans="1:3" x14ac:dyDescent="0.3">
      <c r="A1502" t="s">
        <v>1454</v>
      </c>
      <c r="B1502" t="s">
        <v>179</v>
      </c>
      <c r="C1502" t="s">
        <v>615</v>
      </c>
    </row>
    <row r="1503" spans="1:3" x14ac:dyDescent="0.3">
      <c r="A1503" t="s">
        <v>1454</v>
      </c>
      <c r="B1503" t="s">
        <v>1131</v>
      </c>
      <c r="C1503" t="s">
        <v>615</v>
      </c>
    </row>
    <row r="1504" spans="1:3" x14ac:dyDescent="0.3">
      <c r="A1504" t="s">
        <v>830</v>
      </c>
      <c r="B1504" t="s">
        <v>831</v>
      </c>
      <c r="C1504" t="s">
        <v>832</v>
      </c>
    </row>
    <row r="1505" spans="1:3" x14ac:dyDescent="0.3">
      <c r="A1505" t="s">
        <v>2052</v>
      </c>
      <c r="B1505" t="s">
        <v>2053</v>
      </c>
      <c r="C1505" t="s">
        <v>85</v>
      </c>
    </row>
    <row r="1506" spans="1:3" x14ac:dyDescent="0.3">
      <c r="A1506" t="s">
        <v>311</v>
      </c>
      <c r="B1506" t="s">
        <v>312</v>
      </c>
      <c r="C1506" t="s">
        <v>146</v>
      </c>
    </row>
    <row r="1507" spans="1:3" x14ac:dyDescent="0.3">
      <c r="A1507" t="s">
        <v>311</v>
      </c>
      <c r="B1507" t="s">
        <v>312</v>
      </c>
      <c r="C1507" t="s">
        <v>146</v>
      </c>
    </row>
    <row r="1508" spans="1:3" x14ac:dyDescent="0.3">
      <c r="A1508" t="s">
        <v>438</v>
      </c>
      <c r="B1508" t="s">
        <v>334</v>
      </c>
      <c r="C1508" t="s">
        <v>121</v>
      </c>
    </row>
    <row r="1509" spans="1:3" x14ac:dyDescent="0.3">
      <c r="A1509" t="s">
        <v>481</v>
      </c>
      <c r="B1509" t="s">
        <v>508</v>
      </c>
      <c r="C1509" t="s">
        <v>98</v>
      </c>
    </row>
    <row r="1510" spans="1:3" x14ac:dyDescent="0.3">
      <c r="A1510" t="s">
        <v>481</v>
      </c>
      <c r="C1510" t="s">
        <v>462</v>
      </c>
    </row>
    <row r="1511" spans="1:3" x14ac:dyDescent="0.3">
      <c r="A1511" t="s">
        <v>342</v>
      </c>
      <c r="B1511" t="s">
        <v>234</v>
      </c>
      <c r="C1511" t="s">
        <v>121</v>
      </c>
    </row>
    <row r="1512" spans="1:3" x14ac:dyDescent="0.3">
      <c r="A1512" t="s">
        <v>342</v>
      </c>
      <c r="B1512" t="s">
        <v>2091</v>
      </c>
      <c r="C1512" t="s">
        <v>2025</v>
      </c>
    </row>
    <row r="1513" spans="1:3" x14ac:dyDescent="0.3">
      <c r="A1513" t="s">
        <v>342</v>
      </c>
      <c r="B1513" t="s">
        <v>1046</v>
      </c>
      <c r="C1513" t="s">
        <v>1047</v>
      </c>
    </row>
    <row r="1514" spans="1:3" x14ac:dyDescent="0.3">
      <c r="A1514" t="s">
        <v>342</v>
      </c>
      <c r="B1514" t="s">
        <v>508</v>
      </c>
      <c r="C1514" t="s">
        <v>989</v>
      </c>
    </row>
    <row r="1515" spans="1:3" x14ac:dyDescent="0.3">
      <c r="A1515" t="s">
        <v>342</v>
      </c>
      <c r="C1515" t="s">
        <v>462</v>
      </c>
    </row>
    <row r="1516" spans="1:3" x14ac:dyDescent="0.3">
      <c r="A1516" t="s">
        <v>54</v>
      </c>
      <c r="B1516">
        <v>751</v>
      </c>
      <c r="C1516" t="s">
        <v>55</v>
      </c>
    </row>
    <row r="1517" spans="1:3" x14ac:dyDescent="0.3">
      <c r="A1517" t="s">
        <v>54</v>
      </c>
      <c r="B1517" t="s">
        <v>140</v>
      </c>
    </row>
    <row r="1518" spans="1:3" x14ac:dyDescent="0.3">
      <c r="A1518" t="s">
        <v>54</v>
      </c>
      <c r="B1518" t="s">
        <v>140</v>
      </c>
    </row>
    <row r="1519" spans="1:3" x14ac:dyDescent="0.3">
      <c r="A1519" t="s">
        <v>382</v>
      </c>
      <c r="C1519" t="s">
        <v>27</v>
      </c>
    </row>
    <row r="1520" spans="1:3" x14ac:dyDescent="0.3">
      <c r="A1520" t="s">
        <v>1250</v>
      </c>
      <c r="B1520" t="s">
        <v>1251</v>
      </c>
      <c r="C1520" t="s">
        <v>1252</v>
      </c>
    </row>
    <row r="1521" spans="1:3" x14ac:dyDescent="0.3">
      <c r="A1521" t="s">
        <v>1399</v>
      </c>
      <c r="B1521" t="s">
        <v>1400</v>
      </c>
      <c r="C1521" t="s">
        <v>1401</v>
      </c>
    </row>
    <row r="1522" spans="1:3" x14ac:dyDescent="0.3">
      <c r="A1522" t="s">
        <v>774</v>
      </c>
      <c r="C1522" t="s">
        <v>645</v>
      </c>
    </row>
    <row r="1523" spans="1:3" x14ac:dyDescent="0.3">
      <c r="A1523" t="s">
        <v>10</v>
      </c>
    </row>
    <row r="1524" spans="1:3" x14ac:dyDescent="0.3">
      <c r="A1524" t="s">
        <v>10</v>
      </c>
    </row>
    <row r="1525" spans="1:3" x14ac:dyDescent="0.3">
      <c r="A1525" t="s">
        <v>10</v>
      </c>
    </row>
    <row r="1526" spans="1:3" x14ac:dyDescent="0.3">
      <c r="A1526" t="s">
        <v>895</v>
      </c>
      <c r="B1526" t="s">
        <v>896</v>
      </c>
      <c r="C1526" t="s">
        <v>85</v>
      </c>
    </row>
    <row r="1527" spans="1:3" x14ac:dyDescent="0.3">
      <c r="A1527" t="s">
        <v>1166</v>
      </c>
      <c r="B1527" t="s">
        <v>94</v>
      </c>
      <c r="C1527" t="s">
        <v>1383</v>
      </c>
    </row>
    <row r="1528" spans="1:3" x14ac:dyDescent="0.3">
      <c r="A1528" t="s">
        <v>1166</v>
      </c>
      <c r="B1528" t="s">
        <v>453</v>
      </c>
      <c r="C1528" t="s">
        <v>1308</v>
      </c>
    </row>
    <row r="1529" spans="1:3" x14ac:dyDescent="0.3">
      <c r="A1529" t="s">
        <v>1166</v>
      </c>
      <c r="B1529" t="s">
        <v>453</v>
      </c>
      <c r="C1529" t="s">
        <v>163</v>
      </c>
    </row>
    <row r="1530" spans="1:3" x14ac:dyDescent="0.3">
      <c r="A1530" t="s">
        <v>1166</v>
      </c>
      <c r="B1530" t="s">
        <v>782</v>
      </c>
      <c r="C1530" t="s">
        <v>85</v>
      </c>
    </row>
    <row r="1531" spans="1:3" x14ac:dyDescent="0.3">
      <c r="A1531" t="s">
        <v>773</v>
      </c>
      <c r="B1531" t="s">
        <v>94</v>
      </c>
      <c r="C1531" t="s">
        <v>947</v>
      </c>
    </row>
    <row r="1532" spans="1:3" x14ac:dyDescent="0.3">
      <c r="A1532" t="s">
        <v>773</v>
      </c>
      <c r="B1532" t="s">
        <v>94</v>
      </c>
      <c r="C1532" t="s">
        <v>1981</v>
      </c>
    </row>
    <row r="1533" spans="1:3" x14ac:dyDescent="0.3">
      <c r="A1533" t="s">
        <v>773</v>
      </c>
      <c r="B1533" t="s">
        <v>181</v>
      </c>
      <c r="C1533" t="s">
        <v>844</v>
      </c>
    </row>
    <row r="1534" spans="1:3" x14ac:dyDescent="0.3">
      <c r="A1534" t="s">
        <v>773</v>
      </c>
      <c r="B1534" t="s">
        <v>26</v>
      </c>
      <c r="C1534" t="s">
        <v>27</v>
      </c>
    </row>
    <row r="1535" spans="1:3" x14ac:dyDescent="0.3">
      <c r="A1535" t="s">
        <v>773</v>
      </c>
      <c r="B1535" t="s">
        <v>883</v>
      </c>
      <c r="C1535" t="s">
        <v>884</v>
      </c>
    </row>
    <row r="1536" spans="1:3" x14ac:dyDescent="0.3">
      <c r="A1536" t="s">
        <v>1996</v>
      </c>
      <c r="B1536" t="s">
        <v>175</v>
      </c>
      <c r="C1536" t="s">
        <v>1997</v>
      </c>
    </row>
    <row r="1537" spans="1:3" x14ac:dyDescent="0.3">
      <c r="A1537" t="s">
        <v>1171</v>
      </c>
      <c r="B1537" t="s">
        <v>1279</v>
      </c>
      <c r="C1537" t="s">
        <v>615</v>
      </c>
    </row>
    <row r="1538" spans="1:3" x14ac:dyDescent="0.3">
      <c r="A1538" t="s">
        <v>1171</v>
      </c>
      <c r="B1538" t="s">
        <v>1279</v>
      </c>
      <c r="C1538" t="s">
        <v>801</v>
      </c>
    </row>
    <row r="1539" spans="1:3" x14ac:dyDescent="0.3">
      <c r="A1539" t="s">
        <v>1171</v>
      </c>
      <c r="C1539" t="s">
        <v>1172</v>
      </c>
    </row>
    <row r="1540" spans="1:3" x14ac:dyDescent="0.3">
      <c r="A1540" t="s">
        <v>1171</v>
      </c>
      <c r="C1540" t="s">
        <v>1231</v>
      </c>
    </row>
    <row r="1541" spans="1:3" x14ac:dyDescent="0.3">
      <c r="A1541" t="s">
        <v>1288</v>
      </c>
      <c r="B1541" t="s">
        <v>179</v>
      </c>
    </row>
    <row r="1542" spans="1:3" x14ac:dyDescent="0.3">
      <c r="A1542" t="s">
        <v>1453</v>
      </c>
      <c r="B1542" t="s">
        <v>179</v>
      </c>
      <c r="C1542" t="s">
        <v>168</v>
      </c>
    </row>
    <row r="1543" spans="1:3" x14ac:dyDescent="0.3">
      <c r="A1543" t="s">
        <v>1453</v>
      </c>
      <c r="B1543" t="s">
        <v>179</v>
      </c>
      <c r="C1543" t="s">
        <v>168</v>
      </c>
    </row>
    <row r="1544" spans="1:3" x14ac:dyDescent="0.3">
      <c r="A1544" t="s">
        <v>1453</v>
      </c>
      <c r="B1544" t="s">
        <v>912</v>
      </c>
      <c r="C1544" t="s">
        <v>880</v>
      </c>
    </row>
    <row r="1545" spans="1:3" x14ac:dyDescent="0.3">
      <c r="A1545" t="s">
        <v>1453</v>
      </c>
      <c r="B1545" t="s">
        <v>912</v>
      </c>
      <c r="C1545" t="s">
        <v>2080</v>
      </c>
    </row>
    <row r="1546" spans="1:3" x14ac:dyDescent="0.3">
      <c r="A1546" t="s">
        <v>1453</v>
      </c>
      <c r="B1546" t="s">
        <v>2062</v>
      </c>
      <c r="C1546" t="s">
        <v>1377</v>
      </c>
    </row>
    <row r="1547" spans="1:3" x14ac:dyDescent="0.3">
      <c r="A1547" t="s">
        <v>1453</v>
      </c>
      <c r="B1547" t="s">
        <v>140</v>
      </c>
      <c r="C1547" t="s">
        <v>801</v>
      </c>
    </row>
    <row r="1548" spans="1:3" x14ac:dyDescent="0.3">
      <c r="A1548" t="s">
        <v>1201</v>
      </c>
      <c r="B1548" t="s">
        <v>1202</v>
      </c>
      <c r="C1548" t="s">
        <v>159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09734-9831-47E8-8AB1-570C0CD03F19}">
  <sheetPr codeName="Feuil9"/>
  <dimension ref="A1:G2005"/>
  <sheetViews>
    <sheetView workbookViewId="0">
      <selection activeCell="H3" sqref="H3"/>
    </sheetView>
  </sheetViews>
  <sheetFormatPr baseColWidth="10" defaultRowHeight="14.4" x14ac:dyDescent="0.3"/>
  <cols>
    <col min="1" max="1" width="23.21875" bestFit="1" customWidth="1"/>
    <col min="3" max="3" width="44.44140625" bestFit="1" customWidth="1"/>
    <col min="4" max="4" width="27" bestFit="1" customWidth="1"/>
  </cols>
  <sheetData>
    <row r="1" spans="1:7" x14ac:dyDescent="0.3">
      <c r="A1" t="s">
        <v>2700</v>
      </c>
      <c r="B1" t="s">
        <v>2701</v>
      </c>
      <c r="C1" t="s">
        <v>1154</v>
      </c>
      <c r="D1" t="s">
        <v>1155</v>
      </c>
      <c r="E1" t="s">
        <v>1156</v>
      </c>
      <c r="F1" t="s">
        <v>1157</v>
      </c>
      <c r="G1" t="s">
        <v>1158</v>
      </c>
    </row>
    <row r="2" spans="1:7" x14ac:dyDescent="0.3">
      <c r="A2" t="s">
        <v>2702</v>
      </c>
      <c r="B2">
        <v>40722</v>
      </c>
      <c r="C2" t="s">
        <v>155</v>
      </c>
      <c r="D2" t="s">
        <v>524</v>
      </c>
      <c r="E2" t="s">
        <v>416</v>
      </c>
      <c r="F2" s="51">
        <v>45706</v>
      </c>
      <c r="G2" t="s">
        <v>1</v>
      </c>
    </row>
    <row r="3" spans="1:7" x14ac:dyDescent="0.3">
      <c r="A3" t="s">
        <v>2702</v>
      </c>
      <c r="B3">
        <v>41601</v>
      </c>
      <c r="C3" t="s">
        <v>25</v>
      </c>
      <c r="D3" t="s">
        <v>26</v>
      </c>
      <c r="E3" t="s">
        <v>27</v>
      </c>
      <c r="F3" s="51">
        <v>45167</v>
      </c>
      <c r="G3" t="s">
        <v>1</v>
      </c>
    </row>
    <row r="4" spans="1:7" x14ac:dyDescent="0.3">
      <c r="A4" t="s">
        <v>2702</v>
      </c>
      <c r="B4">
        <v>41602</v>
      </c>
      <c r="C4" t="s">
        <v>28</v>
      </c>
      <c r="D4" t="s">
        <v>29</v>
      </c>
      <c r="E4" t="s">
        <v>30</v>
      </c>
      <c r="F4" s="51">
        <v>45142</v>
      </c>
      <c r="G4" t="s">
        <v>1</v>
      </c>
    </row>
    <row r="5" spans="1:7" x14ac:dyDescent="0.3">
      <c r="A5" t="s">
        <v>2702</v>
      </c>
      <c r="B5">
        <v>41603</v>
      </c>
      <c r="C5" t="s">
        <v>31</v>
      </c>
      <c r="D5" t="s">
        <v>32</v>
      </c>
      <c r="E5" t="s">
        <v>33</v>
      </c>
      <c r="F5" s="51">
        <v>45169</v>
      </c>
      <c r="G5" t="s">
        <v>1</v>
      </c>
    </row>
    <row r="6" spans="1:7" x14ac:dyDescent="0.3">
      <c r="A6" t="s">
        <v>2702</v>
      </c>
      <c r="B6">
        <v>41604</v>
      </c>
      <c r="C6" t="s">
        <v>34</v>
      </c>
      <c r="E6" t="s">
        <v>35</v>
      </c>
      <c r="F6" s="51">
        <v>45181</v>
      </c>
      <c r="G6" t="s">
        <v>1</v>
      </c>
    </row>
    <row r="7" spans="1:7" x14ac:dyDescent="0.3">
      <c r="A7" t="s">
        <v>2702</v>
      </c>
      <c r="B7">
        <v>41605</v>
      </c>
      <c r="C7" t="s">
        <v>36</v>
      </c>
      <c r="D7" t="s">
        <v>37</v>
      </c>
      <c r="E7" t="s">
        <v>38</v>
      </c>
      <c r="F7" s="51">
        <v>45281</v>
      </c>
      <c r="G7" t="s">
        <v>2</v>
      </c>
    </row>
    <row r="8" spans="1:7" x14ac:dyDescent="0.3">
      <c r="A8" t="s">
        <v>2702</v>
      </c>
      <c r="B8">
        <v>41606</v>
      </c>
      <c r="C8" t="s">
        <v>36</v>
      </c>
      <c r="D8" t="s">
        <v>37</v>
      </c>
      <c r="E8" t="s">
        <v>39</v>
      </c>
      <c r="F8" s="51">
        <v>45301</v>
      </c>
      <c r="G8" t="s">
        <v>2</v>
      </c>
    </row>
    <row r="9" spans="1:7" x14ac:dyDescent="0.3">
      <c r="A9" t="s">
        <v>2702</v>
      </c>
      <c r="B9">
        <v>41607</v>
      </c>
      <c r="C9" t="s">
        <v>36</v>
      </c>
      <c r="D9" t="s">
        <v>37</v>
      </c>
      <c r="E9" t="s">
        <v>40</v>
      </c>
      <c r="F9" s="51">
        <v>45435</v>
      </c>
      <c r="G9" t="s">
        <v>2</v>
      </c>
    </row>
    <row r="10" spans="1:7" x14ac:dyDescent="0.3">
      <c r="A10" t="s">
        <v>2702</v>
      </c>
      <c r="B10">
        <v>41608</v>
      </c>
      <c r="C10" t="s">
        <v>36</v>
      </c>
      <c r="D10" t="s">
        <v>37</v>
      </c>
      <c r="E10" t="s">
        <v>5</v>
      </c>
      <c r="F10" s="51">
        <v>45175</v>
      </c>
      <c r="G10" t="s">
        <v>5</v>
      </c>
    </row>
    <row r="11" spans="1:7" x14ac:dyDescent="0.3">
      <c r="A11" t="s">
        <v>2702</v>
      </c>
      <c r="B11">
        <v>41609</v>
      </c>
      <c r="C11" t="s">
        <v>41</v>
      </c>
      <c r="D11" t="s">
        <v>42</v>
      </c>
      <c r="E11" t="s">
        <v>43</v>
      </c>
      <c r="F11" s="51">
        <v>45142</v>
      </c>
      <c r="G11" t="s">
        <v>4</v>
      </c>
    </row>
    <row r="12" spans="1:7" x14ac:dyDescent="0.3">
      <c r="A12" t="s">
        <v>2702</v>
      </c>
      <c r="B12">
        <v>41610</v>
      </c>
      <c r="C12" t="s">
        <v>44</v>
      </c>
      <c r="D12" t="s">
        <v>45</v>
      </c>
      <c r="E12" t="s">
        <v>46</v>
      </c>
      <c r="F12" s="51">
        <v>45169</v>
      </c>
      <c r="G12" t="s">
        <v>2</v>
      </c>
    </row>
    <row r="13" spans="1:7" x14ac:dyDescent="0.3">
      <c r="A13" t="s">
        <v>2702</v>
      </c>
      <c r="B13">
        <v>41611</v>
      </c>
      <c r="C13" t="s">
        <v>41</v>
      </c>
      <c r="D13" t="s">
        <v>47</v>
      </c>
      <c r="E13" t="s">
        <v>48</v>
      </c>
      <c r="F13" s="51">
        <v>45169</v>
      </c>
      <c r="G13" t="s">
        <v>3</v>
      </c>
    </row>
    <row r="14" spans="1:7" x14ac:dyDescent="0.3">
      <c r="A14" t="s">
        <v>2702</v>
      </c>
      <c r="B14">
        <v>41612</v>
      </c>
      <c r="C14" t="s">
        <v>49</v>
      </c>
      <c r="D14" t="s">
        <v>50</v>
      </c>
      <c r="E14" t="s">
        <v>51</v>
      </c>
      <c r="F14" s="51">
        <v>45167</v>
      </c>
      <c r="G14" t="s">
        <v>1</v>
      </c>
    </row>
    <row r="15" spans="1:7" x14ac:dyDescent="0.3">
      <c r="A15" t="s">
        <v>2702</v>
      </c>
      <c r="B15">
        <v>41613</v>
      </c>
      <c r="C15" t="s">
        <v>36</v>
      </c>
      <c r="D15" t="s">
        <v>52</v>
      </c>
      <c r="E15" t="s">
        <v>53</v>
      </c>
      <c r="F15" s="51">
        <v>45147</v>
      </c>
      <c r="G15" t="s">
        <v>2</v>
      </c>
    </row>
    <row r="16" spans="1:7" x14ac:dyDescent="0.3">
      <c r="A16" t="s">
        <v>2702</v>
      </c>
      <c r="B16">
        <v>41615</v>
      </c>
      <c r="C16" t="s">
        <v>54</v>
      </c>
      <c r="D16">
        <v>751</v>
      </c>
      <c r="E16" t="s">
        <v>55</v>
      </c>
      <c r="F16" s="51">
        <v>45134</v>
      </c>
      <c r="G16" t="s">
        <v>1</v>
      </c>
    </row>
    <row r="17" spans="1:7" x14ac:dyDescent="0.3">
      <c r="A17" t="s">
        <v>2702</v>
      </c>
      <c r="B17">
        <v>41616</v>
      </c>
      <c r="C17" t="s">
        <v>56</v>
      </c>
      <c r="D17" t="s">
        <v>57</v>
      </c>
      <c r="E17" t="s">
        <v>58</v>
      </c>
      <c r="F17" s="51">
        <v>45142</v>
      </c>
      <c r="G17" t="s">
        <v>2</v>
      </c>
    </row>
    <row r="18" spans="1:7" x14ac:dyDescent="0.3">
      <c r="A18" t="s">
        <v>2702</v>
      </c>
      <c r="B18">
        <v>41617</v>
      </c>
      <c r="C18" t="s">
        <v>59</v>
      </c>
      <c r="D18" t="s">
        <v>60</v>
      </c>
      <c r="E18" t="s">
        <v>61</v>
      </c>
      <c r="F18" s="51">
        <v>45175</v>
      </c>
      <c r="G18" t="s">
        <v>4</v>
      </c>
    </row>
    <row r="19" spans="1:7" x14ac:dyDescent="0.3">
      <c r="A19" t="s">
        <v>2702</v>
      </c>
      <c r="B19">
        <v>41618</v>
      </c>
      <c r="C19" t="s">
        <v>41</v>
      </c>
      <c r="D19" t="s">
        <v>47</v>
      </c>
      <c r="E19" t="s">
        <v>46</v>
      </c>
      <c r="F19" s="51">
        <v>45141</v>
      </c>
      <c r="G19" t="s">
        <v>3</v>
      </c>
    </row>
    <row r="20" spans="1:7" x14ac:dyDescent="0.3">
      <c r="A20" t="s">
        <v>2702</v>
      </c>
      <c r="B20">
        <v>41619</v>
      </c>
      <c r="C20" t="s">
        <v>62</v>
      </c>
      <c r="D20" t="s">
        <v>63</v>
      </c>
      <c r="E20" t="s">
        <v>64</v>
      </c>
      <c r="F20" s="51">
        <v>45131</v>
      </c>
      <c r="G20" t="s">
        <v>2</v>
      </c>
    </row>
    <row r="21" spans="1:7" x14ac:dyDescent="0.3">
      <c r="A21" t="s">
        <v>2702</v>
      </c>
      <c r="B21">
        <v>41620</v>
      </c>
      <c r="C21" t="s">
        <v>65</v>
      </c>
      <c r="D21" t="s">
        <v>66</v>
      </c>
      <c r="E21" t="s">
        <v>67</v>
      </c>
      <c r="F21" s="51">
        <v>45148</v>
      </c>
      <c r="G21" t="s">
        <v>3</v>
      </c>
    </row>
    <row r="22" spans="1:7" x14ac:dyDescent="0.3">
      <c r="A22" t="s">
        <v>2702</v>
      </c>
      <c r="B22">
        <v>41621</v>
      </c>
      <c r="C22" t="s">
        <v>68</v>
      </c>
      <c r="D22" t="s">
        <v>69</v>
      </c>
      <c r="E22" t="s">
        <v>70</v>
      </c>
      <c r="F22" s="51">
        <v>45147</v>
      </c>
      <c r="G22" t="s">
        <v>4</v>
      </c>
    </row>
    <row r="23" spans="1:7" x14ac:dyDescent="0.3">
      <c r="A23" t="s">
        <v>2702</v>
      </c>
      <c r="B23">
        <v>41622</v>
      </c>
      <c r="C23" t="s">
        <v>71</v>
      </c>
      <c r="D23" t="s">
        <v>57</v>
      </c>
      <c r="E23" t="s">
        <v>72</v>
      </c>
      <c r="F23" s="51">
        <v>45168</v>
      </c>
      <c r="G23" t="s">
        <v>2</v>
      </c>
    </row>
    <row r="24" spans="1:7" x14ac:dyDescent="0.3">
      <c r="A24" t="s">
        <v>2702</v>
      </c>
      <c r="B24">
        <v>41623</v>
      </c>
      <c r="C24" t="s">
        <v>73</v>
      </c>
      <c r="E24" t="s">
        <v>27</v>
      </c>
      <c r="F24" s="51">
        <v>45137</v>
      </c>
      <c r="G24" t="s">
        <v>1</v>
      </c>
    </row>
    <row r="25" spans="1:7" x14ac:dyDescent="0.3">
      <c r="A25" t="s">
        <v>2702</v>
      </c>
      <c r="B25">
        <v>41624</v>
      </c>
      <c r="C25" t="s">
        <v>74</v>
      </c>
      <c r="D25" t="s">
        <v>75</v>
      </c>
      <c r="E25" t="s">
        <v>76</v>
      </c>
      <c r="F25" s="51">
        <v>45147</v>
      </c>
      <c r="G25" t="s">
        <v>3</v>
      </c>
    </row>
    <row r="26" spans="1:7" x14ac:dyDescent="0.3">
      <c r="A26" t="s">
        <v>2702</v>
      </c>
      <c r="B26">
        <v>41625</v>
      </c>
      <c r="C26" t="s">
        <v>59</v>
      </c>
      <c r="D26" t="s">
        <v>77</v>
      </c>
      <c r="E26" t="s">
        <v>78</v>
      </c>
      <c r="F26" s="51">
        <v>45240</v>
      </c>
      <c r="G26" t="s">
        <v>2</v>
      </c>
    </row>
    <row r="27" spans="1:7" x14ac:dyDescent="0.3">
      <c r="A27" t="s">
        <v>2702</v>
      </c>
      <c r="B27">
        <v>41626</v>
      </c>
      <c r="C27" t="s">
        <v>79</v>
      </c>
      <c r="D27" t="s">
        <v>75</v>
      </c>
      <c r="E27" t="s">
        <v>80</v>
      </c>
      <c r="F27" s="51">
        <v>45148</v>
      </c>
      <c r="G27" t="s">
        <v>4</v>
      </c>
    </row>
    <row r="28" spans="1:7" x14ac:dyDescent="0.3">
      <c r="A28" t="s">
        <v>2702</v>
      </c>
      <c r="B28">
        <v>41627</v>
      </c>
      <c r="C28" t="s">
        <v>81</v>
      </c>
      <c r="D28" t="s">
        <v>82</v>
      </c>
      <c r="E28" t="s">
        <v>58</v>
      </c>
      <c r="F28" s="51">
        <v>45147</v>
      </c>
      <c r="G28" t="s">
        <v>1</v>
      </c>
    </row>
    <row r="29" spans="1:7" x14ac:dyDescent="0.3">
      <c r="A29" t="s">
        <v>2702</v>
      </c>
      <c r="B29">
        <v>41628</v>
      </c>
      <c r="C29" t="s">
        <v>83</v>
      </c>
      <c r="D29" t="s">
        <v>84</v>
      </c>
      <c r="E29" t="s">
        <v>85</v>
      </c>
      <c r="F29" s="51">
        <v>45177</v>
      </c>
      <c r="G29" t="s">
        <v>1</v>
      </c>
    </row>
    <row r="30" spans="1:7" x14ac:dyDescent="0.3">
      <c r="A30" t="s">
        <v>2702</v>
      </c>
      <c r="B30">
        <v>41629</v>
      </c>
      <c r="C30" t="s">
        <v>86</v>
      </c>
      <c r="D30" t="s">
        <v>45</v>
      </c>
      <c r="E30" t="s">
        <v>87</v>
      </c>
      <c r="F30" s="51">
        <v>45140</v>
      </c>
      <c r="G30" t="s">
        <v>3</v>
      </c>
    </row>
    <row r="31" spans="1:7" x14ac:dyDescent="0.3">
      <c r="A31" t="s">
        <v>2702</v>
      </c>
      <c r="B31">
        <v>41630</v>
      </c>
      <c r="C31" t="s">
        <v>88</v>
      </c>
      <c r="E31" t="s">
        <v>89</v>
      </c>
      <c r="F31" s="51">
        <v>45175</v>
      </c>
      <c r="G31" t="s">
        <v>1</v>
      </c>
    </row>
    <row r="32" spans="1:7" x14ac:dyDescent="0.3">
      <c r="A32" t="s">
        <v>2702</v>
      </c>
      <c r="B32">
        <v>41631</v>
      </c>
      <c r="C32" t="s">
        <v>90</v>
      </c>
      <c r="D32" t="s">
        <v>91</v>
      </c>
      <c r="E32" t="s">
        <v>92</v>
      </c>
      <c r="F32" s="51">
        <v>45279</v>
      </c>
      <c r="G32" t="s">
        <v>4</v>
      </c>
    </row>
    <row r="33" spans="1:7" x14ac:dyDescent="0.3">
      <c r="A33" t="s">
        <v>2702</v>
      </c>
      <c r="B33">
        <v>41632</v>
      </c>
      <c r="C33" t="s">
        <v>93</v>
      </c>
      <c r="D33" t="s">
        <v>94</v>
      </c>
      <c r="E33" t="s">
        <v>95</v>
      </c>
      <c r="F33" s="51">
        <v>45142</v>
      </c>
      <c r="G33" t="s">
        <v>1</v>
      </c>
    </row>
    <row r="34" spans="1:7" x14ac:dyDescent="0.3">
      <c r="A34" t="s">
        <v>2702</v>
      </c>
      <c r="B34">
        <v>41633</v>
      </c>
      <c r="C34" t="s">
        <v>96</v>
      </c>
      <c r="D34" t="s">
        <v>97</v>
      </c>
      <c r="E34" t="s">
        <v>98</v>
      </c>
      <c r="F34" s="51">
        <v>45177</v>
      </c>
      <c r="G34" t="s">
        <v>4</v>
      </c>
    </row>
    <row r="35" spans="1:7" x14ac:dyDescent="0.3">
      <c r="A35" t="s">
        <v>2702</v>
      </c>
      <c r="B35">
        <v>41634</v>
      </c>
      <c r="C35" t="s">
        <v>99</v>
      </c>
      <c r="D35" t="s">
        <v>100</v>
      </c>
      <c r="E35" t="s">
        <v>101</v>
      </c>
      <c r="F35" s="51">
        <v>45196</v>
      </c>
      <c r="G35" t="s">
        <v>1</v>
      </c>
    </row>
    <row r="36" spans="1:7" x14ac:dyDescent="0.3">
      <c r="A36" t="s">
        <v>2702</v>
      </c>
      <c r="B36">
        <v>41635</v>
      </c>
      <c r="C36" t="s">
        <v>102</v>
      </c>
      <c r="D36" t="s">
        <v>103</v>
      </c>
      <c r="E36" t="s">
        <v>104</v>
      </c>
      <c r="F36" s="51">
        <v>45175</v>
      </c>
      <c r="G36" t="s">
        <v>1</v>
      </c>
    </row>
    <row r="37" spans="1:7" x14ac:dyDescent="0.3">
      <c r="A37" t="s">
        <v>2702</v>
      </c>
      <c r="B37">
        <v>41636</v>
      </c>
      <c r="C37" t="s">
        <v>105</v>
      </c>
      <c r="D37" t="s">
        <v>106</v>
      </c>
      <c r="E37" t="s">
        <v>58</v>
      </c>
      <c r="F37" s="51">
        <v>45142</v>
      </c>
      <c r="G37" t="s">
        <v>1</v>
      </c>
    </row>
    <row r="38" spans="1:7" x14ac:dyDescent="0.3">
      <c r="A38" t="s">
        <v>2702</v>
      </c>
      <c r="B38">
        <v>41637</v>
      </c>
      <c r="C38" t="s">
        <v>102</v>
      </c>
      <c r="D38" t="s">
        <v>32</v>
      </c>
      <c r="E38" t="s">
        <v>107</v>
      </c>
      <c r="F38" s="51">
        <v>45169</v>
      </c>
      <c r="G38" t="s">
        <v>1</v>
      </c>
    </row>
    <row r="39" spans="1:7" x14ac:dyDescent="0.3">
      <c r="A39" t="s">
        <v>2702</v>
      </c>
      <c r="B39">
        <v>41638</v>
      </c>
      <c r="C39" t="s">
        <v>108</v>
      </c>
      <c r="D39" t="s">
        <v>109</v>
      </c>
      <c r="E39" t="s">
        <v>110</v>
      </c>
      <c r="F39" s="51">
        <v>45142</v>
      </c>
      <c r="G39" t="s">
        <v>8</v>
      </c>
    </row>
    <row r="40" spans="1:7" x14ac:dyDescent="0.3">
      <c r="A40" t="s">
        <v>2702</v>
      </c>
      <c r="B40">
        <v>41639</v>
      </c>
      <c r="C40" t="s">
        <v>111</v>
      </c>
      <c r="D40" t="s">
        <v>112</v>
      </c>
      <c r="E40" t="s">
        <v>113</v>
      </c>
      <c r="F40" s="51">
        <v>45198</v>
      </c>
      <c r="G40" t="s">
        <v>8</v>
      </c>
    </row>
    <row r="41" spans="1:7" x14ac:dyDescent="0.3">
      <c r="A41" t="s">
        <v>2702</v>
      </c>
      <c r="B41">
        <v>41642</v>
      </c>
      <c r="C41" t="s">
        <v>114</v>
      </c>
      <c r="D41" t="s">
        <v>115</v>
      </c>
      <c r="E41" t="s">
        <v>116</v>
      </c>
      <c r="F41" s="51">
        <v>45142</v>
      </c>
      <c r="G41" t="s">
        <v>1</v>
      </c>
    </row>
    <row r="42" spans="1:7" x14ac:dyDescent="0.3">
      <c r="A42" t="s">
        <v>2702</v>
      </c>
      <c r="B42">
        <v>41643</v>
      </c>
      <c r="C42" t="s">
        <v>117</v>
      </c>
      <c r="D42" t="s">
        <v>118</v>
      </c>
      <c r="E42" t="s">
        <v>119</v>
      </c>
      <c r="F42" s="51">
        <v>45175</v>
      </c>
      <c r="G42" t="s">
        <v>1</v>
      </c>
    </row>
    <row r="43" spans="1:7" x14ac:dyDescent="0.3">
      <c r="A43" t="s">
        <v>2702</v>
      </c>
      <c r="B43">
        <v>41644</v>
      </c>
      <c r="C43" t="s">
        <v>31</v>
      </c>
      <c r="D43" t="s">
        <v>120</v>
      </c>
      <c r="E43" t="s">
        <v>121</v>
      </c>
      <c r="F43" s="51">
        <v>45169</v>
      </c>
      <c r="G43" t="s">
        <v>4</v>
      </c>
    </row>
    <row r="44" spans="1:7" x14ac:dyDescent="0.3">
      <c r="A44" t="s">
        <v>2702</v>
      </c>
      <c r="B44">
        <v>41645</v>
      </c>
      <c r="C44" t="s">
        <v>122</v>
      </c>
      <c r="D44" t="s">
        <v>123</v>
      </c>
      <c r="E44" t="s">
        <v>124</v>
      </c>
      <c r="F44" s="51">
        <v>45198</v>
      </c>
      <c r="G44" t="s">
        <v>1</v>
      </c>
    </row>
    <row r="45" spans="1:7" x14ac:dyDescent="0.3">
      <c r="A45" t="s">
        <v>2702</v>
      </c>
      <c r="B45">
        <v>41646</v>
      </c>
      <c r="C45" t="s">
        <v>122</v>
      </c>
      <c r="D45" t="s">
        <v>125</v>
      </c>
      <c r="E45" t="s">
        <v>126</v>
      </c>
      <c r="F45" s="51">
        <v>45145</v>
      </c>
      <c r="G45" t="s">
        <v>1</v>
      </c>
    </row>
    <row r="46" spans="1:7" x14ac:dyDescent="0.3">
      <c r="A46" t="s">
        <v>2702</v>
      </c>
      <c r="B46">
        <v>41648</v>
      </c>
      <c r="C46" t="s">
        <v>25</v>
      </c>
      <c r="D46" t="s">
        <v>26</v>
      </c>
      <c r="E46" t="s">
        <v>127</v>
      </c>
      <c r="F46" s="51">
        <v>45198</v>
      </c>
      <c r="G46" t="s">
        <v>2</v>
      </c>
    </row>
    <row r="47" spans="1:7" x14ac:dyDescent="0.3">
      <c r="A47" t="s">
        <v>2702</v>
      </c>
      <c r="B47">
        <v>41649</v>
      </c>
      <c r="C47" t="s">
        <v>128</v>
      </c>
      <c r="D47" t="s">
        <v>129</v>
      </c>
      <c r="E47" t="s">
        <v>130</v>
      </c>
      <c r="F47" s="51">
        <v>45137</v>
      </c>
      <c r="G47" t="s">
        <v>1</v>
      </c>
    </row>
    <row r="48" spans="1:7" x14ac:dyDescent="0.3">
      <c r="A48" t="s">
        <v>2702</v>
      </c>
      <c r="B48">
        <v>41651</v>
      </c>
      <c r="C48" t="s">
        <v>79</v>
      </c>
      <c r="D48" t="s">
        <v>131</v>
      </c>
      <c r="E48" t="s">
        <v>116</v>
      </c>
      <c r="F48" s="51">
        <v>45198</v>
      </c>
      <c r="G48" t="s">
        <v>1</v>
      </c>
    </row>
    <row r="49" spans="1:7" x14ac:dyDescent="0.3">
      <c r="A49" t="s">
        <v>2702</v>
      </c>
      <c r="B49">
        <v>41652</v>
      </c>
      <c r="C49" t="s">
        <v>132</v>
      </c>
      <c r="D49" t="s">
        <v>133</v>
      </c>
      <c r="E49" t="s">
        <v>134</v>
      </c>
      <c r="F49" s="51">
        <v>45145</v>
      </c>
      <c r="G49" t="s">
        <v>3</v>
      </c>
    </row>
    <row r="50" spans="1:7" x14ac:dyDescent="0.3">
      <c r="A50" t="s">
        <v>2702</v>
      </c>
      <c r="B50">
        <v>41653</v>
      </c>
      <c r="C50" t="s">
        <v>25</v>
      </c>
      <c r="D50" t="s">
        <v>135</v>
      </c>
      <c r="E50" t="s">
        <v>136</v>
      </c>
      <c r="F50" s="51">
        <v>45169</v>
      </c>
      <c r="G50" t="s">
        <v>1</v>
      </c>
    </row>
    <row r="51" spans="1:7" x14ac:dyDescent="0.3">
      <c r="A51" t="s">
        <v>2702</v>
      </c>
      <c r="B51">
        <v>41654</v>
      </c>
      <c r="C51" t="s">
        <v>137</v>
      </c>
      <c r="D51" t="s">
        <v>138</v>
      </c>
      <c r="E51" t="s">
        <v>139</v>
      </c>
      <c r="F51" s="51">
        <v>45137</v>
      </c>
      <c r="G51" t="s">
        <v>1</v>
      </c>
    </row>
    <row r="52" spans="1:7" x14ac:dyDescent="0.3">
      <c r="A52" t="s">
        <v>2702</v>
      </c>
      <c r="B52">
        <v>41655</v>
      </c>
      <c r="C52" t="s">
        <v>54</v>
      </c>
      <c r="D52" t="s">
        <v>140</v>
      </c>
      <c r="F52" s="51">
        <v>45134</v>
      </c>
      <c r="G52" t="s">
        <v>1</v>
      </c>
    </row>
    <row r="53" spans="1:7" x14ac:dyDescent="0.3">
      <c r="A53" t="s">
        <v>2702</v>
      </c>
      <c r="B53">
        <v>41656</v>
      </c>
      <c r="C53" t="s">
        <v>54</v>
      </c>
      <c r="D53" t="s">
        <v>140</v>
      </c>
      <c r="F53" s="51">
        <v>45134</v>
      </c>
      <c r="G53" t="s">
        <v>1</v>
      </c>
    </row>
    <row r="54" spans="1:7" x14ac:dyDescent="0.3">
      <c r="A54" t="s">
        <v>2702</v>
      </c>
      <c r="B54">
        <v>41657</v>
      </c>
      <c r="C54" t="s">
        <v>141</v>
      </c>
      <c r="D54" t="s">
        <v>133</v>
      </c>
      <c r="E54" t="s">
        <v>142</v>
      </c>
      <c r="F54" s="51">
        <v>45145</v>
      </c>
      <c r="G54" t="s">
        <v>1</v>
      </c>
    </row>
    <row r="55" spans="1:7" x14ac:dyDescent="0.3">
      <c r="A55" t="s">
        <v>2702</v>
      </c>
      <c r="B55">
        <v>41660</v>
      </c>
      <c r="C55" t="s">
        <v>71</v>
      </c>
      <c r="D55" t="s">
        <v>106</v>
      </c>
      <c r="E55" t="s">
        <v>143</v>
      </c>
      <c r="F55" s="51">
        <v>45148</v>
      </c>
      <c r="G55" t="s">
        <v>2</v>
      </c>
    </row>
    <row r="56" spans="1:7" x14ac:dyDescent="0.3">
      <c r="A56" t="s">
        <v>2702</v>
      </c>
      <c r="B56">
        <v>41661</v>
      </c>
      <c r="C56" t="s">
        <v>144</v>
      </c>
      <c r="D56" t="s">
        <v>84</v>
      </c>
      <c r="E56" t="s">
        <v>145</v>
      </c>
      <c r="F56" s="51">
        <v>45169</v>
      </c>
      <c r="G56" t="s">
        <v>1</v>
      </c>
    </row>
    <row r="57" spans="1:7" x14ac:dyDescent="0.3">
      <c r="A57" t="s">
        <v>2702</v>
      </c>
      <c r="B57">
        <v>41662</v>
      </c>
      <c r="C57" t="s">
        <v>71</v>
      </c>
      <c r="D57" t="s">
        <v>32</v>
      </c>
      <c r="E57" t="s">
        <v>146</v>
      </c>
      <c r="F57" s="51">
        <v>45137</v>
      </c>
      <c r="G57" t="s">
        <v>1</v>
      </c>
    </row>
    <row r="58" spans="1:7" x14ac:dyDescent="0.3">
      <c r="A58" t="s">
        <v>2702</v>
      </c>
      <c r="B58">
        <v>41663</v>
      </c>
      <c r="C58" t="s">
        <v>81</v>
      </c>
      <c r="D58" t="s">
        <v>106</v>
      </c>
      <c r="E58" t="s">
        <v>147</v>
      </c>
      <c r="F58" s="51">
        <v>45146</v>
      </c>
      <c r="G58" t="s">
        <v>1</v>
      </c>
    </row>
    <row r="59" spans="1:7" x14ac:dyDescent="0.3">
      <c r="A59" t="s">
        <v>2702</v>
      </c>
      <c r="B59">
        <v>41664</v>
      </c>
      <c r="C59" t="s">
        <v>62</v>
      </c>
      <c r="D59" t="s">
        <v>148</v>
      </c>
      <c r="E59" t="s">
        <v>149</v>
      </c>
      <c r="F59" s="51">
        <v>45137</v>
      </c>
      <c r="G59" t="s">
        <v>1</v>
      </c>
    </row>
    <row r="60" spans="1:7" x14ac:dyDescent="0.3">
      <c r="A60" t="s">
        <v>2702</v>
      </c>
      <c r="B60">
        <v>41666</v>
      </c>
      <c r="C60" t="s">
        <v>150</v>
      </c>
      <c r="D60" t="s">
        <v>151</v>
      </c>
      <c r="E60" t="s">
        <v>152</v>
      </c>
      <c r="F60" s="51">
        <v>45138</v>
      </c>
      <c r="G60" t="s">
        <v>1</v>
      </c>
    </row>
    <row r="61" spans="1:7" x14ac:dyDescent="0.3">
      <c r="A61" t="s">
        <v>2702</v>
      </c>
      <c r="B61">
        <v>41667</v>
      </c>
      <c r="C61" t="s">
        <v>150</v>
      </c>
      <c r="D61" t="s">
        <v>151</v>
      </c>
      <c r="E61" t="s">
        <v>152</v>
      </c>
      <c r="F61" s="51">
        <v>45138</v>
      </c>
      <c r="G61" t="s">
        <v>1</v>
      </c>
    </row>
    <row r="62" spans="1:7" x14ac:dyDescent="0.3">
      <c r="A62" t="s">
        <v>2702</v>
      </c>
      <c r="B62">
        <v>41668</v>
      </c>
      <c r="C62" t="s">
        <v>41</v>
      </c>
      <c r="D62" t="s">
        <v>148</v>
      </c>
      <c r="F62" s="51">
        <v>45138</v>
      </c>
      <c r="G62" t="s">
        <v>4</v>
      </c>
    </row>
    <row r="63" spans="1:7" x14ac:dyDescent="0.3">
      <c r="A63" t="s">
        <v>2702</v>
      </c>
      <c r="B63">
        <v>41670</v>
      </c>
      <c r="C63" t="s">
        <v>71</v>
      </c>
      <c r="D63" t="s">
        <v>106</v>
      </c>
      <c r="E63" t="s">
        <v>153</v>
      </c>
      <c r="F63" s="51">
        <v>45148</v>
      </c>
      <c r="G63" t="s">
        <v>3</v>
      </c>
    </row>
    <row r="64" spans="1:7" x14ac:dyDescent="0.3">
      <c r="A64" t="s">
        <v>2702</v>
      </c>
      <c r="B64">
        <v>41671</v>
      </c>
      <c r="C64" t="s">
        <v>25</v>
      </c>
      <c r="E64" t="s">
        <v>27</v>
      </c>
      <c r="F64" s="51">
        <v>45196</v>
      </c>
      <c r="G64" t="s">
        <v>1</v>
      </c>
    </row>
    <row r="65" spans="1:7" x14ac:dyDescent="0.3">
      <c r="A65" t="s">
        <v>2702</v>
      </c>
      <c r="B65">
        <v>41672</v>
      </c>
      <c r="C65" t="s">
        <v>49</v>
      </c>
      <c r="D65" t="s">
        <v>154</v>
      </c>
      <c r="F65" s="51">
        <v>45138</v>
      </c>
      <c r="G65" t="s">
        <v>1</v>
      </c>
    </row>
    <row r="66" spans="1:7" x14ac:dyDescent="0.3">
      <c r="A66" t="s">
        <v>2702</v>
      </c>
      <c r="B66">
        <v>41673</v>
      </c>
      <c r="C66" t="s">
        <v>155</v>
      </c>
      <c r="D66" t="s">
        <v>75</v>
      </c>
      <c r="F66" s="51">
        <v>45390</v>
      </c>
      <c r="G66" t="s">
        <v>4</v>
      </c>
    </row>
    <row r="67" spans="1:7" x14ac:dyDescent="0.3">
      <c r="A67" t="s">
        <v>2702</v>
      </c>
      <c r="B67">
        <v>41674</v>
      </c>
      <c r="C67" t="s">
        <v>41</v>
      </c>
      <c r="D67" t="s">
        <v>156</v>
      </c>
      <c r="F67" s="51">
        <v>45138</v>
      </c>
      <c r="G67" t="s">
        <v>4</v>
      </c>
    </row>
    <row r="68" spans="1:7" x14ac:dyDescent="0.3">
      <c r="A68" t="s">
        <v>2702</v>
      </c>
      <c r="B68">
        <v>41675</v>
      </c>
      <c r="C68" t="s">
        <v>157</v>
      </c>
      <c r="D68" t="s">
        <v>158</v>
      </c>
      <c r="E68" t="s">
        <v>159</v>
      </c>
      <c r="F68" s="51">
        <v>45257</v>
      </c>
      <c r="G68" t="s">
        <v>1</v>
      </c>
    </row>
    <row r="69" spans="1:7" x14ac:dyDescent="0.3">
      <c r="A69" t="s">
        <v>2702</v>
      </c>
      <c r="B69">
        <v>41676</v>
      </c>
      <c r="C69" t="s">
        <v>160</v>
      </c>
      <c r="D69" t="s">
        <v>161</v>
      </c>
      <c r="F69" s="51">
        <v>45138</v>
      </c>
      <c r="G69" t="s">
        <v>4</v>
      </c>
    </row>
    <row r="70" spans="1:7" x14ac:dyDescent="0.3">
      <c r="A70" t="s">
        <v>2702</v>
      </c>
      <c r="B70">
        <v>41678</v>
      </c>
      <c r="C70" t="s">
        <v>90</v>
      </c>
      <c r="D70" t="s">
        <v>162</v>
      </c>
      <c r="E70" t="s">
        <v>163</v>
      </c>
      <c r="F70" s="51">
        <v>45137</v>
      </c>
      <c r="G70" t="s">
        <v>1</v>
      </c>
    </row>
    <row r="71" spans="1:7" x14ac:dyDescent="0.3">
      <c r="A71" t="s">
        <v>2702</v>
      </c>
      <c r="B71">
        <v>41679</v>
      </c>
      <c r="C71" t="s">
        <v>164</v>
      </c>
      <c r="E71" t="s">
        <v>165</v>
      </c>
      <c r="F71" s="51">
        <v>45148</v>
      </c>
      <c r="G71" t="s">
        <v>1</v>
      </c>
    </row>
    <row r="72" spans="1:7" x14ac:dyDescent="0.3">
      <c r="A72" t="s">
        <v>2702</v>
      </c>
      <c r="B72">
        <v>41680</v>
      </c>
      <c r="C72" t="s">
        <v>166</v>
      </c>
      <c r="D72" t="s">
        <v>167</v>
      </c>
      <c r="E72" t="s">
        <v>168</v>
      </c>
      <c r="F72" s="51">
        <v>45137</v>
      </c>
      <c r="G72" t="s">
        <v>1</v>
      </c>
    </row>
    <row r="73" spans="1:7" x14ac:dyDescent="0.3">
      <c r="A73" t="s">
        <v>2702</v>
      </c>
      <c r="B73">
        <v>41681</v>
      </c>
      <c r="C73" t="s">
        <v>41</v>
      </c>
      <c r="D73" t="s">
        <v>47</v>
      </c>
      <c r="E73" t="s">
        <v>85</v>
      </c>
      <c r="F73" s="51">
        <v>45198</v>
      </c>
      <c r="G73" t="s">
        <v>2</v>
      </c>
    </row>
    <row r="74" spans="1:7" x14ac:dyDescent="0.3">
      <c r="A74" t="s">
        <v>2702</v>
      </c>
      <c r="B74">
        <v>41684</v>
      </c>
      <c r="C74" t="s">
        <v>122</v>
      </c>
      <c r="D74" t="s">
        <v>169</v>
      </c>
      <c r="E74" t="s">
        <v>146</v>
      </c>
      <c r="F74" s="51">
        <v>45137</v>
      </c>
      <c r="G74" t="s">
        <v>8</v>
      </c>
    </row>
    <row r="75" spans="1:7" x14ac:dyDescent="0.3">
      <c r="A75" t="s">
        <v>2702</v>
      </c>
      <c r="B75">
        <v>41685</v>
      </c>
      <c r="C75" t="s">
        <v>155</v>
      </c>
      <c r="D75" t="s">
        <v>170</v>
      </c>
      <c r="E75" t="s">
        <v>171</v>
      </c>
      <c r="F75" s="51">
        <v>45196</v>
      </c>
      <c r="G75" t="s">
        <v>8</v>
      </c>
    </row>
    <row r="76" spans="1:7" x14ac:dyDescent="0.3">
      <c r="A76" t="s">
        <v>2702</v>
      </c>
      <c r="B76">
        <v>41686</v>
      </c>
      <c r="C76" t="s">
        <v>86</v>
      </c>
      <c r="D76" t="s">
        <v>45</v>
      </c>
      <c r="E76" t="s">
        <v>172</v>
      </c>
      <c r="F76" s="51">
        <v>45148</v>
      </c>
      <c r="G76" t="s">
        <v>3</v>
      </c>
    </row>
    <row r="77" spans="1:7" x14ac:dyDescent="0.3">
      <c r="A77" t="s">
        <v>2702</v>
      </c>
      <c r="B77">
        <v>41687</v>
      </c>
      <c r="C77" t="s">
        <v>41</v>
      </c>
      <c r="D77" t="s">
        <v>63</v>
      </c>
      <c r="E77" t="s">
        <v>173</v>
      </c>
      <c r="F77" s="51">
        <v>45198</v>
      </c>
      <c r="G77" t="s">
        <v>4</v>
      </c>
    </row>
    <row r="78" spans="1:7" x14ac:dyDescent="0.3">
      <c r="A78" t="s">
        <v>2702</v>
      </c>
      <c r="B78">
        <v>41688</v>
      </c>
      <c r="C78" t="s">
        <v>41</v>
      </c>
      <c r="D78" t="s">
        <v>45</v>
      </c>
      <c r="E78" t="s">
        <v>174</v>
      </c>
      <c r="F78" s="51">
        <v>45198</v>
      </c>
      <c r="G78" t="s">
        <v>4</v>
      </c>
    </row>
    <row r="79" spans="1:7" x14ac:dyDescent="0.3">
      <c r="A79" t="s">
        <v>2702</v>
      </c>
      <c r="B79">
        <v>41690</v>
      </c>
      <c r="C79" t="s">
        <v>164</v>
      </c>
      <c r="D79" t="s">
        <v>175</v>
      </c>
      <c r="E79" t="s">
        <v>176</v>
      </c>
      <c r="F79" s="51">
        <v>45198</v>
      </c>
      <c r="G79" t="s">
        <v>2</v>
      </c>
    </row>
    <row r="80" spans="1:7" x14ac:dyDescent="0.3">
      <c r="A80" t="s">
        <v>2702</v>
      </c>
      <c r="B80">
        <v>41691</v>
      </c>
      <c r="C80" t="s">
        <v>41</v>
      </c>
      <c r="D80" t="s">
        <v>63</v>
      </c>
      <c r="E80" t="s">
        <v>177</v>
      </c>
      <c r="F80" s="51">
        <v>45198</v>
      </c>
      <c r="G80" t="s">
        <v>4</v>
      </c>
    </row>
    <row r="81" spans="1:7" x14ac:dyDescent="0.3">
      <c r="A81" t="s">
        <v>2702</v>
      </c>
      <c r="B81">
        <v>41692</v>
      </c>
      <c r="C81" t="s">
        <v>178</v>
      </c>
      <c r="D81" t="s">
        <v>179</v>
      </c>
      <c r="E81" t="s">
        <v>145</v>
      </c>
      <c r="F81" s="51">
        <v>45169</v>
      </c>
      <c r="G81" t="s">
        <v>1</v>
      </c>
    </row>
    <row r="82" spans="1:7" x14ac:dyDescent="0.3">
      <c r="A82" t="s">
        <v>2702</v>
      </c>
      <c r="B82">
        <v>41693</v>
      </c>
      <c r="C82" t="s">
        <v>180</v>
      </c>
      <c r="D82" t="s">
        <v>181</v>
      </c>
      <c r="E82" t="s">
        <v>182</v>
      </c>
      <c r="F82" s="51">
        <v>45169</v>
      </c>
      <c r="G82" t="s">
        <v>1</v>
      </c>
    </row>
    <row r="83" spans="1:7" x14ac:dyDescent="0.3">
      <c r="A83" t="s">
        <v>2702</v>
      </c>
      <c r="B83">
        <v>41694</v>
      </c>
      <c r="C83" t="s">
        <v>41</v>
      </c>
      <c r="D83" t="s">
        <v>47</v>
      </c>
      <c r="E83" t="s">
        <v>163</v>
      </c>
      <c r="F83" s="51">
        <v>45169</v>
      </c>
      <c r="G83" t="s">
        <v>3</v>
      </c>
    </row>
    <row r="84" spans="1:7" x14ac:dyDescent="0.3">
      <c r="A84" t="s">
        <v>2702</v>
      </c>
      <c r="B84">
        <v>41695</v>
      </c>
      <c r="C84" t="s">
        <v>41</v>
      </c>
      <c r="D84" t="s">
        <v>45</v>
      </c>
      <c r="E84" t="s">
        <v>183</v>
      </c>
      <c r="F84" s="51">
        <v>45198</v>
      </c>
      <c r="G84" t="s">
        <v>4</v>
      </c>
    </row>
    <row r="85" spans="1:7" x14ac:dyDescent="0.3">
      <c r="A85" t="s">
        <v>2702</v>
      </c>
      <c r="B85">
        <v>41696</v>
      </c>
      <c r="C85" t="s">
        <v>184</v>
      </c>
      <c r="D85" t="s">
        <v>185</v>
      </c>
      <c r="E85" t="s">
        <v>186</v>
      </c>
      <c r="F85" s="51">
        <v>45169</v>
      </c>
      <c r="G85" t="s">
        <v>1</v>
      </c>
    </row>
    <row r="86" spans="1:7" x14ac:dyDescent="0.3">
      <c r="A86" t="s">
        <v>2702</v>
      </c>
      <c r="B86">
        <v>41697</v>
      </c>
      <c r="C86" t="s">
        <v>187</v>
      </c>
      <c r="D86" t="s">
        <v>148</v>
      </c>
      <c r="E86" t="s">
        <v>188</v>
      </c>
      <c r="F86" s="51">
        <v>45168</v>
      </c>
      <c r="G86" t="s">
        <v>1</v>
      </c>
    </row>
    <row r="87" spans="1:7" x14ac:dyDescent="0.3">
      <c r="A87" t="s">
        <v>2702</v>
      </c>
      <c r="B87">
        <v>41698</v>
      </c>
      <c r="C87" t="s">
        <v>189</v>
      </c>
      <c r="D87" t="s">
        <v>190</v>
      </c>
      <c r="E87" t="s">
        <v>153</v>
      </c>
      <c r="F87" s="51">
        <v>45147</v>
      </c>
      <c r="G87" t="s">
        <v>1</v>
      </c>
    </row>
    <row r="88" spans="1:7" x14ac:dyDescent="0.3">
      <c r="A88" t="s">
        <v>2702</v>
      </c>
      <c r="B88">
        <v>41699</v>
      </c>
      <c r="C88" t="s">
        <v>86</v>
      </c>
      <c r="D88" t="s">
        <v>45</v>
      </c>
      <c r="E88" t="s">
        <v>145</v>
      </c>
      <c r="F88" s="51">
        <v>45169</v>
      </c>
      <c r="G88" t="s">
        <v>3</v>
      </c>
    </row>
    <row r="89" spans="1:7" x14ac:dyDescent="0.3">
      <c r="A89" t="s">
        <v>2702</v>
      </c>
      <c r="B89">
        <v>41700</v>
      </c>
      <c r="C89" t="s">
        <v>191</v>
      </c>
      <c r="D89" t="s">
        <v>192</v>
      </c>
      <c r="E89" t="s">
        <v>27</v>
      </c>
      <c r="F89" s="51">
        <v>45197</v>
      </c>
      <c r="G89" t="s">
        <v>1</v>
      </c>
    </row>
    <row r="90" spans="1:7" x14ac:dyDescent="0.3">
      <c r="A90" t="s">
        <v>2702</v>
      </c>
      <c r="B90">
        <v>41701</v>
      </c>
      <c r="C90" t="s">
        <v>36</v>
      </c>
      <c r="D90" t="s">
        <v>193</v>
      </c>
      <c r="F90" s="51">
        <v>45169</v>
      </c>
      <c r="G90" t="s">
        <v>2</v>
      </c>
    </row>
    <row r="91" spans="1:7" x14ac:dyDescent="0.3">
      <c r="A91" t="s">
        <v>2702</v>
      </c>
      <c r="B91">
        <v>41702</v>
      </c>
      <c r="C91" t="s">
        <v>194</v>
      </c>
      <c r="D91" t="s">
        <v>84</v>
      </c>
      <c r="E91" t="s">
        <v>146</v>
      </c>
      <c r="F91" s="51">
        <v>45149</v>
      </c>
      <c r="G91" t="s">
        <v>1</v>
      </c>
    </row>
    <row r="92" spans="1:7" x14ac:dyDescent="0.3">
      <c r="A92" t="s">
        <v>2702</v>
      </c>
      <c r="B92">
        <v>41703</v>
      </c>
      <c r="C92" t="s">
        <v>195</v>
      </c>
      <c r="D92" t="s">
        <v>133</v>
      </c>
      <c r="E92" t="s">
        <v>40</v>
      </c>
      <c r="F92" s="51">
        <v>45169</v>
      </c>
      <c r="G92" t="s">
        <v>1</v>
      </c>
    </row>
    <row r="93" spans="1:7" x14ac:dyDescent="0.3">
      <c r="A93" t="s">
        <v>2702</v>
      </c>
      <c r="B93">
        <v>41704</v>
      </c>
      <c r="C93" t="s">
        <v>196</v>
      </c>
      <c r="D93" t="s">
        <v>197</v>
      </c>
      <c r="E93" t="s">
        <v>198</v>
      </c>
      <c r="F93" s="51">
        <v>45169</v>
      </c>
      <c r="G93" t="s">
        <v>2</v>
      </c>
    </row>
    <row r="94" spans="1:7" x14ac:dyDescent="0.3">
      <c r="A94" t="s">
        <v>2702</v>
      </c>
      <c r="B94">
        <v>41705</v>
      </c>
      <c r="C94" t="s">
        <v>199</v>
      </c>
      <c r="D94" t="s">
        <v>200</v>
      </c>
      <c r="E94" t="s">
        <v>201</v>
      </c>
      <c r="F94" s="51">
        <v>45167</v>
      </c>
      <c r="G94" t="s">
        <v>2</v>
      </c>
    </row>
    <row r="95" spans="1:7" x14ac:dyDescent="0.3">
      <c r="A95" t="s">
        <v>2702</v>
      </c>
      <c r="B95">
        <v>41706</v>
      </c>
      <c r="C95" t="s">
        <v>86</v>
      </c>
      <c r="D95" t="s">
        <v>45</v>
      </c>
      <c r="E95" t="s">
        <v>202</v>
      </c>
      <c r="F95" s="51">
        <v>45168</v>
      </c>
      <c r="G95" t="s">
        <v>3</v>
      </c>
    </row>
    <row r="96" spans="1:7" x14ac:dyDescent="0.3">
      <c r="A96" t="s">
        <v>2702</v>
      </c>
      <c r="B96">
        <v>41707</v>
      </c>
      <c r="C96" t="s">
        <v>203</v>
      </c>
      <c r="D96" t="s">
        <v>204</v>
      </c>
      <c r="E96" t="s">
        <v>172</v>
      </c>
      <c r="F96" s="51">
        <v>45169</v>
      </c>
      <c r="G96" t="s">
        <v>1</v>
      </c>
    </row>
    <row r="97" spans="1:7" x14ac:dyDescent="0.3">
      <c r="A97" t="s">
        <v>2702</v>
      </c>
      <c r="B97">
        <v>41708</v>
      </c>
      <c r="C97" t="s">
        <v>36</v>
      </c>
      <c r="D97" t="s">
        <v>37</v>
      </c>
      <c r="E97" t="s">
        <v>145</v>
      </c>
      <c r="F97" s="51">
        <v>45238</v>
      </c>
      <c r="G97" t="s">
        <v>2</v>
      </c>
    </row>
    <row r="98" spans="1:7" x14ac:dyDescent="0.3">
      <c r="A98" t="s">
        <v>2702</v>
      </c>
      <c r="B98">
        <v>41709</v>
      </c>
      <c r="C98" t="s">
        <v>71</v>
      </c>
      <c r="D98" t="s">
        <v>32</v>
      </c>
      <c r="E98" t="s">
        <v>172</v>
      </c>
      <c r="F98" s="51">
        <v>45169</v>
      </c>
      <c r="G98" t="s">
        <v>1</v>
      </c>
    </row>
    <row r="99" spans="1:7" x14ac:dyDescent="0.3">
      <c r="A99" t="s">
        <v>2702</v>
      </c>
      <c r="B99">
        <v>41710</v>
      </c>
      <c r="C99" t="s">
        <v>205</v>
      </c>
      <c r="D99" t="s">
        <v>206</v>
      </c>
      <c r="E99" t="s">
        <v>207</v>
      </c>
      <c r="F99" s="51">
        <v>45169</v>
      </c>
      <c r="G99" t="s">
        <v>1</v>
      </c>
    </row>
    <row r="100" spans="1:7" x14ac:dyDescent="0.3">
      <c r="A100" t="s">
        <v>2702</v>
      </c>
      <c r="B100">
        <v>41711</v>
      </c>
      <c r="C100" t="s">
        <v>208</v>
      </c>
      <c r="D100" t="s">
        <v>209</v>
      </c>
      <c r="F100" s="51">
        <v>45107</v>
      </c>
      <c r="G100" t="s">
        <v>1</v>
      </c>
    </row>
    <row r="101" spans="1:7" x14ac:dyDescent="0.3">
      <c r="A101" t="s">
        <v>2702</v>
      </c>
      <c r="B101">
        <v>41712</v>
      </c>
      <c r="C101" t="s">
        <v>208</v>
      </c>
      <c r="D101" t="s">
        <v>209</v>
      </c>
      <c r="F101" s="51">
        <v>45107</v>
      </c>
      <c r="G101" t="s">
        <v>1</v>
      </c>
    </row>
    <row r="102" spans="1:7" x14ac:dyDescent="0.3">
      <c r="A102" t="s">
        <v>2702</v>
      </c>
      <c r="B102">
        <v>41713</v>
      </c>
      <c r="C102" t="s">
        <v>210</v>
      </c>
      <c r="D102" t="s">
        <v>211</v>
      </c>
      <c r="E102" t="s">
        <v>212</v>
      </c>
      <c r="F102" s="51">
        <v>45169</v>
      </c>
      <c r="G102" t="s">
        <v>1</v>
      </c>
    </row>
    <row r="103" spans="1:7" x14ac:dyDescent="0.3">
      <c r="A103" t="s">
        <v>2702</v>
      </c>
      <c r="B103">
        <v>41714</v>
      </c>
      <c r="C103" t="s">
        <v>213</v>
      </c>
      <c r="E103" t="s">
        <v>27</v>
      </c>
      <c r="F103" s="51">
        <v>45169</v>
      </c>
      <c r="G103" t="s">
        <v>1</v>
      </c>
    </row>
    <row r="104" spans="1:7" x14ac:dyDescent="0.3">
      <c r="A104" t="s">
        <v>2702</v>
      </c>
      <c r="B104">
        <v>41715</v>
      </c>
      <c r="C104" t="s">
        <v>36</v>
      </c>
      <c r="D104" t="s">
        <v>193</v>
      </c>
      <c r="E104" t="s">
        <v>214</v>
      </c>
      <c r="F104" s="51">
        <v>45148</v>
      </c>
      <c r="G104" t="s">
        <v>4</v>
      </c>
    </row>
    <row r="105" spans="1:7" x14ac:dyDescent="0.3">
      <c r="A105" t="s">
        <v>2702</v>
      </c>
      <c r="B105">
        <v>41716</v>
      </c>
      <c r="C105" t="s">
        <v>62</v>
      </c>
      <c r="D105" t="s">
        <v>63</v>
      </c>
      <c r="E105" t="s">
        <v>215</v>
      </c>
      <c r="F105" s="51">
        <v>45169</v>
      </c>
      <c r="G105" t="s">
        <v>2</v>
      </c>
    </row>
    <row r="106" spans="1:7" x14ac:dyDescent="0.3">
      <c r="A106" t="s">
        <v>2702</v>
      </c>
      <c r="B106">
        <v>41717</v>
      </c>
      <c r="C106" t="s">
        <v>79</v>
      </c>
      <c r="D106" t="s">
        <v>75</v>
      </c>
      <c r="E106" t="s">
        <v>216</v>
      </c>
      <c r="F106" s="51">
        <v>45148</v>
      </c>
      <c r="G106" t="s">
        <v>4</v>
      </c>
    </row>
    <row r="107" spans="1:7" x14ac:dyDescent="0.3">
      <c r="A107" t="s">
        <v>2702</v>
      </c>
      <c r="B107">
        <v>41718</v>
      </c>
      <c r="C107" t="s">
        <v>79</v>
      </c>
      <c r="D107" t="s">
        <v>75</v>
      </c>
      <c r="E107" t="s">
        <v>80</v>
      </c>
      <c r="F107" s="51">
        <v>45148</v>
      </c>
      <c r="G107" t="s">
        <v>4</v>
      </c>
    </row>
    <row r="108" spans="1:7" x14ac:dyDescent="0.3">
      <c r="A108" t="s">
        <v>2702</v>
      </c>
      <c r="B108">
        <v>41719</v>
      </c>
      <c r="C108" t="s">
        <v>90</v>
      </c>
      <c r="D108" t="s">
        <v>217</v>
      </c>
      <c r="E108" t="s">
        <v>207</v>
      </c>
      <c r="F108" s="51">
        <v>45137</v>
      </c>
      <c r="G108" t="s">
        <v>1</v>
      </c>
    </row>
    <row r="109" spans="1:7" x14ac:dyDescent="0.3">
      <c r="A109" t="s">
        <v>2702</v>
      </c>
      <c r="B109">
        <v>41720</v>
      </c>
      <c r="C109" t="s">
        <v>90</v>
      </c>
      <c r="D109" t="s">
        <v>217</v>
      </c>
      <c r="E109" t="s">
        <v>218</v>
      </c>
      <c r="F109" s="51">
        <v>45197</v>
      </c>
      <c r="G109" t="s">
        <v>2</v>
      </c>
    </row>
    <row r="110" spans="1:7" x14ac:dyDescent="0.3">
      <c r="A110" t="s">
        <v>2702</v>
      </c>
      <c r="B110">
        <v>41721</v>
      </c>
      <c r="C110" t="s">
        <v>41</v>
      </c>
      <c r="E110" t="s">
        <v>219</v>
      </c>
      <c r="F110" s="51">
        <v>45148</v>
      </c>
      <c r="G110" t="s">
        <v>4</v>
      </c>
    </row>
    <row r="111" spans="1:7" x14ac:dyDescent="0.3">
      <c r="A111" t="s">
        <v>2702</v>
      </c>
      <c r="B111">
        <v>41722</v>
      </c>
      <c r="C111" t="s">
        <v>220</v>
      </c>
      <c r="F111" s="51">
        <v>45148</v>
      </c>
      <c r="G111" t="s">
        <v>4</v>
      </c>
    </row>
    <row r="112" spans="1:7" x14ac:dyDescent="0.3">
      <c r="A112" t="s">
        <v>2702</v>
      </c>
      <c r="B112">
        <v>41724</v>
      </c>
      <c r="C112" t="s">
        <v>180</v>
      </c>
      <c r="D112" t="s">
        <v>181</v>
      </c>
      <c r="E112" t="s">
        <v>145</v>
      </c>
      <c r="F112" s="51">
        <v>45169</v>
      </c>
      <c r="G112" t="s">
        <v>1</v>
      </c>
    </row>
    <row r="113" spans="1:7" x14ac:dyDescent="0.3">
      <c r="A113" t="s">
        <v>2702</v>
      </c>
      <c r="B113">
        <v>41725</v>
      </c>
      <c r="C113" t="s">
        <v>86</v>
      </c>
      <c r="D113" t="s">
        <v>45</v>
      </c>
      <c r="E113" t="s">
        <v>64</v>
      </c>
      <c r="F113" s="51">
        <v>45188</v>
      </c>
      <c r="G113" t="s">
        <v>3</v>
      </c>
    </row>
    <row r="114" spans="1:7" x14ac:dyDescent="0.3">
      <c r="A114" t="s">
        <v>2702</v>
      </c>
      <c r="B114">
        <v>41726</v>
      </c>
      <c r="C114" t="s">
        <v>86</v>
      </c>
      <c r="D114" t="s">
        <v>45</v>
      </c>
      <c r="E114" t="s">
        <v>221</v>
      </c>
      <c r="F114" s="51">
        <v>45187</v>
      </c>
      <c r="G114" t="s">
        <v>3</v>
      </c>
    </row>
    <row r="115" spans="1:7" x14ac:dyDescent="0.3">
      <c r="A115" t="s">
        <v>2702</v>
      </c>
      <c r="B115">
        <v>41727</v>
      </c>
      <c r="C115" t="s">
        <v>222</v>
      </c>
      <c r="D115" t="s">
        <v>223</v>
      </c>
      <c r="E115" t="s">
        <v>224</v>
      </c>
      <c r="F115" s="51">
        <v>45169</v>
      </c>
      <c r="G115" t="s">
        <v>1</v>
      </c>
    </row>
    <row r="116" spans="1:7" x14ac:dyDescent="0.3">
      <c r="A116" t="s">
        <v>2702</v>
      </c>
      <c r="B116">
        <v>41728</v>
      </c>
      <c r="C116" t="s">
        <v>225</v>
      </c>
      <c r="D116" t="s">
        <v>226</v>
      </c>
      <c r="E116" t="s">
        <v>121</v>
      </c>
      <c r="F116" s="51">
        <v>45169</v>
      </c>
      <c r="G116" t="s">
        <v>4</v>
      </c>
    </row>
    <row r="117" spans="1:7" x14ac:dyDescent="0.3">
      <c r="A117" t="s">
        <v>2702</v>
      </c>
      <c r="B117">
        <v>41729</v>
      </c>
      <c r="C117" t="s">
        <v>144</v>
      </c>
      <c r="D117" t="s">
        <v>227</v>
      </c>
      <c r="E117" t="s">
        <v>145</v>
      </c>
      <c r="F117" s="51">
        <v>45169</v>
      </c>
      <c r="G117" t="s">
        <v>1</v>
      </c>
    </row>
    <row r="118" spans="1:7" x14ac:dyDescent="0.3">
      <c r="A118" t="s">
        <v>2702</v>
      </c>
      <c r="B118">
        <v>41730</v>
      </c>
      <c r="C118" t="s">
        <v>144</v>
      </c>
      <c r="D118" t="s">
        <v>106</v>
      </c>
      <c r="E118" t="s">
        <v>145</v>
      </c>
      <c r="F118" s="51">
        <v>45169</v>
      </c>
      <c r="G118" t="s">
        <v>1</v>
      </c>
    </row>
    <row r="119" spans="1:7" x14ac:dyDescent="0.3">
      <c r="A119" t="s">
        <v>2702</v>
      </c>
      <c r="B119">
        <v>41731</v>
      </c>
      <c r="C119" t="s">
        <v>83</v>
      </c>
      <c r="D119" t="s">
        <v>84</v>
      </c>
      <c r="E119" t="s">
        <v>228</v>
      </c>
      <c r="F119" s="51">
        <v>45198</v>
      </c>
      <c r="G119" t="s">
        <v>1</v>
      </c>
    </row>
    <row r="120" spans="1:7" x14ac:dyDescent="0.3">
      <c r="A120" t="s">
        <v>2702</v>
      </c>
      <c r="B120">
        <v>41732</v>
      </c>
      <c r="C120" t="s">
        <v>229</v>
      </c>
      <c r="E120" t="s">
        <v>230</v>
      </c>
      <c r="F120" s="51">
        <v>45169</v>
      </c>
      <c r="G120" t="s">
        <v>1</v>
      </c>
    </row>
    <row r="121" spans="1:7" x14ac:dyDescent="0.3">
      <c r="A121" t="s">
        <v>2702</v>
      </c>
      <c r="B121">
        <v>41733</v>
      </c>
      <c r="C121" t="s">
        <v>231</v>
      </c>
      <c r="D121" t="s">
        <v>232</v>
      </c>
      <c r="E121" t="s">
        <v>121</v>
      </c>
      <c r="F121" s="51">
        <v>45198</v>
      </c>
      <c r="G121" t="s">
        <v>4</v>
      </c>
    </row>
    <row r="122" spans="1:7" x14ac:dyDescent="0.3">
      <c r="A122" t="s">
        <v>2702</v>
      </c>
      <c r="B122">
        <v>41734</v>
      </c>
      <c r="C122" t="s">
        <v>233</v>
      </c>
      <c r="D122" t="s">
        <v>234</v>
      </c>
      <c r="E122" t="s">
        <v>121</v>
      </c>
      <c r="F122" s="51">
        <v>45190</v>
      </c>
      <c r="G122" t="s">
        <v>4</v>
      </c>
    </row>
    <row r="123" spans="1:7" x14ac:dyDescent="0.3">
      <c r="A123" t="s">
        <v>2702</v>
      </c>
      <c r="B123">
        <v>41735</v>
      </c>
      <c r="C123" t="s">
        <v>235</v>
      </c>
      <c r="D123" t="s">
        <v>234</v>
      </c>
      <c r="E123" t="s">
        <v>121</v>
      </c>
      <c r="F123" s="51">
        <v>45169</v>
      </c>
      <c r="G123" t="s">
        <v>4</v>
      </c>
    </row>
    <row r="124" spans="1:7" x14ac:dyDescent="0.3">
      <c r="A124" t="s">
        <v>2702</v>
      </c>
      <c r="B124">
        <v>41736</v>
      </c>
      <c r="C124" t="s">
        <v>236</v>
      </c>
      <c r="D124" t="s">
        <v>75</v>
      </c>
      <c r="E124" t="s">
        <v>221</v>
      </c>
      <c r="F124" s="51">
        <v>45168</v>
      </c>
      <c r="G124" t="s">
        <v>1</v>
      </c>
    </row>
    <row r="125" spans="1:7" x14ac:dyDescent="0.3">
      <c r="A125" t="s">
        <v>2702</v>
      </c>
      <c r="B125">
        <v>41737</v>
      </c>
      <c r="C125" t="s">
        <v>194</v>
      </c>
      <c r="D125" t="s">
        <v>84</v>
      </c>
      <c r="E125" t="s">
        <v>104</v>
      </c>
      <c r="F125" s="51">
        <v>45169</v>
      </c>
      <c r="G125" t="s">
        <v>1</v>
      </c>
    </row>
    <row r="126" spans="1:7" x14ac:dyDescent="0.3">
      <c r="A126" t="s">
        <v>2702</v>
      </c>
      <c r="B126">
        <v>41738</v>
      </c>
      <c r="C126" t="s">
        <v>237</v>
      </c>
      <c r="D126" t="s">
        <v>84</v>
      </c>
      <c r="E126" t="s">
        <v>238</v>
      </c>
      <c r="F126" s="51">
        <v>45169</v>
      </c>
      <c r="G126" t="s">
        <v>1</v>
      </c>
    </row>
    <row r="127" spans="1:7" x14ac:dyDescent="0.3">
      <c r="A127" t="s">
        <v>2702</v>
      </c>
      <c r="B127">
        <v>41739</v>
      </c>
      <c r="C127" t="s">
        <v>237</v>
      </c>
      <c r="D127" t="s">
        <v>84</v>
      </c>
      <c r="E127" t="s">
        <v>145</v>
      </c>
      <c r="F127" s="51">
        <v>45168</v>
      </c>
      <c r="G127" t="s">
        <v>1</v>
      </c>
    </row>
    <row r="128" spans="1:7" x14ac:dyDescent="0.3">
      <c r="A128" t="s">
        <v>2702</v>
      </c>
      <c r="B128">
        <v>41740</v>
      </c>
      <c r="C128" t="s">
        <v>239</v>
      </c>
      <c r="D128" t="s">
        <v>240</v>
      </c>
      <c r="E128" t="s">
        <v>241</v>
      </c>
      <c r="F128" s="51">
        <v>45258</v>
      </c>
      <c r="G128" t="s">
        <v>5</v>
      </c>
    </row>
    <row r="129" spans="1:7" x14ac:dyDescent="0.3">
      <c r="A129" t="s">
        <v>2702</v>
      </c>
      <c r="B129">
        <v>41741</v>
      </c>
      <c r="C129" t="s">
        <v>25</v>
      </c>
      <c r="D129" t="s">
        <v>242</v>
      </c>
      <c r="F129" s="51">
        <v>45168</v>
      </c>
      <c r="G129" t="s">
        <v>1</v>
      </c>
    </row>
    <row r="130" spans="1:7" x14ac:dyDescent="0.3">
      <c r="A130" t="s">
        <v>2702</v>
      </c>
      <c r="B130">
        <v>41742</v>
      </c>
      <c r="C130" t="s">
        <v>243</v>
      </c>
      <c r="D130" t="s">
        <v>244</v>
      </c>
      <c r="E130" t="s">
        <v>245</v>
      </c>
      <c r="F130" s="51">
        <v>45169</v>
      </c>
      <c r="G130" t="s">
        <v>1</v>
      </c>
    </row>
    <row r="131" spans="1:7" x14ac:dyDescent="0.3">
      <c r="A131" t="s">
        <v>2702</v>
      </c>
      <c r="B131">
        <v>41743</v>
      </c>
      <c r="C131" t="s">
        <v>79</v>
      </c>
      <c r="D131" t="s">
        <v>75</v>
      </c>
      <c r="E131" t="s">
        <v>146</v>
      </c>
      <c r="F131" s="51">
        <v>45169</v>
      </c>
      <c r="G131" t="s">
        <v>2</v>
      </c>
    </row>
    <row r="132" spans="1:7" x14ac:dyDescent="0.3">
      <c r="A132" t="s">
        <v>2702</v>
      </c>
      <c r="B132">
        <v>41744</v>
      </c>
      <c r="C132" t="s">
        <v>246</v>
      </c>
      <c r="D132" t="s">
        <v>247</v>
      </c>
      <c r="E132" t="s">
        <v>172</v>
      </c>
      <c r="F132" s="51">
        <v>45189</v>
      </c>
      <c r="G132" t="s">
        <v>1</v>
      </c>
    </row>
    <row r="133" spans="1:7" x14ac:dyDescent="0.3">
      <c r="A133" t="s">
        <v>2702</v>
      </c>
      <c r="B133">
        <v>41745</v>
      </c>
      <c r="C133" t="s">
        <v>248</v>
      </c>
      <c r="D133" t="s">
        <v>249</v>
      </c>
      <c r="E133" t="s">
        <v>250</v>
      </c>
      <c r="F133" s="51">
        <v>45159</v>
      </c>
      <c r="G133" t="s">
        <v>1</v>
      </c>
    </row>
    <row r="134" spans="1:7" x14ac:dyDescent="0.3">
      <c r="A134" t="s">
        <v>2702</v>
      </c>
      <c r="B134">
        <v>41746</v>
      </c>
      <c r="C134" t="s">
        <v>251</v>
      </c>
      <c r="D134" t="s">
        <v>252</v>
      </c>
      <c r="E134" t="s">
        <v>207</v>
      </c>
      <c r="F134" s="51">
        <v>45169</v>
      </c>
      <c r="G134" t="s">
        <v>1</v>
      </c>
    </row>
    <row r="135" spans="1:7" x14ac:dyDescent="0.3">
      <c r="A135" t="s">
        <v>2702</v>
      </c>
      <c r="B135">
        <v>41747</v>
      </c>
      <c r="C135" t="s">
        <v>253</v>
      </c>
      <c r="D135" t="s">
        <v>254</v>
      </c>
      <c r="E135" t="s">
        <v>255</v>
      </c>
      <c r="F135" s="51">
        <v>45217</v>
      </c>
      <c r="G135" t="s">
        <v>2</v>
      </c>
    </row>
    <row r="136" spans="1:7" x14ac:dyDescent="0.3">
      <c r="A136" t="s">
        <v>2702</v>
      </c>
      <c r="B136">
        <v>41748</v>
      </c>
      <c r="C136" t="s">
        <v>256</v>
      </c>
      <c r="D136" t="s">
        <v>154</v>
      </c>
      <c r="E136" t="s">
        <v>257</v>
      </c>
      <c r="F136" s="51">
        <v>45198</v>
      </c>
      <c r="G136" t="s">
        <v>2</v>
      </c>
    </row>
    <row r="137" spans="1:7" x14ac:dyDescent="0.3">
      <c r="A137" t="s">
        <v>2702</v>
      </c>
      <c r="B137">
        <v>41749</v>
      </c>
      <c r="C137" t="s">
        <v>199</v>
      </c>
      <c r="D137" t="s">
        <v>258</v>
      </c>
      <c r="E137" t="s">
        <v>153</v>
      </c>
      <c r="F137" s="51">
        <v>45198</v>
      </c>
      <c r="G137" t="s">
        <v>6</v>
      </c>
    </row>
    <row r="138" spans="1:7" x14ac:dyDescent="0.3">
      <c r="A138" t="s">
        <v>2702</v>
      </c>
      <c r="B138">
        <v>41750</v>
      </c>
      <c r="C138" t="s">
        <v>259</v>
      </c>
      <c r="D138" t="s">
        <v>260</v>
      </c>
      <c r="E138" t="s">
        <v>207</v>
      </c>
      <c r="F138" s="51">
        <v>45271</v>
      </c>
      <c r="G138" t="s">
        <v>6</v>
      </c>
    </row>
    <row r="139" spans="1:7" x14ac:dyDescent="0.3">
      <c r="A139" t="s">
        <v>2702</v>
      </c>
      <c r="B139">
        <v>41751</v>
      </c>
      <c r="C139" t="s">
        <v>189</v>
      </c>
      <c r="D139" t="s">
        <v>261</v>
      </c>
      <c r="E139" t="s">
        <v>186</v>
      </c>
      <c r="F139" s="51">
        <v>45169</v>
      </c>
      <c r="G139" t="s">
        <v>1</v>
      </c>
    </row>
    <row r="140" spans="1:7" x14ac:dyDescent="0.3">
      <c r="A140" t="s">
        <v>2702</v>
      </c>
      <c r="B140">
        <v>41752</v>
      </c>
      <c r="C140" t="s">
        <v>86</v>
      </c>
      <c r="D140" t="s">
        <v>45</v>
      </c>
      <c r="E140" t="s">
        <v>255</v>
      </c>
      <c r="F140" s="51">
        <v>45188</v>
      </c>
      <c r="G140" t="s">
        <v>3</v>
      </c>
    </row>
    <row r="141" spans="1:7" x14ac:dyDescent="0.3">
      <c r="A141" t="s">
        <v>2702</v>
      </c>
      <c r="B141">
        <v>41753</v>
      </c>
      <c r="C141" t="s">
        <v>262</v>
      </c>
      <c r="D141" t="s">
        <v>263</v>
      </c>
      <c r="E141" t="s">
        <v>121</v>
      </c>
      <c r="F141" s="51">
        <v>45194</v>
      </c>
      <c r="G141" t="s">
        <v>4</v>
      </c>
    </row>
    <row r="142" spans="1:7" x14ac:dyDescent="0.3">
      <c r="A142" t="s">
        <v>2702</v>
      </c>
      <c r="B142">
        <v>41754</v>
      </c>
      <c r="C142" t="s">
        <v>264</v>
      </c>
      <c r="D142" t="s">
        <v>63</v>
      </c>
      <c r="E142" t="s">
        <v>163</v>
      </c>
      <c r="F142" s="51">
        <v>45169</v>
      </c>
      <c r="G142" t="s">
        <v>3</v>
      </c>
    </row>
    <row r="143" spans="1:7" x14ac:dyDescent="0.3">
      <c r="A143" t="s">
        <v>2702</v>
      </c>
      <c r="B143">
        <v>41755</v>
      </c>
      <c r="C143" t="s">
        <v>237</v>
      </c>
      <c r="D143" t="s">
        <v>84</v>
      </c>
      <c r="E143" t="s">
        <v>265</v>
      </c>
      <c r="F143" s="51">
        <v>45189</v>
      </c>
      <c r="G143" t="s">
        <v>1</v>
      </c>
    </row>
    <row r="144" spans="1:7" x14ac:dyDescent="0.3">
      <c r="A144" t="s">
        <v>2702</v>
      </c>
      <c r="B144">
        <v>41756</v>
      </c>
      <c r="C144" t="s">
        <v>266</v>
      </c>
      <c r="D144" t="s">
        <v>267</v>
      </c>
      <c r="E144" t="s">
        <v>268</v>
      </c>
      <c r="F144" s="51">
        <v>45189</v>
      </c>
      <c r="G144" t="s">
        <v>1</v>
      </c>
    </row>
    <row r="145" spans="1:7" x14ac:dyDescent="0.3">
      <c r="A145" t="s">
        <v>2702</v>
      </c>
      <c r="B145">
        <v>41757</v>
      </c>
      <c r="C145" t="s">
        <v>231</v>
      </c>
      <c r="D145" t="s">
        <v>232</v>
      </c>
      <c r="E145" t="s">
        <v>121</v>
      </c>
      <c r="F145" s="51">
        <v>45169</v>
      </c>
      <c r="G145" t="s">
        <v>4</v>
      </c>
    </row>
    <row r="146" spans="1:7" x14ac:dyDescent="0.3">
      <c r="A146" t="s">
        <v>2702</v>
      </c>
      <c r="B146">
        <v>41758</v>
      </c>
      <c r="C146" t="s">
        <v>90</v>
      </c>
      <c r="D146" t="s">
        <v>82</v>
      </c>
      <c r="E146" t="s">
        <v>269</v>
      </c>
      <c r="F146" s="51">
        <v>45169</v>
      </c>
      <c r="G146" t="s">
        <v>1</v>
      </c>
    </row>
    <row r="147" spans="1:7" x14ac:dyDescent="0.3">
      <c r="A147" t="s">
        <v>2702</v>
      </c>
      <c r="B147">
        <v>41759</v>
      </c>
      <c r="C147" t="s">
        <v>141</v>
      </c>
      <c r="D147" t="s">
        <v>63</v>
      </c>
      <c r="E147" t="s">
        <v>270</v>
      </c>
      <c r="F147" s="51">
        <v>45169</v>
      </c>
      <c r="G147" t="s">
        <v>5</v>
      </c>
    </row>
    <row r="148" spans="1:7" x14ac:dyDescent="0.3">
      <c r="A148" t="s">
        <v>2702</v>
      </c>
      <c r="B148">
        <v>41761</v>
      </c>
      <c r="C148" t="s">
        <v>271</v>
      </c>
      <c r="D148" t="s">
        <v>272</v>
      </c>
      <c r="E148" t="s">
        <v>273</v>
      </c>
      <c r="F148" s="51">
        <v>45252</v>
      </c>
      <c r="G148" t="s">
        <v>1</v>
      </c>
    </row>
    <row r="149" spans="1:7" x14ac:dyDescent="0.3">
      <c r="A149" t="s">
        <v>2702</v>
      </c>
      <c r="B149">
        <v>41762</v>
      </c>
      <c r="C149" t="s">
        <v>274</v>
      </c>
      <c r="D149" t="s">
        <v>275</v>
      </c>
      <c r="E149" t="s">
        <v>145</v>
      </c>
      <c r="F149" s="51">
        <v>45434</v>
      </c>
      <c r="G149" t="s">
        <v>1</v>
      </c>
    </row>
    <row r="150" spans="1:7" x14ac:dyDescent="0.3">
      <c r="A150" t="s">
        <v>2702</v>
      </c>
      <c r="B150">
        <v>41763</v>
      </c>
      <c r="C150" t="s">
        <v>276</v>
      </c>
      <c r="D150" t="s">
        <v>277</v>
      </c>
      <c r="E150" t="s">
        <v>168</v>
      </c>
      <c r="F150" s="51">
        <v>45169</v>
      </c>
      <c r="G150" t="s">
        <v>1</v>
      </c>
    </row>
    <row r="151" spans="1:7" x14ac:dyDescent="0.3">
      <c r="A151" t="s">
        <v>2702</v>
      </c>
      <c r="B151">
        <v>41764</v>
      </c>
      <c r="C151" t="s">
        <v>71</v>
      </c>
      <c r="D151" t="s">
        <v>57</v>
      </c>
      <c r="E151" t="s">
        <v>58</v>
      </c>
      <c r="F151" s="51">
        <v>45175</v>
      </c>
      <c r="G151" t="s">
        <v>1</v>
      </c>
    </row>
    <row r="152" spans="1:7" x14ac:dyDescent="0.3">
      <c r="A152" t="s">
        <v>2702</v>
      </c>
      <c r="B152">
        <v>41765</v>
      </c>
      <c r="C152" t="s">
        <v>278</v>
      </c>
      <c r="D152" t="s">
        <v>45</v>
      </c>
      <c r="E152" t="s">
        <v>146</v>
      </c>
      <c r="F152" s="51">
        <v>45169</v>
      </c>
      <c r="G152" t="s">
        <v>1</v>
      </c>
    </row>
    <row r="153" spans="1:7" x14ac:dyDescent="0.3">
      <c r="A153" t="s">
        <v>2702</v>
      </c>
      <c r="B153">
        <v>41766</v>
      </c>
      <c r="C153" t="s">
        <v>74</v>
      </c>
      <c r="D153" t="s">
        <v>279</v>
      </c>
      <c r="E153" t="s">
        <v>280</v>
      </c>
      <c r="F153" s="51">
        <v>45169</v>
      </c>
      <c r="G153" t="s">
        <v>1</v>
      </c>
    </row>
    <row r="154" spans="1:7" x14ac:dyDescent="0.3">
      <c r="A154" t="s">
        <v>2702</v>
      </c>
      <c r="B154">
        <v>41767</v>
      </c>
      <c r="C154" t="s">
        <v>281</v>
      </c>
      <c r="D154" t="s">
        <v>282</v>
      </c>
      <c r="E154" t="s">
        <v>283</v>
      </c>
      <c r="F154" s="51">
        <v>45169</v>
      </c>
      <c r="G154" t="s">
        <v>1</v>
      </c>
    </row>
    <row r="155" spans="1:7" x14ac:dyDescent="0.3">
      <c r="A155" t="s">
        <v>2702</v>
      </c>
      <c r="B155">
        <v>41768</v>
      </c>
      <c r="C155" t="s">
        <v>86</v>
      </c>
      <c r="D155" t="s">
        <v>45</v>
      </c>
      <c r="E155" t="s">
        <v>284</v>
      </c>
      <c r="F155" s="51">
        <v>45137</v>
      </c>
      <c r="G155" t="s">
        <v>3</v>
      </c>
    </row>
    <row r="156" spans="1:7" x14ac:dyDescent="0.3">
      <c r="A156" t="s">
        <v>2702</v>
      </c>
      <c r="B156">
        <v>41769</v>
      </c>
      <c r="C156" t="s">
        <v>86</v>
      </c>
      <c r="D156" t="s">
        <v>45</v>
      </c>
      <c r="E156" t="s">
        <v>285</v>
      </c>
      <c r="F156" s="51">
        <v>45137</v>
      </c>
      <c r="G156" t="s">
        <v>3</v>
      </c>
    </row>
    <row r="157" spans="1:7" x14ac:dyDescent="0.3">
      <c r="A157" t="s">
        <v>2702</v>
      </c>
      <c r="B157">
        <v>41770</v>
      </c>
      <c r="C157" t="s">
        <v>286</v>
      </c>
      <c r="D157" t="s">
        <v>287</v>
      </c>
      <c r="E157" t="s">
        <v>288</v>
      </c>
      <c r="F157" s="51">
        <v>45198</v>
      </c>
      <c r="G157" t="s">
        <v>1</v>
      </c>
    </row>
    <row r="158" spans="1:7" x14ac:dyDescent="0.3">
      <c r="A158" t="s">
        <v>2702</v>
      </c>
      <c r="B158">
        <v>41771</v>
      </c>
      <c r="C158" t="s">
        <v>81</v>
      </c>
      <c r="D158" t="s">
        <v>106</v>
      </c>
      <c r="E158" t="s">
        <v>289</v>
      </c>
      <c r="F158" s="51">
        <v>45195</v>
      </c>
      <c r="G158" t="s">
        <v>5</v>
      </c>
    </row>
    <row r="159" spans="1:7" x14ac:dyDescent="0.3">
      <c r="A159" t="s">
        <v>2702</v>
      </c>
      <c r="B159">
        <v>41772</v>
      </c>
      <c r="C159" t="s">
        <v>56</v>
      </c>
      <c r="D159" t="s">
        <v>94</v>
      </c>
      <c r="E159" t="s">
        <v>289</v>
      </c>
      <c r="F159" s="51">
        <v>45243</v>
      </c>
      <c r="G159" t="s">
        <v>5</v>
      </c>
    </row>
    <row r="160" spans="1:7" x14ac:dyDescent="0.3">
      <c r="A160" t="s">
        <v>2702</v>
      </c>
      <c r="B160">
        <v>41773</v>
      </c>
      <c r="C160" t="s">
        <v>290</v>
      </c>
      <c r="D160" t="s">
        <v>63</v>
      </c>
      <c r="E160" t="s">
        <v>289</v>
      </c>
      <c r="F160" s="51">
        <v>45195</v>
      </c>
      <c r="G160" t="s">
        <v>5</v>
      </c>
    </row>
    <row r="161" spans="1:7" x14ac:dyDescent="0.3">
      <c r="A161" t="s">
        <v>2702</v>
      </c>
      <c r="B161">
        <v>41774</v>
      </c>
      <c r="C161" t="s">
        <v>291</v>
      </c>
      <c r="D161" t="s">
        <v>32</v>
      </c>
      <c r="E161" t="s">
        <v>289</v>
      </c>
      <c r="F161" s="51">
        <v>45195</v>
      </c>
      <c r="G161" t="s">
        <v>5</v>
      </c>
    </row>
    <row r="162" spans="1:7" x14ac:dyDescent="0.3">
      <c r="A162" t="s">
        <v>2702</v>
      </c>
      <c r="B162">
        <v>41775</v>
      </c>
      <c r="C162" t="s">
        <v>292</v>
      </c>
      <c r="D162" t="s">
        <v>293</v>
      </c>
      <c r="E162" t="s">
        <v>289</v>
      </c>
      <c r="F162" s="51">
        <v>45232</v>
      </c>
      <c r="G162" t="s">
        <v>5</v>
      </c>
    </row>
    <row r="163" spans="1:7" x14ac:dyDescent="0.3">
      <c r="A163" t="s">
        <v>2702</v>
      </c>
      <c r="B163">
        <v>41776</v>
      </c>
      <c r="C163" t="s">
        <v>294</v>
      </c>
      <c r="D163" t="s">
        <v>94</v>
      </c>
      <c r="E163" t="s">
        <v>289</v>
      </c>
      <c r="F163" s="51">
        <v>45224</v>
      </c>
      <c r="G163" t="s">
        <v>5</v>
      </c>
    </row>
    <row r="164" spans="1:7" x14ac:dyDescent="0.3">
      <c r="A164" t="s">
        <v>2702</v>
      </c>
      <c r="B164">
        <v>41777</v>
      </c>
      <c r="C164" t="s">
        <v>264</v>
      </c>
      <c r="D164" t="s">
        <v>63</v>
      </c>
      <c r="E164" t="s">
        <v>289</v>
      </c>
      <c r="F164" s="51">
        <v>45175</v>
      </c>
      <c r="G164" t="s">
        <v>5</v>
      </c>
    </row>
    <row r="165" spans="1:7" x14ac:dyDescent="0.3">
      <c r="A165" t="s">
        <v>2702</v>
      </c>
      <c r="B165">
        <v>41778</v>
      </c>
      <c r="C165" t="s">
        <v>62</v>
      </c>
      <c r="D165" t="s">
        <v>295</v>
      </c>
      <c r="E165" t="s">
        <v>296</v>
      </c>
      <c r="F165" s="51">
        <v>45198</v>
      </c>
      <c r="G165" t="s">
        <v>1</v>
      </c>
    </row>
    <row r="166" spans="1:7" x14ac:dyDescent="0.3">
      <c r="A166" t="s">
        <v>2702</v>
      </c>
      <c r="B166">
        <v>41779</v>
      </c>
      <c r="C166" t="s">
        <v>62</v>
      </c>
      <c r="D166" t="s">
        <v>148</v>
      </c>
      <c r="E166" t="s">
        <v>297</v>
      </c>
      <c r="F166" s="51">
        <v>45180</v>
      </c>
      <c r="G166" t="s">
        <v>1</v>
      </c>
    </row>
    <row r="167" spans="1:7" x14ac:dyDescent="0.3">
      <c r="A167" t="s">
        <v>2702</v>
      </c>
      <c r="B167">
        <v>41780</v>
      </c>
      <c r="C167" t="s">
        <v>298</v>
      </c>
      <c r="D167" t="s">
        <v>299</v>
      </c>
      <c r="E167" t="s">
        <v>300</v>
      </c>
      <c r="F167" s="51">
        <v>45189</v>
      </c>
      <c r="G167" t="s">
        <v>1</v>
      </c>
    </row>
    <row r="168" spans="1:7" x14ac:dyDescent="0.3">
      <c r="A168" t="s">
        <v>2702</v>
      </c>
      <c r="B168">
        <v>41783</v>
      </c>
      <c r="C168" t="s">
        <v>256</v>
      </c>
      <c r="D168" t="s">
        <v>301</v>
      </c>
      <c r="E168" t="s">
        <v>302</v>
      </c>
      <c r="F168" s="51">
        <v>45198</v>
      </c>
      <c r="G168" t="s">
        <v>1</v>
      </c>
    </row>
    <row r="169" spans="1:7" x14ac:dyDescent="0.3">
      <c r="A169" t="s">
        <v>2702</v>
      </c>
      <c r="B169">
        <v>41784</v>
      </c>
      <c r="C169" t="s">
        <v>256</v>
      </c>
      <c r="D169" t="s">
        <v>140</v>
      </c>
      <c r="E169" t="s">
        <v>172</v>
      </c>
      <c r="F169" s="51">
        <v>45189</v>
      </c>
      <c r="G169" t="s">
        <v>1</v>
      </c>
    </row>
    <row r="170" spans="1:7" x14ac:dyDescent="0.3">
      <c r="A170" t="s">
        <v>2702</v>
      </c>
      <c r="B170">
        <v>41785</v>
      </c>
      <c r="C170" t="s">
        <v>303</v>
      </c>
      <c r="D170" t="s">
        <v>304</v>
      </c>
      <c r="E170" t="s">
        <v>218</v>
      </c>
      <c r="F170" s="51">
        <v>45181</v>
      </c>
      <c r="G170" t="s">
        <v>1</v>
      </c>
    </row>
    <row r="171" spans="1:7" x14ac:dyDescent="0.3">
      <c r="A171" t="s">
        <v>2702</v>
      </c>
      <c r="B171">
        <v>41786</v>
      </c>
      <c r="C171" t="s">
        <v>303</v>
      </c>
      <c r="D171" t="s">
        <v>305</v>
      </c>
      <c r="F171" s="51">
        <v>45274</v>
      </c>
      <c r="G171" t="s">
        <v>1</v>
      </c>
    </row>
    <row r="172" spans="1:7" x14ac:dyDescent="0.3">
      <c r="A172" t="s">
        <v>2702</v>
      </c>
      <c r="B172">
        <v>41787</v>
      </c>
      <c r="C172" t="s">
        <v>306</v>
      </c>
      <c r="D172" t="s">
        <v>63</v>
      </c>
      <c r="E172" t="s">
        <v>307</v>
      </c>
      <c r="F172" s="51">
        <v>45198</v>
      </c>
      <c r="G172" t="s">
        <v>1</v>
      </c>
    </row>
    <row r="173" spans="1:7" x14ac:dyDescent="0.3">
      <c r="A173" t="s">
        <v>2702</v>
      </c>
      <c r="B173">
        <v>41789</v>
      </c>
      <c r="C173" t="s">
        <v>160</v>
      </c>
      <c r="D173" t="s">
        <v>308</v>
      </c>
      <c r="E173" t="s">
        <v>309</v>
      </c>
      <c r="F173" s="51">
        <v>45173</v>
      </c>
      <c r="G173" t="s">
        <v>1</v>
      </c>
    </row>
    <row r="174" spans="1:7" x14ac:dyDescent="0.3">
      <c r="A174" t="s">
        <v>2702</v>
      </c>
      <c r="B174">
        <v>41790</v>
      </c>
      <c r="C174" t="s">
        <v>286</v>
      </c>
      <c r="E174" t="s">
        <v>310</v>
      </c>
      <c r="F174" s="51">
        <v>45181</v>
      </c>
      <c r="G174" t="s">
        <v>1</v>
      </c>
    </row>
    <row r="175" spans="1:7" x14ac:dyDescent="0.3">
      <c r="A175" t="s">
        <v>2702</v>
      </c>
      <c r="B175">
        <v>41791</v>
      </c>
      <c r="C175" t="s">
        <v>311</v>
      </c>
      <c r="D175" t="s">
        <v>312</v>
      </c>
      <c r="E175" t="s">
        <v>146</v>
      </c>
      <c r="F175" s="51">
        <v>45199</v>
      </c>
      <c r="G175" t="s">
        <v>7</v>
      </c>
    </row>
    <row r="176" spans="1:7" x14ac:dyDescent="0.3">
      <c r="A176" t="s">
        <v>2702</v>
      </c>
      <c r="B176">
        <v>41792</v>
      </c>
      <c r="C176" t="s">
        <v>311</v>
      </c>
      <c r="D176" t="s">
        <v>312</v>
      </c>
      <c r="E176" t="s">
        <v>146</v>
      </c>
      <c r="F176" s="51">
        <v>45199</v>
      </c>
      <c r="G176" t="s">
        <v>1</v>
      </c>
    </row>
    <row r="177" spans="1:7" x14ac:dyDescent="0.3">
      <c r="A177" t="s">
        <v>2702</v>
      </c>
      <c r="B177">
        <v>41793</v>
      </c>
      <c r="C177" t="s">
        <v>313</v>
      </c>
      <c r="D177" t="s">
        <v>314</v>
      </c>
      <c r="E177" t="s">
        <v>7</v>
      </c>
      <c r="F177" s="51">
        <v>45280</v>
      </c>
      <c r="G177" t="s">
        <v>7</v>
      </c>
    </row>
    <row r="178" spans="1:7" x14ac:dyDescent="0.3">
      <c r="A178" t="s">
        <v>2702</v>
      </c>
      <c r="B178">
        <v>41794</v>
      </c>
      <c r="C178" t="s">
        <v>313</v>
      </c>
      <c r="D178" t="s">
        <v>314</v>
      </c>
      <c r="E178" t="s">
        <v>315</v>
      </c>
      <c r="F178" s="51">
        <v>45280</v>
      </c>
      <c r="G178" t="s">
        <v>2</v>
      </c>
    </row>
    <row r="179" spans="1:7" x14ac:dyDescent="0.3">
      <c r="A179" t="s">
        <v>2702</v>
      </c>
      <c r="B179">
        <v>41795</v>
      </c>
      <c r="C179" t="s">
        <v>184</v>
      </c>
      <c r="D179" t="s">
        <v>316</v>
      </c>
      <c r="E179" t="s">
        <v>7</v>
      </c>
      <c r="F179" s="51">
        <v>45085</v>
      </c>
      <c r="G179" t="s">
        <v>7</v>
      </c>
    </row>
    <row r="180" spans="1:7" x14ac:dyDescent="0.3">
      <c r="A180" t="s">
        <v>2702</v>
      </c>
      <c r="B180">
        <v>41796</v>
      </c>
      <c r="C180" t="s">
        <v>184</v>
      </c>
      <c r="D180" t="s">
        <v>316</v>
      </c>
      <c r="F180" s="51">
        <v>45085</v>
      </c>
      <c r="G180" t="s">
        <v>1</v>
      </c>
    </row>
    <row r="181" spans="1:7" x14ac:dyDescent="0.3">
      <c r="A181" t="s">
        <v>2702</v>
      </c>
      <c r="B181">
        <v>41797</v>
      </c>
      <c r="C181" t="s">
        <v>184</v>
      </c>
      <c r="E181" t="s">
        <v>317</v>
      </c>
      <c r="F181" s="51">
        <v>45174</v>
      </c>
      <c r="G181" t="s">
        <v>1</v>
      </c>
    </row>
    <row r="182" spans="1:7" x14ac:dyDescent="0.3">
      <c r="A182" t="s">
        <v>2702</v>
      </c>
      <c r="B182">
        <v>41798</v>
      </c>
      <c r="C182" t="s">
        <v>318</v>
      </c>
      <c r="E182" t="s">
        <v>319</v>
      </c>
      <c r="F182" s="51">
        <v>45174</v>
      </c>
      <c r="G182" t="s">
        <v>1</v>
      </c>
    </row>
    <row r="183" spans="1:7" x14ac:dyDescent="0.3">
      <c r="A183" t="s">
        <v>2702</v>
      </c>
      <c r="B183">
        <v>41799</v>
      </c>
      <c r="C183" t="s">
        <v>320</v>
      </c>
      <c r="D183" t="s">
        <v>26</v>
      </c>
      <c r="E183" t="s">
        <v>121</v>
      </c>
      <c r="F183" s="51">
        <v>45198</v>
      </c>
      <c r="G183" t="s">
        <v>4</v>
      </c>
    </row>
    <row r="184" spans="1:7" x14ac:dyDescent="0.3">
      <c r="A184" t="s">
        <v>2702</v>
      </c>
      <c r="B184">
        <v>41800</v>
      </c>
      <c r="C184" t="s">
        <v>321</v>
      </c>
      <c r="D184" t="s">
        <v>249</v>
      </c>
      <c r="E184" t="s">
        <v>207</v>
      </c>
      <c r="F184" s="51">
        <v>45198</v>
      </c>
      <c r="G184" t="s">
        <v>6</v>
      </c>
    </row>
    <row r="185" spans="1:7" x14ac:dyDescent="0.3">
      <c r="A185" t="s">
        <v>2702</v>
      </c>
      <c r="B185">
        <v>41801</v>
      </c>
      <c r="C185" t="s">
        <v>322</v>
      </c>
      <c r="D185" t="s">
        <v>323</v>
      </c>
      <c r="E185" t="s">
        <v>324</v>
      </c>
      <c r="F185" s="51">
        <v>45175</v>
      </c>
      <c r="G185" t="s">
        <v>1</v>
      </c>
    </row>
    <row r="186" spans="1:7" x14ac:dyDescent="0.3">
      <c r="A186" t="s">
        <v>2702</v>
      </c>
      <c r="B186">
        <v>41803</v>
      </c>
      <c r="C186" t="s">
        <v>325</v>
      </c>
      <c r="D186" t="s">
        <v>75</v>
      </c>
      <c r="E186" t="s">
        <v>207</v>
      </c>
      <c r="F186" s="51">
        <v>45198</v>
      </c>
      <c r="G186" t="s">
        <v>6</v>
      </c>
    </row>
    <row r="187" spans="1:7" x14ac:dyDescent="0.3">
      <c r="A187" t="s">
        <v>2702</v>
      </c>
      <c r="B187">
        <v>41804</v>
      </c>
      <c r="C187" t="s">
        <v>326</v>
      </c>
      <c r="E187" t="s">
        <v>27</v>
      </c>
      <c r="F187" s="51">
        <v>45180</v>
      </c>
      <c r="G187" t="s">
        <v>1</v>
      </c>
    </row>
    <row r="188" spans="1:7" x14ac:dyDescent="0.3">
      <c r="A188" t="s">
        <v>2702</v>
      </c>
      <c r="B188">
        <v>41805</v>
      </c>
      <c r="C188" t="s">
        <v>62</v>
      </c>
      <c r="E188" t="s">
        <v>27</v>
      </c>
      <c r="F188" s="51">
        <v>45181</v>
      </c>
      <c r="G188" t="s">
        <v>1</v>
      </c>
    </row>
    <row r="189" spans="1:7" x14ac:dyDescent="0.3">
      <c r="A189" t="s">
        <v>2702</v>
      </c>
      <c r="B189">
        <v>41806</v>
      </c>
      <c r="C189" t="s">
        <v>122</v>
      </c>
      <c r="D189" t="s">
        <v>125</v>
      </c>
      <c r="E189" t="s">
        <v>146</v>
      </c>
      <c r="F189" s="51">
        <v>45190</v>
      </c>
      <c r="G189" t="s">
        <v>1</v>
      </c>
    </row>
    <row r="190" spans="1:7" x14ac:dyDescent="0.3">
      <c r="A190" t="s">
        <v>2702</v>
      </c>
      <c r="B190">
        <v>41808</v>
      </c>
      <c r="C190" t="s">
        <v>259</v>
      </c>
      <c r="D190" t="s">
        <v>327</v>
      </c>
      <c r="E190" t="s">
        <v>121</v>
      </c>
      <c r="F190" s="51">
        <v>45194</v>
      </c>
      <c r="G190" t="s">
        <v>4</v>
      </c>
    </row>
    <row r="191" spans="1:7" x14ac:dyDescent="0.3">
      <c r="A191" t="s">
        <v>2702</v>
      </c>
      <c r="B191">
        <v>41809</v>
      </c>
      <c r="C191" t="s">
        <v>328</v>
      </c>
      <c r="D191" t="s">
        <v>329</v>
      </c>
      <c r="F191" s="51">
        <v>45177</v>
      </c>
      <c r="G191" t="s">
        <v>4</v>
      </c>
    </row>
    <row r="192" spans="1:7" x14ac:dyDescent="0.3">
      <c r="A192" t="s">
        <v>2702</v>
      </c>
      <c r="B192">
        <v>41810</v>
      </c>
      <c r="C192" t="s">
        <v>286</v>
      </c>
      <c r="D192" t="s">
        <v>287</v>
      </c>
      <c r="E192" t="s">
        <v>330</v>
      </c>
      <c r="F192" s="51">
        <v>45197</v>
      </c>
      <c r="G192" t="s">
        <v>1</v>
      </c>
    </row>
    <row r="193" spans="1:7" x14ac:dyDescent="0.3">
      <c r="A193" t="s">
        <v>2702</v>
      </c>
      <c r="B193">
        <v>41811</v>
      </c>
      <c r="C193" t="s">
        <v>83</v>
      </c>
      <c r="D193" t="s">
        <v>331</v>
      </c>
      <c r="E193" t="s">
        <v>332</v>
      </c>
      <c r="F193" s="51">
        <v>45177</v>
      </c>
      <c r="G193" t="s">
        <v>1</v>
      </c>
    </row>
    <row r="194" spans="1:7" x14ac:dyDescent="0.3">
      <c r="A194" t="s">
        <v>2702</v>
      </c>
      <c r="B194">
        <v>41812</v>
      </c>
      <c r="C194" t="s">
        <v>83</v>
      </c>
      <c r="D194" t="s">
        <v>331</v>
      </c>
      <c r="E194" t="s">
        <v>332</v>
      </c>
      <c r="F194" s="51">
        <v>45177</v>
      </c>
      <c r="G194" t="s">
        <v>2</v>
      </c>
    </row>
    <row r="195" spans="1:7" x14ac:dyDescent="0.3">
      <c r="A195" t="s">
        <v>2702</v>
      </c>
      <c r="B195">
        <v>41813</v>
      </c>
      <c r="C195" t="s">
        <v>187</v>
      </c>
      <c r="D195" t="s">
        <v>148</v>
      </c>
      <c r="E195" t="s">
        <v>40</v>
      </c>
      <c r="F195" s="51">
        <v>45177</v>
      </c>
      <c r="G195" t="s">
        <v>3</v>
      </c>
    </row>
    <row r="196" spans="1:7" x14ac:dyDescent="0.3">
      <c r="A196" t="s">
        <v>2702</v>
      </c>
      <c r="B196">
        <v>41814</v>
      </c>
      <c r="C196" t="s">
        <v>333</v>
      </c>
      <c r="D196" t="s">
        <v>334</v>
      </c>
      <c r="E196" t="s">
        <v>335</v>
      </c>
      <c r="F196" s="51">
        <v>45177</v>
      </c>
      <c r="G196" t="s">
        <v>3</v>
      </c>
    </row>
    <row r="197" spans="1:7" x14ac:dyDescent="0.3">
      <c r="A197" t="s">
        <v>2702</v>
      </c>
      <c r="B197">
        <v>41815</v>
      </c>
      <c r="C197" t="s">
        <v>333</v>
      </c>
      <c r="D197" t="s">
        <v>334</v>
      </c>
      <c r="E197" t="s">
        <v>335</v>
      </c>
      <c r="F197" s="51">
        <v>45177</v>
      </c>
      <c r="G197" t="s">
        <v>7</v>
      </c>
    </row>
    <row r="198" spans="1:7" x14ac:dyDescent="0.3">
      <c r="A198" t="s">
        <v>2702</v>
      </c>
      <c r="B198">
        <v>41816</v>
      </c>
      <c r="C198" t="s">
        <v>333</v>
      </c>
      <c r="D198" t="s">
        <v>334</v>
      </c>
      <c r="E198" t="s">
        <v>335</v>
      </c>
      <c r="F198" s="51">
        <v>45177</v>
      </c>
      <c r="G198" t="s">
        <v>3</v>
      </c>
    </row>
    <row r="199" spans="1:7" x14ac:dyDescent="0.3">
      <c r="A199" t="s">
        <v>2702</v>
      </c>
      <c r="B199">
        <v>41817</v>
      </c>
      <c r="C199" t="s">
        <v>333</v>
      </c>
      <c r="D199" t="s">
        <v>334</v>
      </c>
      <c r="E199" t="s">
        <v>335</v>
      </c>
      <c r="F199" s="51">
        <v>45177</v>
      </c>
      <c r="G199" t="s">
        <v>7</v>
      </c>
    </row>
    <row r="200" spans="1:7" x14ac:dyDescent="0.3">
      <c r="A200" t="s">
        <v>2702</v>
      </c>
      <c r="B200">
        <v>41818</v>
      </c>
      <c r="C200" t="s">
        <v>333</v>
      </c>
      <c r="D200" t="s">
        <v>334</v>
      </c>
      <c r="E200" t="s">
        <v>176</v>
      </c>
      <c r="F200" s="51">
        <v>45177</v>
      </c>
      <c r="G200" t="s">
        <v>3</v>
      </c>
    </row>
    <row r="201" spans="1:7" x14ac:dyDescent="0.3">
      <c r="A201" t="s">
        <v>2702</v>
      </c>
      <c r="B201">
        <v>41819</v>
      </c>
      <c r="C201" t="s">
        <v>333</v>
      </c>
      <c r="D201" t="s">
        <v>334</v>
      </c>
      <c r="E201" t="s">
        <v>176</v>
      </c>
      <c r="F201" s="51">
        <v>45177</v>
      </c>
      <c r="G201" t="s">
        <v>7</v>
      </c>
    </row>
    <row r="202" spans="1:7" x14ac:dyDescent="0.3">
      <c r="A202" t="s">
        <v>2702</v>
      </c>
      <c r="B202">
        <v>41820</v>
      </c>
      <c r="C202" t="s">
        <v>333</v>
      </c>
      <c r="D202" t="s">
        <v>334</v>
      </c>
      <c r="E202" t="s">
        <v>255</v>
      </c>
      <c r="F202" s="51">
        <v>45177</v>
      </c>
      <c r="G202" t="s">
        <v>3</v>
      </c>
    </row>
    <row r="203" spans="1:7" x14ac:dyDescent="0.3">
      <c r="A203" t="s">
        <v>2702</v>
      </c>
      <c r="B203">
        <v>41821</v>
      </c>
      <c r="C203" t="s">
        <v>336</v>
      </c>
      <c r="D203" t="s">
        <v>45</v>
      </c>
      <c r="E203" t="s">
        <v>121</v>
      </c>
      <c r="F203" s="51">
        <v>45198</v>
      </c>
      <c r="G203" t="s">
        <v>4</v>
      </c>
    </row>
    <row r="204" spans="1:7" x14ac:dyDescent="0.3">
      <c r="A204" t="s">
        <v>2702</v>
      </c>
      <c r="B204">
        <v>41822</v>
      </c>
      <c r="C204" t="s">
        <v>337</v>
      </c>
      <c r="D204" t="s">
        <v>75</v>
      </c>
      <c r="E204" t="s">
        <v>338</v>
      </c>
      <c r="F204" s="51">
        <v>45177</v>
      </c>
      <c r="G204" t="s">
        <v>2</v>
      </c>
    </row>
    <row r="205" spans="1:7" x14ac:dyDescent="0.3">
      <c r="A205" t="s">
        <v>2702</v>
      </c>
      <c r="B205">
        <v>41823</v>
      </c>
      <c r="C205" t="s">
        <v>339</v>
      </c>
      <c r="D205" t="s">
        <v>106</v>
      </c>
      <c r="E205" t="s">
        <v>340</v>
      </c>
      <c r="F205" s="51">
        <v>45219</v>
      </c>
      <c r="G205" t="s">
        <v>1</v>
      </c>
    </row>
    <row r="206" spans="1:7" x14ac:dyDescent="0.3">
      <c r="A206" t="s">
        <v>2702</v>
      </c>
      <c r="B206">
        <v>41824</v>
      </c>
      <c r="C206" t="s">
        <v>237</v>
      </c>
      <c r="D206" t="s">
        <v>84</v>
      </c>
      <c r="E206" t="s">
        <v>341</v>
      </c>
      <c r="F206" s="51">
        <v>45190</v>
      </c>
      <c r="G206" t="s">
        <v>1</v>
      </c>
    </row>
    <row r="207" spans="1:7" x14ac:dyDescent="0.3">
      <c r="A207" t="s">
        <v>2702</v>
      </c>
      <c r="B207">
        <v>41825</v>
      </c>
      <c r="C207" t="s">
        <v>342</v>
      </c>
      <c r="D207" t="s">
        <v>234</v>
      </c>
      <c r="E207" t="s">
        <v>121</v>
      </c>
      <c r="F207" s="51">
        <v>45191</v>
      </c>
      <c r="G207" t="s">
        <v>4</v>
      </c>
    </row>
    <row r="208" spans="1:7" x14ac:dyDescent="0.3">
      <c r="A208" t="s">
        <v>2702</v>
      </c>
      <c r="B208">
        <v>41826</v>
      </c>
      <c r="C208" t="s">
        <v>343</v>
      </c>
      <c r="D208" t="s">
        <v>344</v>
      </c>
      <c r="E208" t="s">
        <v>85</v>
      </c>
      <c r="F208" s="51">
        <v>45198</v>
      </c>
      <c r="G208" t="s">
        <v>1</v>
      </c>
    </row>
    <row r="209" spans="1:7" x14ac:dyDescent="0.3">
      <c r="A209" t="s">
        <v>2702</v>
      </c>
      <c r="B209">
        <v>41828</v>
      </c>
      <c r="C209" t="s">
        <v>345</v>
      </c>
      <c r="D209" t="s">
        <v>84</v>
      </c>
      <c r="E209" t="s">
        <v>346</v>
      </c>
      <c r="F209" s="51">
        <v>45198</v>
      </c>
      <c r="G209" t="s">
        <v>1</v>
      </c>
    </row>
    <row r="210" spans="1:7" x14ac:dyDescent="0.3">
      <c r="A210" t="s">
        <v>2702</v>
      </c>
      <c r="B210">
        <v>41829</v>
      </c>
      <c r="C210" t="s">
        <v>56</v>
      </c>
      <c r="D210" t="s">
        <v>82</v>
      </c>
      <c r="E210" t="s">
        <v>347</v>
      </c>
      <c r="F210" s="51">
        <v>45196</v>
      </c>
      <c r="G210" t="s">
        <v>1</v>
      </c>
    </row>
    <row r="211" spans="1:7" x14ac:dyDescent="0.3">
      <c r="A211" t="s">
        <v>2702</v>
      </c>
      <c r="B211">
        <v>41830</v>
      </c>
      <c r="C211" t="s">
        <v>225</v>
      </c>
      <c r="D211" t="s">
        <v>348</v>
      </c>
      <c r="E211" t="s">
        <v>349</v>
      </c>
      <c r="F211" s="51">
        <v>45198</v>
      </c>
      <c r="G211" t="s">
        <v>8</v>
      </c>
    </row>
    <row r="212" spans="1:7" x14ac:dyDescent="0.3">
      <c r="A212" t="s">
        <v>2702</v>
      </c>
      <c r="B212">
        <v>41831</v>
      </c>
      <c r="C212" t="s">
        <v>350</v>
      </c>
      <c r="D212" t="s">
        <v>351</v>
      </c>
      <c r="E212" t="s">
        <v>352</v>
      </c>
      <c r="F212" s="51">
        <v>45198</v>
      </c>
      <c r="G212" t="s">
        <v>2</v>
      </c>
    </row>
    <row r="213" spans="1:7" x14ac:dyDescent="0.3">
      <c r="A213" t="s">
        <v>2702</v>
      </c>
      <c r="B213">
        <v>41832</v>
      </c>
      <c r="C213" t="s">
        <v>353</v>
      </c>
      <c r="D213" t="s">
        <v>32</v>
      </c>
      <c r="E213" t="s">
        <v>354</v>
      </c>
      <c r="F213" s="51">
        <v>45194</v>
      </c>
      <c r="G213" t="s">
        <v>4</v>
      </c>
    </row>
    <row r="214" spans="1:7" x14ac:dyDescent="0.3">
      <c r="A214" t="s">
        <v>2702</v>
      </c>
      <c r="B214">
        <v>41833</v>
      </c>
      <c r="C214" t="s">
        <v>41</v>
      </c>
      <c r="E214" t="s">
        <v>355</v>
      </c>
      <c r="F214" s="51">
        <v>45198</v>
      </c>
      <c r="G214" t="s">
        <v>4</v>
      </c>
    </row>
    <row r="215" spans="1:7" x14ac:dyDescent="0.3">
      <c r="A215" t="s">
        <v>2702</v>
      </c>
      <c r="B215">
        <v>41834</v>
      </c>
      <c r="C215" t="s">
        <v>187</v>
      </c>
      <c r="D215" t="s">
        <v>106</v>
      </c>
      <c r="E215" t="s">
        <v>356</v>
      </c>
      <c r="F215" s="51">
        <v>45198</v>
      </c>
      <c r="G215" t="s">
        <v>1</v>
      </c>
    </row>
    <row r="216" spans="1:7" x14ac:dyDescent="0.3">
      <c r="A216" t="s">
        <v>2702</v>
      </c>
      <c r="B216">
        <v>41836</v>
      </c>
      <c r="C216" t="s">
        <v>357</v>
      </c>
      <c r="D216" t="s">
        <v>358</v>
      </c>
      <c r="E216" t="s">
        <v>359</v>
      </c>
      <c r="F216" s="51">
        <v>45190</v>
      </c>
      <c r="G216" t="s">
        <v>1</v>
      </c>
    </row>
    <row r="217" spans="1:7" x14ac:dyDescent="0.3">
      <c r="A217" t="s">
        <v>2702</v>
      </c>
      <c r="B217">
        <v>41837</v>
      </c>
      <c r="C217" t="s">
        <v>360</v>
      </c>
      <c r="E217" t="s">
        <v>361</v>
      </c>
      <c r="F217" s="51">
        <v>45182</v>
      </c>
      <c r="G217" t="s">
        <v>9</v>
      </c>
    </row>
    <row r="218" spans="1:7" x14ac:dyDescent="0.3">
      <c r="A218" t="s">
        <v>2702</v>
      </c>
      <c r="B218">
        <v>41838</v>
      </c>
      <c r="C218" t="s">
        <v>56</v>
      </c>
      <c r="D218" t="s">
        <v>362</v>
      </c>
      <c r="E218" t="s">
        <v>27</v>
      </c>
      <c r="F218" s="51">
        <v>45191</v>
      </c>
      <c r="G218" t="s">
        <v>1</v>
      </c>
    </row>
    <row r="219" spans="1:7" x14ac:dyDescent="0.3">
      <c r="A219" t="s">
        <v>2702</v>
      </c>
      <c r="B219">
        <v>41839</v>
      </c>
      <c r="C219" t="s">
        <v>86</v>
      </c>
      <c r="D219" t="s">
        <v>45</v>
      </c>
      <c r="E219" t="s">
        <v>121</v>
      </c>
      <c r="F219" s="51">
        <v>45198</v>
      </c>
      <c r="G219" t="s">
        <v>4</v>
      </c>
    </row>
    <row r="220" spans="1:7" x14ac:dyDescent="0.3">
      <c r="A220" t="s">
        <v>2702</v>
      </c>
      <c r="B220">
        <v>41840</v>
      </c>
      <c r="C220" t="s">
        <v>363</v>
      </c>
      <c r="D220" t="s">
        <v>227</v>
      </c>
      <c r="E220" t="s">
        <v>364</v>
      </c>
      <c r="F220" s="51">
        <v>45198</v>
      </c>
      <c r="G220" t="s">
        <v>1</v>
      </c>
    </row>
    <row r="221" spans="1:7" x14ac:dyDescent="0.3">
      <c r="A221" t="s">
        <v>2702</v>
      </c>
      <c r="B221">
        <v>41841</v>
      </c>
      <c r="C221" t="s">
        <v>365</v>
      </c>
      <c r="D221" t="s">
        <v>148</v>
      </c>
      <c r="E221" t="s">
        <v>366</v>
      </c>
      <c r="F221" s="51">
        <v>45190</v>
      </c>
      <c r="G221" t="s">
        <v>1</v>
      </c>
    </row>
    <row r="222" spans="1:7" x14ac:dyDescent="0.3">
      <c r="A222" t="s">
        <v>2702</v>
      </c>
      <c r="B222">
        <v>41842</v>
      </c>
      <c r="C222" t="s">
        <v>325</v>
      </c>
      <c r="D222" t="s">
        <v>367</v>
      </c>
      <c r="E222" t="s">
        <v>163</v>
      </c>
      <c r="F222" s="51">
        <v>45198</v>
      </c>
      <c r="G222" t="s">
        <v>2</v>
      </c>
    </row>
    <row r="223" spans="1:7" x14ac:dyDescent="0.3">
      <c r="A223" t="s">
        <v>2702</v>
      </c>
      <c r="B223">
        <v>41843</v>
      </c>
      <c r="C223" t="s">
        <v>368</v>
      </c>
      <c r="D223" t="s">
        <v>369</v>
      </c>
      <c r="E223" t="s">
        <v>255</v>
      </c>
      <c r="F223" s="51">
        <v>45188</v>
      </c>
      <c r="G223" t="s">
        <v>1</v>
      </c>
    </row>
    <row r="224" spans="1:7" x14ac:dyDescent="0.3">
      <c r="A224" t="s">
        <v>2702</v>
      </c>
      <c r="B224">
        <v>41845</v>
      </c>
      <c r="C224" t="s">
        <v>41</v>
      </c>
      <c r="D224" t="s">
        <v>148</v>
      </c>
      <c r="E224" t="s">
        <v>98</v>
      </c>
      <c r="F224" s="51">
        <v>45198</v>
      </c>
      <c r="G224" t="s">
        <v>4</v>
      </c>
    </row>
    <row r="225" spans="1:7" x14ac:dyDescent="0.3">
      <c r="A225" t="s">
        <v>2702</v>
      </c>
      <c r="B225">
        <v>41846</v>
      </c>
      <c r="C225" t="s">
        <v>370</v>
      </c>
      <c r="D225" t="s">
        <v>277</v>
      </c>
      <c r="E225" t="s">
        <v>371</v>
      </c>
      <c r="F225" s="51">
        <v>45190</v>
      </c>
      <c r="G225" t="s">
        <v>1</v>
      </c>
    </row>
    <row r="226" spans="1:7" x14ac:dyDescent="0.3">
      <c r="A226" t="s">
        <v>2702</v>
      </c>
      <c r="B226">
        <v>41847</v>
      </c>
      <c r="C226" t="s">
        <v>350</v>
      </c>
      <c r="D226" t="s">
        <v>351</v>
      </c>
      <c r="E226" t="s">
        <v>372</v>
      </c>
      <c r="F226" s="51">
        <v>45198</v>
      </c>
      <c r="G226" t="s">
        <v>1</v>
      </c>
    </row>
    <row r="227" spans="1:7" x14ac:dyDescent="0.3">
      <c r="A227" t="s">
        <v>2702</v>
      </c>
      <c r="B227">
        <v>41848</v>
      </c>
      <c r="C227" t="s">
        <v>194</v>
      </c>
      <c r="D227" t="s">
        <v>84</v>
      </c>
      <c r="E227" t="s">
        <v>373</v>
      </c>
      <c r="F227" s="51">
        <v>45190</v>
      </c>
      <c r="G227" t="s">
        <v>1</v>
      </c>
    </row>
    <row r="228" spans="1:7" x14ac:dyDescent="0.3">
      <c r="A228" t="s">
        <v>2702</v>
      </c>
      <c r="B228">
        <v>41850</v>
      </c>
      <c r="C228" t="s">
        <v>225</v>
      </c>
      <c r="D228" t="s">
        <v>348</v>
      </c>
      <c r="E228" t="s">
        <v>374</v>
      </c>
      <c r="F228" s="51">
        <v>45243</v>
      </c>
      <c r="G228" t="s">
        <v>2</v>
      </c>
    </row>
    <row r="229" spans="1:7" x14ac:dyDescent="0.3">
      <c r="A229" t="s">
        <v>2702</v>
      </c>
      <c r="B229">
        <v>41851</v>
      </c>
      <c r="C229" t="s">
        <v>246</v>
      </c>
      <c r="E229" t="s">
        <v>27</v>
      </c>
      <c r="F229" s="51">
        <v>45190</v>
      </c>
      <c r="G229" t="s">
        <v>1</v>
      </c>
    </row>
    <row r="230" spans="1:7" x14ac:dyDescent="0.3">
      <c r="A230" t="s">
        <v>2702</v>
      </c>
      <c r="B230">
        <v>41852</v>
      </c>
      <c r="C230" t="s">
        <v>375</v>
      </c>
      <c r="D230" t="s">
        <v>75</v>
      </c>
      <c r="E230" t="s">
        <v>376</v>
      </c>
      <c r="F230" s="51">
        <v>45189</v>
      </c>
      <c r="G230" t="s">
        <v>1</v>
      </c>
    </row>
    <row r="231" spans="1:7" x14ac:dyDescent="0.3">
      <c r="A231" t="s">
        <v>2702</v>
      </c>
      <c r="B231">
        <v>41853</v>
      </c>
      <c r="C231" t="s">
        <v>237</v>
      </c>
      <c r="D231" t="s">
        <v>84</v>
      </c>
      <c r="E231" t="s">
        <v>377</v>
      </c>
      <c r="F231" s="51">
        <v>45190</v>
      </c>
      <c r="G231" t="s">
        <v>1</v>
      </c>
    </row>
    <row r="232" spans="1:7" x14ac:dyDescent="0.3">
      <c r="A232" t="s">
        <v>2702</v>
      </c>
      <c r="B232">
        <v>41854</v>
      </c>
      <c r="C232" t="s">
        <v>41</v>
      </c>
      <c r="D232" t="s">
        <v>181</v>
      </c>
      <c r="E232" t="s">
        <v>58</v>
      </c>
      <c r="F232" s="51">
        <v>45194</v>
      </c>
      <c r="G232" t="s">
        <v>4</v>
      </c>
    </row>
    <row r="233" spans="1:7" x14ac:dyDescent="0.3">
      <c r="A233" t="s">
        <v>2702</v>
      </c>
      <c r="B233">
        <v>41855</v>
      </c>
      <c r="C233" t="s">
        <v>378</v>
      </c>
      <c r="D233" t="s">
        <v>379</v>
      </c>
      <c r="E233" t="s">
        <v>380</v>
      </c>
      <c r="F233" s="51">
        <v>45191</v>
      </c>
      <c r="G233" t="s">
        <v>1</v>
      </c>
    </row>
    <row r="234" spans="1:7" x14ac:dyDescent="0.3">
      <c r="A234" t="s">
        <v>2702</v>
      </c>
      <c r="B234">
        <v>41856</v>
      </c>
      <c r="C234" t="s">
        <v>381</v>
      </c>
      <c r="D234" t="s">
        <v>249</v>
      </c>
      <c r="E234" t="s">
        <v>145</v>
      </c>
      <c r="F234" s="51">
        <v>45216</v>
      </c>
      <c r="G234" t="s">
        <v>6</v>
      </c>
    </row>
    <row r="235" spans="1:7" x14ac:dyDescent="0.3">
      <c r="A235" t="s">
        <v>2702</v>
      </c>
      <c r="B235">
        <v>41857</v>
      </c>
      <c r="C235" t="s">
        <v>382</v>
      </c>
      <c r="E235" t="s">
        <v>27</v>
      </c>
      <c r="F235" s="51">
        <v>45188</v>
      </c>
      <c r="G235" t="s">
        <v>1</v>
      </c>
    </row>
    <row r="236" spans="1:7" x14ac:dyDescent="0.3">
      <c r="A236" t="s">
        <v>2702</v>
      </c>
      <c r="B236">
        <v>41858</v>
      </c>
      <c r="C236" t="s">
        <v>264</v>
      </c>
      <c r="D236" t="s">
        <v>63</v>
      </c>
      <c r="E236" t="s">
        <v>172</v>
      </c>
      <c r="F236" s="51">
        <v>45198</v>
      </c>
      <c r="G236" t="s">
        <v>1</v>
      </c>
    </row>
    <row r="237" spans="1:7" x14ac:dyDescent="0.3">
      <c r="A237" t="s">
        <v>2702</v>
      </c>
      <c r="B237">
        <v>41860</v>
      </c>
      <c r="C237" t="s">
        <v>86</v>
      </c>
      <c r="D237" t="s">
        <v>45</v>
      </c>
      <c r="E237" t="s">
        <v>121</v>
      </c>
      <c r="F237" s="51">
        <v>45209</v>
      </c>
      <c r="G237" t="s">
        <v>4</v>
      </c>
    </row>
    <row r="238" spans="1:7" x14ac:dyDescent="0.3">
      <c r="A238" t="s">
        <v>2702</v>
      </c>
      <c r="B238">
        <v>41861</v>
      </c>
      <c r="C238" t="s">
        <v>350</v>
      </c>
      <c r="D238" t="s">
        <v>351</v>
      </c>
      <c r="E238" t="s">
        <v>383</v>
      </c>
      <c r="F238" s="51">
        <v>45189</v>
      </c>
      <c r="G238" t="s">
        <v>8</v>
      </c>
    </row>
    <row r="239" spans="1:7" x14ac:dyDescent="0.3">
      <c r="A239" t="s">
        <v>2702</v>
      </c>
      <c r="B239">
        <v>41862</v>
      </c>
      <c r="C239" t="s">
        <v>384</v>
      </c>
      <c r="D239" t="s">
        <v>385</v>
      </c>
      <c r="E239" t="s">
        <v>386</v>
      </c>
      <c r="F239" s="51">
        <v>45198</v>
      </c>
      <c r="G239" t="s">
        <v>1</v>
      </c>
    </row>
    <row r="240" spans="1:7" x14ac:dyDescent="0.3">
      <c r="A240" t="s">
        <v>2702</v>
      </c>
      <c r="B240">
        <v>41863</v>
      </c>
      <c r="C240" t="s">
        <v>225</v>
      </c>
      <c r="D240" t="s">
        <v>226</v>
      </c>
      <c r="E240" t="s">
        <v>186</v>
      </c>
      <c r="F240" s="51">
        <v>45195</v>
      </c>
      <c r="G240" t="s">
        <v>1</v>
      </c>
    </row>
    <row r="241" spans="1:7" x14ac:dyDescent="0.3">
      <c r="A241" t="s">
        <v>2702</v>
      </c>
      <c r="B241">
        <v>41864</v>
      </c>
      <c r="C241" t="s">
        <v>74</v>
      </c>
      <c r="D241" t="s">
        <v>367</v>
      </c>
      <c r="E241" t="s">
        <v>121</v>
      </c>
      <c r="F241" s="51">
        <v>45198</v>
      </c>
      <c r="G241" t="s">
        <v>4</v>
      </c>
    </row>
    <row r="242" spans="1:7" x14ac:dyDescent="0.3">
      <c r="A242" t="s">
        <v>2702</v>
      </c>
      <c r="B242">
        <v>41865</v>
      </c>
      <c r="C242" t="s">
        <v>387</v>
      </c>
      <c r="D242" t="s">
        <v>388</v>
      </c>
      <c r="E242" t="s">
        <v>121</v>
      </c>
      <c r="F242" s="51">
        <v>45196</v>
      </c>
      <c r="G242" t="s">
        <v>4</v>
      </c>
    </row>
    <row r="243" spans="1:7" x14ac:dyDescent="0.3">
      <c r="A243" t="s">
        <v>2702</v>
      </c>
      <c r="B243">
        <v>41866</v>
      </c>
      <c r="C243" t="s">
        <v>387</v>
      </c>
      <c r="D243" t="s">
        <v>388</v>
      </c>
      <c r="E243" t="s">
        <v>121</v>
      </c>
      <c r="F243" s="51">
        <v>45196</v>
      </c>
      <c r="G243" t="s">
        <v>4</v>
      </c>
    </row>
    <row r="244" spans="1:7" x14ac:dyDescent="0.3">
      <c r="A244" t="s">
        <v>2702</v>
      </c>
      <c r="B244">
        <v>41867</v>
      </c>
      <c r="C244" t="s">
        <v>56</v>
      </c>
      <c r="D244" t="s">
        <v>244</v>
      </c>
      <c r="E244" t="s">
        <v>146</v>
      </c>
      <c r="F244" s="51">
        <v>45198</v>
      </c>
      <c r="G244" t="s">
        <v>1</v>
      </c>
    </row>
    <row r="245" spans="1:7" x14ac:dyDescent="0.3">
      <c r="A245" t="s">
        <v>2702</v>
      </c>
      <c r="B245">
        <v>41868</v>
      </c>
      <c r="C245" t="s">
        <v>389</v>
      </c>
      <c r="D245" t="s">
        <v>390</v>
      </c>
      <c r="E245" t="s">
        <v>391</v>
      </c>
      <c r="F245" s="51">
        <v>45198</v>
      </c>
      <c r="G245" t="s">
        <v>1</v>
      </c>
    </row>
    <row r="246" spans="1:7" x14ac:dyDescent="0.3">
      <c r="A246" t="s">
        <v>2702</v>
      </c>
      <c r="B246">
        <v>41869</v>
      </c>
      <c r="C246" t="s">
        <v>99</v>
      </c>
      <c r="D246" t="s">
        <v>392</v>
      </c>
      <c r="E246" t="s">
        <v>176</v>
      </c>
      <c r="F246" s="51">
        <v>45198</v>
      </c>
      <c r="G246" t="s">
        <v>1</v>
      </c>
    </row>
    <row r="247" spans="1:7" x14ac:dyDescent="0.3">
      <c r="A247" t="s">
        <v>2702</v>
      </c>
      <c r="B247">
        <v>41870</v>
      </c>
      <c r="C247" t="s">
        <v>326</v>
      </c>
      <c r="E247" t="s">
        <v>27</v>
      </c>
      <c r="F247" s="51">
        <v>45198</v>
      </c>
      <c r="G247" t="s">
        <v>1</v>
      </c>
    </row>
    <row r="248" spans="1:7" x14ac:dyDescent="0.3">
      <c r="A248" t="s">
        <v>2702</v>
      </c>
      <c r="B248">
        <v>41871</v>
      </c>
      <c r="C248" t="s">
        <v>393</v>
      </c>
      <c r="E248" t="s">
        <v>27</v>
      </c>
      <c r="F248" s="51">
        <v>45196</v>
      </c>
      <c r="G248" t="s">
        <v>1</v>
      </c>
    </row>
    <row r="249" spans="1:7" x14ac:dyDescent="0.3">
      <c r="A249" t="s">
        <v>2702</v>
      </c>
      <c r="B249">
        <v>41872</v>
      </c>
      <c r="C249" t="s">
        <v>237</v>
      </c>
      <c r="D249" t="s">
        <v>84</v>
      </c>
      <c r="E249" t="s">
        <v>265</v>
      </c>
      <c r="F249" s="51">
        <v>45196</v>
      </c>
      <c r="G249" t="s">
        <v>1</v>
      </c>
    </row>
    <row r="250" spans="1:7" x14ac:dyDescent="0.3">
      <c r="A250" t="s">
        <v>2702</v>
      </c>
      <c r="B250">
        <v>41873</v>
      </c>
      <c r="C250" t="s">
        <v>394</v>
      </c>
      <c r="D250" t="s">
        <v>395</v>
      </c>
      <c r="E250" t="s">
        <v>396</v>
      </c>
      <c r="F250" s="51">
        <v>45198</v>
      </c>
      <c r="G250" t="s">
        <v>1</v>
      </c>
    </row>
    <row r="251" spans="1:7" x14ac:dyDescent="0.3">
      <c r="A251" t="s">
        <v>2702</v>
      </c>
      <c r="B251">
        <v>41874</v>
      </c>
      <c r="C251" t="s">
        <v>90</v>
      </c>
      <c r="D251" t="s">
        <v>217</v>
      </c>
      <c r="E251" t="s">
        <v>397</v>
      </c>
      <c r="F251" s="51">
        <v>45219</v>
      </c>
      <c r="G251" t="s">
        <v>1</v>
      </c>
    </row>
    <row r="252" spans="1:7" x14ac:dyDescent="0.3">
      <c r="A252" t="s">
        <v>2702</v>
      </c>
      <c r="B252">
        <v>41875</v>
      </c>
      <c r="C252" t="s">
        <v>398</v>
      </c>
      <c r="D252" t="s">
        <v>120</v>
      </c>
      <c r="E252" t="s">
        <v>121</v>
      </c>
      <c r="F252" s="51">
        <v>45198</v>
      </c>
      <c r="G252" t="s">
        <v>4</v>
      </c>
    </row>
    <row r="253" spans="1:7" x14ac:dyDescent="0.3">
      <c r="A253" t="s">
        <v>2702</v>
      </c>
      <c r="B253">
        <v>41876</v>
      </c>
      <c r="C253" t="s">
        <v>399</v>
      </c>
      <c r="D253" t="s">
        <v>400</v>
      </c>
      <c r="E253" t="s">
        <v>401</v>
      </c>
      <c r="F253" s="51">
        <v>45198</v>
      </c>
      <c r="G253" t="s">
        <v>1</v>
      </c>
    </row>
    <row r="254" spans="1:7" x14ac:dyDescent="0.3">
      <c r="A254" t="s">
        <v>2702</v>
      </c>
      <c r="B254">
        <v>41877</v>
      </c>
      <c r="C254" t="s">
        <v>402</v>
      </c>
      <c r="D254" t="s">
        <v>148</v>
      </c>
      <c r="E254" t="s">
        <v>403</v>
      </c>
      <c r="F254" s="51">
        <v>45198</v>
      </c>
      <c r="G254" t="s">
        <v>1</v>
      </c>
    </row>
    <row r="255" spans="1:7" x14ac:dyDescent="0.3">
      <c r="A255" t="s">
        <v>2702</v>
      </c>
      <c r="B255">
        <v>41880</v>
      </c>
      <c r="C255" t="s">
        <v>404</v>
      </c>
      <c r="E255" t="s">
        <v>405</v>
      </c>
      <c r="F255" s="51">
        <v>45232</v>
      </c>
      <c r="G255" t="s">
        <v>1</v>
      </c>
    </row>
    <row r="256" spans="1:7" x14ac:dyDescent="0.3">
      <c r="A256" t="s">
        <v>2702</v>
      </c>
      <c r="B256">
        <v>41881</v>
      </c>
      <c r="C256" t="s">
        <v>406</v>
      </c>
      <c r="D256" t="s">
        <v>407</v>
      </c>
      <c r="E256" t="s">
        <v>255</v>
      </c>
      <c r="F256" s="51">
        <v>45258</v>
      </c>
      <c r="G256" t="s">
        <v>1</v>
      </c>
    </row>
    <row r="257" spans="1:7" x14ac:dyDescent="0.3">
      <c r="A257" t="s">
        <v>2702</v>
      </c>
      <c r="B257">
        <v>41883</v>
      </c>
      <c r="C257" t="s">
        <v>65</v>
      </c>
      <c r="D257" t="s">
        <v>408</v>
      </c>
      <c r="E257" t="s">
        <v>255</v>
      </c>
      <c r="F257" s="51">
        <v>45198</v>
      </c>
      <c r="G257" t="s">
        <v>1</v>
      </c>
    </row>
    <row r="258" spans="1:7" x14ac:dyDescent="0.3">
      <c r="A258" t="s">
        <v>2702</v>
      </c>
      <c r="B258">
        <v>41884</v>
      </c>
      <c r="C258" t="s">
        <v>409</v>
      </c>
      <c r="D258" t="s">
        <v>63</v>
      </c>
      <c r="E258" t="s">
        <v>182</v>
      </c>
      <c r="F258" s="51">
        <v>45219</v>
      </c>
      <c r="G258" t="s">
        <v>1</v>
      </c>
    </row>
    <row r="259" spans="1:7" x14ac:dyDescent="0.3">
      <c r="A259" t="s">
        <v>2702</v>
      </c>
      <c r="B259">
        <v>41885</v>
      </c>
      <c r="C259" t="s">
        <v>86</v>
      </c>
      <c r="D259" t="s">
        <v>45</v>
      </c>
      <c r="E259" t="s">
        <v>410</v>
      </c>
      <c r="F259" s="51">
        <v>45042</v>
      </c>
      <c r="G259" t="s">
        <v>1</v>
      </c>
    </row>
    <row r="260" spans="1:7" x14ac:dyDescent="0.3">
      <c r="A260" t="s">
        <v>2702</v>
      </c>
      <c r="B260">
        <v>41886</v>
      </c>
      <c r="C260" t="s">
        <v>86</v>
      </c>
      <c r="D260" t="s">
        <v>45</v>
      </c>
      <c r="E260" t="s">
        <v>410</v>
      </c>
      <c r="F260" s="51">
        <v>45042</v>
      </c>
      <c r="G260" t="s">
        <v>1</v>
      </c>
    </row>
    <row r="261" spans="1:7" x14ac:dyDescent="0.3">
      <c r="A261" t="s">
        <v>2702</v>
      </c>
      <c r="B261">
        <v>41887</v>
      </c>
      <c r="C261" t="s">
        <v>411</v>
      </c>
      <c r="D261" t="s">
        <v>412</v>
      </c>
      <c r="E261" t="s">
        <v>163</v>
      </c>
      <c r="F261" s="51">
        <v>45197</v>
      </c>
      <c r="G261" t="s">
        <v>1</v>
      </c>
    </row>
    <row r="262" spans="1:7" x14ac:dyDescent="0.3">
      <c r="A262" t="s">
        <v>2702</v>
      </c>
      <c r="B262">
        <v>41889</v>
      </c>
      <c r="C262" t="s">
        <v>286</v>
      </c>
      <c r="E262" t="s">
        <v>183</v>
      </c>
      <c r="F262" s="51">
        <v>45196</v>
      </c>
      <c r="G262" t="s">
        <v>4</v>
      </c>
    </row>
    <row r="263" spans="1:7" x14ac:dyDescent="0.3">
      <c r="A263" t="s">
        <v>2702</v>
      </c>
      <c r="B263">
        <v>41890</v>
      </c>
      <c r="C263" t="s">
        <v>413</v>
      </c>
      <c r="D263" t="s">
        <v>414</v>
      </c>
      <c r="E263" t="s">
        <v>415</v>
      </c>
      <c r="F263" s="51">
        <v>45198</v>
      </c>
      <c r="G263" t="s">
        <v>1</v>
      </c>
    </row>
    <row r="264" spans="1:7" x14ac:dyDescent="0.3">
      <c r="A264" t="s">
        <v>2702</v>
      </c>
      <c r="B264">
        <v>41891</v>
      </c>
      <c r="C264" t="s">
        <v>71</v>
      </c>
      <c r="D264" t="s">
        <v>106</v>
      </c>
      <c r="E264" t="s">
        <v>416</v>
      </c>
      <c r="F264" s="51">
        <v>45376</v>
      </c>
      <c r="G264" t="s">
        <v>9</v>
      </c>
    </row>
    <row r="265" spans="1:7" x14ac:dyDescent="0.3">
      <c r="A265" t="s">
        <v>2702</v>
      </c>
      <c r="B265">
        <v>41892</v>
      </c>
      <c r="C265" t="s">
        <v>246</v>
      </c>
      <c r="D265" t="s">
        <v>247</v>
      </c>
      <c r="E265" t="s">
        <v>172</v>
      </c>
      <c r="F265" s="51">
        <v>45189</v>
      </c>
      <c r="G265" t="s">
        <v>1</v>
      </c>
    </row>
    <row r="266" spans="1:7" x14ac:dyDescent="0.3">
      <c r="A266" t="s">
        <v>2702</v>
      </c>
      <c r="B266">
        <v>41893</v>
      </c>
      <c r="C266" t="s">
        <v>246</v>
      </c>
      <c r="D266" t="s">
        <v>247</v>
      </c>
      <c r="E266" t="s">
        <v>172</v>
      </c>
      <c r="F266" s="51">
        <v>45189</v>
      </c>
      <c r="G266" t="s">
        <v>1</v>
      </c>
    </row>
    <row r="267" spans="1:7" x14ac:dyDescent="0.3">
      <c r="A267" t="s">
        <v>2702</v>
      </c>
      <c r="B267">
        <v>41894</v>
      </c>
      <c r="C267" t="s">
        <v>102</v>
      </c>
      <c r="D267" t="s">
        <v>417</v>
      </c>
      <c r="E267" t="s">
        <v>145</v>
      </c>
      <c r="F267" s="51">
        <v>45198</v>
      </c>
      <c r="G267" t="s">
        <v>1</v>
      </c>
    </row>
    <row r="268" spans="1:7" x14ac:dyDescent="0.3">
      <c r="A268" t="s">
        <v>2702</v>
      </c>
      <c r="B268">
        <v>41895</v>
      </c>
      <c r="C268" t="s">
        <v>71</v>
      </c>
      <c r="D268" t="s">
        <v>106</v>
      </c>
      <c r="E268" t="s">
        <v>332</v>
      </c>
      <c r="F268" s="51">
        <v>45202</v>
      </c>
      <c r="G268" t="s">
        <v>1</v>
      </c>
    </row>
    <row r="269" spans="1:7" x14ac:dyDescent="0.3">
      <c r="A269" t="s">
        <v>2702</v>
      </c>
      <c r="B269">
        <v>41896</v>
      </c>
      <c r="C269" t="s">
        <v>194</v>
      </c>
      <c r="D269" t="s">
        <v>418</v>
      </c>
      <c r="E269" t="s">
        <v>419</v>
      </c>
      <c r="F269" s="51">
        <v>45208</v>
      </c>
      <c r="G269" t="s">
        <v>1</v>
      </c>
    </row>
    <row r="270" spans="1:7" x14ac:dyDescent="0.3">
      <c r="A270" t="s">
        <v>2702</v>
      </c>
      <c r="B270">
        <v>41897</v>
      </c>
      <c r="C270" t="s">
        <v>420</v>
      </c>
      <c r="D270" t="s">
        <v>421</v>
      </c>
      <c r="E270" t="s">
        <v>422</v>
      </c>
      <c r="F270" s="51">
        <v>45225</v>
      </c>
      <c r="G270" t="s">
        <v>1</v>
      </c>
    </row>
    <row r="271" spans="1:7" x14ac:dyDescent="0.3">
      <c r="A271" t="s">
        <v>2702</v>
      </c>
      <c r="B271">
        <v>41899</v>
      </c>
      <c r="C271" t="s">
        <v>276</v>
      </c>
      <c r="D271" t="s">
        <v>277</v>
      </c>
      <c r="E271" t="s">
        <v>168</v>
      </c>
      <c r="F271" s="51">
        <v>45169</v>
      </c>
      <c r="G271" t="s">
        <v>1</v>
      </c>
    </row>
    <row r="272" spans="1:7" x14ac:dyDescent="0.3">
      <c r="A272" t="s">
        <v>2702</v>
      </c>
      <c r="B272">
        <v>42003</v>
      </c>
      <c r="C272" t="s">
        <v>36</v>
      </c>
      <c r="D272" t="s">
        <v>1879</v>
      </c>
      <c r="E272" t="s">
        <v>124</v>
      </c>
      <c r="F272" s="51">
        <v>45589</v>
      </c>
      <c r="G272" t="s">
        <v>2</v>
      </c>
    </row>
    <row r="273" spans="1:7" x14ac:dyDescent="0.3">
      <c r="A273" t="s">
        <v>2702</v>
      </c>
      <c r="B273">
        <v>42115</v>
      </c>
      <c r="C273" t="s">
        <v>41</v>
      </c>
      <c r="D273" t="s">
        <v>45</v>
      </c>
      <c r="E273" t="s">
        <v>98</v>
      </c>
      <c r="F273" s="51">
        <v>45484</v>
      </c>
      <c r="G273" t="s">
        <v>4</v>
      </c>
    </row>
    <row r="274" spans="1:7" x14ac:dyDescent="0.3">
      <c r="A274" t="s">
        <v>2702</v>
      </c>
      <c r="B274">
        <v>42130</v>
      </c>
      <c r="C274" t="s">
        <v>62</v>
      </c>
      <c r="D274" t="s">
        <v>63</v>
      </c>
      <c r="E274" t="s">
        <v>423</v>
      </c>
      <c r="F274" s="51">
        <v>45483</v>
      </c>
      <c r="G274" t="s">
        <v>5</v>
      </c>
    </row>
    <row r="275" spans="1:7" x14ac:dyDescent="0.3">
      <c r="A275" t="s">
        <v>2702</v>
      </c>
      <c r="B275">
        <v>42168</v>
      </c>
      <c r="C275" t="s">
        <v>290</v>
      </c>
      <c r="D275" t="s">
        <v>63</v>
      </c>
      <c r="E275" t="s">
        <v>424</v>
      </c>
      <c r="F275" s="51">
        <v>45490</v>
      </c>
      <c r="G275" t="s">
        <v>1</v>
      </c>
    </row>
    <row r="276" spans="1:7" x14ac:dyDescent="0.3">
      <c r="A276" t="s">
        <v>2702</v>
      </c>
      <c r="B276">
        <v>42219</v>
      </c>
      <c r="C276" t="s">
        <v>262</v>
      </c>
      <c r="D276" t="s">
        <v>263</v>
      </c>
      <c r="E276" t="s">
        <v>121</v>
      </c>
      <c r="F276" s="51">
        <v>45575</v>
      </c>
      <c r="G276" t="s">
        <v>4</v>
      </c>
    </row>
    <row r="277" spans="1:7" x14ac:dyDescent="0.3">
      <c r="A277" t="s">
        <v>2702</v>
      </c>
      <c r="B277">
        <v>42276</v>
      </c>
      <c r="C277" t="s">
        <v>41</v>
      </c>
      <c r="E277" t="s">
        <v>425</v>
      </c>
      <c r="F277" s="51">
        <v>45369</v>
      </c>
      <c r="G277" t="s">
        <v>4</v>
      </c>
    </row>
    <row r="278" spans="1:7" x14ac:dyDescent="0.3">
      <c r="A278" t="s">
        <v>2702</v>
      </c>
      <c r="B278">
        <v>42280</v>
      </c>
      <c r="C278" t="s">
        <v>426</v>
      </c>
      <c r="D278" t="s">
        <v>427</v>
      </c>
      <c r="E278" t="s">
        <v>428</v>
      </c>
      <c r="F278" s="51">
        <v>45580</v>
      </c>
      <c r="G278" t="s">
        <v>4</v>
      </c>
    </row>
    <row r="279" spans="1:7" x14ac:dyDescent="0.3">
      <c r="A279" t="s">
        <v>2702</v>
      </c>
      <c r="B279">
        <v>42298</v>
      </c>
      <c r="C279" t="s">
        <v>429</v>
      </c>
      <c r="D279" t="s">
        <v>91</v>
      </c>
      <c r="E279" t="s">
        <v>430</v>
      </c>
      <c r="F279" s="51">
        <v>45565</v>
      </c>
      <c r="G279" t="s">
        <v>2</v>
      </c>
    </row>
    <row r="280" spans="1:7" x14ac:dyDescent="0.3">
      <c r="A280" t="s">
        <v>2702</v>
      </c>
      <c r="B280">
        <v>42301</v>
      </c>
      <c r="C280" t="s">
        <v>41</v>
      </c>
      <c r="D280" t="s">
        <v>431</v>
      </c>
      <c r="E280" t="s">
        <v>98</v>
      </c>
      <c r="F280" s="51">
        <v>45484</v>
      </c>
      <c r="G280" t="s">
        <v>4</v>
      </c>
    </row>
    <row r="281" spans="1:7" x14ac:dyDescent="0.3">
      <c r="A281" t="s">
        <v>2702</v>
      </c>
      <c r="B281">
        <v>42307</v>
      </c>
      <c r="C281" t="s">
        <v>432</v>
      </c>
      <c r="D281" t="s">
        <v>433</v>
      </c>
      <c r="E281" t="s">
        <v>377</v>
      </c>
      <c r="F281" s="51">
        <v>45474</v>
      </c>
      <c r="G281" t="s">
        <v>1</v>
      </c>
    </row>
    <row r="282" spans="1:7" x14ac:dyDescent="0.3">
      <c r="A282" t="s">
        <v>2702</v>
      </c>
      <c r="B282">
        <v>42369</v>
      </c>
      <c r="C282" t="s">
        <v>434</v>
      </c>
      <c r="D282" t="s">
        <v>435</v>
      </c>
      <c r="E282" t="s">
        <v>121</v>
      </c>
      <c r="F282" s="51">
        <v>45448</v>
      </c>
      <c r="G282" t="s">
        <v>4</v>
      </c>
    </row>
    <row r="283" spans="1:7" x14ac:dyDescent="0.3">
      <c r="A283" t="s">
        <v>2702</v>
      </c>
      <c r="B283">
        <v>42385</v>
      </c>
      <c r="C283" t="s">
        <v>229</v>
      </c>
      <c r="D283" t="s">
        <v>436</v>
      </c>
      <c r="E283" t="s">
        <v>98</v>
      </c>
      <c r="F283" s="99">
        <v>45509.61136574074</v>
      </c>
      <c r="G283" t="s">
        <v>4</v>
      </c>
    </row>
    <row r="284" spans="1:7" x14ac:dyDescent="0.3">
      <c r="A284" t="s">
        <v>2702</v>
      </c>
      <c r="B284">
        <v>42389</v>
      </c>
      <c r="C284" t="s">
        <v>292</v>
      </c>
      <c r="D284" t="s">
        <v>75</v>
      </c>
      <c r="E284" t="s">
        <v>437</v>
      </c>
      <c r="F284" s="51">
        <v>45341</v>
      </c>
      <c r="G284" t="s">
        <v>2</v>
      </c>
    </row>
    <row r="285" spans="1:7" x14ac:dyDescent="0.3">
      <c r="A285" t="s">
        <v>2702</v>
      </c>
      <c r="B285">
        <v>42446</v>
      </c>
      <c r="C285" t="s">
        <v>438</v>
      </c>
      <c r="D285" t="s">
        <v>334</v>
      </c>
      <c r="E285" t="s">
        <v>121</v>
      </c>
      <c r="F285" s="51">
        <v>45371</v>
      </c>
      <c r="G285" t="s">
        <v>4</v>
      </c>
    </row>
    <row r="286" spans="1:7" x14ac:dyDescent="0.3">
      <c r="A286" t="s">
        <v>2702</v>
      </c>
      <c r="B286">
        <v>42469</v>
      </c>
      <c r="C286" t="s">
        <v>439</v>
      </c>
      <c r="D286" t="s">
        <v>440</v>
      </c>
      <c r="E286" t="s">
        <v>98</v>
      </c>
      <c r="F286" s="51">
        <v>45474</v>
      </c>
      <c r="G286" t="s">
        <v>4</v>
      </c>
    </row>
    <row r="287" spans="1:7" x14ac:dyDescent="0.3">
      <c r="A287" t="s">
        <v>2702</v>
      </c>
      <c r="B287">
        <v>42472</v>
      </c>
      <c r="C287" t="s">
        <v>441</v>
      </c>
      <c r="D287" t="s">
        <v>442</v>
      </c>
      <c r="E287" t="s">
        <v>410</v>
      </c>
      <c r="F287" s="51">
        <v>45378</v>
      </c>
      <c r="G287" t="s">
        <v>1</v>
      </c>
    </row>
    <row r="288" spans="1:7" x14ac:dyDescent="0.3">
      <c r="A288" t="s">
        <v>2702</v>
      </c>
      <c r="B288">
        <v>42476</v>
      </c>
      <c r="C288" t="s">
        <v>10</v>
      </c>
    </row>
    <row r="289" spans="1:7" x14ac:dyDescent="0.3">
      <c r="A289" t="s">
        <v>2702</v>
      </c>
      <c r="B289">
        <v>42485</v>
      </c>
      <c r="C289" t="s">
        <v>41</v>
      </c>
      <c r="D289" t="s">
        <v>181</v>
      </c>
      <c r="E289" t="s">
        <v>183</v>
      </c>
      <c r="F289" s="99">
        <v>45530.532835648148</v>
      </c>
      <c r="G289" t="s">
        <v>4</v>
      </c>
    </row>
    <row r="290" spans="1:7" x14ac:dyDescent="0.3">
      <c r="A290" t="s">
        <v>2702</v>
      </c>
      <c r="B290">
        <v>42490</v>
      </c>
      <c r="C290" t="s">
        <v>443</v>
      </c>
      <c r="D290" t="s">
        <v>444</v>
      </c>
      <c r="E290" t="s">
        <v>445</v>
      </c>
      <c r="F290" s="51">
        <v>45407</v>
      </c>
      <c r="G290" t="s">
        <v>1</v>
      </c>
    </row>
    <row r="291" spans="1:7" x14ac:dyDescent="0.3">
      <c r="A291" t="s">
        <v>2702</v>
      </c>
      <c r="B291">
        <v>42536</v>
      </c>
      <c r="C291" t="s">
        <v>446</v>
      </c>
      <c r="D291" t="s">
        <v>75</v>
      </c>
      <c r="E291" t="s">
        <v>121</v>
      </c>
      <c r="F291" s="51">
        <v>45554</v>
      </c>
      <c r="G291" t="s">
        <v>4</v>
      </c>
    </row>
    <row r="292" spans="1:7" x14ac:dyDescent="0.3">
      <c r="A292" t="s">
        <v>2702</v>
      </c>
      <c r="B292">
        <v>42542</v>
      </c>
      <c r="C292" t="s">
        <v>41</v>
      </c>
      <c r="D292" t="s">
        <v>447</v>
      </c>
      <c r="E292" t="s">
        <v>98</v>
      </c>
      <c r="F292" s="51">
        <v>45554</v>
      </c>
      <c r="G292" t="s">
        <v>4</v>
      </c>
    </row>
    <row r="293" spans="1:7" x14ac:dyDescent="0.3">
      <c r="A293" t="s">
        <v>2702</v>
      </c>
      <c r="B293">
        <v>42552</v>
      </c>
      <c r="C293" t="s">
        <v>448</v>
      </c>
      <c r="D293" t="s">
        <v>133</v>
      </c>
      <c r="E293" t="s">
        <v>449</v>
      </c>
      <c r="F293" s="51">
        <v>45587</v>
      </c>
      <c r="G293" t="s">
        <v>1</v>
      </c>
    </row>
    <row r="294" spans="1:7" x14ac:dyDescent="0.3">
      <c r="A294" t="s">
        <v>2702</v>
      </c>
      <c r="B294">
        <v>42560</v>
      </c>
      <c r="C294" t="s">
        <v>41</v>
      </c>
      <c r="D294" t="s">
        <v>156</v>
      </c>
      <c r="E294" t="s">
        <v>415</v>
      </c>
      <c r="F294" s="51">
        <v>45559</v>
      </c>
      <c r="G294" t="s">
        <v>4</v>
      </c>
    </row>
    <row r="295" spans="1:7" x14ac:dyDescent="0.3">
      <c r="A295" t="s">
        <v>2702</v>
      </c>
      <c r="B295">
        <v>42571</v>
      </c>
      <c r="C295" t="s">
        <v>450</v>
      </c>
      <c r="D295" t="s">
        <v>133</v>
      </c>
      <c r="E295" t="s">
        <v>145</v>
      </c>
      <c r="F295" s="51">
        <v>45587</v>
      </c>
      <c r="G295" t="s">
        <v>1</v>
      </c>
    </row>
    <row r="296" spans="1:7" x14ac:dyDescent="0.3">
      <c r="A296" t="s">
        <v>2702</v>
      </c>
      <c r="B296">
        <v>42595</v>
      </c>
      <c r="C296" t="s">
        <v>10</v>
      </c>
    </row>
    <row r="297" spans="1:7" x14ac:dyDescent="0.3">
      <c r="A297" t="s">
        <v>2702</v>
      </c>
      <c r="B297">
        <v>42626</v>
      </c>
      <c r="C297" t="s">
        <v>36</v>
      </c>
      <c r="D297" t="s">
        <v>37</v>
      </c>
      <c r="E297" t="s">
        <v>451</v>
      </c>
      <c r="F297" s="51">
        <v>45470</v>
      </c>
      <c r="G297" t="s">
        <v>2</v>
      </c>
    </row>
    <row r="298" spans="1:7" x14ac:dyDescent="0.3">
      <c r="A298" t="s">
        <v>2702</v>
      </c>
      <c r="B298">
        <v>42627</v>
      </c>
      <c r="C298" t="s">
        <v>450</v>
      </c>
      <c r="D298" t="s">
        <v>254</v>
      </c>
      <c r="E298" t="s">
        <v>452</v>
      </c>
      <c r="F298" s="51">
        <v>45398</v>
      </c>
      <c r="G298" t="s">
        <v>4</v>
      </c>
    </row>
    <row r="299" spans="1:7" x14ac:dyDescent="0.3">
      <c r="A299" t="s">
        <v>2702</v>
      </c>
      <c r="B299">
        <v>42631</v>
      </c>
      <c r="C299" t="s">
        <v>41</v>
      </c>
      <c r="D299" t="s">
        <v>453</v>
      </c>
      <c r="E299" t="s">
        <v>98</v>
      </c>
      <c r="F299" s="51">
        <v>45553</v>
      </c>
      <c r="G299" t="s">
        <v>4</v>
      </c>
    </row>
    <row r="300" spans="1:7" x14ac:dyDescent="0.3">
      <c r="A300" t="s">
        <v>2702</v>
      </c>
      <c r="B300">
        <v>42636</v>
      </c>
      <c r="C300" t="s">
        <v>454</v>
      </c>
      <c r="D300" t="s">
        <v>455</v>
      </c>
      <c r="E300" t="s">
        <v>456</v>
      </c>
      <c r="F300" s="51">
        <v>45448</v>
      </c>
      <c r="G300" t="s">
        <v>4</v>
      </c>
    </row>
    <row r="301" spans="1:7" x14ac:dyDescent="0.3">
      <c r="A301" t="s">
        <v>2702</v>
      </c>
      <c r="B301">
        <v>42642</v>
      </c>
      <c r="C301" t="s">
        <v>457</v>
      </c>
      <c r="D301" t="s">
        <v>458</v>
      </c>
      <c r="E301" t="s">
        <v>459</v>
      </c>
      <c r="F301" s="51">
        <v>45559</v>
      </c>
      <c r="G301" t="s">
        <v>4</v>
      </c>
    </row>
    <row r="302" spans="1:7" x14ac:dyDescent="0.3">
      <c r="A302" t="s">
        <v>2702</v>
      </c>
      <c r="B302">
        <v>42644</v>
      </c>
      <c r="C302" t="s">
        <v>460</v>
      </c>
      <c r="D302" t="s">
        <v>461</v>
      </c>
      <c r="E302" t="s">
        <v>462</v>
      </c>
      <c r="F302" s="51">
        <v>45559</v>
      </c>
      <c r="G302" t="s">
        <v>4</v>
      </c>
    </row>
    <row r="303" spans="1:7" x14ac:dyDescent="0.3">
      <c r="A303" t="s">
        <v>2702</v>
      </c>
      <c r="B303">
        <v>42659</v>
      </c>
      <c r="C303" t="s">
        <v>79</v>
      </c>
      <c r="D303" t="s">
        <v>75</v>
      </c>
      <c r="E303" t="s">
        <v>145</v>
      </c>
      <c r="F303" s="51">
        <v>45559</v>
      </c>
      <c r="G303" t="s">
        <v>8</v>
      </c>
    </row>
    <row r="304" spans="1:7" x14ac:dyDescent="0.3">
      <c r="A304" t="s">
        <v>2702</v>
      </c>
      <c r="B304">
        <v>42662</v>
      </c>
      <c r="C304" t="s">
        <v>74</v>
      </c>
      <c r="D304" t="s">
        <v>367</v>
      </c>
      <c r="E304" t="s">
        <v>463</v>
      </c>
      <c r="F304" s="51">
        <v>45397</v>
      </c>
      <c r="G304" t="s">
        <v>4</v>
      </c>
    </row>
    <row r="305" spans="1:7" x14ac:dyDescent="0.3">
      <c r="A305" t="s">
        <v>2702</v>
      </c>
      <c r="B305">
        <v>42665</v>
      </c>
      <c r="C305" t="s">
        <v>246</v>
      </c>
      <c r="D305" t="s">
        <v>464</v>
      </c>
      <c r="E305" t="s">
        <v>146</v>
      </c>
      <c r="F305" s="51">
        <v>45484</v>
      </c>
      <c r="G305" t="s">
        <v>1</v>
      </c>
    </row>
    <row r="306" spans="1:7" x14ac:dyDescent="0.3">
      <c r="A306" t="s">
        <v>2702</v>
      </c>
      <c r="B306">
        <v>42666</v>
      </c>
      <c r="C306" t="s">
        <v>465</v>
      </c>
      <c r="D306" t="s">
        <v>466</v>
      </c>
      <c r="E306" t="s">
        <v>467</v>
      </c>
      <c r="F306" s="51">
        <v>45483</v>
      </c>
      <c r="G306" t="s">
        <v>2</v>
      </c>
    </row>
    <row r="307" spans="1:7" x14ac:dyDescent="0.3">
      <c r="A307" t="s">
        <v>2702</v>
      </c>
      <c r="B307">
        <v>42667</v>
      </c>
      <c r="C307" t="s">
        <v>468</v>
      </c>
      <c r="D307" t="s">
        <v>314</v>
      </c>
      <c r="E307" t="s">
        <v>469</v>
      </c>
      <c r="F307" s="51">
        <v>45398</v>
      </c>
      <c r="G307" t="s">
        <v>4</v>
      </c>
    </row>
    <row r="308" spans="1:7" x14ac:dyDescent="0.3">
      <c r="A308" t="s">
        <v>2702</v>
      </c>
      <c r="B308">
        <v>42668</v>
      </c>
      <c r="C308" t="s">
        <v>470</v>
      </c>
      <c r="D308" t="s">
        <v>431</v>
      </c>
      <c r="E308" t="s">
        <v>98</v>
      </c>
      <c r="F308" s="51">
        <v>45559</v>
      </c>
      <c r="G308" t="s">
        <v>4</v>
      </c>
    </row>
    <row r="309" spans="1:7" x14ac:dyDescent="0.3">
      <c r="A309" t="s">
        <v>2702</v>
      </c>
      <c r="B309">
        <v>42681</v>
      </c>
      <c r="C309" t="s">
        <v>74</v>
      </c>
      <c r="D309" t="s">
        <v>367</v>
      </c>
      <c r="E309" t="s">
        <v>471</v>
      </c>
      <c r="F309" s="51">
        <v>45617</v>
      </c>
      <c r="G309" t="s">
        <v>2</v>
      </c>
    </row>
    <row r="310" spans="1:7" x14ac:dyDescent="0.3">
      <c r="A310" t="s">
        <v>2702</v>
      </c>
      <c r="B310">
        <v>42688</v>
      </c>
      <c r="C310" t="s">
        <v>41</v>
      </c>
      <c r="D310" t="s">
        <v>472</v>
      </c>
      <c r="E310" t="s">
        <v>473</v>
      </c>
      <c r="F310" s="51">
        <v>45561</v>
      </c>
      <c r="G310" t="s">
        <v>2</v>
      </c>
    </row>
    <row r="311" spans="1:7" x14ac:dyDescent="0.3">
      <c r="A311" t="s">
        <v>2702</v>
      </c>
      <c r="B311">
        <v>42697</v>
      </c>
      <c r="C311" t="s">
        <v>474</v>
      </c>
      <c r="D311" t="s">
        <v>45</v>
      </c>
      <c r="E311" t="s">
        <v>98</v>
      </c>
      <c r="F311" s="51">
        <v>45460</v>
      </c>
      <c r="G311" t="s">
        <v>4</v>
      </c>
    </row>
    <row r="312" spans="1:7" x14ac:dyDescent="0.3">
      <c r="A312" t="s">
        <v>2702</v>
      </c>
      <c r="B312">
        <v>42699</v>
      </c>
      <c r="C312" t="s">
        <v>475</v>
      </c>
      <c r="D312" t="s">
        <v>106</v>
      </c>
    </row>
    <row r="313" spans="1:7" x14ac:dyDescent="0.3">
      <c r="A313" t="s">
        <v>2702</v>
      </c>
      <c r="B313">
        <v>42700</v>
      </c>
      <c r="C313" t="s">
        <v>476</v>
      </c>
      <c r="D313" t="s">
        <v>477</v>
      </c>
      <c r="E313" t="s">
        <v>467</v>
      </c>
      <c r="F313" s="51">
        <v>45506</v>
      </c>
      <c r="G313" t="s">
        <v>2</v>
      </c>
    </row>
    <row r="314" spans="1:7" x14ac:dyDescent="0.3">
      <c r="A314" t="s">
        <v>2702</v>
      </c>
      <c r="B314">
        <v>42701</v>
      </c>
      <c r="C314" t="s">
        <v>478</v>
      </c>
      <c r="D314" t="s">
        <v>232</v>
      </c>
      <c r="E314" t="s">
        <v>467</v>
      </c>
      <c r="F314" s="51">
        <v>45506</v>
      </c>
      <c r="G314" t="s">
        <v>2</v>
      </c>
    </row>
    <row r="315" spans="1:7" x14ac:dyDescent="0.3">
      <c r="A315" t="s">
        <v>2702</v>
      </c>
      <c r="B315">
        <v>42703</v>
      </c>
      <c r="C315" t="s">
        <v>479</v>
      </c>
      <c r="D315" t="s">
        <v>118</v>
      </c>
      <c r="E315" t="s">
        <v>480</v>
      </c>
      <c r="F315" s="51">
        <v>45418</v>
      </c>
      <c r="G315" t="s">
        <v>1</v>
      </c>
    </row>
    <row r="316" spans="1:7" x14ac:dyDescent="0.3">
      <c r="A316" t="s">
        <v>2702</v>
      </c>
      <c r="B316">
        <v>42704</v>
      </c>
      <c r="C316" t="s">
        <v>481</v>
      </c>
      <c r="E316" t="s">
        <v>462</v>
      </c>
      <c r="F316" s="51">
        <v>45435</v>
      </c>
      <c r="G316" t="s">
        <v>1</v>
      </c>
    </row>
    <row r="317" spans="1:7" x14ac:dyDescent="0.3">
      <c r="A317" t="s">
        <v>2702</v>
      </c>
      <c r="B317">
        <v>42706</v>
      </c>
      <c r="C317" t="s">
        <v>482</v>
      </c>
      <c r="D317" t="s">
        <v>179</v>
      </c>
      <c r="E317" t="s">
        <v>483</v>
      </c>
      <c r="F317" s="51">
        <v>45414</v>
      </c>
      <c r="G317" t="s">
        <v>1</v>
      </c>
    </row>
    <row r="318" spans="1:7" x14ac:dyDescent="0.3">
      <c r="A318" t="s">
        <v>2702</v>
      </c>
      <c r="B318">
        <v>42707</v>
      </c>
      <c r="C318" t="s">
        <v>306</v>
      </c>
      <c r="D318" t="s">
        <v>63</v>
      </c>
      <c r="E318" t="s">
        <v>484</v>
      </c>
      <c r="F318" s="99">
        <v>45509.708344907405</v>
      </c>
      <c r="G318" t="s">
        <v>1</v>
      </c>
    </row>
    <row r="319" spans="1:7" x14ac:dyDescent="0.3">
      <c r="A319" t="s">
        <v>2702</v>
      </c>
      <c r="B319">
        <v>42708</v>
      </c>
      <c r="C319" t="s">
        <v>86</v>
      </c>
      <c r="D319" t="s">
        <v>45</v>
      </c>
      <c r="E319" t="s">
        <v>485</v>
      </c>
      <c r="F319" s="51">
        <v>45419</v>
      </c>
      <c r="G319" t="s">
        <v>1</v>
      </c>
    </row>
    <row r="320" spans="1:7" x14ac:dyDescent="0.3">
      <c r="A320" t="s">
        <v>2702</v>
      </c>
      <c r="B320">
        <v>42709</v>
      </c>
      <c r="C320" t="s">
        <v>409</v>
      </c>
      <c r="D320" t="s">
        <v>63</v>
      </c>
      <c r="E320" t="s">
        <v>215</v>
      </c>
      <c r="F320" s="51">
        <v>45418</v>
      </c>
      <c r="G320" t="s">
        <v>1</v>
      </c>
    </row>
    <row r="321" spans="1:7" x14ac:dyDescent="0.3">
      <c r="A321" t="s">
        <v>2702</v>
      </c>
      <c r="B321">
        <v>42710</v>
      </c>
      <c r="C321" t="s">
        <v>486</v>
      </c>
      <c r="D321" t="s">
        <v>487</v>
      </c>
      <c r="E321" t="s">
        <v>488</v>
      </c>
      <c r="F321" s="51">
        <v>45425</v>
      </c>
      <c r="G321" t="s">
        <v>1</v>
      </c>
    </row>
    <row r="322" spans="1:7" x14ac:dyDescent="0.3">
      <c r="A322" t="s">
        <v>2702</v>
      </c>
      <c r="B322">
        <v>42711</v>
      </c>
      <c r="C322" t="s">
        <v>486</v>
      </c>
      <c r="D322" t="s">
        <v>487</v>
      </c>
      <c r="E322" t="s">
        <v>55</v>
      </c>
      <c r="F322" s="51">
        <v>45406</v>
      </c>
      <c r="G322" t="s">
        <v>1</v>
      </c>
    </row>
    <row r="323" spans="1:7" x14ac:dyDescent="0.3">
      <c r="A323" t="s">
        <v>2702</v>
      </c>
      <c r="B323">
        <v>42712</v>
      </c>
      <c r="C323" t="s">
        <v>144</v>
      </c>
      <c r="D323" t="s">
        <v>489</v>
      </c>
      <c r="F323" s="51">
        <v>45406</v>
      </c>
      <c r="G323" t="s">
        <v>1</v>
      </c>
    </row>
    <row r="324" spans="1:7" x14ac:dyDescent="0.3">
      <c r="A324" t="s">
        <v>2702</v>
      </c>
      <c r="B324">
        <v>42713</v>
      </c>
      <c r="C324" t="s">
        <v>490</v>
      </c>
      <c r="D324" t="s">
        <v>217</v>
      </c>
      <c r="E324" t="s">
        <v>491</v>
      </c>
      <c r="F324" s="51">
        <v>45415</v>
      </c>
      <c r="G324" t="s">
        <v>3</v>
      </c>
    </row>
    <row r="325" spans="1:7" x14ac:dyDescent="0.3">
      <c r="A325" t="s">
        <v>2702</v>
      </c>
      <c r="B325">
        <v>42714</v>
      </c>
      <c r="C325" t="s">
        <v>490</v>
      </c>
      <c r="D325" t="s">
        <v>217</v>
      </c>
      <c r="E325" t="s">
        <v>492</v>
      </c>
      <c r="F325" s="51">
        <v>45415</v>
      </c>
      <c r="G325" t="s">
        <v>3</v>
      </c>
    </row>
    <row r="326" spans="1:7" x14ac:dyDescent="0.3">
      <c r="A326" t="s">
        <v>2702</v>
      </c>
      <c r="B326">
        <v>42715</v>
      </c>
      <c r="C326" t="s">
        <v>490</v>
      </c>
      <c r="D326" t="s">
        <v>217</v>
      </c>
      <c r="E326" t="s">
        <v>493</v>
      </c>
      <c r="F326" s="51">
        <v>45415</v>
      </c>
      <c r="G326" t="s">
        <v>3</v>
      </c>
    </row>
    <row r="327" spans="1:7" x14ac:dyDescent="0.3">
      <c r="A327" t="s">
        <v>2702</v>
      </c>
      <c r="B327">
        <v>42716</v>
      </c>
      <c r="C327" t="s">
        <v>399</v>
      </c>
      <c r="D327" t="s">
        <v>494</v>
      </c>
      <c r="E327" t="s">
        <v>495</v>
      </c>
      <c r="F327" s="51">
        <v>45435</v>
      </c>
      <c r="G327" t="s">
        <v>1</v>
      </c>
    </row>
    <row r="328" spans="1:7" x14ac:dyDescent="0.3">
      <c r="A328" t="s">
        <v>2702</v>
      </c>
      <c r="B328">
        <v>42717</v>
      </c>
      <c r="C328" t="s">
        <v>496</v>
      </c>
      <c r="D328" t="s">
        <v>497</v>
      </c>
      <c r="E328" t="s">
        <v>121</v>
      </c>
      <c r="F328" s="51">
        <v>45414</v>
      </c>
      <c r="G328" t="s">
        <v>4</v>
      </c>
    </row>
    <row r="329" spans="1:7" x14ac:dyDescent="0.3">
      <c r="A329" t="s">
        <v>2702</v>
      </c>
      <c r="B329">
        <v>42719</v>
      </c>
      <c r="C329" t="s">
        <v>498</v>
      </c>
      <c r="D329" t="s">
        <v>75</v>
      </c>
      <c r="E329" t="s">
        <v>58</v>
      </c>
      <c r="F329" s="51">
        <v>45418</v>
      </c>
      <c r="G329" t="s">
        <v>1</v>
      </c>
    </row>
    <row r="330" spans="1:7" x14ac:dyDescent="0.3">
      <c r="A330" t="s">
        <v>2702</v>
      </c>
      <c r="B330">
        <v>42721</v>
      </c>
      <c r="C330" t="s">
        <v>41</v>
      </c>
      <c r="D330" t="s">
        <v>75</v>
      </c>
      <c r="E330" t="s">
        <v>499</v>
      </c>
      <c r="F330" s="51">
        <v>45561</v>
      </c>
      <c r="G330" t="s">
        <v>4</v>
      </c>
    </row>
    <row r="331" spans="1:7" x14ac:dyDescent="0.3">
      <c r="A331" t="s">
        <v>2702</v>
      </c>
      <c r="B331">
        <v>42725</v>
      </c>
      <c r="C331" t="s">
        <v>500</v>
      </c>
      <c r="E331" t="s">
        <v>501</v>
      </c>
      <c r="F331" s="51">
        <v>45408</v>
      </c>
      <c r="G331" t="s">
        <v>1</v>
      </c>
    </row>
    <row r="332" spans="1:7" x14ac:dyDescent="0.3">
      <c r="A332" t="s">
        <v>2702</v>
      </c>
      <c r="B332">
        <v>42726</v>
      </c>
      <c r="C332" t="s">
        <v>502</v>
      </c>
      <c r="D332" t="s">
        <v>32</v>
      </c>
      <c r="E332" t="s">
        <v>159</v>
      </c>
      <c r="F332" s="51">
        <v>45415</v>
      </c>
      <c r="G332" t="s">
        <v>1</v>
      </c>
    </row>
    <row r="333" spans="1:7" x14ac:dyDescent="0.3">
      <c r="A333" t="s">
        <v>2702</v>
      </c>
      <c r="B333">
        <v>42727</v>
      </c>
      <c r="C333" t="s">
        <v>246</v>
      </c>
      <c r="D333" t="s">
        <v>464</v>
      </c>
      <c r="E333" t="s">
        <v>503</v>
      </c>
      <c r="F333" s="51">
        <v>45435</v>
      </c>
      <c r="G333" t="s">
        <v>1</v>
      </c>
    </row>
    <row r="334" spans="1:7" x14ac:dyDescent="0.3">
      <c r="A334" t="s">
        <v>2702</v>
      </c>
      <c r="B334">
        <v>42728</v>
      </c>
      <c r="C334" t="s">
        <v>504</v>
      </c>
      <c r="D334" t="s">
        <v>379</v>
      </c>
      <c r="E334" t="s">
        <v>505</v>
      </c>
      <c r="F334" s="51">
        <v>45418</v>
      </c>
      <c r="G334" t="s">
        <v>1</v>
      </c>
    </row>
    <row r="335" spans="1:7" x14ac:dyDescent="0.3">
      <c r="A335" t="s">
        <v>2702</v>
      </c>
      <c r="B335">
        <v>42737</v>
      </c>
      <c r="C335" t="s">
        <v>506</v>
      </c>
      <c r="D335" t="s">
        <v>507</v>
      </c>
      <c r="E335" t="s">
        <v>121</v>
      </c>
      <c r="F335" s="51">
        <v>45559</v>
      </c>
      <c r="G335" t="s">
        <v>4</v>
      </c>
    </row>
    <row r="336" spans="1:7" x14ac:dyDescent="0.3">
      <c r="A336" t="s">
        <v>2702</v>
      </c>
      <c r="B336">
        <v>42741</v>
      </c>
      <c r="C336" t="s">
        <v>481</v>
      </c>
      <c r="D336" t="s">
        <v>508</v>
      </c>
      <c r="E336" t="s">
        <v>98</v>
      </c>
      <c r="F336" s="51">
        <v>45462</v>
      </c>
      <c r="G336" t="s">
        <v>4</v>
      </c>
    </row>
    <row r="337" spans="1:7" x14ac:dyDescent="0.3">
      <c r="A337" t="s">
        <v>2702</v>
      </c>
      <c r="B337">
        <v>42745</v>
      </c>
      <c r="C337" t="s">
        <v>509</v>
      </c>
      <c r="D337" t="s">
        <v>440</v>
      </c>
      <c r="E337" t="s">
        <v>510</v>
      </c>
      <c r="G337" t="s">
        <v>1</v>
      </c>
    </row>
    <row r="338" spans="1:7" x14ac:dyDescent="0.3">
      <c r="A338" t="s">
        <v>2702</v>
      </c>
      <c r="B338">
        <v>42749</v>
      </c>
      <c r="C338" t="s">
        <v>511</v>
      </c>
      <c r="D338" t="s">
        <v>512</v>
      </c>
      <c r="E338" t="s">
        <v>513</v>
      </c>
      <c r="F338" s="51">
        <v>45559</v>
      </c>
      <c r="G338" t="s">
        <v>1</v>
      </c>
    </row>
    <row r="339" spans="1:7" x14ac:dyDescent="0.3">
      <c r="A339" t="s">
        <v>2702</v>
      </c>
      <c r="B339">
        <v>42760</v>
      </c>
      <c r="C339" t="s">
        <v>514</v>
      </c>
      <c r="E339" t="s">
        <v>146</v>
      </c>
      <c r="F339" s="51">
        <v>45467</v>
      </c>
      <c r="G339" t="s">
        <v>1</v>
      </c>
    </row>
    <row r="340" spans="1:7" x14ac:dyDescent="0.3">
      <c r="A340" t="s">
        <v>2702</v>
      </c>
      <c r="B340">
        <v>42769</v>
      </c>
      <c r="C340" t="s">
        <v>41</v>
      </c>
      <c r="E340" t="s">
        <v>515</v>
      </c>
      <c r="F340" s="51">
        <v>45559</v>
      </c>
      <c r="G340" t="s">
        <v>4</v>
      </c>
    </row>
    <row r="341" spans="1:7" x14ac:dyDescent="0.3">
      <c r="A341" t="s">
        <v>2702</v>
      </c>
      <c r="B341">
        <v>42770</v>
      </c>
      <c r="C341" t="s">
        <v>516</v>
      </c>
      <c r="D341" t="s">
        <v>293</v>
      </c>
      <c r="E341" t="s">
        <v>121</v>
      </c>
      <c r="F341" s="51">
        <v>45464</v>
      </c>
      <c r="G341" t="s">
        <v>4</v>
      </c>
    </row>
    <row r="342" spans="1:7" x14ac:dyDescent="0.3">
      <c r="A342" t="s">
        <v>2702</v>
      </c>
      <c r="B342">
        <v>42771</v>
      </c>
      <c r="C342" t="s">
        <v>516</v>
      </c>
      <c r="D342" t="s">
        <v>63</v>
      </c>
      <c r="E342" t="s">
        <v>517</v>
      </c>
      <c r="F342" s="51">
        <v>45544</v>
      </c>
      <c r="G342" t="s">
        <v>4</v>
      </c>
    </row>
    <row r="343" spans="1:7" x14ac:dyDescent="0.3">
      <c r="A343" t="s">
        <v>2702</v>
      </c>
      <c r="B343">
        <v>42772</v>
      </c>
      <c r="C343" t="s">
        <v>41</v>
      </c>
      <c r="D343" t="s">
        <v>227</v>
      </c>
      <c r="E343" t="s">
        <v>485</v>
      </c>
      <c r="F343" s="51">
        <v>45427</v>
      </c>
      <c r="G343" t="s">
        <v>4</v>
      </c>
    </row>
    <row r="344" spans="1:7" x14ac:dyDescent="0.3">
      <c r="A344" t="s">
        <v>2702</v>
      </c>
      <c r="B344">
        <v>42773</v>
      </c>
      <c r="C344" t="s">
        <v>309</v>
      </c>
      <c r="D344" t="s">
        <v>63</v>
      </c>
      <c r="F344" s="51">
        <v>45427</v>
      </c>
      <c r="G344" t="s">
        <v>4</v>
      </c>
    </row>
    <row r="345" spans="1:7" x14ac:dyDescent="0.3">
      <c r="A345" t="s">
        <v>2702</v>
      </c>
      <c r="B345">
        <v>42774</v>
      </c>
      <c r="C345" t="s">
        <v>41</v>
      </c>
      <c r="D345" t="s">
        <v>181</v>
      </c>
      <c r="E345" t="s">
        <v>58</v>
      </c>
      <c r="F345" s="51">
        <v>45427</v>
      </c>
      <c r="G345" t="s">
        <v>4</v>
      </c>
    </row>
    <row r="346" spans="1:7" x14ac:dyDescent="0.3">
      <c r="A346" t="s">
        <v>2702</v>
      </c>
      <c r="B346">
        <v>42775</v>
      </c>
      <c r="C346" t="s">
        <v>90</v>
      </c>
      <c r="E346" t="s">
        <v>27</v>
      </c>
      <c r="F346" s="51">
        <v>45427</v>
      </c>
      <c r="G346" t="s">
        <v>1</v>
      </c>
    </row>
    <row r="347" spans="1:7" x14ac:dyDescent="0.3">
      <c r="A347" t="s">
        <v>2702</v>
      </c>
      <c r="B347">
        <v>42776</v>
      </c>
      <c r="C347" t="s">
        <v>518</v>
      </c>
      <c r="E347" t="s">
        <v>519</v>
      </c>
      <c r="F347" s="51">
        <v>45427</v>
      </c>
      <c r="G347" t="s">
        <v>1</v>
      </c>
    </row>
    <row r="348" spans="1:7" x14ac:dyDescent="0.3">
      <c r="A348" t="s">
        <v>2702</v>
      </c>
      <c r="B348">
        <v>42777</v>
      </c>
      <c r="C348" t="s">
        <v>294</v>
      </c>
      <c r="E348" t="s">
        <v>27</v>
      </c>
      <c r="F348" s="51">
        <v>45427</v>
      </c>
      <c r="G348" t="s">
        <v>1</v>
      </c>
    </row>
    <row r="349" spans="1:7" x14ac:dyDescent="0.3">
      <c r="A349" t="s">
        <v>2702</v>
      </c>
      <c r="B349">
        <v>42778</v>
      </c>
      <c r="C349" t="s">
        <v>520</v>
      </c>
      <c r="D349" t="s">
        <v>167</v>
      </c>
      <c r="F349" s="51">
        <v>45428</v>
      </c>
      <c r="G349" t="s">
        <v>1</v>
      </c>
    </row>
    <row r="350" spans="1:7" x14ac:dyDescent="0.3">
      <c r="A350" t="s">
        <v>2702</v>
      </c>
      <c r="B350">
        <v>42779</v>
      </c>
      <c r="C350" t="s">
        <v>521</v>
      </c>
      <c r="D350" t="s">
        <v>32</v>
      </c>
      <c r="E350" t="s">
        <v>522</v>
      </c>
      <c r="F350" s="51">
        <v>45464</v>
      </c>
      <c r="G350" t="s">
        <v>4</v>
      </c>
    </row>
    <row r="351" spans="1:7" x14ac:dyDescent="0.3">
      <c r="A351" t="s">
        <v>2702</v>
      </c>
      <c r="B351">
        <v>42785</v>
      </c>
      <c r="C351" t="s">
        <v>10</v>
      </c>
    </row>
    <row r="352" spans="1:7" x14ac:dyDescent="0.3">
      <c r="A352" t="s">
        <v>2702</v>
      </c>
      <c r="B352">
        <v>42793</v>
      </c>
      <c r="C352" t="s">
        <v>74</v>
      </c>
      <c r="D352" t="s">
        <v>75</v>
      </c>
      <c r="E352" t="s">
        <v>2564</v>
      </c>
      <c r="F352" s="51">
        <v>45840</v>
      </c>
      <c r="G352" t="s">
        <v>2077</v>
      </c>
    </row>
    <row r="353" spans="1:7" x14ac:dyDescent="0.3">
      <c r="A353" t="s">
        <v>2702</v>
      </c>
      <c r="B353">
        <v>42805</v>
      </c>
      <c r="C353" t="s">
        <v>523</v>
      </c>
      <c r="D353" t="s">
        <v>524</v>
      </c>
      <c r="E353" t="s">
        <v>525</v>
      </c>
      <c r="F353" s="51">
        <v>45448</v>
      </c>
      <c r="G353" t="s">
        <v>1</v>
      </c>
    </row>
    <row r="354" spans="1:7" x14ac:dyDescent="0.3">
      <c r="A354" t="s">
        <v>2702</v>
      </c>
      <c r="B354">
        <v>42808</v>
      </c>
      <c r="C354" t="s">
        <v>105</v>
      </c>
      <c r="D354" t="s">
        <v>526</v>
      </c>
      <c r="E354" t="s">
        <v>98</v>
      </c>
      <c r="F354" s="51">
        <v>45464</v>
      </c>
      <c r="G354" t="s">
        <v>4</v>
      </c>
    </row>
    <row r="355" spans="1:7" x14ac:dyDescent="0.3">
      <c r="A355" t="s">
        <v>2702</v>
      </c>
      <c r="B355">
        <v>42817</v>
      </c>
      <c r="C355" t="s">
        <v>527</v>
      </c>
      <c r="E355" t="s">
        <v>27</v>
      </c>
      <c r="F355" s="51">
        <v>45435</v>
      </c>
      <c r="G355" t="s">
        <v>1</v>
      </c>
    </row>
    <row r="356" spans="1:7" x14ac:dyDescent="0.3">
      <c r="A356" t="s">
        <v>2702</v>
      </c>
      <c r="B356">
        <v>42818</v>
      </c>
      <c r="C356" t="s">
        <v>96</v>
      </c>
      <c r="D356" t="s">
        <v>436</v>
      </c>
      <c r="E356" t="s">
        <v>27</v>
      </c>
      <c r="F356" s="51">
        <v>45484</v>
      </c>
      <c r="G356" t="s">
        <v>4</v>
      </c>
    </row>
    <row r="357" spans="1:7" x14ac:dyDescent="0.3">
      <c r="A357" t="s">
        <v>2702</v>
      </c>
      <c r="B357">
        <v>42819</v>
      </c>
      <c r="C357" t="s">
        <v>511</v>
      </c>
      <c r="D357" t="s">
        <v>528</v>
      </c>
      <c r="E357" t="s">
        <v>512</v>
      </c>
      <c r="F357" s="51">
        <v>45435</v>
      </c>
      <c r="G357" t="s">
        <v>1</v>
      </c>
    </row>
    <row r="358" spans="1:7" x14ac:dyDescent="0.3">
      <c r="A358" t="s">
        <v>2702</v>
      </c>
      <c r="B358">
        <v>42821</v>
      </c>
      <c r="C358" t="s">
        <v>41</v>
      </c>
      <c r="D358" t="s">
        <v>529</v>
      </c>
      <c r="E358" t="s">
        <v>530</v>
      </c>
      <c r="F358" s="51">
        <v>45541</v>
      </c>
      <c r="G358" t="s">
        <v>4</v>
      </c>
    </row>
    <row r="359" spans="1:7" x14ac:dyDescent="0.3">
      <c r="A359" t="s">
        <v>2702</v>
      </c>
      <c r="B359">
        <v>42822</v>
      </c>
      <c r="C359" t="s">
        <v>325</v>
      </c>
      <c r="D359" t="s">
        <v>75</v>
      </c>
      <c r="E359" t="s">
        <v>40</v>
      </c>
      <c r="F359" s="51">
        <v>45433</v>
      </c>
      <c r="G359" t="s">
        <v>1</v>
      </c>
    </row>
    <row r="360" spans="1:7" x14ac:dyDescent="0.3">
      <c r="A360" t="s">
        <v>2702</v>
      </c>
      <c r="B360">
        <v>42823</v>
      </c>
      <c r="C360" t="s">
        <v>86</v>
      </c>
      <c r="D360" t="s">
        <v>148</v>
      </c>
      <c r="E360" t="s">
        <v>40</v>
      </c>
      <c r="F360" s="51">
        <v>45436</v>
      </c>
      <c r="G360" t="s">
        <v>2</v>
      </c>
    </row>
    <row r="361" spans="1:7" x14ac:dyDescent="0.3">
      <c r="A361" t="s">
        <v>2702</v>
      </c>
      <c r="B361">
        <v>42824</v>
      </c>
      <c r="C361" t="s">
        <v>231</v>
      </c>
      <c r="D361" t="s">
        <v>531</v>
      </c>
      <c r="E361" t="s">
        <v>532</v>
      </c>
      <c r="F361" s="51">
        <v>45433</v>
      </c>
      <c r="G361" t="s">
        <v>1</v>
      </c>
    </row>
    <row r="362" spans="1:7" x14ac:dyDescent="0.3">
      <c r="A362" t="s">
        <v>2702</v>
      </c>
      <c r="B362">
        <v>42825</v>
      </c>
      <c r="C362" t="s">
        <v>56</v>
      </c>
      <c r="D362" t="s">
        <v>533</v>
      </c>
      <c r="E362" t="s">
        <v>534</v>
      </c>
      <c r="F362" s="51">
        <v>45429</v>
      </c>
      <c r="G362" t="s">
        <v>1</v>
      </c>
    </row>
    <row r="363" spans="1:7" x14ac:dyDescent="0.3">
      <c r="A363" t="s">
        <v>2702</v>
      </c>
      <c r="B363">
        <v>42827</v>
      </c>
      <c r="C363" t="s">
        <v>535</v>
      </c>
      <c r="D363" t="s">
        <v>536</v>
      </c>
      <c r="E363" t="s">
        <v>537</v>
      </c>
      <c r="F363" s="51">
        <v>45453</v>
      </c>
      <c r="G363" t="s">
        <v>2</v>
      </c>
    </row>
    <row r="364" spans="1:7" x14ac:dyDescent="0.3">
      <c r="A364" t="s">
        <v>2702</v>
      </c>
      <c r="B364">
        <v>42828</v>
      </c>
      <c r="C364" t="s">
        <v>86</v>
      </c>
      <c r="D364" t="s">
        <v>45</v>
      </c>
      <c r="E364" t="s">
        <v>538</v>
      </c>
      <c r="F364" s="51">
        <v>45427</v>
      </c>
      <c r="G364" t="s">
        <v>4</v>
      </c>
    </row>
    <row r="365" spans="1:7" x14ac:dyDescent="0.3">
      <c r="A365" t="s">
        <v>2702</v>
      </c>
      <c r="B365">
        <v>42829</v>
      </c>
      <c r="C365" t="s">
        <v>516</v>
      </c>
      <c r="E365" t="s">
        <v>380</v>
      </c>
      <c r="F365" s="51">
        <v>45442</v>
      </c>
      <c r="G365" t="s">
        <v>2</v>
      </c>
    </row>
    <row r="366" spans="1:7" x14ac:dyDescent="0.3">
      <c r="A366" t="s">
        <v>2702</v>
      </c>
      <c r="B366">
        <v>42830</v>
      </c>
      <c r="C366" t="s">
        <v>539</v>
      </c>
      <c r="D366" t="s">
        <v>540</v>
      </c>
      <c r="E366" t="s">
        <v>126</v>
      </c>
      <c r="F366" s="51">
        <v>45541</v>
      </c>
      <c r="G366" t="s">
        <v>1</v>
      </c>
    </row>
    <row r="367" spans="1:7" x14ac:dyDescent="0.3">
      <c r="A367" t="s">
        <v>2702</v>
      </c>
      <c r="B367">
        <v>42831</v>
      </c>
      <c r="C367" t="s">
        <v>71</v>
      </c>
      <c r="D367" t="s">
        <v>541</v>
      </c>
      <c r="E367" t="s">
        <v>542</v>
      </c>
      <c r="F367" s="51">
        <v>45447</v>
      </c>
      <c r="G367" t="s">
        <v>2</v>
      </c>
    </row>
    <row r="368" spans="1:7" x14ac:dyDescent="0.3">
      <c r="A368" t="s">
        <v>2702</v>
      </c>
      <c r="B368">
        <v>42833</v>
      </c>
      <c r="C368" t="s">
        <v>543</v>
      </c>
      <c r="D368" t="s">
        <v>544</v>
      </c>
      <c r="E368" t="s">
        <v>545</v>
      </c>
      <c r="F368" s="51">
        <v>45433</v>
      </c>
      <c r="G368" t="s">
        <v>1</v>
      </c>
    </row>
    <row r="369" spans="1:7" x14ac:dyDescent="0.3">
      <c r="A369" t="s">
        <v>2702</v>
      </c>
      <c r="B369">
        <v>42835</v>
      </c>
      <c r="C369" t="s">
        <v>239</v>
      </c>
      <c r="D369" t="s">
        <v>546</v>
      </c>
      <c r="E369" t="s">
        <v>58</v>
      </c>
      <c r="F369" s="51">
        <v>45450</v>
      </c>
      <c r="G369" t="s">
        <v>1</v>
      </c>
    </row>
    <row r="370" spans="1:7" x14ac:dyDescent="0.3">
      <c r="A370" t="s">
        <v>2702</v>
      </c>
      <c r="B370">
        <v>42837</v>
      </c>
      <c r="C370" t="s">
        <v>547</v>
      </c>
      <c r="D370" t="s">
        <v>548</v>
      </c>
      <c r="E370" t="s">
        <v>549</v>
      </c>
      <c r="F370" s="51">
        <v>45433</v>
      </c>
      <c r="G370" t="s">
        <v>1</v>
      </c>
    </row>
    <row r="371" spans="1:7" x14ac:dyDescent="0.3">
      <c r="A371" t="s">
        <v>2702</v>
      </c>
      <c r="B371">
        <v>42838</v>
      </c>
      <c r="C371" t="s">
        <v>550</v>
      </c>
      <c r="F371" s="51">
        <v>45482</v>
      </c>
      <c r="G371" t="s">
        <v>1</v>
      </c>
    </row>
    <row r="372" spans="1:7" x14ac:dyDescent="0.3">
      <c r="A372" t="s">
        <v>2702</v>
      </c>
      <c r="B372">
        <v>42839</v>
      </c>
      <c r="C372" t="s">
        <v>551</v>
      </c>
      <c r="D372" t="s">
        <v>552</v>
      </c>
      <c r="E372" t="s">
        <v>553</v>
      </c>
      <c r="F372" s="51">
        <v>45435</v>
      </c>
      <c r="G372" t="s">
        <v>1</v>
      </c>
    </row>
    <row r="373" spans="1:7" x14ac:dyDescent="0.3">
      <c r="A373" t="s">
        <v>2702</v>
      </c>
      <c r="B373">
        <v>42840</v>
      </c>
      <c r="C373" t="s">
        <v>225</v>
      </c>
      <c r="E373" t="s">
        <v>554</v>
      </c>
      <c r="F373" s="51">
        <v>45435</v>
      </c>
      <c r="G373" t="s">
        <v>1</v>
      </c>
    </row>
    <row r="374" spans="1:7" x14ac:dyDescent="0.3">
      <c r="A374" t="s">
        <v>2702</v>
      </c>
      <c r="B374">
        <v>42841</v>
      </c>
      <c r="C374" t="s">
        <v>555</v>
      </c>
      <c r="E374" t="s">
        <v>556</v>
      </c>
      <c r="F374" s="51">
        <v>45484</v>
      </c>
      <c r="G374" t="s">
        <v>2</v>
      </c>
    </row>
    <row r="375" spans="1:7" x14ac:dyDescent="0.3">
      <c r="A375" t="s">
        <v>2702</v>
      </c>
      <c r="B375">
        <v>42842</v>
      </c>
      <c r="C375" t="s">
        <v>41</v>
      </c>
      <c r="D375" t="s">
        <v>412</v>
      </c>
      <c r="E375" t="s">
        <v>557</v>
      </c>
      <c r="F375" s="51">
        <v>45436</v>
      </c>
    </row>
    <row r="376" spans="1:7" x14ac:dyDescent="0.3">
      <c r="A376" t="s">
        <v>2702</v>
      </c>
      <c r="B376">
        <v>42843</v>
      </c>
      <c r="C376" t="s">
        <v>155</v>
      </c>
      <c r="D376" t="s">
        <v>75</v>
      </c>
      <c r="E376" t="s">
        <v>558</v>
      </c>
      <c r="F376" s="51">
        <v>45492</v>
      </c>
      <c r="G376" t="s">
        <v>5</v>
      </c>
    </row>
    <row r="377" spans="1:7" x14ac:dyDescent="0.3">
      <c r="A377" t="s">
        <v>2702</v>
      </c>
      <c r="B377">
        <v>42844</v>
      </c>
      <c r="C377" t="s">
        <v>559</v>
      </c>
      <c r="D377" t="s">
        <v>45</v>
      </c>
      <c r="E377" t="s">
        <v>558</v>
      </c>
      <c r="F377" s="51">
        <v>45488</v>
      </c>
      <c r="G377" t="s">
        <v>5</v>
      </c>
    </row>
    <row r="378" spans="1:7" x14ac:dyDescent="0.3">
      <c r="A378" t="s">
        <v>2702</v>
      </c>
      <c r="B378">
        <v>42846</v>
      </c>
      <c r="C378" t="s">
        <v>41</v>
      </c>
      <c r="D378" t="s">
        <v>45</v>
      </c>
      <c r="E378" t="s">
        <v>558</v>
      </c>
      <c r="F378" s="51">
        <v>45525</v>
      </c>
      <c r="G378" t="s">
        <v>5</v>
      </c>
    </row>
    <row r="379" spans="1:7" x14ac:dyDescent="0.3">
      <c r="A379" t="s">
        <v>2702</v>
      </c>
      <c r="B379">
        <v>42847</v>
      </c>
      <c r="C379" t="s">
        <v>86</v>
      </c>
      <c r="D379" t="s">
        <v>45</v>
      </c>
      <c r="E379" t="s">
        <v>558</v>
      </c>
      <c r="F379" s="51">
        <v>45453</v>
      </c>
      <c r="G379" t="s">
        <v>5</v>
      </c>
    </row>
    <row r="380" spans="1:7" x14ac:dyDescent="0.3">
      <c r="A380" t="s">
        <v>2702</v>
      </c>
      <c r="B380">
        <v>42848</v>
      </c>
      <c r="C380" t="s">
        <v>560</v>
      </c>
      <c r="D380" t="s">
        <v>45</v>
      </c>
      <c r="E380" t="s">
        <v>558</v>
      </c>
      <c r="F380" s="51">
        <v>45510</v>
      </c>
      <c r="G380" t="s">
        <v>5</v>
      </c>
    </row>
    <row r="381" spans="1:7" x14ac:dyDescent="0.3">
      <c r="A381" t="s">
        <v>2702</v>
      </c>
      <c r="B381">
        <v>42849</v>
      </c>
      <c r="C381" t="s">
        <v>325</v>
      </c>
      <c r="D381" t="s">
        <v>75</v>
      </c>
      <c r="E381" t="s">
        <v>558</v>
      </c>
      <c r="F381" s="51">
        <v>45544</v>
      </c>
      <c r="G381" t="s">
        <v>5</v>
      </c>
    </row>
    <row r="382" spans="1:7" x14ac:dyDescent="0.3">
      <c r="A382" t="s">
        <v>2702</v>
      </c>
      <c r="B382">
        <v>42850</v>
      </c>
      <c r="C382" t="s">
        <v>561</v>
      </c>
      <c r="D382" t="s">
        <v>75</v>
      </c>
      <c r="E382" t="s">
        <v>558</v>
      </c>
      <c r="F382" s="51">
        <v>45505</v>
      </c>
      <c r="G382" t="s">
        <v>5</v>
      </c>
    </row>
    <row r="383" spans="1:7" x14ac:dyDescent="0.3">
      <c r="A383" t="s">
        <v>2702</v>
      </c>
      <c r="B383">
        <v>42851</v>
      </c>
      <c r="C383" t="s">
        <v>562</v>
      </c>
      <c r="D383" t="s">
        <v>563</v>
      </c>
      <c r="E383" t="s">
        <v>564</v>
      </c>
      <c r="F383" s="51">
        <v>45565</v>
      </c>
      <c r="G383" t="s">
        <v>5</v>
      </c>
    </row>
    <row r="384" spans="1:7" x14ac:dyDescent="0.3">
      <c r="A384" t="s">
        <v>2702</v>
      </c>
      <c r="B384">
        <v>42852</v>
      </c>
      <c r="C384" t="s">
        <v>286</v>
      </c>
      <c r="D384" t="s">
        <v>45</v>
      </c>
      <c r="E384" t="s">
        <v>558</v>
      </c>
      <c r="F384" s="51">
        <v>45463</v>
      </c>
      <c r="G384" t="s">
        <v>5</v>
      </c>
    </row>
    <row r="385" spans="1:7" x14ac:dyDescent="0.3">
      <c r="A385" t="s">
        <v>2702</v>
      </c>
      <c r="B385">
        <v>42853</v>
      </c>
      <c r="C385" t="s">
        <v>79</v>
      </c>
      <c r="D385" t="s">
        <v>75</v>
      </c>
      <c r="E385" t="s">
        <v>558</v>
      </c>
      <c r="F385" s="99">
        <v>45530.492337962962</v>
      </c>
      <c r="G385" t="s">
        <v>5</v>
      </c>
    </row>
    <row r="386" spans="1:7" x14ac:dyDescent="0.3">
      <c r="A386" t="s">
        <v>2702</v>
      </c>
      <c r="B386">
        <v>42854</v>
      </c>
      <c r="C386" t="s">
        <v>446</v>
      </c>
      <c r="E386" t="s">
        <v>558</v>
      </c>
      <c r="F386" s="51">
        <v>45525</v>
      </c>
      <c r="G386" t="s">
        <v>5</v>
      </c>
    </row>
    <row r="387" spans="1:7" x14ac:dyDescent="0.3">
      <c r="A387" t="s">
        <v>2702</v>
      </c>
      <c r="B387">
        <v>42855</v>
      </c>
      <c r="C387" t="s">
        <v>498</v>
      </c>
      <c r="D387" t="s">
        <v>75</v>
      </c>
      <c r="E387" t="s">
        <v>558</v>
      </c>
      <c r="F387" s="51">
        <v>45525</v>
      </c>
      <c r="G387" t="s">
        <v>5</v>
      </c>
    </row>
    <row r="388" spans="1:7" x14ac:dyDescent="0.3">
      <c r="A388" t="s">
        <v>2702</v>
      </c>
      <c r="B388">
        <v>42856</v>
      </c>
      <c r="C388" t="s">
        <v>309</v>
      </c>
      <c r="D388" t="s">
        <v>45</v>
      </c>
      <c r="E388" t="s">
        <v>558</v>
      </c>
      <c r="F388" s="51">
        <v>45459</v>
      </c>
      <c r="G388" t="s">
        <v>5</v>
      </c>
    </row>
    <row r="389" spans="1:7" x14ac:dyDescent="0.3">
      <c r="A389" t="s">
        <v>2702</v>
      </c>
      <c r="B389">
        <v>42857</v>
      </c>
      <c r="C389" t="s">
        <v>262</v>
      </c>
      <c r="D389" t="s">
        <v>565</v>
      </c>
      <c r="E389" t="s">
        <v>566</v>
      </c>
      <c r="F389" s="51">
        <v>45484</v>
      </c>
      <c r="G389" t="s">
        <v>2</v>
      </c>
    </row>
    <row r="390" spans="1:7" x14ac:dyDescent="0.3">
      <c r="A390" t="s">
        <v>2702</v>
      </c>
      <c r="B390">
        <v>42858</v>
      </c>
      <c r="C390" t="s">
        <v>567</v>
      </c>
      <c r="D390" t="s">
        <v>568</v>
      </c>
      <c r="E390" t="s">
        <v>569</v>
      </c>
      <c r="F390" s="51">
        <v>45450</v>
      </c>
      <c r="G390" t="s">
        <v>1</v>
      </c>
    </row>
    <row r="391" spans="1:7" x14ac:dyDescent="0.3">
      <c r="A391" t="s">
        <v>2702</v>
      </c>
      <c r="B391">
        <v>42859</v>
      </c>
      <c r="C391" t="s">
        <v>570</v>
      </c>
      <c r="D391" t="s">
        <v>249</v>
      </c>
      <c r="E391" t="s">
        <v>571</v>
      </c>
      <c r="F391" s="51">
        <v>45450</v>
      </c>
      <c r="G391" t="s">
        <v>1</v>
      </c>
    </row>
    <row r="392" spans="1:7" x14ac:dyDescent="0.3">
      <c r="A392" t="s">
        <v>2702</v>
      </c>
      <c r="B392">
        <v>42860</v>
      </c>
      <c r="C392" t="s">
        <v>325</v>
      </c>
      <c r="D392" t="s">
        <v>572</v>
      </c>
      <c r="E392" t="s">
        <v>437</v>
      </c>
      <c r="F392" s="51">
        <v>45442</v>
      </c>
      <c r="G392" t="s">
        <v>1</v>
      </c>
    </row>
    <row r="393" spans="1:7" x14ac:dyDescent="0.3">
      <c r="A393" t="s">
        <v>2702</v>
      </c>
      <c r="B393">
        <v>42861</v>
      </c>
      <c r="C393" t="s">
        <v>573</v>
      </c>
      <c r="D393" t="s">
        <v>574</v>
      </c>
      <c r="E393" t="s">
        <v>121</v>
      </c>
      <c r="F393" s="51">
        <v>45448</v>
      </c>
      <c r="G393" t="s">
        <v>4</v>
      </c>
    </row>
    <row r="394" spans="1:7" x14ac:dyDescent="0.3">
      <c r="A394" t="s">
        <v>2702</v>
      </c>
      <c r="B394">
        <v>42862</v>
      </c>
      <c r="C394" t="s">
        <v>251</v>
      </c>
      <c r="E394" t="s">
        <v>575</v>
      </c>
      <c r="F394" s="51">
        <v>45435</v>
      </c>
      <c r="G394" t="s">
        <v>1</v>
      </c>
    </row>
    <row r="395" spans="1:7" x14ac:dyDescent="0.3">
      <c r="A395" t="s">
        <v>2702</v>
      </c>
      <c r="B395">
        <v>42863</v>
      </c>
      <c r="C395" t="s">
        <v>576</v>
      </c>
      <c r="E395" t="s">
        <v>577</v>
      </c>
      <c r="F395" s="51">
        <v>45442</v>
      </c>
      <c r="G395" t="s">
        <v>1</v>
      </c>
    </row>
    <row r="396" spans="1:7" x14ac:dyDescent="0.3">
      <c r="A396" t="s">
        <v>2702</v>
      </c>
      <c r="B396">
        <v>42864</v>
      </c>
      <c r="C396" t="s">
        <v>339</v>
      </c>
      <c r="D396" t="s">
        <v>106</v>
      </c>
      <c r="E396" t="s">
        <v>578</v>
      </c>
      <c r="F396" s="51">
        <v>45435</v>
      </c>
      <c r="G396" t="s">
        <v>1</v>
      </c>
    </row>
    <row r="397" spans="1:7" x14ac:dyDescent="0.3">
      <c r="A397" t="s">
        <v>2702</v>
      </c>
      <c r="B397">
        <v>42865</v>
      </c>
      <c r="C397" t="s">
        <v>74</v>
      </c>
      <c r="D397" t="s">
        <v>579</v>
      </c>
      <c r="E397" t="s">
        <v>580</v>
      </c>
      <c r="F397" s="51">
        <v>45453</v>
      </c>
      <c r="G397" t="s">
        <v>2</v>
      </c>
    </row>
    <row r="398" spans="1:7" x14ac:dyDescent="0.3">
      <c r="A398" t="s">
        <v>2702</v>
      </c>
      <c r="B398">
        <v>42867</v>
      </c>
      <c r="C398" t="s">
        <v>62</v>
      </c>
      <c r="E398" t="s">
        <v>27</v>
      </c>
      <c r="F398" s="51">
        <v>45478</v>
      </c>
      <c r="G398" t="s">
        <v>1</v>
      </c>
    </row>
    <row r="399" spans="1:7" x14ac:dyDescent="0.3">
      <c r="A399" t="s">
        <v>2702</v>
      </c>
      <c r="B399">
        <v>42868</v>
      </c>
      <c r="C399" t="s">
        <v>581</v>
      </c>
      <c r="E399" t="s">
        <v>582</v>
      </c>
      <c r="F399" s="51">
        <v>45448</v>
      </c>
      <c r="G399" t="s">
        <v>1</v>
      </c>
    </row>
    <row r="400" spans="1:7" x14ac:dyDescent="0.3">
      <c r="A400" t="s">
        <v>2702</v>
      </c>
      <c r="B400">
        <v>42870</v>
      </c>
      <c r="C400" t="s">
        <v>180</v>
      </c>
      <c r="D400" t="s">
        <v>181</v>
      </c>
      <c r="E400" t="s">
        <v>583</v>
      </c>
      <c r="F400" s="51">
        <v>45462</v>
      </c>
      <c r="G400" t="s">
        <v>1</v>
      </c>
    </row>
    <row r="401" spans="1:7" x14ac:dyDescent="0.3">
      <c r="A401" t="s">
        <v>2702</v>
      </c>
      <c r="B401">
        <v>42871</v>
      </c>
      <c r="C401" t="s">
        <v>584</v>
      </c>
      <c r="E401" t="s">
        <v>585</v>
      </c>
      <c r="F401" s="51">
        <v>45442</v>
      </c>
      <c r="G401" t="s">
        <v>1</v>
      </c>
    </row>
    <row r="402" spans="1:7" x14ac:dyDescent="0.3">
      <c r="A402" t="s">
        <v>2702</v>
      </c>
      <c r="B402">
        <v>42876</v>
      </c>
      <c r="C402" t="s">
        <v>482</v>
      </c>
      <c r="D402" t="s">
        <v>586</v>
      </c>
      <c r="E402" t="s">
        <v>121</v>
      </c>
      <c r="F402" s="51">
        <v>45482</v>
      </c>
      <c r="G402" t="s">
        <v>4</v>
      </c>
    </row>
    <row r="403" spans="1:7" x14ac:dyDescent="0.3">
      <c r="A403" t="s">
        <v>2702</v>
      </c>
      <c r="B403">
        <v>42877</v>
      </c>
      <c r="C403" t="s">
        <v>482</v>
      </c>
      <c r="D403" t="s">
        <v>587</v>
      </c>
      <c r="E403" t="s">
        <v>121</v>
      </c>
      <c r="F403" s="51">
        <v>45464</v>
      </c>
      <c r="G403" t="s">
        <v>4</v>
      </c>
    </row>
    <row r="404" spans="1:7" x14ac:dyDescent="0.3">
      <c r="A404" t="s">
        <v>2702</v>
      </c>
      <c r="B404">
        <v>42880</v>
      </c>
      <c r="C404" t="s">
        <v>426</v>
      </c>
      <c r="D404" t="s">
        <v>588</v>
      </c>
      <c r="E404" t="s">
        <v>589</v>
      </c>
      <c r="F404" s="51">
        <v>45565</v>
      </c>
      <c r="G404" t="s">
        <v>4</v>
      </c>
    </row>
    <row r="405" spans="1:7" x14ac:dyDescent="0.3">
      <c r="A405" t="s">
        <v>2702</v>
      </c>
      <c r="B405">
        <v>42881</v>
      </c>
      <c r="C405" t="s">
        <v>474</v>
      </c>
      <c r="E405" t="s">
        <v>590</v>
      </c>
      <c r="F405" s="51">
        <v>45461</v>
      </c>
      <c r="G405" t="s">
        <v>3</v>
      </c>
    </row>
    <row r="406" spans="1:7" x14ac:dyDescent="0.3">
      <c r="A406" t="s">
        <v>2702</v>
      </c>
      <c r="B406">
        <v>42883</v>
      </c>
      <c r="C406" t="s">
        <v>591</v>
      </c>
      <c r="D406" t="s">
        <v>200</v>
      </c>
      <c r="E406" t="s">
        <v>592</v>
      </c>
    </row>
    <row r="407" spans="1:7" x14ac:dyDescent="0.3">
      <c r="A407" t="s">
        <v>2702</v>
      </c>
      <c r="B407">
        <v>42884</v>
      </c>
      <c r="C407" t="s">
        <v>328</v>
      </c>
      <c r="E407" t="s">
        <v>593</v>
      </c>
      <c r="F407" s="51">
        <v>45442</v>
      </c>
      <c r="G407" t="s">
        <v>1</v>
      </c>
    </row>
    <row r="408" spans="1:7" x14ac:dyDescent="0.3">
      <c r="A408" t="s">
        <v>2702</v>
      </c>
      <c r="B408">
        <v>42885</v>
      </c>
      <c r="C408" t="s">
        <v>594</v>
      </c>
      <c r="D408" t="s">
        <v>263</v>
      </c>
      <c r="E408" t="s">
        <v>595</v>
      </c>
      <c r="F408" s="51">
        <v>45490</v>
      </c>
      <c r="G408" t="s">
        <v>2</v>
      </c>
    </row>
    <row r="409" spans="1:7" x14ac:dyDescent="0.3">
      <c r="A409" t="s">
        <v>2702</v>
      </c>
      <c r="B409">
        <v>42886</v>
      </c>
      <c r="C409" t="s">
        <v>594</v>
      </c>
      <c r="D409" t="s">
        <v>596</v>
      </c>
      <c r="E409" t="s">
        <v>597</v>
      </c>
      <c r="F409" s="51">
        <v>45453</v>
      </c>
      <c r="G409" t="s">
        <v>2</v>
      </c>
    </row>
    <row r="410" spans="1:7" x14ac:dyDescent="0.3">
      <c r="A410" t="s">
        <v>2702</v>
      </c>
      <c r="B410">
        <v>42888</v>
      </c>
      <c r="C410" t="s">
        <v>41</v>
      </c>
      <c r="D410" t="s">
        <v>447</v>
      </c>
      <c r="E410" t="s">
        <v>98</v>
      </c>
      <c r="F410" s="51">
        <v>45559</v>
      </c>
      <c r="G410" t="s">
        <v>4</v>
      </c>
    </row>
    <row r="411" spans="1:7" x14ac:dyDescent="0.3">
      <c r="A411" t="s">
        <v>2702</v>
      </c>
      <c r="B411">
        <v>42891</v>
      </c>
      <c r="C411" t="s">
        <v>141</v>
      </c>
      <c r="D411" t="s">
        <v>133</v>
      </c>
      <c r="E411" t="s">
        <v>598</v>
      </c>
      <c r="F411" s="51">
        <v>45448</v>
      </c>
      <c r="G411" t="s">
        <v>1</v>
      </c>
    </row>
    <row r="412" spans="1:7" x14ac:dyDescent="0.3">
      <c r="A412" t="s">
        <v>2702</v>
      </c>
      <c r="B412">
        <v>42892</v>
      </c>
      <c r="C412" t="s">
        <v>457</v>
      </c>
      <c r="D412" t="s">
        <v>599</v>
      </c>
      <c r="E412" t="s">
        <v>121</v>
      </c>
      <c r="F412" s="51">
        <v>45453</v>
      </c>
      <c r="G412" t="s">
        <v>4</v>
      </c>
    </row>
    <row r="413" spans="1:7" x14ac:dyDescent="0.3">
      <c r="A413" t="s">
        <v>2702</v>
      </c>
      <c r="B413">
        <v>42893</v>
      </c>
      <c r="C413" t="s">
        <v>600</v>
      </c>
      <c r="D413" t="s">
        <v>497</v>
      </c>
      <c r="E413" t="s">
        <v>601</v>
      </c>
      <c r="F413" s="51">
        <v>45448</v>
      </c>
      <c r="G413" t="s">
        <v>1</v>
      </c>
    </row>
    <row r="414" spans="1:7" x14ac:dyDescent="0.3">
      <c r="A414" t="s">
        <v>2702</v>
      </c>
      <c r="B414">
        <v>42894</v>
      </c>
      <c r="C414" t="s">
        <v>602</v>
      </c>
      <c r="D414" t="s">
        <v>179</v>
      </c>
      <c r="F414" s="51">
        <v>45442</v>
      </c>
      <c r="G414" t="s">
        <v>2</v>
      </c>
    </row>
    <row r="415" spans="1:7" x14ac:dyDescent="0.3">
      <c r="A415" t="s">
        <v>2702</v>
      </c>
      <c r="B415">
        <v>42895</v>
      </c>
      <c r="C415" t="s">
        <v>90</v>
      </c>
      <c r="D415" t="s">
        <v>91</v>
      </c>
      <c r="E415" t="s">
        <v>603</v>
      </c>
      <c r="F415" s="51">
        <v>45450</v>
      </c>
      <c r="G415" t="s">
        <v>1</v>
      </c>
    </row>
    <row r="416" spans="1:7" x14ac:dyDescent="0.3">
      <c r="A416" t="s">
        <v>2702</v>
      </c>
      <c r="B416">
        <v>42896</v>
      </c>
      <c r="C416" t="s">
        <v>523</v>
      </c>
      <c r="D416" t="s">
        <v>604</v>
      </c>
      <c r="E416" t="s">
        <v>605</v>
      </c>
      <c r="F416" s="51">
        <v>45448</v>
      </c>
      <c r="G416" t="s">
        <v>8</v>
      </c>
    </row>
    <row r="417" spans="1:7" x14ac:dyDescent="0.3">
      <c r="A417" t="s">
        <v>2702</v>
      </c>
      <c r="B417">
        <v>42897</v>
      </c>
      <c r="C417" t="s">
        <v>439</v>
      </c>
      <c r="D417" t="s">
        <v>440</v>
      </c>
      <c r="E417" t="s">
        <v>134</v>
      </c>
      <c r="F417" s="51">
        <v>45706</v>
      </c>
      <c r="G417" t="s">
        <v>4</v>
      </c>
    </row>
    <row r="418" spans="1:7" x14ac:dyDescent="0.3">
      <c r="A418" t="s">
        <v>2702</v>
      </c>
      <c r="B418">
        <v>42898</v>
      </c>
      <c r="C418" t="s">
        <v>41</v>
      </c>
      <c r="D418" t="s">
        <v>412</v>
      </c>
      <c r="E418" t="s">
        <v>606</v>
      </c>
      <c r="F418" s="51">
        <v>45561</v>
      </c>
      <c r="G418" t="s">
        <v>4</v>
      </c>
    </row>
    <row r="419" spans="1:7" x14ac:dyDescent="0.3">
      <c r="A419" t="s">
        <v>2702</v>
      </c>
      <c r="B419">
        <v>42899</v>
      </c>
      <c r="C419" t="s">
        <v>65</v>
      </c>
      <c r="D419" t="s">
        <v>148</v>
      </c>
      <c r="E419" t="s">
        <v>607</v>
      </c>
      <c r="F419" s="51">
        <v>45464</v>
      </c>
      <c r="G419" t="s">
        <v>1</v>
      </c>
    </row>
    <row r="420" spans="1:7" x14ac:dyDescent="0.3">
      <c r="A420" t="s">
        <v>2702</v>
      </c>
      <c r="B420">
        <v>42900</v>
      </c>
      <c r="C420" t="s">
        <v>608</v>
      </c>
      <c r="D420" t="s">
        <v>133</v>
      </c>
      <c r="E420" t="s">
        <v>609</v>
      </c>
      <c r="F420" s="51">
        <v>45450</v>
      </c>
      <c r="G420" t="s">
        <v>1</v>
      </c>
    </row>
    <row r="421" spans="1:7" x14ac:dyDescent="0.3">
      <c r="A421" t="s">
        <v>2702</v>
      </c>
      <c r="B421">
        <v>42904</v>
      </c>
      <c r="C421" t="s">
        <v>610</v>
      </c>
      <c r="E421" t="s">
        <v>27</v>
      </c>
      <c r="F421" s="51">
        <v>45450</v>
      </c>
      <c r="G421" t="s">
        <v>1</v>
      </c>
    </row>
    <row r="422" spans="1:7" x14ac:dyDescent="0.3">
      <c r="A422" t="s">
        <v>2702</v>
      </c>
      <c r="B422">
        <v>42905</v>
      </c>
      <c r="C422" t="s">
        <v>611</v>
      </c>
      <c r="D422" t="s">
        <v>612</v>
      </c>
      <c r="E422" t="s">
        <v>613</v>
      </c>
      <c r="F422" s="51">
        <v>45559</v>
      </c>
      <c r="G422" t="s">
        <v>2</v>
      </c>
    </row>
    <row r="423" spans="1:7" x14ac:dyDescent="0.3">
      <c r="A423" t="s">
        <v>2702</v>
      </c>
      <c r="B423">
        <v>42907</v>
      </c>
      <c r="C423" t="s">
        <v>614</v>
      </c>
      <c r="D423" t="s">
        <v>227</v>
      </c>
      <c r="E423" t="s">
        <v>615</v>
      </c>
      <c r="F423" s="51">
        <v>45450</v>
      </c>
      <c r="G423" t="s">
        <v>1</v>
      </c>
    </row>
    <row r="424" spans="1:7" x14ac:dyDescent="0.3">
      <c r="A424" t="s">
        <v>2702</v>
      </c>
      <c r="B424">
        <v>42909</v>
      </c>
      <c r="C424" t="s">
        <v>616</v>
      </c>
      <c r="D424" t="s">
        <v>179</v>
      </c>
      <c r="E424" t="s">
        <v>617</v>
      </c>
      <c r="F424" s="51">
        <v>45530</v>
      </c>
      <c r="G424" t="s">
        <v>1</v>
      </c>
    </row>
    <row r="425" spans="1:7" x14ac:dyDescent="0.3">
      <c r="A425" t="s">
        <v>2702</v>
      </c>
      <c r="B425">
        <v>42910</v>
      </c>
      <c r="C425" t="s">
        <v>594</v>
      </c>
      <c r="D425" t="s">
        <v>263</v>
      </c>
      <c r="E425" t="s">
        <v>618</v>
      </c>
      <c r="F425" s="51">
        <v>45490</v>
      </c>
      <c r="G425" t="s">
        <v>2</v>
      </c>
    </row>
    <row r="426" spans="1:7" x14ac:dyDescent="0.3">
      <c r="A426" t="s">
        <v>2702</v>
      </c>
      <c r="B426">
        <v>42911</v>
      </c>
      <c r="C426" t="s">
        <v>619</v>
      </c>
      <c r="D426" t="s">
        <v>232</v>
      </c>
      <c r="E426" t="s">
        <v>620</v>
      </c>
      <c r="F426" s="51">
        <v>45482</v>
      </c>
      <c r="G426" t="s">
        <v>2</v>
      </c>
    </row>
    <row r="427" spans="1:7" x14ac:dyDescent="0.3">
      <c r="A427" t="s">
        <v>2702</v>
      </c>
      <c r="B427">
        <v>42913</v>
      </c>
      <c r="C427" t="s">
        <v>239</v>
      </c>
      <c r="D427" t="s">
        <v>240</v>
      </c>
      <c r="E427" t="s">
        <v>621</v>
      </c>
      <c r="F427" s="51">
        <v>45544</v>
      </c>
      <c r="G427" t="s">
        <v>1</v>
      </c>
    </row>
    <row r="428" spans="1:7" x14ac:dyDescent="0.3">
      <c r="A428" t="s">
        <v>2702</v>
      </c>
      <c r="B428">
        <v>42914</v>
      </c>
      <c r="C428" t="s">
        <v>342</v>
      </c>
      <c r="E428" t="s">
        <v>462</v>
      </c>
      <c r="F428" s="51">
        <v>45450</v>
      </c>
      <c r="G428" t="s">
        <v>8</v>
      </c>
    </row>
    <row r="429" spans="1:7" x14ac:dyDescent="0.3">
      <c r="A429" t="s">
        <v>2702</v>
      </c>
      <c r="B429">
        <v>42915</v>
      </c>
      <c r="C429" t="s">
        <v>622</v>
      </c>
      <c r="D429" t="s">
        <v>623</v>
      </c>
      <c r="E429" t="s">
        <v>624</v>
      </c>
      <c r="F429" s="51">
        <v>45448</v>
      </c>
      <c r="G429" t="s">
        <v>1</v>
      </c>
    </row>
    <row r="430" spans="1:7" x14ac:dyDescent="0.3">
      <c r="A430" t="s">
        <v>2702</v>
      </c>
      <c r="B430">
        <v>42919</v>
      </c>
      <c r="C430" t="s">
        <v>86</v>
      </c>
      <c r="D430" t="s">
        <v>45</v>
      </c>
      <c r="E430" t="s">
        <v>58</v>
      </c>
      <c r="F430" s="51">
        <v>45457</v>
      </c>
      <c r="G430" t="s">
        <v>1</v>
      </c>
    </row>
    <row r="431" spans="1:7" x14ac:dyDescent="0.3">
      <c r="A431" t="s">
        <v>2702</v>
      </c>
      <c r="B431">
        <v>42920</v>
      </c>
      <c r="C431" t="s">
        <v>195</v>
      </c>
      <c r="D431" t="s">
        <v>625</v>
      </c>
      <c r="E431" t="s">
        <v>626</v>
      </c>
      <c r="F431" s="51">
        <v>45482</v>
      </c>
      <c r="G431" t="s">
        <v>2</v>
      </c>
    </row>
    <row r="432" spans="1:7" x14ac:dyDescent="0.3">
      <c r="A432" t="s">
        <v>2702</v>
      </c>
      <c r="B432">
        <v>42921</v>
      </c>
      <c r="C432" t="s">
        <v>627</v>
      </c>
      <c r="D432" t="s">
        <v>628</v>
      </c>
      <c r="E432" t="s">
        <v>554</v>
      </c>
      <c r="F432" s="51">
        <v>45448</v>
      </c>
      <c r="G432" t="s">
        <v>1</v>
      </c>
    </row>
    <row r="433" spans="1:7" x14ac:dyDescent="0.3">
      <c r="A433" t="s">
        <v>2702</v>
      </c>
      <c r="B433">
        <v>42922</v>
      </c>
      <c r="C433" t="s">
        <v>291</v>
      </c>
      <c r="D433" t="s">
        <v>629</v>
      </c>
      <c r="E433" t="s">
        <v>121</v>
      </c>
      <c r="F433" s="51">
        <v>45490</v>
      </c>
      <c r="G433" t="s">
        <v>4</v>
      </c>
    </row>
    <row r="434" spans="1:7" x14ac:dyDescent="0.3">
      <c r="A434" t="s">
        <v>2702</v>
      </c>
      <c r="B434">
        <v>42923</v>
      </c>
      <c r="C434" t="s">
        <v>576</v>
      </c>
      <c r="E434" t="s">
        <v>585</v>
      </c>
      <c r="F434" s="51">
        <v>45448</v>
      </c>
      <c r="G434" t="s">
        <v>1</v>
      </c>
    </row>
    <row r="435" spans="1:7" x14ac:dyDescent="0.3">
      <c r="A435" t="s">
        <v>2702</v>
      </c>
      <c r="B435">
        <v>42924</v>
      </c>
      <c r="C435" t="s">
        <v>630</v>
      </c>
      <c r="D435" t="s">
        <v>631</v>
      </c>
      <c r="E435" t="s">
        <v>632</v>
      </c>
      <c r="F435" s="51">
        <v>45587</v>
      </c>
      <c r="G435" t="s">
        <v>1</v>
      </c>
    </row>
    <row r="436" spans="1:7" x14ac:dyDescent="0.3">
      <c r="A436" t="s">
        <v>2702</v>
      </c>
      <c r="B436">
        <v>42925</v>
      </c>
      <c r="C436" t="s">
        <v>187</v>
      </c>
      <c r="D436" t="s">
        <v>106</v>
      </c>
      <c r="E436" t="s">
        <v>633</v>
      </c>
      <c r="F436" s="51">
        <v>45448</v>
      </c>
      <c r="G436" t="s">
        <v>1</v>
      </c>
    </row>
    <row r="437" spans="1:7" x14ac:dyDescent="0.3">
      <c r="A437" t="s">
        <v>2702</v>
      </c>
      <c r="B437">
        <v>42926</v>
      </c>
      <c r="C437" t="s">
        <v>150</v>
      </c>
      <c r="D437" t="s">
        <v>497</v>
      </c>
      <c r="E437" t="s">
        <v>634</v>
      </c>
      <c r="F437" s="51">
        <v>45450</v>
      </c>
      <c r="G437" t="s">
        <v>1</v>
      </c>
    </row>
    <row r="438" spans="1:7" x14ac:dyDescent="0.3">
      <c r="A438" t="s">
        <v>2702</v>
      </c>
      <c r="B438">
        <v>42927</v>
      </c>
      <c r="C438" t="s">
        <v>635</v>
      </c>
      <c r="D438" t="s">
        <v>636</v>
      </c>
      <c r="E438" t="s">
        <v>637</v>
      </c>
      <c r="F438" s="51">
        <v>45462</v>
      </c>
      <c r="G438" t="s">
        <v>4</v>
      </c>
    </row>
    <row r="439" spans="1:7" x14ac:dyDescent="0.3">
      <c r="A439" t="s">
        <v>2702</v>
      </c>
      <c r="B439">
        <v>42928</v>
      </c>
      <c r="C439" t="s">
        <v>638</v>
      </c>
      <c r="E439" t="s">
        <v>554</v>
      </c>
      <c r="F439" s="51">
        <v>45448</v>
      </c>
      <c r="G439" t="s">
        <v>1</v>
      </c>
    </row>
    <row r="440" spans="1:7" x14ac:dyDescent="0.3">
      <c r="A440" t="s">
        <v>2702</v>
      </c>
      <c r="B440">
        <v>42929</v>
      </c>
      <c r="C440" t="s">
        <v>639</v>
      </c>
      <c r="D440" t="s">
        <v>106</v>
      </c>
      <c r="E440" t="s">
        <v>640</v>
      </c>
      <c r="F440" s="51">
        <v>45530</v>
      </c>
      <c r="G440" t="s">
        <v>1</v>
      </c>
    </row>
    <row r="441" spans="1:7" x14ac:dyDescent="0.3">
      <c r="A441" t="s">
        <v>2702</v>
      </c>
      <c r="B441">
        <v>42930</v>
      </c>
      <c r="C441" t="s">
        <v>460</v>
      </c>
      <c r="D441" t="s">
        <v>461</v>
      </c>
      <c r="E441" t="s">
        <v>641</v>
      </c>
      <c r="F441" s="51">
        <v>45559</v>
      </c>
      <c r="G441" t="s">
        <v>4</v>
      </c>
    </row>
    <row r="442" spans="1:7" x14ac:dyDescent="0.3">
      <c r="A442" t="s">
        <v>2702</v>
      </c>
      <c r="B442">
        <v>42933</v>
      </c>
      <c r="C442" t="s">
        <v>71</v>
      </c>
      <c r="D442" t="s">
        <v>642</v>
      </c>
      <c r="E442" t="s">
        <v>643</v>
      </c>
      <c r="F442" s="51">
        <v>45450</v>
      </c>
      <c r="G442" t="s">
        <v>1</v>
      </c>
    </row>
    <row r="443" spans="1:7" x14ac:dyDescent="0.3">
      <c r="A443" t="s">
        <v>2702</v>
      </c>
      <c r="B443">
        <v>42934</v>
      </c>
      <c r="C443" t="s">
        <v>644</v>
      </c>
      <c r="E443" t="s">
        <v>645</v>
      </c>
      <c r="F443" s="51">
        <v>45450</v>
      </c>
      <c r="G443" t="s">
        <v>1</v>
      </c>
    </row>
    <row r="444" spans="1:7" x14ac:dyDescent="0.3">
      <c r="A444" t="s">
        <v>2702</v>
      </c>
      <c r="B444">
        <v>42935</v>
      </c>
      <c r="C444" t="s">
        <v>187</v>
      </c>
      <c r="D444" t="s">
        <v>148</v>
      </c>
      <c r="E444" t="s">
        <v>646</v>
      </c>
      <c r="F444" s="51">
        <v>45453</v>
      </c>
      <c r="G444" t="s">
        <v>3</v>
      </c>
    </row>
    <row r="445" spans="1:7" x14ac:dyDescent="0.3">
      <c r="A445" t="s">
        <v>2702</v>
      </c>
      <c r="B445">
        <v>42938</v>
      </c>
      <c r="C445" t="s">
        <v>647</v>
      </c>
      <c r="D445" t="s">
        <v>648</v>
      </c>
      <c r="E445" t="s">
        <v>649</v>
      </c>
      <c r="F445" s="51">
        <v>45457</v>
      </c>
      <c r="G445" t="s">
        <v>1</v>
      </c>
    </row>
    <row r="446" spans="1:7" x14ac:dyDescent="0.3">
      <c r="A446" t="s">
        <v>2702</v>
      </c>
      <c r="B446">
        <v>42939</v>
      </c>
      <c r="C446" t="s">
        <v>439</v>
      </c>
      <c r="D446" t="s">
        <v>650</v>
      </c>
      <c r="E446" t="s">
        <v>649</v>
      </c>
      <c r="F446" s="51">
        <v>45457</v>
      </c>
      <c r="G446" t="s">
        <v>2</v>
      </c>
    </row>
    <row r="447" spans="1:7" x14ac:dyDescent="0.3">
      <c r="A447" t="s">
        <v>2702</v>
      </c>
      <c r="B447">
        <v>42940</v>
      </c>
      <c r="C447" t="s">
        <v>49</v>
      </c>
      <c r="D447" t="s">
        <v>148</v>
      </c>
      <c r="E447" t="s">
        <v>651</v>
      </c>
      <c r="F447" s="51">
        <v>45450</v>
      </c>
      <c r="G447" t="s">
        <v>1</v>
      </c>
    </row>
    <row r="448" spans="1:7" x14ac:dyDescent="0.3">
      <c r="A448" t="s">
        <v>2702</v>
      </c>
      <c r="B448">
        <v>42941</v>
      </c>
      <c r="C448" t="s">
        <v>246</v>
      </c>
      <c r="D448" t="s">
        <v>247</v>
      </c>
      <c r="E448" t="s">
        <v>640</v>
      </c>
      <c r="F448" s="51">
        <v>45464</v>
      </c>
      <c r="G448" t="s">
        <v>1</v>
      </c>
    </row>
    <row r="449" spans="1:7" x14ac:dyDescent="0.3">
      <c r="A449" t="s">
        <v>2702</v>
      </c>
      <c r="B449">
        <v>42942</v>
      </c>
      <c r="C449" t="s">
        <v>652</v>
      </c>
      <c r="E449" t="s">
        <v>27</v>
      </c>
      <c r="F449" s="51">
        <v>45450</v>
      </c>
      <c r="G449" t="s">
        <v>1</v>
      </c>
    </row>
    <row r="450" spans="1:7" x14ac:dyDescent="0.3">
      <c r="A450" t="s">
        <v>2702</v>
      </c>
      <c r="B450">
        <v>42943</v>
      </c>
      <c r="C450" t="s">
        <v>653</v>
      </c>
      <c r="D450" t="s">
        <v>654</v>
      </c>
      <c r="E450" t="s">
        <v>126</v>
      </c>
      <c r="F450" s="51">
        <v>45464</v>
      </c>
      <c r="G450" t="s">
        <v>1</v>
      </c>
    </row>
    <row r="451" spans="1:7" x14ac:dyDescent="0.3">
      <c r="A451" t="s">
        <v>2702</v>
      </c>
      <c r="B451">
        <v>42946</v>
      </c>
      <c r="C451" t="s">
        <v>259</v>
      </c>
      <c r="D451" t="s">
        <v>63</v>
      </c>
      <c r="E451" t="s">
        <v>655</v>
      </c>
      <c r="F451" s="51">
        <v>45464</v>
      </c>
      <c r="G451" t="s">
        <v>2</v>
      </c>
    </row>
    <row r="452" spans="1:7" x14ac:dyDescent="0.3">
      <c r="A452" t="s">
        <v>2702</v>
      </c>
      <c r="B452">
        <v>42947</v>
      </c>
      <c r="C452" t="s">
        <v>41</v>
      </c>
      <c r="D452" t="s">
        <v>75</v>
      </c>
      <c r="E452" t="s">
        <v>121</v>
      </c>
      <c r="F452" s="51">
        <v>45559</v>
      </c>
      <c r="G452" t="s">
        <v>4</v>
      </c>
    </row>
    <row r="453" spans="1:7" x14ac:dyDescent="0.3">
      <c r="A453" t="s">
        <v>2702</v>
      </c>
      <c r="B453">
        <v>42949</v>
      </c>
      <c r="C453" t="s">
        <v>41</v>
      </c>
      <c r="D453" t="s">
        <v>656</v>
      </c>
      <c r="E453" t="s">
        <v>425</v>
      </c>
      <c r="F453" s="51">
        <v>45544</v>
      </c>
      <c r="G453" t="s">
        <v>4</v>
      </c>
    </row>
    <row r="454" spans="1:7" x14ac:dyDescent="0.3">
      <c r="A454" t="s">
        <v>2702</v>
      </c>
      <c r="B454">
        <v>42954</v>
      </c>
      <c r="C454" t="s">
        <v>657</v>
      </c>
      <c r="D454" t="s">
        <v>658</v>
      </c>
    </row>
    <row r="455" spans="1:7" x14ac:dyDescent="0.3">
      <c r="A455" t="s">
        <v>2702</v>
      </c>
      <c r="B455">
        <v>42955</v>
      </c>
      <c r="C455" t="s">
        <v>659</v>
      </c>
      <c r="E455" t="s">
        <v>660</v>
      </c>
      <c r="F455" s="51">
        <v>45453</v>
      </c>
      <c r="G455" t="s">
        <v>1</v>
      </c>
    </row>
    <row r="456" spans="1:7" x14ac:dyDescent="0.3">
      <c r="A456" t="s">
        <v>2702</v>
      </c>
      <c r="B456">
        <v>42956</v>
      </c>
      <c r="C456" t="s">
        <v>661</v>
      </c>
      <c r="D456" t="s">
        <v>442</v>
      </c>
      <c r="E456" t="s">
        <v>662</v>
      </c>
      <c r="F456" s="51">
        <v>45464</v>
      </c>
      <c r="G456" t="s">
        <v>1</v>
      </c>
    </row>
    <row r="457" spans="1:7" x14ac:dyDescent="0.3">
      <c r="A457" t="s">
        <v>2702</v>
      </c>
      <c r="B457">
        <v>42957</v>
      </c>
      <c r="C457" t="s">
        <v>516</v>
      </c>
      <c r="D457" t="s">
        <v>63</v>
      </c>
      <c r="E457" t="s">
        <v>663</v>
      </c>
      <c r="F457" s="51">
        <v>45469</v>
      </c>
      <c r="G457" t="s">
        <v>2</v>
      </c>
    </row>
    <row r="458" spans="1:7" x14ac:dyDescent="0.3">
      <c r="A458" t="s">
        <v>2702</v>
      </c>
      <c r="B458">
        <v>42958</v>
      </c>
      <c r="C458" t="s">
        <v>664</v>
      </c>
      <c r="E458" t="s">
        <v>27</v>
      </c>
      <c r="F458" s="51">
        <v>45482</v>
      </c>
      <c r="G458" t="s">
        <v>1</v>
      </c>
    </row>
    <row r="459" spans="1:7" x14ac:dyDescent="0.3">
      <c r="A459" t="s">
        <v>2702</v>
      </c>
      <c r="B459">
        <v>42959</v>
      </c>
      <c r="C459" t="s">
        <v>251</v>
      </c>
      <c r="D459" t="s">
        <v>665</v>
      </c>
      <c r="E459" t="s">
        <v>480</v>
      </c>
      <c r="F459" s="51">
        <v>45553</v>
      </c>
      <c r="G459" t="s">
        <v>1</v>
      </c>
    </row>
    <row r="460" spans="1:7" x14ac:dyDescent="0.3">
      <c r="A460" t="s">
        <v>2702</v>
      </c>
      <c r="B460">
        <v>42961</v>
      </c>
      <c r="C460" t="s">
        <v>666</v>
      </c>
      <c r="E460" t="s">
        <v>667</v>
      </c>
      <c r="F460" s="51">
        <v>45457</v>
      </c>
      <c r="G460" t="s">
        <v>1</v>
      </c>
    </row>
    <row r="461" spans="1:7" x14ac:dyDescent="0.3">
      <c r="A461" t="s">
        <v>2702</v>
      </c>
      <c r="B461">
        <v>42962</v>
      </c>
      <c r="C461" t="s">
        <v>486</v>
      </c>
      <c r="D461" t="s">
        <v>668</v>
      </c>
      <c r="E461" t="s">
        <v>121</v>
      </c>
      <c r="F461" s="51">
        <v>45561</v>
      </c>
      <c r="G461" t="s">
        <v>4</v>
      </c>
    </row>
    <row r="462" spans="1:7" x14ac:dyDescent="0.3">
      <c r="A462" t="s">
        <v>2702</v>
      </c>
      <c r="B462">
        <v>42963</v>
      </c>
      <c r="C462" t="s">
        <v>669</v>
      </c>
      <c r="E462" t="s">
        <v>670</v>
      </c>
      <c r="F462" s="51">
        <v>45457</v>
      </c>
      <c r="G462" t="s">
        <v>1</v>
      </c>
    </row>
    <row r="463" spans="1:7" x14ac:dyDescent="0.3">
      <c r="A463" t="s">
        <v>2702</v>
      </c>
      <c r="B463">
        <v>42964</v>
      </c>
      <c r="C463" t="s">
        <v>286</v>
      </c>
      <c r="D463" t="s">
        <v>45</v>
      </c>
      <c r="E463" t="s">
        <v>671</v>
      </c>
      <c r="F463" s="51">
        <v>45463</v>
      </c>
      <c r="G463" t="s">
        <v>1</v>
      </c>
    </row>
    <row r="464" spans="1:7" x14ac:dyDescent="0.3">
      <c r="A464" t="s">
        <v>2702</v>
      </c>
      <c r="B464">
        <v>42965</v>
      </c>
      <c r="C464" t="s">
        <v>292</v>
      </c>
      <c r="D464" t="s">
        <v>293</v>
      </c>
      <c r="E464" t="s">
        <v>64</v>
      </c>
      <c r="F464" s="51">
        <v>45464</v>
      </c>
      <c r="G464" t="s">
        <v>3</v>
      </c>
    </row>
    <row r="465" spans="1:7" x14ac:dyDescent="0.3">
      <c r="A465" t="s">
        <v>2702</v>
      </c>
      <c r="B465">
        <v>42966</v>
      </c>
      <c r="C465" t="s">
        <v>672</v>
      </c>
      <c r="D465" t="s">
        <v>240</v>
      </c>
      <c r="E465" t="s">
        <v>673</v>
      </c>
      <c r="F465" s="51">
        <v>45464</v>
      </c>
      <c r="G465" t="s">
        <v>1</v>
      </c>
    </row>
    <row r="466" spans="1:7" x14ac:dyDescent="0.3">
      <c r="A466" t="s">
        <v>2702</v>
      </c>
      <c r="B466">
        <v>42969</v>
      </c>
      <c r="C466" t="s">
        <v>674</v>
      </c>
      <c r="D466" t="s">
        <v>675</v>
      </c>
      <c r="E466" t="s">
        <v>134</v>
      </c>
      <c r="F466" s="51">
        <v>45490</v>
      </c>
      <c r="G466" t="s">
        <v>1</v>
      </c>
    </row>
    <row r="467" spans="1:7" x14ac:dyDescent="0.3">
      <c r="A467" t="s">
        <v>2702</v>
      </c>
      <c r="B467">
        <v>42970</v>
      </c>
      <c r="C467" t="s">
        <v>676</v>
      </c>
      <c r="D467" t="s">
        <v>677</v>
      </c>
      <c r="E467" t="s">
        <v>145</v>
      </c>
      <c r="F467" s="51">
        <v>45464</v>
      </c>
      <c r="G467" t="s">
        <v>1</v>
      </c>
    </row>
    <row r="468" spans="1:7" x14ac:dyDescent="0.3">
      <c r="A468" t="s">
        <v>2702</v>
      </c>
      <c r="B468">
        <v>42971</v>
      </c>
      <c r="C468" t="s">
        <v>678</v>
      </c>
      <c r="D468" t="s">
        <v>494</v>
      </c>
      <c r="E468" t="s">
        <v>495</v>
      </c>
      <c r="F468" s="51">
        <v>45457</v>
      </c>
      <c r="G468" t="s">
        <v>4</v>
      </c>
    </row>
    <row r="469" spans="1:7" x14ac:dyDescent="0.3">
      <c r="A469" t="s">
        <v>2702</v>
      </c>
      <c r="B469">
        <v>42972</v>
      </c>
      <c r="C469" t="s">
        <v>122</v>
      </c>
      <c r="E469" t="s">
        <v>679</v>
      </c>
      <c r="F469" s="51">
        <v>45470</v>
      </c>
      <c r="G469" t="s">
        <v>1</v>
      </c>
    </row>
    <row r="470" spans="1:7" x14ac:dyDescent="0.3">
      <c r="A470" t="s">
        <v>2702</v>
      </c>
      <c r="B470">
        <v>42974</v>
      </c>
      <c r="C470" t="s">
        <v>292</v>
      </c>
      <c r="D470" t="s">
        <v>75</v>
      </c>
      <c r="E470" t="s">
        <v>680</v>
      </c>
      <c r="F470" s="51">
        <v>45456</v>
      </c>
      <c r="G470" t="s">
        <v>5</v>
      </c>
    </row>
    <row r="471" spans="1:7" x14ac:dyDescent="0.3">
      <c r="A471" t="s">
        <v>2702</v>
      </c>
      <c r="B471">
        <v>42976</v>
      </c>
      <c r="C471" t="s">
        <v>681</v>
      </c>
      <c r="D471" t="s">
        <v>45</v>
      </c>
      <c r="E471" t="s">
        <v>64</v>
      </c>
      <c r="F471" s="51">
        <v>45464</v>
      </c>
      <c r="G471" t="s">
        <v>1</v>
      </c>
    </row>
    <row r="472" spans="1:7" x14ac:dyDescent="0.3">
      <c r="A472" t="s">
        <v>2702</v>
      </c>
      <c r="B472">
        <v>42978</v>
      </c>
      <c r="C472" t="s">
        <v>516</v>
      </c>
      <c r="D472" t="s">
        <v>63</v>
      </c>
      <c r="E472" t="s">
        <v>682</v>
      </c>
      <c r="F472" s="51">
        <v>45463</v>
      </c>
      <c r="G472" t="s">
        <v>5</v>
      </c>
    </row>
    <row r="473" spans="1:7" x14ac:dyDescent="0.3">
      <c r="A473" t="s">
        <v>2702</v>
      </c>
      <c r="B473">
        <v>42979</v>
      </c>
      <c r="C473" t="s">
        <v>292</v>
      </c>
      <c r="D473" t="s">
        <v>293</v>
      </c>
      <c r="E473" t="s">
        <v>683</v>
      </c>
      <c r="F473" s="51">
        <v>45471</v>
      </c>
      <c r="G473" t="s">
        <v>3</v>
      </c>
    </row>
    <row r="474" spans="1:7" x14ac:dyDescent="0.3">
      <c r="A474" t="s">
        <v>2702</v>
      </c>
      <c r="B474">
        <v>42980</v>
      </c>
      <c r="C474" t="s">
        <v>684</v>
      </c>
      <c r="D474" t="s">
        <v>685</v>
      </c>
      <c r="E474" t="s">
        <v>686</v>
      </c>
      <c r="F474" s="51">
        <v>45467</v>
      </c>
      <c r="G474" t="s">
        <v>1</v>
      </c>
    </row>
    <row r="475" spans="1:7" x14ac:dyDescent="0.3">
      <c r="A475" t="s">
        <v>2702</v>
      </c>
      <c r="B475">
        <v>42981</v>
      </c>
      <c r="C475" t="s">
        <v>687</v>
      </c>
      <c r="D475" t="s">
        <v>688</v>
      </c>
      <c r="E475" t="s">
        <v>525</v>
      </c>
      <c r="F475" s="51">
        <v>45482</v>
      </c>
      <c r="G475" t="s">
        <v>1</v>
      </c>
    </row>
    <row r="476" spans="1:7" x14ac:dyDescent="0.3">
      <c r="A476" t="s">
        <v>2702</v>
      </c>
      <c r="B476">
        <v>42982</v>
      </c>
      <c r="C476" t="s">
        <v>689</v>
      </c>
      <c r="D476" t="s">
        <v>334</v>
      </c>
      <c r="E476" t="s">
        <v>121</v>
      </c>
      <c r="F476" s="51">
        <v>45482</v>
      </c>
      <c r="G476" t="s">
        <v>4</v>
      </c>
    </row>
    <row r="477" spans="1:7" x14ac:dyDescent="0.3">
      <c r="A477" t="s">
        <v>2702</v>
      </c>
      <c r="B477">
        <v>42984</v>
      </c>
      <c r="C477" t="s">
        <v>309</v>
      </c>
      <c r="D477" t="s">
        <v>45</v>
      </c>
      <c r="E477" t="s">
        <v>690</v>
      </c>
      <c r="F477" s="51">
        <v>45461</v>
      </c>
      <c r="G477" t="s">
        <v>5</v>
      </c>
    </row>
    <row r="478" spans="1:7" x14ac:dyDescent="0.3">
      <c r="A478" t="s">
        <v>2702</v>
      </c>
      <c r="B478">
        <v>42987</v>
      </c>
      <c r="C478" t="s">
        <v>239</v>
      </c>
      <c r="D478" t="s">
        <v>546</v>
      </c>
      <c r="E478" t="s">
        <v>691</v>
      </c>
      <c r="F478" s="51">
        <v>45555</v>
      </c>
      <c r="G478" t="s">
        <v>5</v>
      </c>
    </row>
    <row r="479" spans="1:7" x14ac:dyDescent="0.3">
      <c r="A479" t="s">
        <v>2702</v>
      </c>
      <c r="B479">
        <v>42989</v>
      </c>
      <c r="C479" t="s">
        <v>514</v>
      </c>
      <c r="D479" t="s">
        <v>692</v>
      </c>
      <c r="E479" t="s">
        <v>693</v>
      </c>
      <c r="F479" s="51">
        <v>45467</v>
      </c>
      <c r="G479" t="s">
        <v>1</v>
      </c>
    </row>
    <row r="480" spans="1:7" x14ac:dyDescent="0.3">
      <c r="A480" t="s">
        <v>2702</v>
      </c>
      <c r="B480">
        <v>42991</v>
      </c>
      <c r="C480" t="s">
        <v>262</v>
      </c>
      <c r="D480" t="s">
        <v>263</v>
      </c>
      <c r="E480" t="s">
        <v>694</v>
      </c>
      <c r="F480" s="51">
        <v>45489</v>
      </c>
      <c r="G480" t="s">
        <v>2</v>
      </c>
    </row>
    <row r="481" spans="1:7" x14ac:dyDescent="0.3">
      <c r="A481" t="s">
        <v>2702</v>
      </c>
      <c r="B481">
        <v>42993</v>
      </c>
      <c r="C481" t="s">
        <v>194</v>
      </c>
      <c r="D481" t="s">
        <v>695</v>
      </c>
      <c r="E481" t="s">
        <v>696</v>
      </c>
      <c r="F481" s="51">
        <v>45482</v>
      </c>
      <c r="G481" t="s">
        <v>1</v>
      </c>
    </row>
    <row r="482" spans="1:7" x14ac:dyDescent="0.3">
      <c r="A482" t="s">
        <v>2702</v>
      </c>
      <c r="B482">
        <v>42996</v>
      </c>
      <c r="C482" t="s">
        <v>41</v>
      </c>
      <c r="D482" t="s">
        <v>697</v>
      </c>
      <c r="E482" t="s">
        <v>121</v>
      </c>
      <c r="F482" s="51">
        <v>45474</v>
      </c>
      <c r="G482" t="s">
        <v>4</v>
      </c>
    </row>
    <row r="483" spans="1:7" x14ac:dyDescent="0.3">
      <c r="A483" t="s">
        <v>2702</v>
      </c>
      <c r="B483">
        <v>42997</v>
      </c>
      <c r="C483" t="s">
        <v>441</v>
      </c>
      <c r="D483" t="s">
        <v>45</v>
      </c>
      <c r="E483" t="s">
        <v>698</v>
      </c>
      <c r="F483" s="51">
        <v>45462</v>
      </c>
      <c r="G483" t="s">
        <v>1</v>
      </c>
    </row>
    <row r="484" spans="1:7" x14ac:dyDescent="0.3">
      <c r="A484" t="s">
        <v>2702</v>
      </c>
      <c r="B484">
        <v>43000</v>
      </c>
      <c r="C484" t="s">
        <v>516</v>
      </c>
      <c r="D484" t="s">
        <v>63</v>
      </c>
      <c r="E484" t="s">
        <v>699</v>
      </c>
      <c r="F484" s="51">
        <v>45460</v>
      </c>
      <c r="G484" t="s">
        <v>2</v>
      </c>
    </row>
    <row r="485" spans="1:7" x14ac:dyDescent="0.3">
      <c r="A485" t="s">
        <v>2702</v>
      </c>
      <c r="B485">
        <v>43001</v>
      </c>
      <c r="C485" t="s">
        <v>325</v>
      </c>
      <c r="D485" t="s">
        <v>75</v>
      </c>
      <c r="E485" t="s">
        <v>146</v>
      </c>
      <c r="F485" s="51">
        <v>45496</v>
      </c>
      <c r="G485" t="s">
        <v>1</v>
      </c>
    </row>
    <row r="486" spans="1:7" x14ac:dyDescent="0.3">
      <c r="A486" t="s">
        <v>2702</v>
      </c>
      <c r="B486">
        <v>43003</v>
      </c>
      <c r="C486" t="s">
        <v>700</v>
      </c>
      <c r="D486" t="s">
        <v>106</v>
      </c>
      <c r="E486" t="s">
        <v>121</v>
      </c>
      <c r="F486" s="51">
        <v>45482</v>
      </c>
      <c r="G486" t="s">
        <v>4</v>
      </c>
    </row>
    <row r="487" spans="1:7" x14ac:dyDescent="0.3">
      <c r="A487" t="s">
        <v>2702</v>
      </c>
      <c r="B487">
        <v>43004</v>
      </c>
      <c r="C487" t="s">
        <v>86</v>
      </c>
      <c r="D487" t="s">
        <v>148</v>
      </c>
      <c r="E487" t="s">
        <v>701</v>
      </c>
      <c r="F487" s="51">
        <v>45462</v>
      </c>
      <c r="G487" t="s">
        <v>5</v>
      </c>
    </row>
    <row r="488" spans="1:7" x14ac:dyDescent="0.3">
      <c r="A488" t="s">
        <v>2702</v>
      </c>
      <c r="B488">
        <v>43005</v>
      </c>
      <c r="C488" t="s">
        <v>702</v>
      </c>
      <c r="D488" t="s">
        <v>45</v>
      </c>
      <c r="E488" t="s">
        <v>701</v>
      </c>
      <c r="F488" s="51">
        <v>45463</v>
      </c>
      <c r="G488" t="s">
        <v>5</v>
      </c>
    </row>
    <row r="489" spans="1:7" x14ac:dyDescent="0.3">
      <c r="A489" t="s">
        <v>2702</v>
      </c>
      <c r="B489">
        <v>43006</v>
      </c>
      <c r="C489" t="s">
        <v>286</v>
      </c>
      <c r="D489" t="s">
        <v>45</v>
      </c>
      <c r="E489" t="s">
        <v>701</v>
      </c>
      <c r="F489" s="51">
        <v>45462</v>
      </c>
      <c r="G489" t="s">
        <v>5</v>
      </c>
    </row>
    <row r="490" spans="1:7" x14ac:dyDescent="0.3">
      <c r="A490" t="s">
        <v>2702</v>
      </c>
      <c r="B490">
        <v>43007</v>
      </c>
      <c r="C490" t="s">
        <v>62</v>
      </c>
      <c r="D490" t="s">
        <v>148</v>
      </c>
      <c r="E490" t="s">
        <v>701</v>
      </c>
      <c r="F490" s="51">
        <v>45471</v>
      </c>
      <c r="G490" t="s">
        <v>5</v>
      </c>
    </row>
    <row r="491" spans="1:7" x14ac:dyDescent="0.3">
      <c r="A491" t="s">
        <v>2702</v>
      </c>
      <c r="B491">
        <v>43008</v>
      </c>
      <c r="C491" t="s">
        <v>439</v>
      </c>
      <c r="D491" t="s">
        <v>133</v>
      </c>
      <c r="E491" t="s">
        <v>701</v>
      </c>
      <c r="F491" s="51">
        <v>45463</v>
      </c>
      <c r="G491" t="s">
        <v>5</v>
      </c>
    </row>
    <row r="492" spans="1:7" x14ac:dyDescent="0.3">
      <c r="A492" t="s">
        <v>2702</v>
      </c>
      <c r="B492">
        <v>43009</v>
      </c>
      <c r="C492" t="s">
        <v>498</v>
      </c>
      <c r="D492" t="s">
        <v>148</v>
      </c>
      <c r="E492" t="s">
        <v>701</v>
      </c>
      <c r="F492" s="51">
        <v>45462</v>
      </c>
      <c r="G492" t="s">
        <v>5</v>
      </c>
    </row>
    <row r="493" spans="1:7" x14ac:dyDescent="0.3">
      <c r="A493" t="s">
        <v>2702</v>
      </c>
      <c r="B493">
        <v>43010</v>
      </c>
      <c r="C493" t="s">
        <v>559</v>
      </c>
      <c r="D493" t="s">
        <v>45</v>
      </c>
      <c r="E493" t="s">
        <v>701</v>
      </c>
      <c r="F493" s="51">
        <v>45462</v>
      </c>
      <c r="G493" t="s">
        <v>5</v>
      </c>
    </row>
    <row r="494" spans="1:7" x14ac:dyDescent="0.3">
      <c r="A494" t="s">
        <v>2702</v>
      </c>
      <c r="B494">
        <v>43011</v>
      </c>
      <c r="C494" t="s">
        <v>486</v>
      </c>
      <c r="D494" t="s">
        <v>45</v>
      </c>
      <c r="E494" t="s">
        <v>701</v>
      </c>
      <c r="F494" s="51">
        <v>45462</v>
      </c>
      <c r="G494" t="s">
        <v>5</v>
      </c>
    </row>
    <row r="495" spans="1:7" x14ac:dyDescent="0.3">
      <c r="A495" t="s">
        <v>2702</v>
      </c>
      <c r="B495">
        <v>43012</v>
      </c>
      <c r="C495" t="s">
        <v>468</v>
      </c>
      <c r="D495" t="s">
        <v>45</v>
      </c>
      <c r="E495" t="s">
        <v>701</v>
      </c>
      <c r="F495" s="51">
        <v>45462</v>
      </c>
      <c r="G495" t="s">
        <v>5</v>
      </c>
    </row>
    <row r="496" spans="1:7" x14ac:dyDescent="0.3">
      <c r="A496" t="s">
        <v>2702</v>
      </c>
      <c r="B496">
        <v>43013</v>
      </c>
      <c r="C496" t="s">
        <v>49</v>
      </c>
      <c r="D496" t="s">
        <v>148</v>
      </c>
      <c r="E496" t="s">
        <v>703</v>
      </c>
      <c r="F496" s="51">
        <v>45464</v>
      </c>
      <c r="G496" t="s">
        <v>1</v>
      </c>
    </row>
    <row r="497" spans="1:7" x14ac:dyDescent="0.3">
      <c r="A497" t="s">
        <v>2702</v>
      </c>
      <c r="B497">
        <v>43014</v>
      </c>
      <c r="C497" t="s">
        <v>486</v>
      </c>
      <c r="D497" t="s">
        <v>704</v>
      </c>
      <c r="F497" s="51">
        <v>45464</v>
      </c>
      <c r="G497" t="s">
        <v>1</v>
      </c>
    </row>
    <row r="498" spans="1:7" x14ac:dyDescent="0.3">
      <c r="A498" t="s">
        <v>2702</v>
      </c>
      <c r="B498">
        <v>43015</v>
      </c>
      <c r="C498" t="s">
        <v>705</v>
      </c>
      <c r="D498" t="s">
        <v>133</v>
      </c>
      <c r="E498" t="s">
        <v>701</v>
      </c>
      <c r="F498" s="51">
        <v>45463</v>
      </c>
      <c r="G498" t="s">
        <v>5</v>
      </c>
    </row>
    <row r="499" spans="1:7" x14ac:dyDescent="0.3">
      <c r="A499" t="s">
        <v>2702</v>
      </c>
      <c r="B499">
        <v>43016</v>
      </c>
      <c r="C499" t="s">
        <v>535</v>
      </c>
      <c r="D499" t="s">
        <v>706</v>
      </c>
      <c r="E499" t="s">
        <v>707</v>
      </c>
      <c r="F499" s="51">
        <v>45565</v>
      </c>
      <c r="G499" t="s">
        <v>2</v>
      </c>
    </row>
    <row r="500" spans="1:7" x14ac:dyDescent="0.3">
      <c r="A500" t="s">
        <v>2702</v>
      </c>
      <c r="B500">
        <v>43019</v>
      </c>
      <c r="C500" t="s">
        <v>708</v>
      </c>
      <c r="D500" t="s">
        <v>709</v>
      </c>
      <c r="E500" t="s">
        <v>121</v>
      </c>
      <c r="F500" s="51">
        <v>45561</v>
      </c>
      <c r="G500" t="s">
        <v>4</v>
      </c>
    </row>
    <row r="501" spans="1:7" x14ac:dyDescent="0.3">
      <c r="A501" t="s">
        <v>2702</v>
      </c>
      <c r="B501">
        <v>43020</v>
      </c>
      <c r="C501" t="s">
        <v>689</v>
      </c>
      <c r="D501" t="s">
        <v>334</v>
      </c>
      <c r="E501" t="s">
        <v>710</v>
      </c>
      <c r="F501" s="51">
        <v>45478</v>
      </c>
      <c r="G501" t="s">
        <v>2</v>
      </c>
    </row>
    <row r="502" spans="1:7" x14ac:dyDescent="0.3">
      <c r="A502" t="s">
        <v>2702</v>
      </c>
      <c r="B502">
        <v>43021</v>
      </c>
      <c r="C502" t="s">
        <v>711</v>
      </c>
      <c r="D502" t="s">
        <v>712</v>
      </c>
      <c r="E502" t="s">
        <v>176</v>
      </c>
      <c r="F502" s="51">
        <v>45561</v>
      </c>
      <c r="G502" t="s">
        <v>1</v>
      </c>
    </row>
    <row r="503" spans="1:7" x14ac:dyDescent="0.3">
      <c r="A503" t="s">
        <v>2702</v>
      </c>
      <c r="B503">
        <v>43028</v>
      </c>
      <c r="C503" t="s">
        <v>713</v>
      </c>
      <c r="D503" t="s">
        <v>714</v>
      </c>
      <c r="E503" t="s">
        <v>176</v>
      </c>
      <c r="F503" s="51">
        <v>45482</v>
      </c>
      <c r="G503" t="s">
        <v>1</v>
      </c>
    </row>
    <row r="504" spans="1:7" x14ac:dyDescent="0.3">
      <c r="A504" t="s">
        <v>2702</v>
      </c>
      <c r="B504">
        <v>43029</v>
      </c>
      <c r="C504" t="s">
        <v>639</v>
      </c>
      <c r="D504" t="s">
        <v>715</v>
      </c>
      <c r="E504" t="s">
        <v>116</v>
      </c>
      <c r="F504" s="99">
        <v>45530.590763888889</v>
      </c>
      <c r="G504" t="s">
        <v>1</v>
      </c>
    </row>
    <row r="505" spans="1:7" x14ac:dyDescent="0.3">
      <c r="A505" t="s">
        <v>2702</v>
      </c>
      <c r="B505">
        <v>43030</v>
      </c>
      <c r="C505" t="s">
        <v>306</v>
      </c>
      <c r="D505" t="s">
        <v>63</v>
      </c>
      <c r="E505" t="s">
        <v>716</v>
      </c>
      <c r="F505" s="99">
        <v>45509.70789351852</v>
      </c>
      <c r="G505" t="s">
        <v>1</v>
      </c>
    </row>
    <row r="506" spans="1:7" x14ac:dyDescent="0.3">
      <c r="A506" t="s">
        <v>2702</v>
      </c>
      <c r="B506">
        <v>43033</v>
      </c>
      <c r="C506" t="s">
        <v>150</v>
      </c>
      <c r="D506" t="s">
        <v>151</v>
      </c>
      <c r="E506" t="s">
        <v>717</v>
      </c>
      <c r="F506" s="51">
        <v>45467</v>
      </c>
      <c r="G506" t="s">
        <v>1</v>
      </c>
    </row>
    <row r="507" spans="1:7" x14ac:dyDescent="0.3">
      <c r="A507" t="s">
        <v>2702</v>
      </c>
      <c r="B507">
        <v>43035</v>
      </c>
      <c r="C507" t="s">
        <v>102</v>
      </c>
      <c r="D507" t="s">
        <v>718</v>
      </c>
      <c r="E507" t="s">
        <v>719</v>
      </c>
      <c r="F507" s="51">
        <v>45467</v>
      </c>
      <c r="G507" t="s">
        <v>5</v>
      </c>
    </row>
    <row r="508" spans="1:7" x14ac:dyDescent="0.3">
      <c r="A508" t="s">
        <v>2702</v>
      </c>
      <c r="B508">
        <v>43036</v>
      </c>
      <c r="C508" t="s">
        <v>325</v>
      </c>
      <c r="D508" t="s">
        <v>531</v>
      </c>
      <c r="E508" t="s">
        <v>145</v>
      </c>
      <c r="F508" s="99">
        <v>45512.353634259256</v>
      </c>
      <c r="G508" t="s">
        <v>1</v>
      </c>
    </row>
    <row r="509" spans="1:7" x14ac:dyDescent="0.3">
      <c r="A509" t="s">
        <v>2702</v>
      </c>
      <c r="B509">
        <v>43037</v>
      </c>
      <c r="C509" t="s">
        <v>516</v>
      </c>
      <c r="D509" t="s">
        <v>63</v>
      </c>
      <c r="E509" t="s">
        <v>699</v>
      </c>
      <c r="F509" s="51">
        <v>45504</v>
      </c>
      <c r="G509" t="s">
        <v>2</v>
      </c>
    </row>
    <row r="510" spans="1:7" x14ac:dyDescent="0.3">
      <c r="A510" t="s">
        <v>2702</v>
      </c>
      <c r="B510">
        <v>43039</v>
      </c>
      <c r="C510" t="s">
        <v>616</v>
      </c>
      <c r="D510" t="s">
        <v>244</v>
      </c>
      <c r="E510" t="s">
        <v>615</v>
      </c>
      <c r="F510" s="51">
        <v>45491</v>
      </c>
      <c r="G510" t="s">
        <v>1</v>
      </c>
    </row>
    <row r="511" spans="1:7" x14ac:dyDescent="0.3">
      <c r="A511" t="s">
        <v>2702</v>
      </c>
      <c r="B511">
        <v>43041</v>
      </c>
      <c r="C511" t="s">
        <v>262</v>
      </c>
      <c r="D511" t="s">
        <v>596</v>
      </c>
      <c r="E511" t="s">
        <v>720</v>
      </c>
      <c r="F511" s="51">
        <v>45490</v>
      </c>
      <c r="G511" t="s">
        <v>2</v>
      </c>
    </row>
    <row r="512" spans="1:7" x14ac:dyDescent="0.3">
      <c r="A512" t="s">
        <v>2702</v>
      </c>
      <c r="B512">
        <v>43042</v>
      </c>
      <c r="C512" t="s">
        <v>676</v>
      </c>
      <c r="D512" t="s">
        <v>677</v>
      </c>
      <c r="E512" t="s">
        <v>145</v>
      </c>
      <c r="F512" s="51">
        <v>45471</v>
      </c>
      <c r="G512" t="s">
        <v>1</v>
      </c>
    </row>
    <row r="513" spans="1:7" x14ac:dyDescent="0.3">
      <c r="A513" t="s">
        <v>2702</v>
      </c>
      <c r="B513">
        <v>43043</v>
      </c>
      <c r="C513" t="s">
        <v>721</v>
      </c>
      <c r="D513" t="s">
        <v>722</v>
      </c>
      <c r="E513" t="s">
        <v>723</v>
      </c>
      <c r="F513" s="51">
        <v>45467</v>
      </c>
      <c r="G513" t="s">
        <v>1</v>
      </c>
    </row>
    <row r="514" spans="1:7" x14ac:dyDescent="0.3">
      <c r="A514" t="s">
        <v>2702</v>
      </c>
      <c r="B514">
        <v>43044</v>
      </c>
      <c r="C514" t="s">
        <v>724</v>
      </c>
      <c r="D514" t="s">
        <v>252</v>
      </c>
      <c r="E514" t="s">
        <v>725</v>
      </c>
      <c r="F514" s="51">
        <v>45482</v>
      </c>
      <c r="G514" t="s">
        <v>1</v>
      </c>
    </row>
    <row r="515" spans="1:7" x14ac:dyDescent="0.3">
      <c r="A515" t="s">
        <v>2702</v>
      </c>
      <c r="B515">
        <v>43045</v>
      </c>
      <c r="C515" t="s">
        <v>309</v>
      </c>
      <c r="D515" t="s">
        <v>45</v>
      </c>
      <c r="E515" t="s">
        <v>680</v>
      </c>
      <c r="F515" s="51">
        <v>45467</v>
      </c>
      <c r="G515" t="s">
        <v>1</v>
      </c>
    </row>
    <row r="516" spans="1:7" x14ac:dyDescent="0.3">
      <c r="A516" t="s">
        <v>2702</v>
      </c>
      <c r="B516">
        <v>43046</v>
      </c>
      <c r="C516" t="s">
        <v>180</v>
      </c>
      <c r="D516" t="s">
        <v>181</v>
      </c>
      <c r="E516" t="s">
        <v>255</v>
      </c>
      <c r="F516" s="51">
        <v>45496</v>
      </c>
      <c r="G516" t="s">
        <v>8</v>
      </c>
    </row>
    <row r="517" spans="1:7" x14ac:dyDescent="0.3">
      <c r="A517" t="s">
        <v>2702</v>
      </c>
      <c r="B517">
        <v>43049</v>
      </c>
      <c r="C517" t="s">
        <v>559</v>
      </c>
      <c r="D517" t="s">
        <v>45</v>
      </c>
      <c r="E517" t="s">
        <v>726</v>
      </c>
      <c r="F517" s="51">
        <v>45475</v>
      </c>
      <c r="G517" t="s">
        <v>1</v>
      </c>
    </row>
    <row r="518" spans="1:7" x14ac:dyDescent="0.3">
      <c r="A518" t="s">
        <v>2702</v>
      </c>
      <c r="B518">
        <v>43052</v>
      </c>
      <c r="C518" t="s">
        <v>375</v>
      </c>
      <c r="D518" t="s">
        <v>75</v>
      </c>
      <c r="E518" t="s">
        <v>525</v>
      </c>
      <c r="F518" s="51">
        <v>45736</v>
      </c>
      <c r="G518" t="s">
        <v>2</v>
      </c>
    </row>
    <row r="519" spans="1:7" x14ac:dyDescent="0.3">
      <c r="A519" t="s">
        <v>2702</v>
      </c>
      <c r="B519">
        <v>43054</v>
      </c>
      <c r="C519" t="s">
        <v>581</v>
      </c>
      <c r="D519" t="s">
        <v>249</v>
      </c>
      <c r="E519" t="s">
        <v>159</v>
      </c>
      <c r="F519" s="51">
        <v>45482</v>
      </c>
      <c r="G519" t="s">
        <v>1</v>
      </c>
    </row>
    <row r="520" spans="1:7" x14ac:dyDescent="0.3">
      <c r="A520" t="s">
        <v>2702</v>
      </c>
      <c r="B520">
        <v>43057</v>
      </c>
      <c r="C520" t="s">
        <v>25</v>
      </c>
      <c r="D520" t="s">
        <v>727</v>
      </c>
      <c r="E520" t="s">
        <v>728</v>
      </c>
      <c r="F520" s="51">
        <v>45485</v>
      </c>
      <c r="G520" t="s">
        <v>1</v>
      </c>
    </row>
    <row r="521" spans="1:7" x14ac:dyDescent="0.3">
      <c r="A521" t="s">
        <v>2702</v>
      </c>
      <c r="B521">
        <v>43059</v>
      </c>
      <c r="C521" t="s">
        <v>729</v>
      </c>
      <c r="D521" t="s">
        <v>249</v>
      </c>
      <c r="E521" t="s">
        <v>145</v>
      </c>
      <c r="F521" s="51">
        <v>45491</v>
      </c>
      <c r="G521" t="s">
        <v>1</v>
      </c>
    </row>
    <row r="522" spans="1:7" x14ac:dyDescent="0.3">
      <c r="A522" t="s">
        <v>2702</v>
      </c>
      <c r="B522">
        <v>43060</v>
      </c>
      <c r="C522" t="s">
        <v>729</v>
      </c>
      <c r="D522" t="s">
        <v>369</v>
      </c>
      <c r="E522" t="s">
        <v>730</v>
      </c>
      <c r="G522" t="s">
        <v>1</v>
      </c>
    </row>
    <row r="523" spans="1:7" x14ac:dyDescent="0.3">
      <c r="A523" t="s">
        <v>2702</v>
      </c>
      <c r="B523">
        <v>43062</v>
      </c>
      <c r="C523" t="s">
        <v>237</v>
      </c>
      <c r="D523" t="s">
        <v>84</v>
      </c>
      <c r="E523" t="s">
        <v>731</v>
      </c>
      <c r="F523" s="99">
        <v>45530.681956018518</v>
      </c>
      <c r="G523" t="s">
        <v>1</v>
      </c>
    </row>
    <row r="524" spans="1:7" x14ac:dyDescent="0.3">
      <c r="A524" t="s">
        <v>2702</v>
      </c>
      <c r="B524">
        <v>43063</v>
      </c>
      <c r="C524" t="s">
        <v>237</v>
      </c>
      <c r="D524" t="s">
        <v>84</v>
      </c>
      <c r="E524" t="s">
        <v>731</v>
      </c>
      <c r="F524" s="99">
        <v>45530.693796296298</v>
      </c>
      <c r="G524" t="s">
        <v>1</v>
      </c>
    </row>
    <row r="525" spans="1:7" x14ac:dyDescent="0.3">
      <c r="A525" t="s">
        <v>2702</v>
      </c>
      <c r="B525">
        <v>43064</v>
      </c>
      <c r="C525" t="s">
        <v>443</v>
      </c>
      <c r="D525" t="s">
        <v>444</v>
      </c>
      <c r="E525" t="s">
        <v>732</v>
      </c>
      <c r="F525" s="51">
        <v>45485</v>
      </c>
      <c r="G525" t="s">
        <v>1</v>
      </c>
    </row>
    <row r="526" spans="1:7" x14ac:dyDescent="0.3">
      <c r="A526" t="s">
        <v>2702</v>
      </c>
      <c r="B526">
        <v>43067</v>
      </c>
      <c r="C526" t="s">
        <v>653</v>
      </c>
      <c r="D526" t="s">
        <v>654</v>
      </c>
      <c r="E526" t="s">
        <v>733</v>
      </c>
      <c r="F526" s="51">
        <v>45485</v>
      </c>
      <c r="G526" t="s">
        <v>1</v>
      </c>
    </row>
    <row r="527" spans="1:7" x14ac:dyDescent="0.3">
      <c r="A527" t="s">
        <v>2702</v>
      </c>
      <c r="B527">
        <v>43068</v>
      </c>
      <c r="C527" t="s">
        <v>294</v>
      </c>
      <c r="E527" t="s">
        <v>734</v>
      </c>
      <c r="F527" s="51">
        <v>45485</v>
      </c>
      <c r="G527" t="s">
        <v>1</v>
      </c>
    </row>
    <row r="528" spans="1:7" x14ac:dyDescent="0.3">
      <c r="A528" t="s">
        <v>2702</v>
      </c>
      <c r="B528">
        <v>43069</v>
      </c>
      <c r="C528" t="s">
        <v>735</v>
      </c>
      <c r="E528" t="s">
        <v>736</v>
      </c>
      <c r="F528" s="51">
        <v>45485</v>
      </c>
      <c r="G528" t="s">
        <v>1</v>
      </c>
    </row>
    <row r="529" spans="1:7" x14ac:dyDescent="0.3">
      <c r="A529" t="s">
        <v>2702</v>
      </c>
      <c r="B529">
        <v>43071</v>
      </c>
      <c r="C529" t="s">
        <v>570</v>
      </c>
      <c r="D529" t="s">
        <v>240</v>
      </c>
      <c r="E529" t="s">
        <v>85</v>
      </c>
      <c r="F529" s="99">
        <v>45510.655902777777</v>
      </c>
      <c r="G529" t="s">
        <v>1</v>
      </c>
    </row>
    <row r="530" spans="1:7" x14ac:dyDescent="0.3">
      <c r="A530" t="s">
        <v>2702</v>
      </c>
      <c r="B530">
        <v>43072</v>
      </c>
      <c r="C530" t="s">
        <v>62</v>
      </c>
      <c r="D530" t="s">
        <v>63</v>
      </c>
      <c r="E530" t="s">
        <v>332</v>
      </c>
      <c r="F530" s="51">
        <v>45482</v>
      </c>
      <c r="G530" t="s">
        <v>1</v>
      </c>
    </row>
    <row r="531" spans="1:7" x14ac:dyDescent="0.3">
      <c r="A531" t="s">
        <v>2702</v>
      </c>
      <c r="B531">
        <v>43073</v>
      </c>
      <c r="C531" t="s">
        <v>411</v>
      </c>
      <c r="D531" t="s">
        <v>179</v>
      </c>
      <c r="E531" t="s">
        <v>737</v>
      </c>
      <c r="F531" s="99">
        <v>45530.638807870368</v>
      </c>
      <c r="G531" t="s">
        <v>1</v>
      </c>
    </row>
    <row r="532" spans="1:7" x14ac:dyDescent="0.3">
      <c r="A532" t="s">
        <v>2702</v>
      </c>
      <c r="B532">
        <v>43074</v>
      </c>
      <c r="C532" t="s">
        <v>291</v>
      </c>
      <c r="D532" t="s">
        <v>738</v>
      </c>
      <c r="F532" s="51">
        <v>45503</v>
      </c>
      <c r="G532" t="s">
        <v>1</v>
      </c>
    </row>
    <row r="533" spans="1:7" x14ac:dyDescent="0.3">
      <c r="A533" t="s">
        <v>2702</v>
      </c>
      <c r="B533">
        <v>43075</v>
      </c>
      <c r="C533" t="s">
        <v>411</v>
      </c>
      <c r="D533" t="s">
        <v>32</v>
      </c>
      <c r="E533" t="s">
        <v>683</v>
      </c>
      <c r="F533" s="51">
        <v>45482</v>
      </c>
      <c r="G533" t="s">
        <v>1</v>
      </c>
    </row>
    <row r="534" spans="1:7" x14ac:dyDescent="0.3">
      <c r="A534" t="s">
        <v>2702</v>
      </c>
      <c r="B534">
        <v>43076</v>
      </c>
      <c r="C534" t="s">
        <v>739</v>
      </c>
      <c r="E534" t="s">
        <v>740</v>
      </c>
      <c r="F534" s="51">
        <v>45482</v>
      </c>
      <c r="G534" t="s">
        <v>1</v>
      </c>
    </row>
    <row r="535" spans="1:7" x14ac:dyDescent="0.3">
      <c r="A535" t="s">
        <v>2702</v>
      </c>
      <c r="B535">
        <v>43077</v>
      </c>
      <c r="C535" t="s">
        <v>187</v>
      </c>
      <c r="D535" t="s">
        <v>106</v>
      </c>
      <c r="E535" t="s">
        <v>741</v>
      </c>
      <c r="F535" s="51">
        <v>45484</v>
      </c>
      <c r="G535" t="s">
        <v>1</v>
      </c>
    </row>
    <row r="536" spans="1:7" x14ac:dyDescent="0.3">
      <c r="A536" t="s">
        <v>2702</v>
      </c>
      <c r="B536">
        <v>43078</v>
      </c>
      <c r="C536" t="s">
        <v>187</v>
      </c>
      <c r="D536" t="s">
        <v>714</v>
      </c>
      <c r="E536" t="s">
        <v>742</v>
      </c>
      <c r="F536" s="51">
        <v>45484</v>
      </c>
      <c r="G536" t="s">
        <v>1</v>
      </c>
    </row>
    <row r="537" spans="1:7" x14ac:dyDescent="0.3">
      <c r="A537" t="s">
        <v>2702</v>
      </c>
      <c r="B537">
        <v>43080</v>
      </c>
      <c r="C537" t="s">
        <v>743</v>
      </c>
      <c r="E537" t="s">
        <v>744</v>
      </c>
      <c r="F537" s="51">
        <v>45484</v>
      </c>
      <c r="G537" t="s">
        <v>1</v>
      </c>
    </row>
    <row r="538" spans="1:7" x14ac:dyDescent="0.3">
      <c r="A538" t="s">
        <v>2702</v>
      </c>
      <c r="B538">
        <v>43083</v>
      </c>
      <c r="C538" t="s">
        <v>745</v>
      </c>
      <c r="D538" t="s">
        <v>385</v>
      </c>
      <c r="E538" t="s">
        <v>183</v>
      </c>
      <c r="F538" s="51">
        <v>45560</v>
      </c>
      <c r="G538" t="s">
        <v>4</v>
      </c>
    </row>
    <row r="539" spans="1:7" x14ac:dyDescent="0.3">
      <c r="A539" t="s">
        <v>2702</v>
      </c>
      <c r="B539">
        <v>43084</v>
      </c>
      <c r="C539" t="s">
        <v>746</v>
      </c>
      <c r="E539" t="s">
        <v>747</v>
      </c>
      <c r="F539" s="51">
        <v>45560</v>
      </c>
      <c r="G539" t="s">
        <v>4</v>
      </c>
    </row>
    <row r="540" spans="1:7" x14ac:dyDescent="0.3">
      <c r="A540" t="s">
        <v>2702</v>
      </c>
      <c r="B540">
        <v>43086</v>
      </c>
      <c r="C540" t="s">
        <v>375</v>
      </c>
      <c r="D540" t="s">
        <v>133</v>
      </c>
      <c r="E540" t="s">
        <v>98</v>
      </c>
      <c r="F540" s="51">
        <v>45730</v>
      </c>
      <c r="G540" t="s">
        <v>4</v>
      </c>
    </row>
    <row r="541" spans="1:7" x14ac:dyDescent="0.3">
      <c r="A541" t="s">
        <v>2702</v>
      </c>
      <c r="B541">
        <v>43087</v>
      </c>
      <c r="C541" t="s">
        <v>504</v>
      </c>
      <c r="D541" t="s">
        <v>379</v>
      </c>
      <c r="E541" t="s">
        <v>505</v>
      </c>
      <c r="F541" s="51">
        <v>45491</v>
      </c>
      <c r="G541" t="s">
        <v>1</v>
      </c>
    </row>
    <row r="542" spans="1:7" x14ac:dyDescent="0.3">
      <c r="A542" t="s">
        <v>2702</v>
      </c>
      <c r="B542">
        <v>43090</v>
      </c>
      <c r="C542" t="s">
        <v>748</v>
      </c>
      <c r="D542" t="s">
        <v>749</v>
      </c>
      <c r="E542" t="s">
        <v>750</v>
      </c>
      <c r="F542" s="51">
        <v>45485</v>
      </c>
      <c r="G542" t="s">
        <v>1</v>
      </c>
    </row>
    <row r="543" spans="1:7" x14ac:dyDescent="0.3">
      <c r="A543" t="s">
        <v>2702</v>
      </c>
      <c r="B543">
        <v>43092</v>
      </c>
      <c r="C543" t="s">
        <v>751</v>
      </c>
      <c r="D543" t="s">
        <v>752</v>
      </c>
      <c r="E543" t="s">
        <v>159</v>
      </c>
      <c r="F543" s="51">
        <v>45485</v>
      </c>
      <c r="G543" t="s">
        <v>1</v>
      </c>
    </row>
    <row r="544" spans="1:7" x14ac:dyDescent="0.3">
      <c r="A544" t="s">
        <v>2702</v>
      </c>
      <c r="B544">
        <v>43094</v>
      </c>
      <c r="C544" t="s">
        <v>584</v>
      </c>
      <c r="D544" t="s">
        <v>63</v>
      </c>
      <c r="E544" t="s">
        <v>753</v>
      </c>
      <c r="F544" s="51">
        <v>45491</v>
      </c>
      <c r="G544" t="s">
        <v>1</v>
      </c>
    </row>
    <row r="545" spans="1:7" x14ac:dyDescent="0.3">
      <c r="A545" t="s">
        <v>2702</v>
      </c>
      <c r="B545">
        <v>43096</v>
      </c>
      <c r="C545" t="s">
        <v>256</v>
      </c>
      <c r="D545" t="s">
        <v>754</v>
      </c>
      <c r="E545" t="s">
        <v>755</v>
      </c>
      <c r="F545" s="51">
        <v>45530</v>
      </c>
      <c r="G545" t="s">
        <v>1</v>
      </c>
    </row>
    <row r="546" spans="1:7" x14ac:dyDescent="0.3">
      <c r="A546" t="s">
        <v>2702</v>
      </c>
      <c r="B546">
        <v>43097</v>
      </c>
      <c r="C546" t="s">
        <v>756</v>
      </c>
      <c r="E546" t="s">
        <v>757</v>
      </c>
      <c r="F546" s="51">
        <v>45485</v>
      </c>
      <c r="G546" t="s">
        <v>1</v>
      </c>
    </row>
    <row r="547" spans="1:7" x14ac:dyDescent="0.3">
      <c r="A547" t="s">
        <v>2702</v>
      </c>
      <c r="B547">
        <v>43101</v>
      </c>
      <c r="C547" t="s">
        <v>758</v>
      </c>
      <c r="D547" t="s">
        <v>385</v>
      </c>
      <c r="E547" t="s">
        <v>759</v>
      </c>
      <c r="F547" s="51">
        <v>45565</v>
      </c>
      <c r="G547" t="s">
        <v>4</v>
      </c>
    </row>
    <row r="548" spans="1:7" x14ac:dyDescent="0.3">
      <c r="A548" t="s">
        <v>2702</v>
      </c>
      <c r="B548">
        <v>43102</v>
      </c>
      <c r="C548" t="s">
        <v>225</v>
      </c>
      <c r="D548" t="s">
        <v>348</v>
      </c>
      <c r="E548" t="s">
        <v>760</v>
      </c>
      <c r="F548" s="51">
        <v>45554</v>
      </c>
      <c r="G548" t="s">
        <v>1</v>
      </c>
    </row>
    <row r="549" spans="1:7" x14ac:dyDescent="0.3">
      <c r="A549" t="s">
        <v>2702</v>
      </c>
      <c r="B549">
        <v>43103</v>
      </c>
      <c r="C549" t="s">
        <v>761</v>
      </c>
      <c r="D549" t="s">
        <v>358</v>
      </c>
      <c r="E549" t="s">
        <v>762</v>
      </c>
      <c r="F549" s="51">
        <v>45561</v>
      </c>
      <c r="G549" t="s">
        <v>1</v>
      </c>
    </row>
    <row r="550" spans="1:7" x14ac:dyDescent="0.3">
      <c r="A550" t="s">
        <v>2702</v>
      </c>
      <c r="B550">
        <v>43104</v>
      </c>
      <c r="C550" t="s">
        <v>74</v>
      </c>
      <c r="D550" t="s">
        <v>763</v>
      </c>
      <c r="E550" t="s">
        <v>145</v>
      </c>
      <c r="F550" s="51">
        <v>45503</v>
      </c>
      <c r="G550" t="s">
        <v>1</v>
      </c>
    </row>
    <row r="551" spans="1:7" x14ac:dyDescent="0.3">
      <c r="A551" t="s">
        <v>2702</v>
      </c>
      <c r="B551">
        <v>43108</v>
      </c>
      <c r="C551" t="s">
        <v>325</v>
      </c>
      <c r="D551" t="s">
        <v>367</v>
      </c>
      <c r="E551" t="s">
        <v>163</v>
      </c>
      <c r="F551" s="51">
        <v>45505</v>
      </c>
      <c r="G551" t="s">
        <v>2</v>
      </c>
    </row>
    <row r="552" spans="1:7" x14ac:dyDescent="0.3">
      <c r="A552" t="s">
        <v>2702</v>
      </c>
      <c r="B552">
        <v>43109</v>
      </c>
      <c r="C552" t="s">
        <v>122</v>
      </c>
      <c r="D552" t="s">
        <v>764</v>
      </c>
      <c r="E552" t="s">
        <v>765</v>
      </c>
      <c r="F552" s="51">
        <v>45497</v>
      </c>
      <c r="G552" t="s">
        <v>1</v>
      </c>
    </row>
    <row r="553" spans="1:7" x14ac:dyDescent="0.3">
      <c r="A553" t="s">
        <v>2702</v>
      </c>
      <c r="B553">
        <v>43110</v>
      </c>
      <c r="C553" t="s">
        <v>262</v>
      </c>
      <c r="D553" t="s">
        <v>263</v>
      </c>
      <c r="E553" t="s">
        <v>766</v>
      </c>
      <c r="F553" s="51">
        <v>45490</v>
      </c>
      <c r="G553" t="s">
        <v>4</v>
      </c>
    </row>
    <row r="554" spans="1:7" x14ac:dyDescent="0.3">
      <c r="A554" t="s">
        <v>2702</v>
      </c>
      <c r="B554">
        <v>43111</v>
      </c>
      <c r="C554" t="s">
        <v>262</v>
      </c>
      <c r="D554" t="s">
        <v>263</v>
      </c>
      <c r="E554" t="s">
        <v>767</v>
      </c>
      <c r="F554" s="51">
        <v>45490</v>
      </c>
      <c r="G554" t="s">
        <v>2</v>
      </c>
    </row>
    <row r="555" spans="1:7" x14ac:dyDescent="0.3">
      <c r="A555" t="s">
        <v>2702</v>
      </c>
      <c r="B555">
        <v>43112</v>
      </c>
      <c r="C555" t="s">
        <v>56</v>
      </c>
      <c r="D555" t="s">
        <v>764</v>
      </c>
      <c r="E555" t="s">
        <v>768</v>
      </c>
      <c r="F555" s="51">
        <v>45561</v>
      </c>
      <c r="G555" t="s">
        <v>1</v>
      </c>
    </row>
    <row r="556" spans="1:7" x14ac:dyDescent="0.3">
      <c r="A556" t="s">
        <v>2702</v>
      </c>
      <c r="B556">
        <v>43113</v>
      </c>
      <c r="C556" t="s">
        <v>195</v>
      </c>
      <c r="D556" t="s">
        <v>769</v>
      </c>
      <c r="E556" t="s">
        <v>770</v>
      </c>
      <c r="F556" s="51">
        <v>45490</v>
      </c>
      <c r="G556" t="s">
        <v>1</v>
      </c>
    </row>
    <row r="557" spans="1:7" x14ac:dyDescent="0.3">
      <c r="A557" t="s">
        <v>2702</v>
      </c>
      <c r="B557">
        <v>43114</v>
      </c>
      <c r="C557" t="s">
        <v>771</v>
      </c>
      <c r="E557" t="s">
        <v>772</v>
      </c>
      <c r="F557" s="51">
        <v>45483</v>
      </c>
      <c r="G557" t="s">
        <v>1</v>
      </c>
    </row>
    <row r="558" spans="1:7" x14ac:dyDescent="0.3">
      <c r="A558" t="s">
        <v>2702</v>
      </c>
      <c r="B558">
        <v>43118</v>
      </c>
      <c r="C558" t="s">
        <v>773</v>
      </c>
      <c r="D558" t="s">
        <v>26</v>
      </c>
      <c r="E558" t="s">
        <v>27</v>
      </c>
      <c r="F558" s="51">
        <v>45531</v>
      </c>
      <c r="G558" t="s">
        <v>1</v>
      </c>
    </row>
    <row r="559" spans="1:7" x14ac:dyDescent="0.3">
      <c r="A559" t="s">
        <v>2702</v>
      </c>
      <c r="B559">
        <v>43119</v>
      </c>
      <c r="C559" t="s">
        <v>774</v>
      </c>
      <c r="E559" t="s">
        <v>645</v>
      </c>
      <c r="F559" s="51">
        <v>45481</v>
      </c>
      <c r="G559" t="s">
        <v>1</v>
      </c>
    </row>
    <row r="560" spans="1:7" x14ac:dyDescent="0.3">
      <c r="A560" t="s">
        <v>2702</v>
      </c>
      <c r="B560">
        <v>43120</v>
      </c>
      <c r="C560" t="s">
        <v>567</v>
      </c>
      <c r="D560" t="s">
        <v>775</v>
      </c>
      <c r="E560" t="s">
        <v>776</v>
      </c>
      <c r="F560" s="51">
        <v>45481</v>
      </c>
      <c r="G560" t="s">
        <v>1</v>
      </c>
    </row>
    <row r="561" spans="1:7" x14ac:dyDescent="0.3">
      <c r="A561" t="s">
        <v>2702</v>
      </c>
      <c r="B561">
        <v>43121</v>
      </c>
      <c r="C561" t="s">
        <v>96</v>
      </c>
      <c r="D561" t="s">
        <v>408</v>
      </c>
      <c r="E561" t="s">
        <v>777</v>
      </c>
      <c r="F561" s="51">
        <v>45565</v>
      </c>
      <c r="G561" t="s">
        <v>1</v>
      </c>
    </row>
    <row r="562" spans="1:7" x14ac:dyDescent="0.3">
      <c r="A562" t="s">
        <v>2702</v>
      </c>
      <c r="B562">
        <v>43122</v>
      </c>
      <c r="C562" t="s">
        <v>41</v>
      </c>
      <c r="D562" t="s">
        <v>629</v>
      </c>
      <c r="E562" t="s">
        <v>425</v>
      </c>
      <c r="F562" s="51">
        <v>45544</v>
      </c>
      <c r="G562" t="s">
        <v>4</v>
      </c>
    </row>
    <row r="563" spans="1:7" x14ac:dyDescent="0.3">
      <c r="A563" t="s">
        <v>2702</v>
      </c>
      <c r="B563">
        <v>43123</v>
      </c>
      <c r="C563" t="s">
        <v>778</v>
      </c>
      <c r="D563" t="s">
        <v>752</v>
      </c>
      <c r="E563" t="s">
        <v>779</v>
      </c>
      <c r="F563" s="51">
        <v>45491</v>
      </c>
      <c r="G563" t="s">
        <v>1</v>
      </c>
    </row>
    <row r="564" spans="1:7" x14ac:dyDescent="0.3">
      <c r="A564" t="s">
        <v>2702</v>
      </c>
      <c r="B564">
        <v>43124</v>
      </c>
      <c r="C564" t="s">
        <v>189</v>
      </c>
      <c r="D564" t="s">
        <v>362</v>
      </c>
      <c r="E564" t="s">
        <v>186</v>
      </c>
      <c r="F564" s="51">
        <v>45531</v>
      </c>
      <c r="G564" t="s">
        <v>1</v>
      </c>
    </row>
    <row r="565" spans="1:7" x14ac:dyDescent="0.3">
      <c r="A565" t="s">
        <v>2702</v>
      </c>
      <c r="B565">
        <v>43127</v>
      </c>
      <c r="C565" t="s">
        <v>780</v>
      </c>
      <c r="E565" t="s">
        <v>27</v>
      </c>
      <c r="F565" s="51">
        <v>45503</v>
      </c>
      <c r="G565" t="s">
        <v>1</v>
      </c>
    </row>
    <row r="566" spans="1:7" x14ac:dyDescent="0.3">
      <c r="A566" t="s">
        <v>2702</v>
      </c>
      <c r="B566">
        <v>43129</v>
      </c>
      <c r="C566" t="s">
        <v>86</v>
      </c>
      <c r="D566" t="s">
        <v>45</v>
      </c>
      <c r="E566" t="s">
        <v>163</v>
      </c>
      <c r="F566" s="51">
        <v>45505</v>
      </c>
      <c r="G566" t="s">
        <v>2</v>
      </c>
    </row>
    <row r="567" spans="1:7" x14ac:dyDescent="0.3">
      <c r="A567" t="s">
        <v>2702</v>
      </c>
      <c r="B567">
        <v>43130</v>
      </c>
      <c r="C567" t="s">
        <v>41</v>
      </c>
      <c r="D567" t="s">
        <v>781</v>
      </c>
      <c r="E567" t="s">
        <v>415</v>
      </c>
      <c r="F567" s="51">
        <v>45629</v>
      </c>
      <c r="G567" t="s">
        <v>4</v>
      </c>
    </row>
    <row r="568" spans="1:7" x14ac:dyDescent="0.3">
      <c r="A568" t="s">
        <v>2702</v>
      </c>
      <c r="B568">
        <v>43131</v>
      </c>
      <c r="C568" t="s">
        <v>262</v>
      </c>
      <c r="D568" t="s">
        <v>263</v>
      </c>
      <c r="E568" t="s">
        <v>2193</v>
      </c>
      <c r="F568" s="51">
        <v>45798</v>
      </c>
      <c r="G568" t="s">
        <v>2</v>
      </c>
    </row>
    <row r="569" spans="1:7" x14ac:dyDescent="0.3">
      <c r="A569" t="s">
        <v>2702</v>
      </c>
      <c r="B569">
        <v>43132</v>
      </c>
      <c r="C569" t="s">
        <v>41</v>
      </c>
      <c r="D569" t="s">
        <v>782</v>
      </c>
      <c r="E569" t="s">
        <v>98</v>
      </c>
      <c r="F569" s="99">
        <v>45509.610219907408</v>
      </c>
      <c r="G569" t="s">
        <v>4</v>
      </c>
    </row>
    <row r="570" spans="1:7" x14ac:dyDescent="0.3">
      <c r="A570" t="s">
        <v>2702</v>
      </c>
      <c r="B570">
        <v>43133</v>
      </c>
      <c r="C570" t="s">
        <v>450</v>
      </c>
      <c r="D570" t="s">
        <v>133</v>
      </c>
      <c r="E570" t="s">
        <v>783</v>
      </c>
      <c r="F570" s="99">
        <v>45530.623206018521</v>
      </c>
      <c r="G570" t="s">
        <v>1</v>
      </c>
    </row>
    <row r="571" spans="1:7" x14ac:dyDescent="0.3">
      <c r="A571" t="s">
        <v>2702</v>
      </c>
      <c r="B571">
        <v>43134</v>
      </c>
      <c r="C571" t="s">
        <v>71</v>
      </c>
      <c r="D571" t="s">
        <v>57</v>
      </c>
      <c r="E571" t="s">
        <v>784</v>
      </c>
      <c r="F571" s="51">
        <v>45490</v>
      </c>
      <c r="G571" t="s">
        <v>1</v>
      </c>
    </row>
    <row r="572" spans="1:7" x14ac:dyDescent="0.3">
      <c r="A572" t="s">
        <v>2702</v>
      </c>
      <c r="B572">
        <v>43139</v>
      </c>
      <c r="C572" t="s">
        <v>559</v>
      </c>
      <c r="D572" t="s">
        <v>45</v>
      </c>
      <c r="E572" t="s">
        <v>784</v>
      </c>
      <c r="F572" s="51">
        <v>45488</v>
      </c>
      <c r="G572" t="s">
        <v>3</v>
      </c>
    </row>
    <row r="573" spans="1:7" x14ac:dyDescent="0.3">
      <c r="A573" t="s">
        <v>2702</v>
      </c>
      <c r="B573">
        <v>43140</v>
      </c>
      <c r="C573" t="s">
        <v>785</v>
      </c>
      <c r="D573" t="s">
        <v>786</v>
      </c>
      <c r="E573" t="s">
        <v>787</v>
      </c>
      <c r="F573" s="51">
        <v>45491</v>
      </c>
      <c r="G573" t="s">
        <v>1</v>
      </c>
    </row>
    <row r="574" spans="1:7" x14ac:dyDescent="0.3">
      <c r="A574" t="s">
        <v>2702</v>
      </c>
      <c r="B574">
        <v>43141</v>
      </c>
      <c r="C574" t="s">
        <v>262</v>
      </c>
      <c r="D574" t="s">
        <v>263</v>
      </c>
      <c r="E574" t="s">
        <v>788</v>
      </c>
      <c r="F574" s="51">
        <v>45505</v>
      </c>
      <c r="G574" t="s">
        <v>2</v>
      </c>
    </row>
    <row r="575" spans="1:7" x14ac:dyDescent="0.3">
      <c r="A575" t="s">
        <v>2702</v>
      </c>
      <c r="B575">
        <v>43143</v>
      </c>
      <c r="C575" t="s">
        <v>681</v>
      </c>
      <c r="D575" t="s">
        <v>232</v>
      </c>
      <c r="E575" t="s">
        <v>121</v>
      </c>
      <c r="F575" s="51">
        <v>45812</v>
      </c>
      <c r="G575" t="s">
        <v>4</v>
      </c>
    </row>
    <row r="576" spans="1:7" x14ac:dyDescent="0.3">
      <c r="A576" t="s">
        <v>2702</v>
      </c>
      <c r="B576">
        <v>43144</v>
      </c>
      <c r="C576" t="s">
        <v>789</v>
      </c>
      <c r="D576" t="s">
        <v>45</v>
      </c>
      <c r="E576" t="s">
        <v>121</v>
      </c>
      <c r="F576" s="51">
        <v>45544</v>
      </c>
      <c r="G576" t="s">
        <v>4</v>
      </c>
    </row>
    <row r="577" spans="1:7" x14ac:dyDescent="0.3">
      <c r="A577" t="s">
        <v>2702</v>
      </c>
      <c r="B577">
        <v>43145</v>
      </c>
      <c r="C577" t="s">
        <v>790</v>
      </c>
      <c r="D577" t="s">
        <v>791</v>
      </c>
      <c r="E577" t="s">
        <v>615</v>
      </c>
      <c r="F577" s="51">
        <v>45496</v>
      </c>
      <c r="G577" t="s">
        <v>1</v>
      </c>
    </row>
    <row r="578" spans="1:7" x14ac:dyDescent="0.3">
      <c r="A578" t="s">
        <v>2702</v>
      </c>
      <c r="B578">
        <v>43149</v>
      </c>
      <c r="C578" t="s">
        <v>792</v>
      </c>
      <c r="D578" t="s">
        <v>793</v>
      </c>
      <c r="E578" t="s">
        <v>145</v>
      </c>
      <c r="F578" s="51">
        <v>45491</v>
      </c>
      <c r="G578" t="s">
        <v>1</v>
      </c>
    </row>
    <row r="579" spans="1:7" x14ac:dyDescent="0.3">
      <c r="A579" t="s">
        <v>2702</v>
      </c>
      <c r="B579">
        <v>43150</v>
      </c>
      <c r="C579" t="s">
        <v>794</v>
      </c>
      <c r="D579" t="s">
        <v>795</v>
      </c>
      <c r="E579" t="s">
        <v>796</v>
      </c>
      <c r="F579" s="51">
        <v>45546</v>
      </c>
      <c r="G579" t="s">
        <v>4</v>
      </c>
    </row>
    <row r="580" spans="1:7" x14ac:dyDescent="0.3">
      <c r="A580" t="s">
        <v>2702</v>
      </c>
      <c r="B580">
        <v>43151</v>
      </c>
      <c r="C580" t="s">
        <v>758</v>
      </c>
      <c r="D580" t="s">
        <v>797</v>
      </c>
      <c r="E580" t="s">
        <v>798</v>
      </c>
      <c r="F580" s="51">
        <v>45553</v>
      </c>
      <c r="G580" t="s">
        <v>2</v>
      </c>
    </row>
    <row r="581" spans="1:7" x14ac:dyDescent="0.3">
      <c r="A581" t="s">
        <v>2702</v>
      </c>
      <c r="B581">
        <v>43159</v>
      </c>
      <c r="C581" t="s">
        <v>799</v>
      </c>
      <c r="D581" t="s">
        <v>179</v>
      </c>
      <c r="E581" t="s">
        <v>800</v>
      </c>
      <c r="F581" s="51">
        <v>45530</v>
      </c>
      <c r="G581" t="s">
        <v>1</v>
      </c>
    </row>
    <row r="582" spans="1:7" x14ac:dyDescent="0.3">
      <c r="A582" t="s">
        <v>2702</v>
      </c>
      <c r="B582">
        <v>43160</v>
      </c>
      <c r="C582" t="s">
        <v>681</v>
      </c>
      <c r="D582" t="s">
        <v>45</v>
      </c>
      <c r="E582" t="s">
        <v>801</v>
      </c>
      <c r="F582" s="51">
        <v>45492</v>
      </c>
      <c r="G582" t="s">
        <v>1</v>
      </c>
    </row>
    <row r="583" spans="1:7" x14ac:dyDescent="0.3">
      <c r="A583" t="s">
        <v>2702</v>
      </c>
      <c r="B583">
        <v>43161</v>
      </c>
      <c r="C583" t="s">
        <v>802</v>
      </c>
      <c r="D583" t="s">
        <v>803</v>
      </c>
      <c r="E583" t="s">
        <v>804</v>
      </c>
      <c r="F583" s="51">
        <v>45492</v>
      </c>
      <c r="G583" t="s">
        <v>1</v>
      </c>
    </row>
    <row r="584" spans="1:7" x14ac:dyDescent="0.3">
      <c r="A584" t="s">
        <v>2702</v>
      </c>
      <c r="B584">
        <v>43162</v>
      </c>
      <c r="C584" t="s">
        <v>155</v>
      </c>
      <c r="D584" t="s">
        <v>75</v>
      </c>
      <c r="E584" t="s">
        <v>58</v>
      </c>
      <c r="F584" s="51">
        <v>45492</v>
      </c>
      <c r="G584" t="s">
        <v>1</v>
      </c>
    </row>
    <row r="585" spans="1:7" x14ac:dyDescent="0.3">
      <c r="A585" t="s">
        <v>2702</v>
      </c>
      <c r="B585">
        <v>43164</v>
      </c>
      <c r="C585" t="s">
        <v>805</v>
      </c>
      <c r="D585" t="s">
        <v>185</v>
      </c>
      <c r="E585" t="s">
        <v>603</v>
      </c>
      <c r="F585" s="51">
        <v>45492</v>
      </c>
      <c r="G585" t="s">
        <v>1</v>
      </c>
    </row>
    <row r="586" spans="1:7" x14ac:dyDescent="0.3">
      <c r="A586" t="s">
        <v>2702</v>
      </c>
      <c r="B586">
        <v>43166</v>
      </c>
      <c r="C586" t="s">
        <v>41</v>
      </c>
      <c r="D586" t="s">
        <v>656</v>
      </c>
      <c r="E586" t="s">
        <v>806</v>
      </c>
      <c r="F586" s="51">
        <v>45546</v>
      </c>
      <c r="G586" t="s">
        <v>1</v>
      </c>
    </row>
    <row r="587" spans="1:7" x14ac:dyDescent="0.3">
      <c r="A587" t="s">
        <v>2702</v>
      </c>
      <c r="B587">
        <v>43169</v>
      </c>
      <c r="C587" t="s">
        <v>155</v>
      </c>
      <c r="D587" t="s">
        <v>75</v>
      </c>
      <c r="E587" t="s">
        <v>807</v>
      </c>
      <c r="F587" s="99">
        <v>45509.612881944442</v>
      </c>
      <c r="G587" t="s">
        <v>4</v>
      </c>
    </row>
    <row r="588" spans="1:7" x14ac:dyDescent="0.3">
      <c r="A588" t="s">
        <v>2702</v>
      </c>
      <c r="B588">
        <v>43170</v>
      </c>
      <c r="C588" t="s">
        <v>808</v>
      </c>
      <c r="D588" t="s">
        <v>718</v>
      </c>
      <c r="E588" t="s">
        <v>145</v>
      </c>
      <c r="F588" s="99">
        <v>45509.508993055555</v>
      </c>
      <c r="G588" t="s">
        <v>1</v>
      </c>
    </row>
    <row r="589" spans="1:7" x14ac:dyDescent="0.3">
      <c r="A589" t="s">
        <v>2702</v>
      </c>
      <c r="B589">
        <v>43171</v>
      </c>
      <c r="C589" t="s">
        <v>661</v>
      </c>
      <c r="D589" t="s">
        <v>763</v>
      </c>
      <c r="E589" t="s">
        <v>662</v>
      </c>
      <c r="F589" s="51">
        <v>45503</v>
      </c>
      <c r="G589" t="s">
        <v>1</v>
      </c>
    </row>
    <row r="590" spans="1:7" x14ac:dyDescent="0.3">
      <c r="A590" t="s">
        <v>2702</v>
      </c>
      <c r="B590">
        <v>43172</v>
      </c>
      <c r="C590" t="s">
        <v>90</v>
      </c>
      <c r="D590" t="s">
        <v>185</v>
      </c>
      <c r="E590" t="s">
        <v>27</v>
      </c>
      <c r="F590" s="51">
        <v>45496</v>
      </c>
      <c r="G590" t="s">
        <v>1</v>
      </c>
    </row>
    <row r="591" spans="1:7" x14ac:dyDescent="0.3">
      <c r="A591" t="s">
        <v>2702</v>
      </c>
      <c r="B591">
        <v>43174</v>
      </c>
      <c r="C591" t="s">
        <v>122</v>
      </c>
      <c r="D591" t="s">
        <v>809</v>
      </c>
      <c r="E591" t="s">
        <v>70</v>
      </c>
      <c r="F591" s="51">
        <v>45503</v>
      </c>
      <c r="G591" t="s">
        <v>1</v>
      </c>
    </row>
    <row r="592" spans="1:7" x14ac:dyDescent="0.3">
      <c r="A592" t="s">
        <v>2702</v>
      </c>
      <c r="B592">
        <v>43176</v>
      </c>
      <c r="C592" t="s">
        <v>470</v>
      </c>
      <c r="D592" t="s">
        <v>179</v>
      </c>
      <c r="E592" t="s">
        <v>145</v>
      </c>
      <c r="F592" s="99">
        <v>45509.610648148147</v>
      </c>
      <c r="G592" t="s">
        <v>4</v>
      </c>
    </row>
    <row r="593" spans="1:7" x14ac:dyDescent="0.3">
      <c r="A593" t="s">
        <v>2702</v>
      </c>
      <c r="B593">
        <v>43179</v>
      </c>
      <c r="C593" t="s">
        <v>2675</v>
      </c>
      <c r="D593" t="s">
        <v>2676</v>
      </c>
      <c r="E593" t="s">
        <v>283</v>
      </c>
      <c r="F593" s="51">
        <v>45874</v>
      </c>
      <c r="G593" t="s">
        <v>4</v>
      </c>
    </row>
    <row r="594" spans="1:7" x14ac:dyDescent="0.3">
      <c r="A594" t="s">
        <v>2702</v>
      </c>
      <c r="B594">
        <v>43181</v>
      </c>
      <c r="C594" t="s">
        <v>237</v>
      </c>
      <c r="D594" t="s">
        <v>810</v>
      </c>
      <c r="E594" t="s">
        <v>731</v>
      </c>
      <c r="F594" s="99">
        <v>45530.689756944441</v>
      </c>
      <c r="G594" t="s">
        <v>1</v>
      </c>
    </row>
    <row r="595" spans="1:7" x14ac:dyDescent="0.3">
      <c r="A595" t="s">
        <v>2702</v>
      </c>
      <c r="B595">
        <v>43182</v>
      </c>
      <c r="C595" t="s">
        <v>811</v>
      </c>
      <c r="D595" t="s">
        <v>812</v>
      </c>
      <c r="E595" t="s">
        <v>121</v>
      </c>
      <c r="F595" s="99">
        <v>45512.379363425927</v>
      </c>
      <c r="G595" t="s">
        <v>4</v>
      </c>
    </row>
    <row r="596" spans="1:7" x14ac:dyDescent="0.3">
      <c r="A596" t="s">
        <v>2702</v>
      </c>
      <c r="B596">
        <v>43184</v>
      </c>
      <c r="C596" t="s">
        <v>813</v>
      </c>
      <c r="D596" t="s">
        <v>814</v>
      </c>
      <c r="E596" t="s">
        <v>815</v>
      </c>
      <c r="F596" s="51">
        <v>45503</v>
      </c>
      <c r="G596" t="s">
        <v>1</v>
      </c>
    </row>
    <row r="597" spans="1:7" x14ac:dyDescent="0.3">
      <c r="A597" t="s">
        <v>2702</v>
      </c>
      <c r="B597">
        <v>43185</v>
      </c>
      <c r="C597" t="s">
        <v>236</v>
      </c>
      <c r="D597" t="s">
        <v>75</v>
      </c>
      <c r="E597" t="s">
        <v>816</v>
      </c>
      <c r="F597" s="51">
        <v>45531</v>
      </c>
      <c r="G597" t="s">
        <v>1</v>
      </c>
    </row>
    <row r="598" spans="1:7" x14ac:dyDescent="0.3">
      <c r="A598" t="s">
        <v>2702</v>
      </c>
      <c r="B598">
        <v>43186</v>
      </c>
      <c r="C598" t="s">
        <v>817</v>
      </c>
      <c r="D598" t="s">
        <v>714</v>
      </c>
      <c r="E598" t="s">
        <v>818</v>
      </c>
      <c r="F598" s="51">
        <v>45495</v>
      </c>
      <c r="G598" t="s">
        <v>1</v>
      </c>
    </row>
    <row r="599" spans="1:7" x14ac:dyDescent="0.3">
      <c r="A599" t="s">
        <v>2702</v>
      </c>
      <c r="B599">
        <v>43187</v>
      </c>
      <c r="C599" t="s">
        <v>739</v>
      </c>
      <c r="E599" t="s">
        <v>819</v>
      </c>
      <c r="F599" s="99">
        <v>45510.65520833333</v>
      </c>
      <c r="G599" t="s">
        <v>1</v>
      </c>
    </row>
    <row r="600" spans="1:7" x14ac:dyDescent="0.3">
      <c r="A600" t="s">
        <v>2702</v>
      </c>
      <c r="B600">
        <v>43191</v>
      </c>
      <c r="C600" t="s">
        <v>262</v>
      </c>
      <c r="D600" t="s">
        <v>263</v>
      </c>
      <c r="E600" t="s">
        <v>2014</v>
      </c>
      <c r="F600" s="51">
        <v>45734</v>
      </c>
      <c r="G600" t="s">
        <v>2</v>
      </c>
    </row>
    <row r="601" spans="1:7" x14ac:dyDescent="0.3">
      <c r="A601" t="s">
        <v>2702</v>
      </c>
      <c r="B601">
        <v>43192</v>
      </c>
      <c r="C601" t="s">
        <v>450</v>
      </c>
      <c r="D601" t="s">
        <v>820</v>
      </c>
      <c r="E601" t="s">
        <v>821</v>
      </c>
      <c r="F601" s="99">
        <v>45512.358703703707</v>
      </c>
      <c r="G601" t="s">
        <v>1</v>
      </c>
    </row>
    <row r="602" spans="1:7" x14ac:dyDescent="0.3">
      <c r="A602" t="s">
        <v>2702</v>
      </c>
      <c r="B602">
        <v>43194</v>
      </c>
      <c r="C602" t="s">
        <v>511</v>
      </c>
      <c r="D602" t="s">
        <v>106</v>
      </c>
      <c r="E602" t="s">
        <v>640</v>
      </c>
      <c r="F602" s="99">
        <v>45512.379965277774</v>
      </c>
      <c r="G602" t="s">
        <v>1</v>
      </c>
    </row>
    <row r="603" spans="1:7" x14ac:dyDescent="0.3">
      <c r="A603" t="s">
        <v>2702</v>
      </c>
      <c r="B603">
        <v>43197</v>
      </c>
      <c r="C603" t="s">
        <v>758</v>
      </c>
      <c r="D603" t="s">
        <v>26</v>
      </c>
      <c r="E603" t="s">
        <v>822</v>
      </c>
      <c r="F603" s="51">
        <v>45496</v>
      </c>
      <c r="G603" t="s">
        <v>1</v>
      </c>
    </row>
    <row r="604" spans="1:7" x14ac:dyDescent="0.3">
      <c r="A604" t="s">
        <v>2702</v>
      </c>
      <c r="B604">
        <v>43200</v>
      </c>
      <c r="C604" t="s">
        <v>306</v>
      </c>
      <c r="D604" t="s">
        <v>94</v>
      </c>
      <c r="E604" t="s">
        <v>172</v>
      </c>
      <c r="F604" s="51">
        <v>45503</v>
      </c>
      <c r="G604" t="s">
        <v>1</v>
      </c>
    </row>
    <row r="605" spans="1:7" x14ac:dyDescent="0.3">
      <c r="A605" t="s">
        <v>2702</v>
      </c>
      <c r="B605">
        <v>43201</v>
      </c>
      <c r="C605" t="s">
        <v>71</v>
      </c>
      <c r="D605" t="s">
        <v>106</v>
      </c>
      <c r="E605" t="s">
        <v>823</v>
      </c>
      <c r="F605" s="51">
        <v>45503</v>
      </c>
      <c r="G605" t="s">
        <v>3</v>
      </c>
    </row>
    <row r="606" spans="1:7" x14ac:dyDescent="0.3">
      <c r="A606" t="s">
        <v>2702</v>
      </c>
      <c r="B606">
        <v>43202</v>
      </c>
      <c r="C606" t="s">
        <v>539</v>
      </c>
      <c r="D606" t="s">
        <v>540</v>
      </c>
      <c r="E606" t="s">
        <v>824</v>
      </c>
      <c r="F606" s="51">
        <v>45546</v>
      </c>
      <c r="G606" t="s">
        <v>1</v>
      </c>
    </row>
    <row r="607" spans="1:7" x14ac:dyDescent="0.3">
      <c r="A607" t="s">
        <v>2702</v>
      </c>
      <c r="B607">
        <v>43204</v>
      </c>
      <c r="C607" t="s">
        <v>825</v>
      </c>
      <c r="D607" t="s">
        <v>826</v>
      </c>
      <c r="E607" t="s">
        <v>283</v>
      </c>
      <c r="F607" s="51">
        <v>45502</v>
      </c>
      <c r="G607" t="s">
        <v>1</v>
      </c>
    </row>
    <row r="608" spans="1:7" x14ac:dyDescent="0.3">
      <c r="A608" t="s">
        <v>2702</v>
      </c>
      <c r="B608">
        <v>43208</v>
      </c>
      <c r="C608" t="s">
        <v>827</v>
      </c>
      <c r="D608" t="s">
        <v>392</v>
      </c>
      <c r="E608" t="s">
        <v>415</v>
      </c>
      <c r="F608" s="99">
        <v>45530.535868055558</v>
      </c>
      <c r="G608" t="s">
        <v>1</v>
      </c>
    </row>
    <row r="609" spans="1:7" x14ac:dyDescent="0.3">
      <c r="A609" t="s">
        <v>2702</v>
      </c>
      <c r="B609">
        <v>43215</v>
      </c>
      <c r="C609" t="s">
        <v>559</v>
      </c>
      <c r="D609" t="s">
        <v>718</v>
      </c>
      <c r="E609" t="s">
        <v>828</v>
      </c>
      <c r="F609" s="51">
        <v>45502</v>
      </c>
      <c r="G609" t="s">
        <v>1</v>
      </c>
    </row>
    <row r="610" spans="1:7" x14ac:dyDescent="0.3">
      <c r="A610" t="s">
        <v>2702</v>
      </c>
      <c r="B610">
        <v>43216</v>
      </c>
      <c r="C610" t="s">
        <v>474</v>
      </c>
      <c r="D610" t="s">
        <v>45</v>
      </c>
      <c r="E610" t="s">
        <v>829</v>
      </c>
      <c r="F610" s="99">
        <v>45509.554571759261</v>
      </c>
      <c r="G610" t="s">
        <v>4</v>
      </c>
    </row>
    <row r="611" spans="1:7" x14ac:dyDescent="0.3">
      <c r="A611" t="s">
        <v>2702</v>
      </c>
      <c r="B611">
        <v>43218</v>
      </c>
      <c r="C611" t="s">
        <v>830</v>
      </c>
      <c r="D611" t="s">
        <v>831</v>
      </c>
      <c r="E611" t="s">
        <v>832</v>
      </c>
      <c r="F611" s="99">
        <v>45530.600821759261</v>
      </c>
      <c r="G611" t="s">
        <v>1</v>
      </c>
    </row>
    <row r="612" spans="1:7" x14ac:dyDescent="0.3">
      <c r="A612" t="s">
        <v>2702</v>
      </c>
      <c r="B612">
        <v>43221</v>
      </c>
      <c r="C612" t="s">
        <v>96</v>
      </c>
      <c r="D612" t="s">
        <v>179</v>
      </c>
      <c r="E612" t="s">
        <v>1074</v>
      </c>
      <c r="F612" s="51">
        <v>45699</v>
      </c>
      <c r="G612" t="s">
        <v>1</v>
      </c>
    </row>
    <row r="613" spans="1:7" x14ac:dyDescent="0.3">
      <c r="A613" t="s">
        <v>2702</v>
      </c>
      <c r="B613">
        <v>43222</v>
      </c>
      <c r="C613" t="s">
        <v>439</v>
      </c>
      <c r="D613" t="s">
        <v>133</v>
      </c>
      <c r="E613" t="s">
        <v>699</v>
      </c>
      <c r="F613" s="99">
        <v>45512.339594907404</v>
      </c>
      <c r="G613" t="s">
        <v>2</v>
      </c>
    </row>
    <row r="614" spans="1:7" x14ac:dyDescent="0.3">
      <c r="A614" t="s">
        <v>2702</v>
      </c>
      <c r="B614">
        <v>43224</v>
      </c>
      <c r="C614" t="s">
        <v>56</v>
      </c>
      <c r="D614" t="s">
        <v>764</v>
      </c>
      <c r="E614" t="s">
        <v>833</v>
      </c>
      <c r="F614" s="51">
        <v>45561</v>
      </c>
      <c r="G614" t="s">
        <v>1</v>
      </c>
    </row>
    <row r="615" spans="1:7" x14ac:dyDescent="0.3">
      <c r="A615" t="s">
        <v>2702</v>
      </c>
      <c r="B615">
        <v>43225</v>
      </c>
      <c r="C615" t="s">
        <v>834</v>
      </c>
      <c r="D615" t="s">
        <v>244</v>
      </c>
      <c r="E615" t="s">
        <v>146</v>
      </c>
      <c r="F615" s="99">
        <v>45530.59306712963</v>
      </c>
      <c r="G615" t="s">
        <v>1</v>
      </c>
    </row>
    <row r="616" spans="1:7" x14ac:dyDescent="0.3">
      <c r="A616" t="s">
        <v>2702</v>
      </c>
      <c r="B616">
        <v>43227</v>
      </c>
      <c r="C616" t="s">
        <v>835</v>
      </c>
      <c r="D616" t="s">
        <v>685</v>
      </c>
      <c r="E616" t="s">
        <v>615</v>
      </c>
      <c r="F616" s="99">
        <v>45510.689826388887</v>
      </c>
      <c r="G616" t="s">
        <v>1</v>
      </c>
    </row>
    <row r="617" spans="1:7" x14ac:dyDescent="0.3">
      <c r="A617" t="s">
        <v>2702</v>
      </c>
      <c r="B617">
        <v>43228</v>
      </c>
      <c r="C617" t="s">
        <v>74</v>
      </c>
      <c r="D617" t="s">
        <v>836</v>
      </c>
      <c r="E617" t="s">
        <v>121</v>
      </c>
      <c r="F617" s="99">
        <v>45510.677928240744</v>
      </c>
      <c r="G617" t="s">
        <v>4</v>
      </c>
    </row>
    <row r="618" spans="1:7" x14ac:dyDescent="0.3">
      <c r="A618" t="s">
        <v>2702</v>
      </c>
      <c r="B618">
        <v>43229</v>
      </c>
      <c r="C618" t="s">
        <v>837</v>
      </c>
      <c r="D618" t="s">
        <v>838</v>
      </c>
      <c r="E618" t="s">
        <v>121</v>
      </c>
      <c r="F618" s="51">
        <v>45502</v>
      </c>
      <c r="G618" t="s">
        <v>4</v>
      </c>
    </row>
    <row r="619" spans="1:7" x14ac:dyDescent="0.3">
      <c r="A619" t="s">
        <v>2702</v>
      </c>
      <c r="B619">
        <v>43230</v>
      </c>
      <c r="C619" t="s">
        <v>41</v>
      </c>
      <c r="E619" t="s">
        <v>839</v>
      </c>
      <c r="F619" s="99">
        <v>45510.690358796295</v>
      </c>
      <c r="G619" t="s">
        <v>1</v>
      </c>
    </row>
    <row r="620" spans="1:7" x14ac:dyDescent="0.3">
      <c r="A620" t="s">
        <v>2702</v>
      </c>
      <c r="B620">
        <v>43232</v>
      </c>
      <c r="C620" t="s">
        <v>56</v>
      </c>
      <c r="D620" t="s">
        <v>362</v>
      </c>
      <c r="E620" t="s">
        <v>186</v>
      </c>
      <c r="F620" s="99">
        <v>45509.508553240739</v>
      </c>
      <c r="G620" t="s">
        <v>1</v>
      </c>
    </row>
    <row r="621" spans="1:7" x14ac:dyDescent="0.3">
      <c r="A621" t="s">
        <v>2702</v>
      </c>
      <c r="B621">
        <v>43234</v>
      </c>
      <c r="C621" t="s">
        <v>411</v>
      </c>
      <c r="D621" t="s">
        <v>179</v>
      </c>
      <c r="E621" t="s">
        <v>840</v>
      </c>
      <c r="F621" s="99">
        <v>45530.672118055554</v>
      </c>
      <c r="G621" t="s">
        <v>1</v>
      </c>
    </row>
    <row r="622" spans="1:7" x14ac:dyDescent="0.3">
      <c r="A622" t="s">
        <v>2702</v>
      </c>
      <c r="B622">
        <v>43235</v>
      </c>
      <c r="C622" t="s">
        <v>498</v>
      </c>
      <c r="D622" t="s">
        <v>148</v>
      </c>
      <c r="E622" t="s">
        <v>841</v>
      </c>
      <c r="F622" s="99">
        <v>45509.380462962959</v>
      </c>
      <c r="G622" t="s">
        <v>1</v>
      </c>
    </row>
    <row r="623" spans="1:7" x14ac:dyDescent="0.3">
      <c r="A623" t="s">
        <v>2702</v>
      </c>
      <c r="B623">
        <v>43238</v>
      </c>
      <c r="C623" t="s">
        <v>41</v>
      </c>
      <c r="D623" t="s">
        <v>45</v>
      </c>
      <c r="E623" t="s">
        <v>842</v>
      </c>
      <c r="F623" s="51">
        <v>45504</v>
      </c>
      <c r="G623" t="s">
        <v>4</v>
      </c>
    </row>
    <row r="624" spans="1:7" x14ac:dyDescent="0.3">
      <c r="A624" t="s">
        <v>2702</v>
      </c>
      <c r="B624">
        <v>43239</v>
      </c>
      <c r="C624" t="s">
        <v>194</v>
      </c>
      <c r="D624" t="s">
        <v>84</v>
      </c>
      <c r="E624" t="s">
        <v>843</v>
      </c>
      <c r="F624" s="99">
        <v>45509.508125</v>
      </c>
      <c r="G624" t="s">
        <v>1</v>
      </c>
    </row>
    <row r="625" spans="1:7" x14ac:dyDescent="0.3">
      <c r="A625" t="s">
        <v>2702</v>
      </c>
      <c r="B625">
        <v>43240</v>
      </c>
      <c r="C625" t="s">
        <v>41</v>
      </c>
      <c r="D625" t="s">
        <v>32</v>
      </c>
      <c r="E625" t="s">
        <v>842</v>
      </c>
      <c r="F625" s="51">
        <v>45504</v>
      </c>
      <c r="G625" t="s">
        <v>4</v>
      </c>
    </row>
    <row r="626" spans="1:7" x14ac:dyDescent="0.3">
      <c r="A626" t="s">
        <v>2702</v>
      </c>
      <c r="B626">
        <v>43241</v>
      </c>
      <c r="C626" t="s">
        <v>773</v>
      </c>
      <c r="D626" t="s">
        <v>181</v>
      </c>
      <c r="E626" t="s">
        <v>844</v>
      </c>
      <c r="F626" s="99">
        <v>45509.553819444445</v>
      </c>
      <c r="G626" t="s">
        <v>2</v>
      </c>
    </row>
    <row r="627" spans="1:7" x14ac:dyDescent="0.3">
      <c r="A627" t="s">
        <v>2702</v>
      </c>
      <c r="B627">
        <v>43242</v>
      </c>
      <c r="C627" t="s">
        <v>71</v>
      </c>
      <c r="D627" t="s">
        <v>32</v>
      </c>
      <c r="E627" t="s">
        <v>683</v>
      </c>
      <c r="F627" s="51">
        <v>45504</v>
      </c>
      <c r="G627" t="s">
        <v>1</v>
      </c>
    </row>
    <row r="628" spans="1:7" x14ac:dyDescent="0.3">
      <c r="A628" t="s">
        <v>2702</v>
      </c>
      <c r="B628">
        <v>43243</v>
      </c>
      <c r="C628" t="s">
        <v>845</v>
      </c>
      <c r="D628" t="s">
        <v>252</v>
      </c>
      <c r="E628" t="s">
        <v>846</v>
      </c>
      <c r="F628" s="99">
        <v>45509.507685185185</v>
      </c>
      <c r="G628" t="s">
        <v>1</v>
      </c>
    </row>
    <row r="629" spans="1:7" x14ac:dyDescent="0.3">
      <c r="A629" t="s">
        <v>2702</v>
      </c>
      <c r="B629">
        <v>43244</v>
      </c>
      <c r="C629" t="s">
        <v>847</v>
      </c>
      <c r="D629" t="s">
        <v>162</v>
      </c>
      <c r="E629" t="s">
        <v>324</v>
      </c>
      <c r="F629" s="51">
        <v>45670</v>
      </c>
      <c r="G629" t="s">
        <v>1</v>
      </c>
    </row>
    <row r="630" spans="1:7" x14ac:dyDescent="0.3">
      <c r="A630" t="s">
        <v>2702</v>
      </c>
      <c r="B630">
        <v>43251</v>
      </c>
      <c r="C630" t="s">
        <v>411</v>
      </c>
      <c r="D630" t="s">
        <v>179</v>
      </c>
      <c r="E630" t="s">
        <v>848</v>
      </c>
      <c r="F630" s="99">
        <v>45530.663101851853</v>
      </c>
      <c r="G630" t="s">
        <v>1</v>
      </c>
    </row>
    <row r="631" spans="1:7" x14ac:dyDescent="0.3">
      <c r="A631" t="s">
        <v>2702</v>
      </c>
      <c r="B631">
        <v>43253</v>
      </c>
      <c r="C631" t="s">
        <v>559</v>
      </c>
      <c r="D631" t="s">
        <v>764</v>
      </c>
      <c r="E631" t="s">
        <v>534</v>
      </c>
      <c r="F631" s="51">
        <v>45530</v>
      </c>
      <c r="G631" t="s">
        <v>1</v>
      </c>
    </row>
    <row r="632" spans="1:7" x14ac:dyDescent="0.3">
      <c r="A632" t="s">
        <v>2702</v>
      </c>
      <c r="B632">
        <v>43254</v>
      </c>
      <c r="C632" t="s">
        <v>849</v>
      </c>
      <c r="D632" t="s">
        <v>252</v>
      </c>
      <c r="E632" t="s">
        <v>850</v>
      </c>
      <c r="F632" s="51">
        <v>45565</v>
      </c>
      <c r="G632" t="s">
        <v>1</v>
      </c>
    </row>
    <row r="633" spans="1:7" x14ac:dyDescent="0.3">
      <c r="A633" t="s">
        <v>2702</v>
      </c>
      <c r="B633">
        <v>43255</v>
      </c>
      <c r="C633" t="s">
        <v>789</v>
      </c>
      <c r="D633" t="s">
        <v>32</v>
      </c>
      <c r="E633" t="s">
        <v>121</v>
      </c>
      <c r="F633" s="51">
        <v>45544</v>
      </c>
      <c r="G633" t="s">
        <v>4</v>
      </c>
    </row>
    <row r="634" spans="1:7" x14ac:dyDescent="0.3">
      <c r="A634" t="s">
        <v>2702</v>
      </c>
      <c r="B634">
        <v>43256</v>
      </c>
      <c r="C634" t="s">
        <v>851</v>
      </c>
      <c r="E634" t="s">
        <v>852</v>
      </c>
      <c r="F634" s="99">
        <v>45530.533750000002</v>
      </c>
      <c r="G634" t="s">
        <v>1</v>
      </c>
    </row>
    <row r="635" spans="1:7" x14ac:dyDescent="0.3">
      <c r="A635" t="s">
        <v>2702</v>
      </c>
      <c r="B635">
        <v>43259</v>
      </c>
      <c r="C635" t="s">
        <v>853</v>
      </c>
      <c r="D635" t="s">
        <v>854</v>
      </c>
      <c r="E635" t="s">
        <v>855</v>
      </c>
      <c r="F635" s="51">
        <v>45530</v>
      </c>
      <c r="G635" t="s">
        <v>1</v>
      </c>
    </row>
    <row r="636" spans="1:7" x14ac:dyDescent="0.3">
      <c r="A636" t="s">
        <v>2702</v>
      </c>
      <c r="B636">
        <v>43267</v>
      </c>
      <c r="C636" t="s">
        <v>454</v>
      </c>
      <c r="D636" t="s">
        <v>856</v>
      </c>
      <c r="E636" t="s">
        <v>428</v>
      </c>
      <c r="F636" s="51">
        <v>45565</v>
      </c>
      <c r="G636" t="s">
        <v>1</v>
      </c>
    </row>
    <row r="637" spans="1:7" x14ac:dyDescent="0.3">
      <c r="A637" t="s">
        <v>2702</v>
      </c>
      <c r="B637">
        <v>43268</v>
      </c>
      <c r="C637" t="s">
        <v>411</v>
      </c>
      <c r="D637" t="s">
        <v>32</v>
      </c>
      <c r="E637" t="s">
        <v>683</v>
      </c>
      <c r="F637" s="51">
        <v>45544</v>
      </c>
      <c r="G637" t="s">
        <v>4</v>
      </c>
    </row>
    <row r="638" spans="1:7" x14ac:dyDescent="0.3">
      <c r="A638" t="s">
        <v>2702</v>
      </c>
      <c r="B638">
        <v>43269</v>
      </c>
      <c r="C638" t="s">
        <v>439</v>
      </c>
      <c r="D638" t="s">
        <v>148</v>
      </c>
      <c r="E638" t="s">
        <v>857</v>
      </c>
      <c r="F638" s="51">
        <v>45531</v>
      </c>
      <c r="G638" t="s">
        <v>3</v>
      </c>
    </row>
    <row r="639" spans="1:7" x14ac:dyDescent="0.3">
      <c r="A639" t="s">
        <v>2702</v>
      </c>
      <c r="B639">
        <v>43270</v>
      </c>
      <c r="C639" t="s">
        <v>858</v>
      </c>
      <c r="D639" t="s">
        <v>859</v>
      </c>
      <c r="E639" t="s">
        <v>860</v>
      </c>
      <c r="F639" s="51">
        <v>45565</v>
      </c>
      <c r="G639" t="s">
        <v>2</v>
      </c>
    </row>
    <row r="640" spans="1:7" x14ac:dyDescent="0.3">
      <c r="A640" t="s">
        <v>2702</v>
      </c>
      <c r="B640">
        <v>43271</v>
      </c>
      <c r="C640" t="s">
        <v>180</v>
      </c>
      <c r="D640" t="s">
        <v>181</v>
      </c>
      <c r="E640" t="s">
        <v>861</v>
      </c>
      <c r="F640" s="99">
        <v>45530.710717592592</v>
      </c>
      <c r="G640" t="s">
        <v>1</v>
      </c>
    </row>
    <row r="641" spans="1:7" x14ac:dyDescent="0.3">
      <c r="A641" t="s">
        <v>2702</v>
      </c>
      <c r="B641">
        <v>43274</v>
      </c>
      <c r="C641" t="s">
        <v>439</v>
      </c>
      <c r="D641" t="s">
        <v>148</v>
      </c>
      <c r="E641" t="s">
        <v>699</v>
      </c>
      <c r="F641" s="99">
        <v>45530.514479166668</v>
      </c>
      <c r="G641" t="s">
        <v>3</v>
      </c>
    </row>
    <row r="642" spans="1:7" x14ac:dyDescent="0.3">
      <c r="A642" t="s">
        <v>2702</v>
      </c>
      <c r="B642">
        <v>43275</v>
      </c>
      <c r="C642" t="s">
        <v>90</v>
      </c>
      <c r="D642" t="s">
        <v>162</v>
      </c>
      <c r="E642" t="s">
        <v>145</v>
      </c>
      <c r="F642" s="51">
        <v>45530</v>
      </c>
      <c r="G642" t="s">
        <v>1</v>
      </c>
    </row>
    <row r="643" spans="1:7" x14ac:dyDescent="0.3">
      <c r="A643" t="s">
        <v>2702</v>
      </c>
      <c r="B643">
        <v>43276</v>
      </c>
      <c r="C643" t="s">
        <v>700</v>
      </c>
      <c r="D643" t="s">
        <v>862</v>
      </c>
      <c r="E643" t="s">
        <v>863</v>
      </c>
      <c r="F643" s="51">
        <v>45565</v>
      </c>
      <c r="G643" t="s">
        <v>1</v>
      </c>
    </row>
    <row r="644" spans="1:7" x14ac:dyDescent="0.3">
      <c r="A644" t="s">
        <v>2702</v>
      </c>
      <c r="B644">
        <v>43277</v>
      </c>
      <c r="C644" t="s">
        <v>864</v>
      </c>
      <c r="D644" t="s">
        <v>287</v>
      </c>
      <c r="E644" t="s">
        <v>865</v>
      </c>
      <c r="F644" s="51">
        <v>45565</v>
      </c>
      <c r="G644" t="s">
        <v>1</v>
      </c>
    </row>
    <row r="645" spans="1:7" x14ac:dyDescent="0.3">
      <c r="A645" t="s">
        <v>2702</v>
      </c>
      <c r="B645">
        <v>43278</v>
      </c>
      <c r="C645" t="s">
        <v>866</v>
      </c>
      <c r="D645" t="s">
        <v>867</v>
      </c>
      <c r="E645" t="s">
        <v>662</v>
      </c>
      <c r="F645" s="51">
        <v>45530</v>
      </c>
      <c r="G645" t="s">
        <v>1</v>
      </c>
    </row>
    <row r="646" spans="1:7" x14ac:dyDescent="0.3">
      <c r="A646" t="s">
        <v>2702</v>
      </c>
      <c r="B646">
        <v>43281</v>
      </c>
      <c r="C646" t="s">
        <v>868</v>
      </c>
      <c r="D646" t="s">
        <v>167</v>
      </c>
      <c r="E646" t="s">
        <v>869</v>
      </c>
      <c r="F646" s="51">
        <v>45544</v>
      </c>
      <c r="G646" t="s">
        <v>1</v>
      </c>
    </row>
    <row r="647" spans="1:7" x14ac:dyDescent="0.3">
      <c r="A647" t="s">
        <v>2702</v>
      </c>
      <c r="B647">
        <v>43283</v>
      </c>
      <c r="C647" t="s">
        <v>870</v>
      </c>
      <c r="D647" t="s">
        <v>252</v>
      </c>
      <c r="E647" t="s">
        <v>871</v>
      </c>
      <c r="F647" s="99">
        <v>45530.705416666664</v>
      </c>
      <c r="G647" t="s">
        <v>1</v>
      </c>
    </row>
    <row r="648" spans="1:7" x14ac:dyDescent="0.3">
      <c r="A648" t="s">
        <v>2702</v>
      </c>
      <c r="B648">
        <v>43284</v>
      </c>
      <c r="C648" t="s">
        <v>486</v>
      </c>
      <c r="D648" t="s">
        <v>487</v>
      </c>
      <c r="E648" t="s">
        <v>221</v>
      </c>
      <c r="F648" s="51">
        <v>45538</v>
      </c>
      <c r="G648" t="s">
        <v>3</v>
      </c>
    </row>
    <row r="649" spans="1:7" x14ac:dyDescent="0.3">
      <c r="A649" t="s">
        <v>2702</v>
      </c>
      <c r="B649">
        <v>43285</v>
      </c>
      <c r="C649" t="s">
        <v>450</v>
      </c>
      <c r="D649" t="s">
        <v>444</v>
      </c>
      <c r="E649" t="s">
        <v>615</v>
      </c>
      <c r="F649" s="99">
        <v>45544.378923611112</v>
      </c>
      <c r="G649" t="s">
        <v>1</v>
      </c>
    </row>
    <row r="650" spans="1:7" x14ac:dyDescent="0.3">
      <c r="A650" t="s">
        <v>2702</v>
      </c>
      <c r="B650">
        <v>43286</v>
      </c>
      <c r="C650" t="s">
        <v>450</v>
      </c>
      <c r="D650" t="s">
        <v>254</v>
      </c>
      <c r="E650" t="s">
        <v>615</v>
      </c>
      <c r="F650" s="51">
        <v>45546</v>
      </c>
      <c r="G650" t="s">
        <v>4</v>
      </c>
    </row>
    <row r="651" spans="1:7" x14ac:dyDescent="0.3">
      <c r="A651" t="s">
        <v>2702</v>
      </c>
      <c r="B651">
        <v>43287</v>
      </c>
      <c r="C651" t="s">
        <v>74</v>
      </c>
      <c r="D651" t="s">
        <v>872</v>
      </c>
      <c r="E651" t="s">
        <v>873</v>
      </c>
      <c r="F651" s="51">
        <v>45565</v>
      </c>
      <c r="G651" t="s">
        <v>4</v>
      </c>
    </row>
    <row r="652" spans="1:7" x14ac:dyDescent="0.3">
      <c r="A652" t="s">
        <v>2702</v>
      </c>
      <c r="B652">
        <v>43288</v>
      </c>
      <c r="C652" t="s">
        <v>292</v>
      </c>
      <c r="E652" t="s">
        <v>27</v>
      </c>
      <c r="F652" s="51">
        <v>45530</v>
      </c>
      <c r="G652" t="s">
        <v>1</v>
      </c>
    </row>
    <row r="653" spans="1:7" x14ac:dyDescent="0.3">
      <c r="A653" t="s">
        <v>2702</v>
      </c>
      <c r="B653">
        <v>43289</v>
      </c>
      <c r="C653" t="s">
        <v>439</v>
      </c>
      <c r="D653" t="s">
        <v>148</v>
      </c>
      <c r="E653" t="s">
        <v>874</v>
      </c>
      <c r="F653" s="99">
        <v>45530.516759259262</v>
      </c>
      <c r="G653" t="s">
        <v>3</v>
      </c>
    </row>
    <row r="654" spans="1:7" x14ac:dyDescent="0.3">
      <c r="A654" t="s">
        <v>2702</v>
      </c>
      <c r="B654">
        <v>43291</v>
      </c>
      <c r="C654" t="s">
        <v>875</v>
      </c>
      <c r="D654" t="s">
        <v>277</v>
      </c>
      <c r="E654" t="s">
        <v>598</v>
      </c>
      <c r="F654" s="51">
        <v>45553</v>
      </c>
      <c r="G654" t="s">
        <v>6</v>
      </c>
    </row>
    <row r="655" spans="1:7" x14ac:dyDescent="0.3">
      <c r="A655" t="s">
        <v>2702</v>
      </c>
      <c r="B655">
        <v>43293</v>
      </c>
      <c r="C655" t="s">
        <v>266</v>
      </c>
      <c r="D655" t="s">
        <v>267</v>
      </c>
      <c r="E655" t="s">
        <v>876</v>
      </c>
      <c r="F655" s="99">
        <v>45530.703472222223</v>
      </c>
      <c r="G655" t="s">
        <v>1</v>
      </c>
    </row>
    <row r="656" spans="1:7" x14ac:dyDescent="0.3">
      <c r="A656" t="s">
        <v>2702</v>
      </c>
      <c r="B656">
        <v>43294</v>
      </c>
      <c r="C656" t="s">
        <v>729</v>
      </c>
      <c r="D656" t="s">
        <v>877</v>
      </c>
      <c r="E656" t="s">
        <v>878</v>
      </c>
      <c r="F656" s="51">
        <v>45544</v>
      </c>
      <c r="G656" t="s">
        <v>1</v>
      </c>
    </row>
    <row r="657" spans="1:7" x14ac:dyDescent="0.3">
      <c r="A657" t="s">
        <v>2702</v>
      </c>
      <c r="B657">
        <v>43295</v>
      </c>
      <c r="C657" t="s">
        <v>122</v>
      </c>
      <c r="D657" t="s">
        <v>879</v>
      </c>
      <c r="E657" t="s">
        <v>880</v>
      </c>
      <c r="F657" s="51">
        <v>45531</v>
      </c>
      <c r="G657" t="s">
        <v>1</v>
      </c>
    </row>
    <row r="658" spans="1:7" x14ac:dyDescent="0.3">
      <c r="A658" t="s">
        <v>2702</v>
      </c>
      <c r="B658">
        <v>43297</v>
      </c>
      <c r="C658" t="s">
        <v>881</v>
      </c>
      <c r="D658" t="s">
        <v>120</v>
      </c>
      <c r="E658" t="s">
        <v>882</v>
      </c>
      <c r="F658" s="51">
        <v>45559</v>
      </c>
      <c r="G658" t="s">
        <v>1</v>
      </c>
    </row>
    <row r="659" spans="1:7" x14ac:dyDescent="0.3">
      <c r="A659" t="s">
        <v>2702</v>
      </c>
      <c r="B659">
        <v>43298</v>
      </c>
      <c r="C659" t="s">
        <v>773</v>
      </c>
      <c r="D659" t="s">
        <v>883</v>
      </c>
      <c r="E659" t="s">
        <v>884</v>
      </c>
      <c r="G659" t="s">
        <v>10</v>
      </c>
    </row>
    <row r="660" spans="1:7" x14ac:dyDescent="0.3">
      <c r="A660" t="s">
        <v>2702</v>
      </c>
      <c r="B660">
        <v>43299</v>
      </c>
      <c r="C660" t="s">
        <v>570</v>
      </c>
      <c r="D660" t="s">
        <v>240</v>
      </c>
      <c r="E660" t="s">
        <v>885</v>
      </c>
      <c r="F660" s="51">
        <v>45565</v>
      </c>
      <c r="G660" t="s">
        <v>8</v>
      </c>
    </row>
    <row r="661" spans="1:7" x14ac:dyDescent="0.3">
      <c r="A661" t="s">
        <v>2702</v>
      </c>
      <c r="B661">
        <v>43301</v>
      </c>
      <c r="C661" t="s">
        <v>474</v>
      </c>
      <c r="D661" t="s">
        <v>886</v>
      </c>
      <c r="E661" t="s">
        <v>319</v>
      </c>
      <c r="F661" s="51">
        <v>45600</v>
      </c>
      <c r="G661" t="s">
        <v>4</v>
      </c>
    </row>
    <row r="662" spans="1:7" x14ac:dyDescent="0.3">
      <c r="A662" t="s">
        <v>2702</v>
      </c>
      <c r="B662">
        <v>43302</v>
      </c>
      <c r="C662" t="s">
        <v>468</v>
      </c>
      <c r="D662" t="s">
        <v>2138</v>
      </c>
      <c r="E662" t="s">
        <v>519</v>
      </c>
      <c r="F662" s="51">
        <v>45782</v>
      </c>
      <c r="G662" t="s">
        <v>1</v>
      </c>
    </row>
    <row r="663" spans="1:7" x14ac:dyDescent="0.3">
      <c r="A663" t="s">
        <v>2702</v>
      </c>
      <c r="B663">
        <v>43304</v>
      </c>
      <c r="C663" t="s">
        <v>758</v>
      </c>
      <c r="D663" t="s">
        <v>887</v>
      </c>
      <c r="E663" t="s">
        <v>888</v>
      </c>
      <c r="F663" s="51">
        <v>45544</v>
      </c>
      <c r="G663" t="s">
        <v>4</v>
      </c>
    </row>
    <row r="664" spans="1:7" x14ac:dyDescent="0.3">
      <c r="A664" t="s">
        <v>2702</v>
      </c>
      <c r="B664">
        <v>43305</v>
      </c>
      <c r="C664" t="s">
        <v>674</v>
      </c>
      <c r="D664" t="s">
        <v>106</v>
      </c>
      <c r="E664" t="s">
        <v>889</v>
      </c>
      <c r="F664" s="51">
        <v>45561</v>
      </c>
      <c r="G664" t="s">
        <v>1</v>
      </c>
    </row>
    <row r="665" spans="1:7" x14ac:dyDescent="0.3">
      <c r="A665" t="s">
        <v>2702</v>
      </c>
      <c r="B665">
        <v>43307</v>
      </c>
      <c r="C665" t="s">
        <v>890</v>
      </c>
      <c r="D665" t="s">
        <v>362</v>
      </c>
      <c r="E665" t="s">
        <v>27</v>
      </c>
      <c r="F665" s="51">
        <v>45546</v>
      </c>
      <c r="G665" t="s">
        <v>1</v>
      </c>
    </row>
    <row r="666" spans="1:7" x14ac:dyDescent="0.3">
      <c r="A666" t="s">
        <v>2702</v>
      </c>
      <c r="B666">
        <v>43308</v>
      </c>
      <c r="C666" t="s">
        <v>450</v>
      </c>
      <c r="D666" t="s">
        <v>254</v>
      </c>
      <c r="E666" t="s">
        <v>891</v>
      </c>
      <c r="F666" s="51">
        <v>45555</v>
      </c>
      <c r="G666" t="s">
        <v>2</v>
      </c>
    </row>
    <row r="667" spans="1:7" x14ac:dyDescent="0.3">
      <c r="A667" t="s">
        <v>2702</v>
      </c>
      <c r="B667">
        <v>43310</v>
      </c>
      <c r="C667" t="s">
        <v>892</v>
      </c>
      <c r="D667" t="s">
        <v>148</v>
      </c>
      <c r="E667" t="s">
        <v>893</v>
      </c>
      <c r="F667" s="51">
        <v>45565</v>
      </c>
      <c r="G667" t="s">
        <v>1</v>
      </c>
    </row>
    <row r="668" spans="1:7" x14ac:dyDescent="0.3">
      <c r="A668" t="s">
        <v>2702</v>
      </c>
      <c r="B668">
        <v>43312</v>
      </c>
      <c r="C668" t="s">
        <v>894</v>
      </c>
      <c r="D668" t="s">
        <v>252</v>
      </c>
      <c r="E668" t="s">
        <v>283</v>
      </c>
      <c r="F668" s="51">
        <v>45544</v>
      </c>
      <c r="G668" t="s">
        <v>1</v>
      </c>
    </row>
    <row r="669" spans="1:7" x14ac:dyDescent="0.3">
      <c r="A669" t="s">
        <v>2702</v>
      </c>
      <c r="B669">
        <v>43313</v>
      </c>
      <c r="C669" t="s">
        <v>895</v>
      </c>
      <c r="D669" t="s">
        <v>896</v>
      </c>
      <c r="E669" t="s">
        <v>85</v>
      </c>
      <c r="F669" s="51">
        <v>45544</v>
      </c>
      <c r="G669" t="s">
        <v>1</v>
      </c>
    </row>
    <row r="670" spans="1:7" x14ac:dyDescent="0.3">
      <c r="A670" t="s">
        <v>2702</v>
      </c>
      <c r="B670">
        <v>43314</v>
      </c>
      <c r="C670" t="s">
        <v>96</v>
      </c>
      <c r="D670" t="s">
        <v>718</v>
      </c>
      <c r="E670" t="s">
        <v>897</v>
      </c>
      <c r="F670" s="51">
        <v>45544</v>
      </c>
      <c r="G670" t="s">
        <v>4</v>
      </c>
    </row>
    <row r="671" spans="1:7" x14ac:dyDescent="0.3">
      <c r="A671" t="s">
        <v>2702</v>
      </c>
      <c r="B671">
        <v>43315</v>
      </c>
      <c r="C671" t="s">
        <v>71</v>
      </c>
      <c r="D671" t="s">
        <v>106</v>
      </c>
      <c r="E671" t="s">
        <v>898</v>
      </c>
      <c r="F671" s="51">
        <v>45541</v>
      </c>
      <c r="G671" t="s">
        <v>1</v>
      </c>
    </row>
    <row r="672" spans="1:7" x14ac:dyDescent="0.3">
      <c r="A672" t="s">
        <v>2702</v>
      </c>
      <c r="B672">
        <v>43316</v>
      </c>
      <c r="C672" t="s">
        <v>71</v>
      </c>
      <c r="D672" t="s">
        <v>106</v>
      </c>
      <c r="E672" t="s">
        <v>899</v>
      </c>
      <c r="F672" s="51">
        <v>45541</v>
      </c>
      <c r="G672" t="s">
        <v>1</v>
      </c>
    </row>
    <row r="673" spans="1:7" x14ac:dyDescent="0.3">
      <c r="A673" t="s">
        <v>2702</v>
      </c>
      <c r="B673">
        <v>43317</v>
      </c>
      <c r="C673" t="s">
        <v>900</v>
      </c>
      <c r="D673" t="s">
        <v>140</v>
      </c>
      <c r="E673" t="s">
        <v>146</v>
      </c>
      <c r="F673" s="51">
        <v>45561</v>
      </c>
      <c r="G673" t="s">
        <v>1</v>
      </c>
    </row>
    <row r="674" spans="1:7" x14ac:dyDescent="0.3">
      <c r="A674" t="s">
        <v>2702</v>
      </c>
      <c r="B674">
        <v>43318</v>
      </c>
      <c r="C674" t="s">
        <v>194</v>
      </c>
      <c r="D674" t="s">
        <v>84</v>
      </c>
      <c r="E674" t="s">
        <v>207</v>
      </c>
      <c r="F674" s="51">
        <v>45566</v>
      </c>
      <c r="G674" t="s">
        <v>1</v>
      </c>
    </row>
    <row r="675" spans="1:7" x14ac:dyDescent="0.3">
      <c r="A675" t="s">
        <v>2702</v>
      </c>
      <c r="B675">
        <v>43320</v>
      </c>
      <c r="C675" t="s">
        <v>71</v>
      </c>
      <c r="D675" t="s">
        <v>106</v>
      </c>
      <c r="E675" t="s">
        <v>485</v>
      </c>
      <c r="F675" s="51">
        <v>45541</v>
      </c>
      <c r="G675" t="s">
        <v>1</v>
      </c>
    </row>
    <row r="676" spans="1:7" x14ac:dyDescent="0.3">
      <c r="A676" t="s">
        <v>2702</v>
      </c>
      <c r="B676">
        <v>43321</v>
      </c>
      <c r="C676" t="s">
        <v>901</v>
      </c>
      <c r="D676" t="s">
        <v>82</v>
      </c>
      <c r="E676" t="s">
        <v>902</v>
      </c>
      <c r="F676" s="51">
        <v>45546</v>
      </c>
      <c r="G676" t="s">
        <v>1</v>
      </c>
    </row>
    <row r="677" spans="1:7" x14ac:dyDescent="0.3">
      <c r="A677" t="s">
        <v>2702</v>
      </c>
      <c r="B677">
        <v>43322</v>
      </c>
      <c r="C677" t="s">
        <v>903</v>
      </c>
      <c r="D677" t="s">
        <v>904</v>
      </c>
      <c r="E677" t="s">
        <v>121</v>
      </c>
      <c r="F677" s="51">
        <v>45554</v>
      </c>
      <c r="G677" t="s">
        <v>4</v>
      </c>
    </row>
    <row r="678" spans="1:7" x14ac:dyDescent="0.3">
      <c r="A678" t="s">
        <v>2702</v>
      </c>
      <c r="B678">
        <v>43323</v>
      </c>
      <c r="C678" t="s">
        <v>570</v>
      </c>
      <c r="D678" t="s">
        <v>240</v>
      </c>
      <c r="E678" t="s">
        <v>885</v>
      </c>
      <c r="F678" s="51">
        <v>45565</v>
      </c>
      <c r="G678" t="s">
        <v>8</v>
      </c>
    </row>
    <row r="679" spans="1:7" x14ac:dyDescent="0.3">
      <c r="A679" t="s">
        <v>2702</v>
      </c>
      <c r="B679">
        <v>43324</v>
      </c>
      <c r="C679" t="s">
        <v>570</v>
      </c>
      <c r="D679" t="s">
        <v>240</v>
      </c>
      <c r="E679" t="s">
        <v>905</v>
      </c>
      <c r="F679" s="51">
        <v>45567</v>
      </c>
      <c r="G679" t="s">
        <v>1</v>
      </c>
    </row>
    <row r="680" spans="1:7" x14ac:dyDescent="0.3">
      <c r="A680" t="s">
        <v>2702</v>
      </c>
      <c r="B680">
        <v>43325</v>
      </c>
      <c r="C680" t="s">
        <v>122</v>
      </c>
      <c r="D680" t="s">
        <v>906</v>
      </c>
      <c r="F680" s="51">
        <v>45554</v>
      </c>
      <c r="G680" t="s">
        <v>1</v>
      </c>
    </row>
    <row r="681" spans="1:7" x14ac:dyDescent="0.3">
      <c r="A681" t="s">
        <v>2702</v>
      </c>
      <c r="B681">
        <v>43326</v>
      </c>
      <c r="C681" t="s">
        <v>71</v>
      </c>
      <c r="D681" t="s">
        <v>32</v>
      </c>
      <c r="E681" t="s">
        <v>907</v>
      </c>
      <c r="F681" s="51">
        <v>45541</v>
      </c>
      <c r="G681" t="s">
        <v>1</v>
      </c>
    </row>
    <row r="682" spans="1:7" x14ac:dyDescent="0.3">
      <c r="A682" t="s">
        <v>2702</v>
      </c>
      <c r="B682">
        <v>43327</v>
      </c>
      <c r="C682" t="s">
        <v>908</v>
      </c>
      <c r="D682" t="s">
        <v>909</v>
      </c>
      <c r="E682" t="s">
        <v>910</v>
      </c>
      <c r="F682" s="51">
        <v>45558</v>
      </c>
      <c r="G682" t="s">
        <v>1</v>
      </c>
    </row>
    <row r="683" spans="1:7" x14ac:dyDescent="0.3">
      <c r="A683" t="s">
        <v>2702</v>
      </c>
      <c r="B683">
        <v>43328</v>
      </c>
      <c r="C683" t="s">
        <v>439</v>
      </c>
      <c r="E683" t="s">
        <v>27</v>
      </c>
      <c r="F683" s="51">
        <v>45553</v>
      </c>
      <c r="G683" t="s">
        <v>1</v>
      </c>
    </row>
    <row r="684" spans="1:7" x14ac:dyDescent="0.3">
      <c r="A684" t="s">
        <v>2702</v>
      </c>
      <c r="B684">
        <v>43330</v>
      </c>
      <c r="C684" t="s">
        <v>911</v>
      </c>
      <c r="D684" t="s">
        <v>912</v>
      </c>
      <c r="E684" t="s">
        <v>913</v>
      </c>
      <c r="F684" s="51">
        <v>45544</v>
      </c>
      <c r="G684" t="s">
        <v>1</v>
      </c>
    </row>
    <row r="685" spans="1:7" x14ac:dyDescent="0.3">
      <c r="A685" t="s">
        <v>2702</v>
      </c>
      <c r="B685">
        <v>43331</v>
      </c>
      <c r="C685" t="s">
        <v>914</v>
      </c>
      <c r="D685" t="s">
        <v>915</v>
      </c>
      <c r="E685" t="s">
        <v>916</v>
      </c>
      <c r="F685" s="51">
        <v>45561</v>
      </c>
      <c r="G685" t="s">
        <v>1</v>
      </c>
    </row>
    <row r="686" spans="1:7" x14ac:dyDescent="0.3">
      <c r="A686" t="s">
        <v>2702</v>
      </c>
      <c r="B686">
        <v>43332</v>
      </c>
      <c r="C686" t="s">
        <v>917</v>
      </c>
      <c r="D686" t="s">
        <v>718</v>
      </c>
      <c r="E686" t="s">
        <v>615</v>
      </c>
      <c r="F686" s="51">
        <v>45544</v>
      </c>
      <c r="G686" t="s">
        <v>1</v>
      </c>
    </row>
    <row r="687" spans="1:7" x14ac:dyDescent="0.3">
      <c r="A687" t="s">
        <v>2702</v>
      </c>
      <c r="B687">
        <v>43334</v>
      </c>
      <c r="C687" t="s">
        <v>41</v>
      </c>
      <c r="D687" t="s">
        <v>2022</v>
      </c>
      <c r="E687" t="s">
        <v>98</v>
      </c>
      <c r="F687" s="51">
        <v>45735</v>
      </c>
      <c r="G687" t="s">
        <v>4</v>
      </c>
    </row>
    <row r="688" spans="1:7" x14ac:dyDescent="0.3">
      <c r="A688" t="s">
        <v>2702</v>
      </c>
      <c r="B688">
        <v>43337</v>
      </c>
      <c r="C688" t="s">
        <v>225</v>
      </c>
      <c r="E688" t="s">
        <v>918</v>
      </c>
      <c r="F688" s="51">
        <v>45553</v>
      </c>
      <c r="G688" t="s">
        <v>1</v>
      </c>
    </row>
    <row r="689" spans="1:7" x14ac:dyDescent="0.3">
      <c r="A689" t="s">
        <v>2702</v>
      </c>
      <c r="B689">
        <v>43338</v>
      </c>
      <c r="C689" t="s">
        <v>919</v>
      </c>
      <c r="D689" t="s">
        <v>226</v>
      </c>
      <c r="E689" t="s">
        <v>27</v>
      </c>
      <c r="F689" s="51">
        <v>45544</v>
      </c>
      <c r="G689" t="s">
        <v>1</v>
      </c>
    </row>
    <row r="690" spans="1:7" x14ac:dyDescent="0.3">
      <c r="A690" t="s">
        <v>2702</v>
      </c>
      <c r="B690">
        <v>43339</v>
      </c>
      <c r="C690" t="s">
        <v>920</v>
      </c>
      <c r="E690" t="s">
        <v>921</v>
      </c>
      <c r="F690" s="99">
        <v>45541.340081018519</v>
      </c>
      <c r="G690" t="s">
        <v>1</v>
      </c>
    </row>
    <row r="691" spans="1:7" x14ac:dyDescent="0.3">
      <c r="A691" t="s">
        <v>2702</v>
      </c>
      <c r="B691">
        <v>43340</v>
      </c>
      <c r="C691" t="s">
        <v>237</v>
      </c>
      <c r="D691" t="s">
        <v>84</v>
      </c>
      <c r="E691" t="s">
        <v>341</v>
      </c>
      <c r="F691" s="51">
        <v>45544</v>
      </c>
      <c r="G691" t="s">
        <v>1</v>
      </c>
    </row>
    <row r="692" spans="1:7" x14ac:dyDescent="0.3">
      <c r="A692" t="s">
        <v>2702</v>
      </c>
      <c r="B692">
        <v>43341</v>
      </c>
      <c r="C692" t="s">
        <v>486</v>
      </c>
      <c r="D692" t="s">
        <v>181</v>
      </c>
      <c r="E692" t="s">
        <v>922</v>
      </c>
      <c r="F692" s="51">
        <v>45553</v>
      </c>
      <c r="G692" t="s">
        <v>1</v>
      </c>
    </row>
    <row r="693" spans="1:7" x14ac:dyDescent="0.3">
      <c r="A693" t="s">
        <v>2702</v>
      </c>
      <c r="B693">
        <v>43342</v>
      </c>
      <c r="C693" t="s">
        <v>325</v>
      </c>
      <c r="D693" t="s">
        <v>367</v>
      </c>
      <c r="E693" t="s">
        <v>923</v>
      </c>
      <c r="F693" s="51">
        <v>45559</v>
      </c>
      <c r="G693" t="s">
        <v>3</v>
      </c>
    </row>
    <row r="694" spans="1:7" x14ac:dyDescent="0.3">
      <c r="A694" t="s">
        <v>2702</v>
      </c>
      <c r="B694">
        <v>43346</v>
      </c>
      <c r="C694" t="s">
        <v>309</v>
      </c>
      <c r="D694" t="s">
        <v>924</v>
      </c>
      <c r="E694" t="s">
        <v>880</v>
      </c>
      <c r="F694" s="51">
        <v>45566</v>
      </c>
      <c r="G694" t="s">
        <v>4</v>
      </c>
    </row>
    <row r="695" spans="1:7" x14ac:dyDescent="0.3">
      <c r="A695" t="s">
        <v>2702</v>
      </c>
      <c r="B695">
        <v>43347</v>
      </c>
      <c r="C695" t="s">
        <v>239</v>
      </c>
      <c r="D695" t="s">
        <v>240</v>
      </c>
      <c r="E695" t="s">
        <v>925</v>
      </c>
      <c r="F695" s="51">
        <v>45614</v>
      </c>
      <c r="G695" t="s">
        <v>1</v>
      </c>
    </row>
    <row r="696" spans="1:7" x14ac:dyDescent="0.3">
      <c r="A696" t="s">
        <v>2702</v>
      </c>
      <c r="B696">
        <v>43372</v>
      </c>
      <c r="C696" t="s">
        <v>761</v>
      </c>
      <c r="D696" t="s">
        <v>82</v>
      </c>
      <c r="E696" t="s">
        <v>744</v>
      </c>
      <c r="F696" s="51">
        <v>45554</v>
      </c>
      <c r="G696" t="s">
        <v>1</v>
      </c>
    </row>
    <row r="697" spans="1:7" x14ac:dyDescent="0.3">
      <c r="A697" t="s">
        <v>2702</v>
      </c>
      <c r="B697">
        <v>43376</v>
      </c>
      <c r="C697" t="s">
        <v>454</v>
      </c>
      <c r="D697" t="s">
        <v>453</v>
      </c>
      <c r="E697" t="s">
        <v>255</v>
      </c>
      <c r="F697" s="51">
        <v>45554</v>
      </c>
      <c r="G697" t="s">
        <v>1</v>
      </c>
    </row>
    <row r="698" spans="1:7" x14ac:dyDescent="0.3">
      <c r="A698" t="s">
        <v>2702</v>
      </c>
      <c r="B698">
        <v>43380</v>
      </c>
      <c r="C698" t="s">
        <v>375</v>
      </c>
      <c r="D698" t="s">
        <v>32</v>
      </c>
      <c r="E698" t="s">
        <v>215</v>
      </c>
      <c r="F698" s="51">
        <v>45554</v>
      </c>
      <c r="G698" t="s">
        <v>1</v>
      </c>
    </row>
    <row r="699" spans="1:7" x14ac:dyDescent="0.3">
      <c r="A699" t="s">
        <v>2702</v>
      </c>
      <c r="B699">
        <v>43382</v>
      </c>
      <c r="C699" t="s">
        <v>141</v>
      </c>
      <c r="D699" t="s">
        <v>63</v>
      </c>
      <c r="E699" t="s">
        <v>926</v>
      </c>
      <c r="F699" s="51">
        <v>45569</v>
      </c>
      <c r="G699" t="s">
        <v>1</v>
      </c>
    </row>
    <row r="700" spans="1:7" x14ac:dyDescent="0.3">
      <c r="A700" t="s">
        <v>2702</v>
      </c>
      <c r="B700">
        <v>43385</v>
      </c>
      <c r="C700" t="s">
        <v>573</v>
      </c>
      <c r="D700" t="s">
        <v>244</v>
      </c>
      <c r="E700" t="s">
        <v>927</v>
      </c>
      <c r="F700" s="51">
        <v>45554</v>
      </c>
      <c r="G700" t="s">
        <v>6</v>
      </c>
    </row>
    <row r="701" spans="1:7" x14ac:dyDescent="0.3">
      <c r="A701" t="s">
        <v>2702</v>
      </c>
      <c r="B701">
        <v>43387</v>
      </c>
      <c r="C701" t="s">
        <v>194</v>
      </c>
      <c r="D701" t="s">
        <v>84</v>
      </c>
      <c r="E701" t="s">
        <v>145</v>
      </c>
      <c r="F701" s="51">
        <v>45558</v>
      </c>
      <c r="G701" t="s">
        <v>1</v>
      </c>
    </row>
    <row r="702" spans="1:7" x14ac:dyDescent="0.3">
      <c r="A702" t="s">
        <v>2702</v>
      </c>
      <c r="B702">
        <v>43389</v>
      </c>
      <c r="C702" t="s">
        <v>237</v>
      </c>
      <c r="D702" t="s">
        <v>84</v>
      </c>
      <c r="E702" t="s">
        <v>928</v>
      </c>
      <c r="F702" s="51">
        <v>45565</v>
      </c>
      <c r="G702" t="s">
        <v>1</v>
      </c>
    </row>
    <row r="703" spans="1:7" x14ac:dyDescent="0.3">
      <c r="A703" t="s">
        <v>2702</v>
      </c>
      <c r="B703">
        <v>43390</v>
      </c>
      <c r="C703" t="s">
        <v>758</v>
      </c>
      <c r="D703" t="s">
        <v>797</v>
      </c>
      <c r="E703" t="s">
        <v>929</v>
      </c>
      <c r="F703" s="51">
        <v>45565</v>
      </c>
      <c r="G703" t="s">
        <v>4</v>
      </c>
    </row>
    <row r="704" spans="1:7" x14ac:dyDescent="0.3">
      <c r="A704" t="s">
        <v>2702</v>
      </c>
      <c r="B704">
        <v>43391</v>
      </c>
      <c r="C704" t="s">
        <v>239</v>
      </c>
      <c r="D704" t="s">
        <v>930</v>
      </c>
      <c r="E704" t="s">
        <v>931</v>
      </c>
      <c r="F704" s="99">
        <v>45624.750462962962</v>
      </c>
      <c r="G704" t="s">
        <v>2</v>
      </c>
    </row>
    <row r="705" spans="1:7" x14ac:dyDescent="0.3">
      <c r="A705" t="s">
        <v>2702</v>
      </c>
      <c r="B705">
        <v>43393</v>
      </c>
      <c r="C705" t="s">
        <v>450</v>
      </c>
      <c r="D705" t="s">
        <v>254</v>
      </c>
      <c r="E705" t="s">
        <v>932</v>
      </c>
      <c r="F705" s="51">
        <v>45558</v>
      </c>
      <c r="G705" t="s">
        <v>4</v>
      </c>
    </row>
    <row r="706" spans="1:7" x14ac:dyDescent="0.3">
      <c r="A706" t="s">
        <v>2702</v>
      </c>
      <c r="B706">
        <v>43394</v>
      </c>
      <c r="C706" t="s">
        <v>180</v>
      </c>
      <c r="D706" t="s">
        <v>181</v>
      </c>
      <c r="E706" t="s">
        <v>255</v>
      </c>
      <c r="F706" s="51">
        <v>45554</v>
      </c>
      <c r="G706" t="s">
        <v>1</v>
      </c>
    </row>
    <row r="707" spans="1:7" x14ac:dyDescent="0.3">
      <c r="A707" t="s">
        <v>2702</v>
      </c>
      <c r="B707">
        <v>43395</v>
      </c>
      <c r="C707" t="s">
        <v>62</v>
      </c>
      <c r="E707" t="s">
        <v>933</v>
      </c>
      <c r="F707" s="51">
        <v>45558</v>
      </c>
      <c r="G707" t="s">
        <v>1</v>
      </c>
    </row>
    <row r="708" spans="1:7" x14ac:dyDescent="0.3">
      <c r="A708" t="s">
        <v>2702</v>
      </c>
      <c r="B708">
        <v>43396</v>
      </c>
      <c r="C708" t="s">
        <v>225</v>
      </c>
      <c r="E708" t="s">
        <v>934</v>
      </c>
      <c r="F708" s="51">
        <v>45558</v>
      </c>
      <c r="G708" t="s">
        <v>1</v>
      </c>
    </row>
    <row r="709" spans="1:7" x14ac:dyDescent="0.3">
      <c r="A709" t="s">
        <v>2702</v>
      </c>
      <c r="B709">
        <v>43397</v>
      </c>
      <c r="C709" t="s">
        <v>559</v>
      </c>
      <c r="D709" t="s">
        <v>45</v>
      </c>
      <c r="E709" t="s">
        <v>841</v>
      </c>
      <c r="F709" s="51">
        <v>45554</v>
      </c>
      <c r="G709" t="s">
        <v>10</v>
      </c>
    </row>
    <row r="710" spans="1:7" x14ac:dyDescent="0.3">
      <c r="A710" t="s">
        <v>2702</v>
      </c>
      <c r="B710">
        <v>43398</v>
      </c>
      <c r="C710" t="s">
        <v>935</v>
      </c>
      <c r="E710" t="s">
        <v>936</v>
      </c>
      <c r="F710" s="51">
        <v>45565</v>
      </c>
      <c r="G710" t="s">
        <v>4</v>
      </c>
    </row>
    <row r="711" spans="1:7" x14ac:dyDescent="0.3">
      <c r="A711" t="s">
        <v>2702</v>
      </c>
      <c r="B711">
        <v>43399</v>
      </c>
      <c r="C711" t="s">
        <v>399</v>
      </c>
      <c r="D711" t="s">
        <v>909</v>
      </c>
      <c r="E711" t="s">
        <v>683</v>
      </c>
      <c r="F711" s="51">
        <v>45558</v>
      </c>
      <c r="G711" t="s">
        <v>1</v>
      </c>
    </row>
    <row r="712" spans="1:7" x14ac:dyDescent="0.3">
      <c r="A712" t="s">
        <v>2702</v>
      </c>
      <c r="B712">
        <v>43400</v>
      </c>
      <c r="C712" t="s">
        <v>41</v>
      </c>
      <c r="D712" t="s">
        <v>937</v>
      </c>
      <c r="E712" t="s">
        <v>818</v>
      </c>
      <c r="F712" s="51">
        <v>45561</v>
      </c>
      <c r="G712" t="s">
        <v>2</v>
      </c>
    </row>
    <row r="713" spans="1:7" x14ac:dyDescent="0.3">
      <c r="A713" t="s">
        <v>2702</v>
      </c>
      <c r="B713">
        <v>43402</v>
      </c>
      <c r="C713" t="s">
        <v>237</v>
      </c>
      <c r="D713" t="s">
        <v>84</v>
      </c>
      <c r="E713" t="s">
        <v>212</v>
      </c>
      <c r="F713" s="51">
        <v>45618</v>
      </c>
      <c r="G713" t="s">
        <v>1</v>
      </c>
    </row>
    <row r="714" spans="1:7" x14ac:dyDescent="0.3">
      <c r="A714" t="s">
        <v>2702</v>
      </c>
      <c r="B714">
        <v>43403</v>
      </c>
      <c r="C714" t="s">
        <v>375</v>
      </c>
      <c r="D714" t="s">
        <v>75</v>
      </c>
      <c r="E714" t="s">
        <v>207</v>
      </c>
      <c r="F714" s="51">
        <v>45569</v>
      </c>
      <c r="G714" t="s">
        <v>8</v>
      </c>
    </row>
    <row r="715" spans="1:7" x14ac:dyDescent="0.3">
      <c r="A715" t="s">
        <v>2702</v>
      </c>
      <c r="B715">
        <v>43404</v>
      </c>
      <c r="C715" t="s">
        <v>917</v>
      </c>
      <c r="E715" t="s">
        <v>938</v>
      </c>
      <c r="F715" s="51">
        <v>45554</v>
      </c>
      <c r="G715" t="s">
        <v>1</v>
      </c>
    </row>
    <row r="716" spans="1:7" x14ac:dyDescent="0.3">
      <c r="A716" t="s">
        <v>2702</v>
      </c>
      <c r="B716">
        <v>43405</v>
      </c>
      <c r="C716" t="s">
        <v>271</v>
      </c>
      <c r="D716" t="s">
        <v>915</v>
      </c>
      <c r="E716" t="s">
        <v>640</v>
      </c>
      <c r="F716" s="51">
        <v>45554</v>
      </c>
      <c r="G716" t="s">
        <v>1</v>
      </c>
    </row>
    <row r="717" spans="1:7" x14ac:dyDescent="0.3">
      <c r="A717" t="s">
        <v>2702</v>
      </c>
      <c r="B717">
        <v>43407</v>
      </c>
      <c r="C717" t="s">
        <v>237</v>
      </c>
      <c r="D717" t="s">
        <v>84</v>
      </c>
      <c r="E717" t="s">
        <v>341</v>
      </c>
      <c r="F717" s="51">
        <v>45618</v>
      </c>
      <c r="G717" t="s">
        <v>1</v>
      </c>
    </row>
    <row r="718" spans="1:7" x14ac:dyDescent="0.3">
      <c r="A718" t="s">
        <v>2702</v>
      </c>
      <c r="B718">
        <v>43408</v>
      </c>
      <c r="C718" t="s">
        <v>41</v>
      </c>
      <c r="D718" t="s">
        <v>227</v>
      </c>
      <c r="E718" t="s">
        <v>939</v>
      </c>
      <c r="F718" s="51">
        <v>45565</v>
      </c>
      <c r="G718" t="s">
        <v>4</v>
      </c>
    </row>
    <row r="719" spans="1:7" x14ac:dyDescent="0.3">
      <c r="A719" t="s">
        <v>2702</v>
      </c>
      <c r="B719">
        <v>43410</v>
      </c>
      <c r="C719" t="s">
        <v>187</v>
      </c>
      <c r="D719" t="s">
        <v>148</v>
      </c>
      <c r="E719" t="s">
        <v>940</v>
      </c>
      <c r="F719" s="51">
        <v>45558</v>
      </c>
      <c r="G719" t="s">
        <v>1</v>
      </c>
    </row>
    <row r="720" spans="1:7" x14ac:dyDescent="0.3">
      <c r="A720" t="s">
        <v>2702</v>
      </c>
      <c r="B720">
        <v>43411</v>
      </c>
      <c r="C720" t="s">
        <v>41</v>
      </c>
      <c r="D720" t="s">
        <v>529</v>
      </c>
      <c r="E720" t="s">
        <v>2023</v>
      </c>
      <c r="F720" s="51">
        <v>45735</v>
      </c>
      <c r="G720" t="s">
        <v>4</v>
      </c>
    </row>
    <row r="721" spans="1:7" x14ac:dyDescent="0.3">
      <c r="A721" t="s">
        <v>2702</v>
      </c>
      <c r="B721">
        <v>43412</v>
      </c>
      <c r="C721" t="s">
        <v>808</v>
      </c>
      <c r="D721" t="s">
        <v>718</v>
      </c>
      <c r="E721" t="s">
        <v>755</v>
      </c>
      <c r="F721" s="51">
        <v>45554</v>
      </c>
      <c r="G721" t="s">
        <v>1</v>
      </c>
    </row>
    <row r="722" spans="1:7" x14ac:dyDescent="0.3">
      <c r="A722" t="s">
        <v>2702</v>
      </c>
      <c r="B722">
        <v>43413</v>
      </c>
      <c r="C722" t="s">
        <v>941</v>
      </c>
      <c r="D722" t="s">
        <v>942</v>
      </c>
      <c r="E722" t="s">
        <v>943</v>
      </c>
      <c r="F722" s="51">
        <v>45558</v>
      </c>
      <c r="G722" t="s">
        <v>1</v>
      </c>
    </row>
    <row r="723" spans="1:7" x14ac:dyDescent="0.3">
      <c r="A723" t="s">
        <v>2702</v>
      </c>
      <c r="B723">
        <v>43416</v>
      </c>
      <c r="C723" t="s">
        <v>237</v>
      </c>
      <c r="D723" t="s">
        <v>84</v>
      </c>
      <c r="E723" t="s">
        <v>944</v>
      </c>
      <c r="F723" s="51">
        <v>45558</v>
      </c>
      <c r="G723" t="s">
        <v>1</v>
      </c>
    </row>
    <row r="724" spans="1:7" x14ac:dyDescent="0.3">
      <c r="A724" t="s">
        <v>2702</v>
      </c>
      <c r="B724">
        <v>43419</v>
      </c>
      <c r="C724" t="s">
        <v>482</v>
      </c>
      <c r="D724" t="s">
        <v>945</v>
      </c>
      <c r="E724" t="s">
        <v>946</v>
      </c>
      <c r="F724" s="51">
        <v>45582</v>
      </c>
      <c r="G724" t="s">
        <v>2</v>
      </c>
    </row>
    <row r="725" spans="1:7" x14ac:dyDescent="0.3">
      <c r="A725" t="s">
        <v>2702</v>
      </c>
      <c r="B725">
        <v>43421</v>
      </c>
      <c r="C725" t="s">
        <v>441</v>
      </c>
      <c r="D725" t="s">
        <v>45</v>
      </c>
      <c r="E725" t="s">
        <v>947</v>
      </c>
      <c r="F725" s="51">
        <v>45565</v>
      </c>
      <c r="G725" t="s">
        <v>1</v>
      </c>
    </row>
    <row r="726" spans="1:7" x14ac:dyDescent="0.3">
      <c r="A726" t="s">
        <v>2702</v>
      </c>
      <c r="B726">
        <v>43424</v>
      </c>
      <c r="C726" t="s">
        <v>74</v>
      </c>
      <c r="D726" t="s">
        <v>948</v>
      </c>
      <c r="E726" t="s">
        <v>145</v>
      </c>
      <c r="F726" s="51">
        <v>45561</v>
      </c>
      <c r="G726" t="s">
        <v>1</v>
      </c>
    </row>
    <row r="727" spans="1:7" x14ac:dyDescent="0.3">
      <c r="A727" t="s">
        <v>2702</v>
      </c>
      <c r="B727">
        <v>43425</v>
      </c>
      <c r="C727" t="s">
        <v>102</v>
      </c>
      <c r="D727" t="s">
        <v>32</v>
      </c>
      <c r="E727" t="s">
        <v>949</v>
      </c>
      <c r="F727" s="51">
        <v>45562</v>
      </c>
      <c r="G727" t="s">
        <v>1</v>
      </c>
    </row>
    <row r="728" spans="1:7" x14ac:dyDescent="0.3">
      <c r="A728" t="s">
        <v>2702</v>
      </c>
      <c r="B728">
        <v>43427</v>
      </c>
      <c r="C728" t="s">
        <v>62</v>
      </c>
      <c r="D728" t="s">
        <v>63</v>
      </c>
      <c r="E728" t="s">
        <v>950</v>
      </c>
      <c r="F728" s="51">
        <v>45561</v>
      </c>
      <c r="G728" t="s">
        <v>1</v>
      </c>
    </row>
    <row r="729" spans="1:7" x14ac:dyDescent="0.3">
      <c r="A729" t="s">
        <v>2702</v>
      </c>
      <c r="B729">
        <v>43429</v>
      </c>
      <c r="C729" t="s">
        <v>1081</v>
      </c>
      <c r="D729" t="s">
        <v>217</v>
      </c>
      <c r="E729" t="s">
        <v>1831</v>
      </c>
      <c r="F729" s="51">
        <v>45789</v>
      </c>
      <c r="G729" t="s">
        <v>1</v>
      </c>
    </row>
    <row r="730" spans="1:7" x14ac:dyDescent="0.3">
      <c r="A730" t="s">
        <v>2702</v>
      </c>
      <c r="B730">
        <v>43430</v>
      </c>
      <c r="C730" t="s">
        <v>951</v>
      </c>
      <c r="D730" t="s">
        <v>688</v>
      </c>
      <c r="E730" t="s">
        <v>952</v>
      </c>
      <c r="F730" s="51">
        <v>45561</v>
      </c>
      <c r="G730" t="s">
        <v>1</v>
      </c>
    </row>
    <row r="731" spans="1:7" x14ac:dyDescent="0.3">
      <c r="A731" t="s">
        <v>2702</v>
      </c>
      <c r="B731">
        <v>43431</v>
      </c>
      <c r="C731" t="s">
        <v>278</v>
      </c>
      <c r="E731" t="s">
        <v>27</v>
      </c>
      <c r="F731" s="51">
        <v>45561</v>
      </c>
      <c r="G731" t="s">
        <v>1</v>
      </c>
    </row>
    <row r="732" spans="1:7" x14ac:dyDescent="0.3">
      <c r="A732" t="s">
        <v>2702</v>
      </c>
      <c r="B732">
        <v>43432</v>
      </c>
      <c r="C732" t="s">
        <v>953</v>
      </c>
      <c r="D732" t="s">
        <v>252</v>
      </c>
      <c r="E732" t="s">
        <v>954</v>
      </c>
      <c r="F732" s="51">
        <v>45600</v>
      </c>
      <c r="G732" t="s">
        <v>1</v>
      </c>
    </row>
    <row r="733" spans="1:7" x14ac:dyDescent="0.3">
      <c r="A733" t="s">
        <v>2702</v>
      </c>
      <c r="B733">
        <v>43433</v>
      </c>
      <c r="C733" t="s">
        <v>36</v>
      </c>
      <c r="D733" t="s">
        <v>263</v>
      </c>
      <c r="E733" t="s">
        <v>5</v>
      </c>
      <c r="F733" s="51">
        <v>45617</v>
      </c>
      <c r="G733" t="s">
        <v>2</v>
      </c>
    </row>
    <row r="734" spans="1:7" x14ac:dyDescent="0.3">
      <c r="A734" t="s">
        <v>2702</v>
      </c>
      <c r="B734">
        <v>43434</v>
      </c>
      <c r="C734" t="s">
        <v>262</v>
      </c>
      <c r="D734" t="s">
        <v>565</v>
      </c>
      <c r="E734" t="s">
        <v>1851</v>
      </c>
      <c r="F734" s="51">
        <v>45798</v>
      </c>
      <c r="G734" t="s">
        <v>5</v>
      </c>
    </row>
    <row r="735" spans="1:7" x14ac:dyDescent="0.3">
      <c r="A735" t="s">
        <v>2702</v>
      </c>
      <c r="B735">
        <v>43439</v>
      </c>
      <c r="C735" t="s">
        <v>559</v>
      </c>
      <c r="D735" t="s">
        <v>45</v>
      </c>
      <c r="E735" t="s">
        <v>955</v>
      </c>
      <c r="F735" s="51">
        <v>45561</v>
      </c>
      <c r="G735" t="s">
        <v>1</v>
      </c>
    </row>
    <row r="736" spans="1:7" x14ac:dyDescent="0.3">
      <c r="A736" t="s">
        <v>2702</v>
      </c>
      <c r="B736">
        <v>43446</v>
      </c>
      <c r="C736" t="s">
        <v>956</v>
      </c>
      <c r="D736" t="s">
        <v>809</v>
      </c>
      <c r="E736" t="s">
        <v>957</v>
      </c>
      <c r="F736" s="51">
        <v>45473</v>
      </c>
      <c r="G736" t="s">
        <v>1</v>
      </c>
    </row>
    <row r="737" spans="1:7" x14ac:dyDescent="0.3">
      <c r="A737" t="s">
        <v>2702</v>
      </c>
      <c r="B737">
        <v>43447</v>
      </c>
      <c r="C737" t="s">
        <v>90</v>
      </c>
      <c r="D737" t="s">
        <v>217</v>
      </c>
      <c r="E737" t="s">
        <v>163</v>
      </c>
      <c r="F737" s="51">
        <v>45565</v>
      </c>
      <c r="G737" t="s">
        <v>1</v>
      </c>
    </row>
    <row r="738" spans="1:7" x14ac:dyDescent="0.3">
      <c r="A738" t="s">
        <v>2702</v>
      </c>
      <c r="B738">
        <v>43448</v>
      </c>
      <c r="C738" t="s">
        <v>306</v>
      </c>
      <c r="D738" t="s">
        <v>362</v>
      </c>
      <c r="E738" t="s">
        <v>958</v>
      </c>
      <c r="F738" s="51">
        <v>45608</v>
      </c>
      <c r="G738" t="s">
        <v>1</v>
      </c>
    </row>
    <row r="739" spans="1:7" x14ac:dyDescent="0.3">
      <c r="A739" t="s">
        <v>2702</v>
      </c>
      <c r="B739">
        <v>43450</v>
      </c>
      <c r="C739" t="s">
        <v>439</v>
      </c>
      <c r="E739" t="s">
        <v>959</v>
      </c>
      <c r="F739" s="51">
        <v>45625</v>
      </c>
      <c r="G739" t="s">
        <v>1</v>
      </c>
    </row>
    <row r="740" spans="1:7" x14ac:dyDescent="0.3">
      <c r="A740" t="s">
        <v>2702</v>
      </c>
      <c r="B740">
        <v>43451</v>
      </c>
      <c r="C740" t="s">
        <v>325</v>
      </c>
      <c r="D740" t="s">
        <v>367</v>
      </c>
      <c r="E740" t="s">
        <v>163</v>
      </c>
      <c r="F740" s="51">
        <v>45565</v>
      </c>
      <c r="G740" t="s">
        <v>3</v>
      </c>
    </row>
    <row r="741" spans="1:7" x14ac:dyDescent="0.3">
      <c r="A741" t="s">
        <v>2702</v>
      </c>
      <c r="B741">
        <v>43455</v>
      </c>
      <c r="C741" t="s">
        <v>570</v>
      </c>
      <c r="D741" t="s">
        <v>232</v>
      </c>
      <c r="E741" t="s">
        <v>960</v>
      </c>
      <c r="F741" s="51">
        <v>45566</v>
      </c>
      <c r="G741" t="s">
        <v>2</v>
      </c>
    </row>
    <row r="742" spans="1:7" x14ac:dyDescent="0.3">
      <c r="A742" t="s">
        <v>2702</v>
      </c>
      <c r="B742">
        <v>43456</v>
      </c>
      <c r="C742" t="s">
        <v>476</v>
      </c>
      <c r="D742" t="s">
        <v>232</v>
      </c>
      <c r="E742" t="s">
        <v>960</v>
      </c>
      <c r="F742" s="51">
        <v>45565</v>
      </c>
      <c r="G742" t="s">
        <v>2</v>
      </c>
    </row>
    <row r="743" spans="1:7" x14ac:dyDescent="0.3">
      <c r="A743" t="s">
        <v>2702</v>
      </c>
      <c r="B743">
        <v>43457</v>
      </c>
      <c r="C743" t="s">
        <v>195</v>
      </c>
      <c r="D743" t="s">
        <v>232</v>
      </c>
      <c r="E743" t="s">
        <v>960</v>
      </c>
      <c r="F743" s="51">
        <v>45565</v>
      </c>
      <c r="G743" t="s">
        <v>2</v>
      </c>
    </row>
    <row r="744" spans="1:7" x14ac:dyDescent="0.3">
      <c r="A744" t="s">
        <v>2702</v>
      </c>
      <c r="B744">
        <v>43458</v>
      </c>
      <c r="C744" t="s">
        <v>961</v>
      </c>
      <c r="D744" t="s">
        <v>232</v>
      </c>
      <c r="E744" t="s">
        <v>960</v>
      </c>
      <c r="F744" s="51">
        <v>45586</v>
      </c>
      <c r="G744" t="s">
        <v>2</v>
      </c>
    </row>
    <row r="745" spans="1:7" x14ac:dyDescent="0.3">
      <c r="A745" t="s">
        <v>2702</v>
      </c>
      <c r="B745">
        <v>43459</v>
      </c>
      <c r="C745" t="s">
        <v>86</v>
      </c>
      <c r="D745" t="s">
        <v>232</v>
      </c>
      <c r="E745" t="s">
        <v>960</v>
      </c>
      <c r="F745" s="51">
        <v>45576</v>
      </c>
      <c r="G745" t="s">
        <v>2</v>
      </c>
    </row>
    <row r="746" spans="1:7" x14ac:dyDescent="0.3">
      <c r="A746" t="s">
        <v>2702</v>
      </c>
      <c r="B746">
        <v>43460</v>
      </c>
      <c r="C746" t="s">
        <v>439</v>
      </c>
      <c r="D746" t="s">
        <v>232</v>
      </c>
      <c r="E746" t="s">
        <v>960</v>
      </c>
      <c r="F746" s="51">
        <v>45586</v>
      </c>
      <c r="G746" t="s">
        <v>2</v>
      </c>
    </row>
    <row r="747" spans="1:7" x14ac:dyDescent="0.3">
      <c r="A747" t="s">
        <v>2702</v>
      </c>
      <c r="B747">
        <v>43461</v>
      </c>
      <c r="C747" t="s">
        <v>619</v>
      </c>
      <c r="D747" t="s">
        <v>232</v>
      </c>
      <c r="E747" t="s">
        <v>960</v>
      </c>
      <c r="F747" s="51">
        <v>45579</v>
      </c>
      <c r="G747" t="s">
        <v>2</v>
      </c>
    </row>
    <row r="748" spans="1:7" x14ac:dyDescent="0.3">
      <c r="A748" t="s">
        <v>2702</v>
      </c>
      <c r="B748">
        <v>43463</v>
      </c>
      <c r="C748" t="s">
        <v>41</v>
      </c>
      <c r="D748" t="s">
        <v>232</v>
      </c>
      <c r="E748" t="s">
        <v>960</v>
      </c>
      <c r="F748" s="51">
        <v>45586</v>
      </c>
      <c r="G748" t="s">
        <v>2</v>
      </c>
    </row>
    <row r="749" spans="1:7" x14ac:dyDescent="0.3">
      <c r="A749" t="s">
        <v>2702</v>
      </c>
      <c r="B749">
        <v>43464</v>
      </c>
      <c r="C749" t="s">
        <v>231</v>
      </c>
      <c r="D749" t="s">
        <v>232</v>
      </c>
      <c r="E749" t="s">
        <v>960</v>
      </c>
      <c r="F749" s="51">
        <v>45576</v>
      </c>
      <c r="G749" t="s">
        <v>2</v>
      </c>
    </row>
    <row r="750" spans="1:7" x14ac:dyDescent="0.3">
      <c r="A750" t="s">
        <v>2702</v>
      </c>
      <c r="B750">
        <v>43465</v>
      </c>
      <c r="C750" t="s">
        <v>460</v>
      </c>
      <c r="D750" t="s">
        <v>232</v>
      </c>
      <c r="E750" t="s">
        <v>960</v>
      </c>
      <c r="F750" s="51">
        <v>45576</v>
      </c>
      <c r="G750" t="s">
        <v>2</v>
      </c>
    </row>
    <row r="751" spans="1:7" x14ac:dyDescent="0.3">
      <c r="A751" t="s">
        <v>2702</v>
      </c>
      <c r="B751">
        <v>43466</v>
      </c>
      <c r="C751" t="s">
        <v>962</v>
      </c>
      <c r="D751" t="s">
        <v>232</v>
      </c>
      <c r="E751" t="s">
        <v>960</v>
      </c>
      <c r="F751" s="51">
        <v>45576</v>
      </c>
      <c r="G751" t="s">
        <v>963</v>
      </c>
    </row>
    <row r="752" spans="1:7" x14ac:dyDescent="0.3">
      <c r="A752" t="s">
        <v>2702</v>
      </c>
      <c r="B752">
        <v>43467</v>
      </c>
      <c r="C752" t="s">
        <v>237</v>
      </c>
      <c r="D752" t="s">
        <v>84</v>
      </c>
      <c r="E752" t="s">
        <v>2136</v>
      </c>
      <c r="F752" s="51">
        <v>45782</v>
      </c>
      <c r="G752" t="s">
        <v>1</v>
      </c>
    </row>
    <row r="753" spans="1:7" x14ac:dyDescent="0.3">
      <c r="A753" t="s">
        <v>2702</v>
      </c>
      <c r="B753">
        <v>43470</v>
      </c>
      <c r="C753" t="s">
        <v>328</v>
      </c>
      <c r="D753" t="s">
        <v>791</v>
      </c>
      <c r="E753" t="s">
        <v>145</v>
      </c>
      <c r="F753" s="51">
        <v>45582</v>
      </c>
      <c r="G753" t="s">
        <v>1</v>
      </c>
    </row>
    <row r="754" spans="1:7" x14ac:dyDescent="0.3">
      <c r="A754" t="s">
        <v>2702</v>
      </c>
      <c r="B754">
        <v>43471</v>
      </c>
      <c r="C754" t="s">
        <v>128</v>
      </c>
      <c r="D754" t="s">
        <v>82</v>
      </c>
      <c r="E754" t="s">
        <v>964</v>
      </c>
      <c r="F754" s="51">
        <v>45614</v>
      </c>
      <c r="G754" t="s">
        <v>1</v>
      </c>
    </row>
    <row r="755" spans="1:7" x14ac:dyDescent="0.3">
      <c r="A755" t="s">
        <v>2702</v>
      </c>
      <c r="B755">
        <v>43472</v>
      </c>
      <c r="C755" t="s">
        <v>965</v>
      </c>
      <c r="D755" t="s">
        <v>966</v>
      </c>
      <c r="E755" t="s">
        <v>85</v>
      </c>
      <c r="F755" s="51">
        <v>45565</v>
      </c>
      <c r="G755" t="s">
        <v>1</v>
      </c>
    </row>
    <row r="756" spans="1:7" x14ac:dyDescent="0.3">
      <c r="A756" t="s">
        <v>2702</v>
      </c>
      <c r="B756">
        <v>43473</v>
      </c>
      <c r="C756" t="s">
        <v>276</v>
      </c>
      <c r="D756" t="s">
        <v>967</v>
      </c>
      <c r="E756" t="s">
        <v>927</v>
      </c>
      <c r="F756" s="51">
        <v>45565</v>
      </c>
      <c r="G756" t="s">
        <v>1</v>
      </c>
    </row>
    <row r="757" spans="1:7" x14ac:dyDescent="0.3">
      <c r="A757" t="s">
        <v>2702</v>
      </c>
      <c r="B757">
        <v>43474</v>
      </c>
      <c r="C757" t="s">
        <v>661</v>
      </c>
      <c r="D757" t="s">
        <v>854</v>
      </c>
      <c r="E757" t="s">
        <v>968</v>
      </c>
      <c r="F757" s="51">
        <v>45582</v>
      </c>
      <c r="G757" t="s">
        <v>1</v>
      </c>
    </row>
    <row r="758" spans="1:7" x14ac:dyDescent="0.3">
      <c r="A758" t="s">
        <v>2702</v>
      </c>
      <c r="B758">
        <v>43475</v>
      </c>
      <c r="C758" t="s">
        <v>789</v>
      </c>
      <c r="E758" t="s">
        <v>27</v>
      </c>
      <c r="F758" s="51">
        <v>45566</v>
      </c>
      <c r="G758" t="s">
        <v>1</v>
      </c>
    </row>
    <row r="759" spans="1:7" x14ac:dyDescent="0.3">
      <c r="A759" t="s">
        <v>2702</v>
      </c>
      <c r="B759">
        <v>43483</v>
      </c>
      <c r="C759" t="s">
        <v>90</v>
      </c>
      <c r="D759" t="s">
        <v>45</v>
      </c>
      <c r="E759" t="s">
        <v>121</v>
      </c>
      <c r="F759" s="51">
        <v>45784</v>
      </c>
      <c r="G759" t="s">
        <v>4</v>
      </c>
    </row>
    <row r="760" spans="1:7" x14ac:dyDescent="0.3">
      <c r="A760" t="s">
        <v>2702</v>
      </c>
      <c r="B760">
        <v>43484</v>
      </c>
      <c r="C760" t="s">
        <v>439</v>
      </c>
      <c r="D760" t="s">
        <v>718</v>
      </c>
      <c r="E760" t="s">
        <v>121</v>
      </c>
      <c r="F760" s="51">
        <v>45600</v>
      </c>
      <c r="G760" t="s">
        <v>4</v>
      </c>
    </row>
    <row r="761" spans="1:7" x14ac:dyDescent="0.3">
      <c r="A761" t="s">
        <v>2702</v>
      </c>
      <c r="B761">
        <v>43485</v>
      </c>
      <c r="C761" t="s">
        <v>225</v>
      </c>
      <c r="E761" t="s">
        <v>969</v>
      </c>
      <c r="F761" s="51">
        <v>45565</v>
      </c>
      <c r="G761" t="s">
        <v>1</v>
      </c>
    </row>
    <row r="762" spans="1:7" x14ac:dyDescent="0.3">
      <c r="A762" t="s">
        <v>2702</v>
      </c>
      <c r="B762">
        <v>43487</v>
      </c>
      <c r="C762" t="s">
        <v>309</v>
      </c>
      <c r="D762" t="s">
        <v>970</v>
      </c>
      <c r="E762" t="s">
        <v>960</v>
      </c>
      <c r="F762" s="51">
        <v>45565</v>
      </c>
      <c r="G762" t="s">
        <v>5</v>
      </c>
    </row>
    <row r="763" spans="1:7" x14ac:dyDescent="0.3">
      <c r="A763" t="s">
        <v>2702</v>
      </c>
      <c r="B763">
        <v>43491</v>
      </c>
      <c r="C763" t="s">
        <v>41</v>
      </c>
      <c r="D763" t="s">
        <v>971</v>
      </c>
      <c r="E763" t="s">
        <v>972</v>
      </c>
      <c r="F763" s="51">
        <v>45582</v>
      </c>
      <c r="G763" t="s">
        <v>4</v>
      </c>
    </row>
    <row r="764" spans="1:7" x14ac:dyDescent="0.3">
      <c r="A764" t="s">
        <v>2702</v>
      </c>
      <c r="B764">
        <v>43492</v>
      </c>
      <c r="C764" t="s">
        <v>962</v>
      </c>
      <c r="D764" t="s">
        <v>232</v>
      </c>
      <c r="E764" t="s">
        <v>973</v>
      </c>
      <c r="F764" s="51">
        <v>45595</v>
      </c>
      <c r="G764" t="s">
        <v>2</v>
      </c>
    </row>
    <row r="765" spans="1:7" x14ac:dyDescent="0.3">
      <c r="A765" t="s">
        <v>2702</v>
      </c>
      <c r="B765">
        <v>43493</v>
      </c>
      <c r="C765" t="s">
        <v>41</v>
      </c>
      <c r="E765" t="s">
        <v>974</v>
      </c>
      <c r="F765" s="51">
        <v>45567</v>
      </c>
      <c r="G765" t="s">
        <v>2</v>
      </c>
    </row>
    <row r="766" spans="1:7" x14ac:dyDescent="0.3">
      <c r="A766" t="s">
        <v>2702</v>
      </c>
      <c r="B766">
        <v>43494</v>
      </c>
      <c r="C766" t="s">
        <v>975</v>
      </c>
      <c r="E766" t="s">
        <v>976</v>
      </c>
      <c r="F766" s="51">
        <v>45565</v>
      </c>
      <c r="G766" t="s">
        <v>1</v>
      </c>
    </row>
    <row r="767" spans="1:7" x14ac:dyDescent="0.3">
      <c r="A767" t="s">
        <v>2702</v>
      </c>
      <c r="B767">
        <v>43502</v>
      </c>
      <c r="C767" t="s">
        <v>977</v>
      </c>
      <c r="D767" t="s">
        <v>909</v>
      </c>
      <c r="E767" t="s">
        <v>978</v>
      </c>
      <c r="F767" s="51">
        <v>45600</v>
      </c>
      <c r="G767" t="s">
        <v>1</v>
      </c>
    </row>
    <row r="768" spans="1:7" x14ac:dyDescent="0.3">
      <c r="A768" t="s">
        <v>2702</v>
      </c>
      <c r="B768">
        <v>43503</v>
      </c>
      <c r="C768" t="s">
        <v>62</v>
      </c>
      <c r="D768" t="s">
        <v>979</v>
      </c>
      <c r="E768" t="s">
        <v>27</v>
      </c>
      <c r="F768" s="51">
        <v>45587</v>
      </c>
      <c r="G768" t="s">
        <v>1</v>
      </c>
    </row>
    <row r="769" spans="1:7" x14ac:dyDescent="0.3">
      <c r="A769" t="s">
        <v>2702</v>
      </c>
      <c r="B769">
        <v>43505</v>
      </c>
      <c r="C769" t="s">
        <v>237</v>
      </c>
      <c r="D769" t="s">
        <v>980</v>
      </c>
      <c r="E769" t="s">
        <v>981</v>
      </c>
      <c r="F769" s="51">
        <v>45582</v>
      </c>
      <c r="G769" t="s">
        <v>1</v>
      </c>
    </row>
    <row r="770" spans="1:7" x14ac:dyDescent="0.3">
      <c r="A770" t="s">
        <v>2702</v>
      </c>
      <c r="B770">
        <v>43507</v>
      </c>
      <c r="C770" t="s">
        <v>875</v>
      </c>
      <c r="D770" t="s">
        <v>982</v>
      </c>
      <c r="E770" t="s">
        <v>255</v>
      </c>
      <c r="F770" s="51">
        <v>45630</v>
      </c>
      <c r="G770" t="s">
        <v>1</v>
      </c>
    </row>
    <row r="771" spans="1:7" x14ac:dyDescent="0.3">
      <c r="A771" t="s">
        <v>2702</v>
      </c>
      <c r="B771">
        <v>43508</v>
      </c>
      <c r="C771" t="s">
        <v>661</v>
      </c>
      <c r="D771" t="s">
        <v>179</v>
      </c>
      <c r="E771" t="s">
        <v>221</v>
      </c>
      <c r="F771" s="51">
        <v>45582</v>
      </c>
      <c r="G771" t="s">
        <v>1</v>
      </c>
    </row>
    <row r="772" spans="1:7" x14ac:dyDescent="0.3">
      <c r="A772" t="s">
        <v>2702</v>
      </c>
      <c r="B772">
        <v>43510</v>
      </c>
      <c r="C772" t="s">
        <v>511</v>
      </c>
      <c r="D772" t="s">
        <v>2119</v>
      </c>
      <c r="E772" t="s">
        <v>958</v>
      </c>
      <c r="F772" s="51">
        <v>45777</v>
      </c>
      <c r="G772" t="s">
        <v>1</v>
      </c>
    </row>
    <row r="773" spans="1:7" x14ac:dyDescent="0.3">
      <c r="A773" t="s">
        <v>2702</v>
      </c>
      <c r="B773">
        <v>43511</v>
      </c>
      <c r="C773" t="s">
        <v>1071</v>
      </c>
      <c r="D773" t="s">
        <v>254</v>
      </c>
      <c r="E773" t="s">
        <v>2372</v>
      </c>
      <c r="F773" s="51">
        <v>45807</v>
      </c>
      <c r="G773" t="s">
        <v>4</v>
      </c>
    </row>
    <row r="774" spans="1:7" x14ac:dyDescent="0.3">
      <c r="A774" t="s">
        <v>2702</v>
      </c>
      <c r="B774">
        <v>43512</v>
      </c>
      <c r="C774" t="s">
        <v>1071</v>
      </c>
      <c r="D774" t="s">
        <v>204</v>
      </c>
      <c r="E774" t="s">
        <v>2372</v>
      </c>
      <c r="F774" s="51">
        <v>45807</v>
      </c>
      <c r="G774" t="s">
        <v>4</v>
      </c>
    </row>
    <row r="775" spans="1:7" x14ac:dyDescent="0.3">
      <c r="A775" t="s">
        <v>2702</v>
      </c>
      <c r="B775">
        <v>43513</v>
      </c>
      <c r="C775" t="s">
        <v>266</v>
      </c>
      <c r="D775" t="s">
        <v>267</v>
      </c>
      <c r="E775" t="s">
        <v>983</v>
      </c>
      <c r="F775" s="51">
        <v>45580</v>
      </c>
      <c r="G775" t="s">
        <v>1</v>
      </c>
    </row>
    <row r="776" spans="1:7" x14ac:dyDescent="0.3">
      <c r="A776" t="s">
        <v>2702</v>
      </c>
      <c r="B776">
        <v>43515</v>
      </c>
      <c r="C776" t="s">
        <v>309</v>
      </c>
      <c r="D776" t="s">
        <v>240</v>
      </c>
      <c r="E776" t="s">
        <v>884</v>
      </c>
      <c r="F776" s="51">
        <v>45582</v>
      </c>
      <c r="G776" t="s">
        <v>1</v>
      </c>
    </row>
    <row r="777" spans="1:7" x14ac:dyDescent="0.3">
      <c r="A777" t="s">
        <v>2702</v>
      </c>
      <c r="B777">
        <v>43516</v>
      </c>
      <c r="C777" t="s">
        <v>41</v>
      </c>
      <c r="D777" t="s">
        <v>240</v>
      </c>
      <c r="E777" t="s">
        <v>984</v>
      </c>
      <c r="F777" s="51">
        <v>45590</v>
      </c>
      <c r="G777" t="s">
        <v>5</v>
      </c>
    </row>
    <row r="778" spans="1:7" x14ac:dyDescent="0.3">
      <c r="A778" t="s">
        <v>2702</v>
      </c>
      <c r="B778">
        <v>43517</v>
      </c>
      <c r="C778" t="s">
        <v>985</v>
      </c>
      <c r="D778" t="s">
        <v>986</v>
      </c>
      <c r="E778" t="s">
        <v>172</v>
      </c>
      <c r="F778" s="51">
        <v>45587</v>
      </c>
      <c r="G778" t="s">
        <v>1</v>
      </c>
    </row>
    <row r="779" spans="1:7" x14ac:dyDescent="0.3">
      <c r="A779" t="s">
        <v>2702</v>
      </c>
      <c r="B779">
        <v>43518</v>
      </c>
      <c r="C779" t="s">
        <v>987</v>
      </c>
      <c r="E779" t="s">
        <v>27</v>
      </c>
      <c r="F779" s="51">
        <v>45582</v>
      </c>
      <c r="G779" t="s">
        <v>1</v>
      </c>
    </row>
    <row r="780" spans="1:7" x14ac:dyDescent="0.3">
      <c r="A780" t="s">
        <v>2702</v>
      </c>
      <c r="B780">
        <v>43519</v>
      </c>
      <c r="C780" t="s">
        <v>486</v>
      </c>
      <c r="D780" t="s">
        <v>487</v>
      </c>
      <c r="E780" t="s">
        <v>172</v>
      </c>
      <c r="F780" s="51">
        <v>45583</v>
      </c>
      <c r="G780" t="s">
        <v>3</v>
      </c>
    </row>
    <row r="781" spans="1:7" x14ac:dyDescent="0.3">
      <c r="A781" t="s">
        <v>2702</v>
      </c>
      <c r="B781">
        <v>43520</v>
      </c>
      <c r="C781" t="s">
        <v>56</v>
      </c>
      <c r="D781" t="s">
        <v>94</v>
      </c>
      <c r="E781" t="s">
        <v>988</v>
      </c>
      <c r="F781" s="51">
        <v>45667</v>
      </c>
      <c r="G781" t="s">
        <v>6</v>
      </c>
    </row>
    <row r="782" spans="1:7" x14ac:dyDescent="0.3">
      <c r="A782" t="s">
        <v>2702</v>
      </c>
      <c r="B782">
        <v>43523</v>
      </c>
      <c r="C782" t="s">
        <v>342</v>
      </c>
      <c r="D782" t="s">
        <v>508</v>
      </c>
      <c r="E782" t="s">
        <v>989</v>
      </c>
      <c r="F782" s="51">
        <v>45600</v>
      </c>
      <c r="G782" t="s">
        <v>4</v>
      </c>
    </row>
    <row r="783" spans="1:7" x14ac:dyDescent="0.3">
      <c r="A783" t="s">
        <v>2702</v>
      </c>
      <c r="B783">
        <v>43524</v>
      </c>
      <c r="C783" t="s">
        <v>41</v>
      </c>
      <c r="D783" t="s">
        <v>331</v>
      </c>
      <c r="E783" t="s">
        <v>2667</v>
      </c>
      <c r="F783" s="51">
        <v>45874</v>
      </c>
      <c r="G783" t="s">
        <v>4</v>
      </c>
    </row>
    <row r="784" spans="1:7" x14ac:dyDescent="0.3">
      <c r="A784" t="s">
        <v>2702</v>
      </c>
      <c r="B784">
        <v>43525</v>
      </c>
      <c r="C784" t="s">
        <v>486</v>
      </c>
      <c r="D784" t="s">
        <v>990</v>
      </c>
      <c r="E784" t="s">
        <v>991</v>
      </c>
      <c r="F784" s="51">
        <v>45593</v>
      </c>
      <c r="G784" t="s">
        <v>6</v>
      </c>
    </row>
    <row r="785" spans="1:7" x14ac:dyDescent="0.3">
      <c r="A785" t="s">
        <v>2702</v>
      </c>
      <c r="B785">
        <v>43526</v>
      </c>
      <c r="C785" t="s">
        <v>271</v>
      </c>
      <c r="D785" t="s">
        <v>915</v>
      </c>
      <c r="E785" t="s">
        <v>992</v>
      </c>
      <c r="F785" s="51">
        <v>45582</v>
      </c>
      <c r="G785" t="s">
        <v>1</v>
      </c>
    </row>
    <row r="786" spans="1:7" x14ac:dyDescent="0.3">
      <c r="A786" t="s">
        <v>2702</v>
      </c>
      <c r="B786">
        <v>43527</v>
      </c>
      <c r="C786" t="s">
        <v>286</v>
      </c>
      <c r="E786" t="s">
        <v>27</v>
      </c>
      <c r="F786" s="51">
        <v>45587</v>
      </c>
      <c r="G786" t="s">
        <v>1</v>
      </c>
    </row>
    <row r="787" spans="1:7" x14ac:dyDescent="0.3">
      <c r="A787" t="s">
        <v>2702</v>
      </c>
      <c r="B787">
        <v>43529</v>
      </c>
      <c r="C787" t="s">
        <v>993</v>
      </c>
      <c r="D787" t="s">
        <v>227</v>
      </c>
      <c r="E787" t="s">
        <v>994</v>
      </c>
      <c r="F787" s="51">
        <v>45582</v>
      </c>
      <c r="G787" t="s">
        <v>6</v>
      </c>
    </row>
    <row r="788" spans="1:7" x14ac:dyDescent="0.3">
      <c r="A788" t="s">
        <v>2702</v>
      </c>
      <c r="B788">
        <v>43530</v>
      </c>
      <c r="C788" t="s">
        <v>995</v>
      </c>
      <c r="D788" t="s">
        <v>244</v>
      </c>
      <c r="E788" t="s">
        <v>662</v>
      </c>
      <c r="F788" s="51">
        <v>45608</v>
      </c>
      <c r="G788" t="s">
        <v>1</v>
      </c>
    </row>
    <row r="789" spans="1:7" x14ac:dyDescent="0.3">
      <c r="A789" t="s">
        <v>2702</v>
      </c>
      <c r="B789">
        <v>43533</v>
      </c>
      <c r="C789" t="s">
        <v>996</v>
      </c>
      <c r="D789" t="s">
        <v>544</v>
      </c>
      <c r="E789" t="s">
        <v>852</v>
      </c>
      <c r="F789" s="51">
        <v>45582</v>
      </c>
      <c r="G789" t="s">
        <v>1</v>
      </c>
    </row>
    <row r="790" spans="1:7" x14ac:dyDescent="0.3">
      <c r="A790" t="s">
        <v>2702</v>
      </c>
      <c r="B790">
        <v>43534</v>
      </c>
      <c r="C790" t="s">
        <v>997</v>
      </c>
      <c r="E790" t="s">
        <v>998</v>
      </c>
      <c r="F790" s="51">
        <v>45582</v>
      </c>
      <c r="G790" t="s">
        <v>1</v>
      </c>
    </row>
    <row r="791" spans="1:7" x14ac:dyDescent="0.3">
      <c r="A791" t="s">
        <v>2702</v>
      </c>
      <c r="B791">
        <v>43535</v>
      </c>
      <c r="C791" t="s">
        <v>746</v>
      </c>
      <c r="D791" t="s">
        <v>718</v>
      </c>
      <c r="E791" t="s">
        <v>121</v>
      </c>
      <c r="F791" s="51">
        <v>45625</v>
      </c>
      <c r="G791" t="s">
        <v>4</v>
      </c>
    </row>
    <row r="792" spans="1:7" x14ac:dyDescent="0.3">
      <c r="A792" t="s">
        <v>2702</v>
      </c>
      <c r="B792">
        <v>43536</v>
      </c>
      <c r="C792" t="s">
        <v>71</v>
      </c>
      <c r="D792" t="s">
        <v>32</v>
      </c>
      <c r="E792" t="s">
        <v>999</v>
      </c>
      <c r="F792" s="51">
        <v>45590</v>
      </c>
      <c r="G792" t="s">
        <v>1</v>
      </c>
    </row>
    <row r="793" spans="1:7" x14ac:dyDescent="0.3">
      <c r="A793" t="s">
        <v>2702</v>
      </c>
      <c r="B793">
        <v>43538</v>
      </c>
      <c r="C793" t="s">
        <v>350</v>
      </c>
      <c r="D793" t="s">
        <v>1000</v>
      </c>
      <c r="E793" t="s">
        <v>1001</v>
      </c>
      <c r="F793" s="51">
        <v>45600</v>
      </c>
      <c r="G793" t="s">
        <v>1</v>
      </c>
    </row>
    <row r="794" spans="1:7" x14ac:dyDescent="0.3">
      <c r="A794" t="s">
        <v>2702</v>
      </c>
      <c r="B794">
        <v>43539</v>
      </c>
      <c r="C794" t="s">
        <v>350</v>
      </c>
      <c r="D794" t="s">
        <v>351</v>
      </c>
      <c r="E794" t="s">
        <v>145</v>
      </c>
      <c r="F794" s="51">
        <v>45600</v>
      </c>
      <c r="G794" t="s">
        <v>1</v>
      </c>
    </row>
    <row r="795" spans="1:7" x14ac:dyDescent="0.3">
      <c r="A795" t="s">
        <v>2702</v>
      </c>
      <c r="B795">
        <v>43540</v>
      </c>
      <c r="C795" t="s">
        <v>470</v>
      </c>
      <c r="D795" t="s">
        <v>179</v>
      </c>
      <c r="E795" t="s">
        <v>1002</v>
      </c>
      <c r="F795" s="51">
        <v>45692</v>
      </c>
      <c r="G795" t="s">
        <v>4</v>
      </c>
    </row>
    <row r="796" spans="1:7" x14ac:dyDescent="0.3">
      <c r="A796" t="s">
        <v>2702</v>
      </c>
      <c r="B796">
        <v>43541</v>
      </c>
      <c r="C796" t="s">
        <v>237</v>
      </c>
      <c r="D796" t="s">
        <v>84</v>
      </c>
      <c r="E796" t="s">
        <v>146</v>
      </c>
      <c r="F796" s="51">
        <v>45587</v>
      </c>
      <c r="G796" t="s">
        <v>1</v>
      </c>
    </row>
    <row r="797" spans="1:7" x14ac:dyDescent="0.3">
      <c r="A797" t="s">
        <v>2702</v>
      </c>
      <c r="B797">
        <v>43546</v>
      </c>
      <c r="C797" t="s">
        <v>41</v>
      </c>
      <c r="D797" t="s">
        <v>227</v>
      </c>
      <c r="E797" t="s">
        <v>145</v>
      </c>
      <c r="F797" s="51">
        <v>45582</v>
      </c>
      <c r="G797" t="s">
        <v>4</v>
      </c>
    </row>
    <row r="798" spans="1:7" x14ac:dyDescent="0.3">
      <c r="A798" t="s">
        <v>2702</v>
      </c>
      <c r="B798">
        <v>43548</v>
      </c>
      <c r="C798" t="s">
        <v>1003</v>
      </c>
      <c r="D798" t="s">
        <v>223</v>
      </c>
      <c r="E798" t="s">
        <v>145</v>
      </c>
      <c r="F798" s="51">
        <v>45587</v>
      </c>
      <c r="G798" t="s">
        <v>1</v>
      </c>
    </row>
    <row r="799" spans="1:7" x14ac:dyDescent="0.3">
      <c r="A799" t="s">
        <v>2702</v>
      </c>
      <c r="B799">
        <v>43549</v>
      </c>
      <c r="C799" t="s">
        <v>1004</v>
      </c>
      <c r="D799" t="s">
        <v>169</v>
      </c>
      <c r="E799" t="s">
        <v>662</v>
      </c>
      <c r="F799" s="51">
        <v>45601</v>
      </c>
      <c r="G799" t="s">
        <v>1</v>
      </c>
    </row>
    <row r="800" spans="1:7" x14ac:dyDescent="0.3">
      <c r="A800" t="s">
        <v>2702</v>
      </c>
      <c r="B800">
        <v>43550</v>
      </c>
      <c r="C800" t="s">
        <v>669</v>
      </c>
      <c r="E800" t="s">
        <v>27</v>
      </c>
      <c r="F800" s="51">
        <v>45587</v>
      </c>
      <c r="G800" t="s">
        <v>1</v>
      </c>
    </row>
    <row r="801" spans="1:7" x14ac:dyDescent="0.3">
      <c r="A801" t="s">
        <v>2702</v>
      </c>
      <c r="B801">
        <v>43551</v>
      </c>
      <c r="C801" t="s">
        <v>375</v>
      </c>
      <c r="D801" t="s">
        <v>75</v>
      </c>
      <c r="E801" t="s">
        <v>1005</v>
      </c>
      <c r="F801" s="51">
        <v>45603</v>
      </c>
      <c r="G801" t="s">
        <v>1</v>
      </c>
    </row>
    <row r="802" spans="1:7" x14ac:dyDescent="0.3">
      <c r="A802" t="s">
        <v>2702</v>
      </c>
      <c r="B802">
        <v>43552</v>
      </c>
      <c r="C802" t="s">
        <v>375</v>
      </c>
      <c r="D802" t="s">
        <v>32</v>
      </c>
      <c r="E802" t="s">
        <v>1006</v>
      </c>
      <c r="F802" s="51">
        <v>45608</v>
      </c>
      <c r="G802" t="s">
        <v>1</v>
      </c>
    </row>
    <row r="803" spans="1:7" x14ac:dyDescent="0.3">
      <c r="A803" t="s">
        <v>2702</v>
      </c>
      <c r="B803">
        <v>43553</v>
      </c>
      <c r="C803" t="s">
        <v>237</v>
      </c>
      <c r="D803" t="s">
        <v>84</v>
      </c>
      <c r="E803" t="s">
        <v>1007</v>
      </c>
      <c r="F803" s="51">
        <v>45603</v>
      </c>
      <c r="G803" t="s">
        <v>1</v>
      </c>
    </row>
    <row r="804" spans="1:7" x14ac:dyDescent="0.3">
      <c r="A804" t="s">
        <v>2702</v>
      </c>
      <c r="B804">
        <v>43559</v>
      </c>
      <c r="C804" t="s">
        <v>36</v>
      </c>
      <c r="D804" t="s">
        <v>240</v>
      </c>
      <c r="E804" t="s">
        <v>1008</v>
      </c>
      <c r="F804" s="51">
        <v>45603</v>
      </c>
      <c r="G804" t="s">
        <v>6</v>
      </c>
    </row>
    <row r="805" spans="1:7" x14ac:dyDescent="0.3">
      <c r="A805" t="s">
        <v>2702</v>
      </c>
      <c r="B805">
        <v>43561</v>
      </c>
      <c r="C805" t="s">
        <v>1009</v>
      </c>
      <c r="D805" t="s">
        <v>227</v>
      </c>
      <c r="E805" t="s">
        <v>1010</v>
      </c>
      <c r="F805" s="51">
        <v>45587</v>
      </c>
      <c r="G805" t="s">
        <v>1</v>
      </c>
    </row>
    <row r="806" spans="1:7" x14ac:dyDescent="0.3">
      <c r="A806" t="s">
        <v>2702</v>
      </c>
      <c r="B806">
        <v>43564</v>
      </c>
      <c r="C806" t="s">
        <v>237</v>
      </c>
      <c r="D806" t="s">
        <v>84</v>
      </c>
      <c r="E806" t="s">
        <v>1011</v>
      </c>
      <c r="F806" s="51">
        <v>45608</v>
      </c>
      <c r="G806" t="s">
        <v>1</v>
      </c>
    </row>
    <row r="807" spans="1:7" x14ac:dyDescent="0.3">
      <c r="A807" t="s">
        <v>2702</v>
      </c>
      <c r="B807">
        <v>43567</v>
      </c>
      <c r="C807" t="s">
        <v>486</v>
      </c>
      <c r="D807" t="s">
        <v>487</v>
      </c>
      <c r="E807" t="s">
        <v>1012</v>
      </c>
      <c r="F807" s="51">
        <v>45593</v>
      </c>
      <c r="G807" t="s">
        <v>6</v>
      </c>
    </row>
    <row r="808" spans="1:7" x14ac:dyDescent="0.3">
      <c r="A808" t="s">
        <v>2702</v>
      </c>
      <c r="B808">
        <v>43568</v>
      </c>
      <c r="C808" t="s">
        <v>375</v>
      </c>
      <c r="D808" t="s">
        <v>75</v>
      </c>
      <c r="E808" t="s">
        <v>525</v>
      </c>
      <c r="F808" s="51">
        <v>45736</v>
      </c>
      <c r="G808" t="s">
        <v>4</v>
      </c>
    </row>
    <row r="809" spans="1:7" x14ac:dyDescent="0.3">
      <c r="A809" t="s">
        <v>2702</v>
      </c>
      <c r="B809">
        <v>43569</v>
      </c>
      <c r="C809" t="s">
        <v>935</v>
      </c>
      <c r="D809" t="s">
        <v>1013</v>
      </c>
      <c r="E809" t="s">
        <v>1014</v>
      </c>
      <c r="F809" s="51">
        <v>45664</v>
      </c>
      <c r="G809" t="s">
        <v>2</v>
      </c>
    </row>
    <row r="810" spans="1:7" x14ac:dyDescent="0.3">
      <c r="A810" t="s">
        <v>2702</v>
      </c>
      <c r="B810">
        <v>43570</v>
      </c>
      <c r="C810" t="s">
        <v>890</v>
      </c>
      <c r="D810" t="s">
        <v>1015</v>
      </c>
      <c r="F810" s="51">
        <v>45583</v>
      </c>
      <c r="G810" t="s">
        <v>1</v>
      </c>
    </row>
    <row r="811" spans="1:7" x14ac:dyDescent="0.3">
      <c r="A811" t="s">
        <v>2702</v>
      </c>
      <c r="B811">
        <v>43571</v>
      </c>
      <c r="C811" t="s">
        <v>450</v>
      </c>
      <c r="D811" t="s">
        <v>133</v>
      </c>
      <c r="E811" t="s">
        <v>145</v>
      </c>
      <c r="F811" s="51">
        <v>45586</v>
      </c>
      <c r="G811" t="s">
        <v>1</v>
      </c>
    </row>
    <row r="812" spans="1:7" x14ac:dyDescent="0.3">
      <c r="A812" t="s">
        <v>2702</v>
      </c>
      <c r="B812">
        <v>43572</v>
      </c>
      <c r="C812" t="s">
        <v>65</v>
      </c>
      <c r="E812" t="s">
        <v>933</v>
      </c>
      <c r="F812" s="51">
        <v>45587</v>
      </c>
      <c r="G812" t="s">
        <v>1</v>
      </c>
    </row>
    <row r="813" spans="1:7" x14ac:dyDescent="0.3">
      <c r="A813" t="s">
        <v>2702</v>
      </c>
      <c r="B813">
        <v>43573</v>
      </c>
      <c r="C813" t="s">
        <v>96</v>
      </c>
      <c r="D813" t="s">
        <v>718</v>
      </c>
      <c r="E813" t="s">
        <v>1016</v>
      </c>
      <c r="F813" s="51">
        <v>45603</v>
      </c>
      <c r="G813" t="s">
        <v>4</v>
      </c>
    </row>
    <row r="814" spans="1:7" x14ac:dyDescent="0.3">
      <c r="A814" t="s">
        <v>2702</v>
      </c>
      <c r="B814">
        <v>43574</v>
      </c>
      <c r="C814" t="s">
        <v>559</v>
      </c>
      <c r="D814" t="s">
        <v>1017</v>
      </c>
      <c r="E814" t="s">
        <v>319</v>
      </c>
      <c r="F814" s="51">
        <v>45686</v>
      </c>
      <c r="G814" t="s">
        <v>2</v>
      </c>
    </row>
    <row r="815" spans="1:7" x14ac:dyDescent="0.3">
      <c r="A815" t="s">
        <v>2702</v>
      </c>
      <c r="B815">
        <v>43578</v>
      </c>
      <c r="C815" t="s">
        <v>256</v>
      </c>
      <c r="D815" t="s">
        <v>1018</v>
      </c>
      <c r="E815" t="s">
        <v>1019</v>
      </c>
      <c r="F815" s="51">
        <v>45614</v>
      </c>
      <c r="G815" t="s">
        <v>1</v>
      </c>
    </row>
    <row r="816" spans="1:7" x14ac:dyDescent="0.3">
      <c r="A816" t="s">
        <v>2702</v>
      </c>
      <c r="B816">
        <v>43580</v>
      </c>
      <c r="C816" t="s">
        <v>155</v>
      </c>
      <c r="D816" t="s">
        <v>75</v>
      </c>
      <c r="E816" t="s">
        <v>615</v>
      </c>
      <c r="F816" s="51">
        <v>45593</v>
      </c>
      <c r="G816" t="s">
        <v>963</v>
      </c>
    </row>
    <row r="817" spans="1:7" x14ac:dyDescent="0.3">
      <c r="A817" t="s">
        <v>2702</v>
      </c>
      <c r="B817">
        <v>43581</v>
      </c>
      <c r="C817" t="s">
        <v>25</v>
      </c>
      <c r="E817" t="s">
        <v>27</v>
      </c>
      <c r="F817" s="51">
        <v>45600</v>
      </c>
      <c r="G817" t="s">
        <v>1</v>
      </c>
    </row>
    <row r="818" spans="1:7" x14ac:dyDescent="0.3">
      <c r="A818" t="s">
        <v>2702</v>
      </c>
      <c r="B818">
        <v>43582</v>
      </c>
      <c r="C818" t="s">
        <v>1020</v>
      </c>
      <c r="D818" t="s">
        <v>1021</v>
      </c>
      <c r="E818" t="s">
        <v>1022</v>
      </c>
      <c r="F818" s="51">
        <v>45600</v>
      </c>
      <c r="G818" t="s">
        <v>1</v>
      </c>
    </row>
    <row r="819" spans="1:7" x14ac:dyDescent="0.3">
      <c r="A819" t="s">
        <v>2702</v>
      </c>
      <c r="B819">
        <v>43583</v>
      </c>
      <c r="C819" t="s">
        <v>881</v>
      </c>
      <c r="D819" t="s">
        <v>1023</v>
      </c>
      <c r="E819" t="s">
        <v>1024</v>
      </c>
      <c r="F819" s="51">
        <v>45645</v>
      </c>
      <c r="G819" t="s">
        <v>2</v>
      </c>
    </row>
    <row r="820" spans="1:7" x14ac:dyDescent="0.3">
      <c r="A820" t="s">
        <v>2702</v>
      </c>
      <c r="B820">
        <v>43584</v>
      </c>
      <c r="C820" t="s">
        <v>917</v>
      </c>
      <c r="D820" t="s">
        <v>718</v>
      </c>
      <c r="E820" t="s">
        <v>1025</v>
      </c>
      <c r="F820" s="51">
        <v>45600</v>
      </c>
      <c r="G820" t="s">
        <v>4</v>
      </c>
    </row>
    <row r="821" spans="1:7" x14ac:dyDescent="0.3">
      <c r="A821" t="s">
        <v>2702</v>
      </c>
      <c r="B821">
        <v>43585</v>
      </c>
      <c r="C821" t="s">
        <v>1026</v>
      </c>
      <c r="D821" t="s">
        <v>362</v>
      </c>
      <c r="E821" t="s">
        <v>85</v>
      </c>
      <c r="F821" s="51">
        <v>45635</v>
      </c>
      <c r="G821" t="s">
        <v>1</v>
      </c>
    </row>
    <row r="822" spans="1:7" x14ac:dyDescent="0.3">
      <c r="A822" t="s">
        <v>2702</v>
      </c>
      <c r="B822">
        <v>43586</v>
      </c>
      <c r="C822" t="s">
        <v>1027</v>
      </c>
      <c r="D822" t="s">
        <v>362</v>
      </c>
      <c r="E822" t="s">
        <v>1028</v>
      </c>
      <c r="F822" s="51">
        <v>45600</v>
      </c>
      <c r="G822" t="s">
        <v>1</v>
      </c>
    </row>
    <row r="823" spans="1:7" x14ac:dyDescent="0.3">
      <c r="A823" t="s">
        <v>2702</v>
      </c>
      <c r="B823">
        <v>43587</v>
      </c>
      <c r="C823" t="s">
        <v>1029</v>
      </c>
      <c r="D823" t="s">
        <v>179</v>
      </c>
      <c r="E823" t="s">
        <v>153</v>
      </c>
      <c r="F823" s="51">
        <v>45614</v>
      </c>
      <c r="G823" t="s">
        <v>1</v>
      </c>
    </row>
    <row r="824" spans="1:7" x14ac:dyDescent="0.3">
      <c r="A824" t="s">
        <v>2702</v>
      </c>
      <c r="B824">
        <v>43588</v>
      </c>
      <c r="C824" t="s">
        <v>86</v>
      </c>
      <c r="D824" t="s">
        <v>45</v>
      </c>
      <c r="E824" t="s">
        <v>255</v>
      </c>
      <c r="F824" s="51">
        <v>45600</v>
      </c>
      <c r="G824" t="s">
        <v>3</v>
      </c>
    </row>
    <row r="825" spans="1:7" x14ac:dyDescent="0.3">
      <c r="A825" t="s">
        <v>2702</v>
      </c>
      <c r="B825">
        <v>43589</v>
      </c>
      <c r="C825" t="s">
        <v>1030</v>
      </c>
      <c r="E825" t="s">
        <v>116</v>
      </c>
      <c r="F825" s="51">
        <v>45616</v>
      </c>
      <c r="G825" t="s">
        <v>1</v>
      </c>
    </row>
    <row r="826" spans="1:7" x14ac:dyDescent="0.3">
      <c r="A826" t="s">
        <v>2702</v>
      </c>
      <c r="B826">
        <v>43590</v>
      </c>
      <c r="C826" t="s">
        <v>721</v>
      </c>
      <c r="D826" t="s">
        <v>118</v>
      </c>
      <c r="E826" t="s">
        <v>1031</v>
      </c>
      <c r="F826" s="51">
        <v>45600</v>
      </c>
      <c r="G826" t="s">
        <v>1</v>
      </c>
    </row>
    <row r="827" spans="1:7" x14ac:dyDescent="0.3">
      <c r="A827" t="s">
        <v>2702</v>
      </c>
      <c r="B827">
        <v>43591</v>
      </c>
      <c r="C827" t="s">
        <v>79</v>
      </c>
      <c r="D827" t="s">
        <v>75</v>
      </c>
      <c r="E827" t="s">
        <v>569</v>
      </c>
      <c r="F827" s="51">
        <v>45670</v>
      </c>
      <c r="G827" t="s">
        <v>1</v>
      </c>
    </row>
    <row r="828" spans="1:7" x14ac:dyDescent="0.3">
      <c r="A828" t="s">
        <v>2702</v>
      </c>
      <c r="B828">
        <v>43592</v>
      </c>
      <c r="C828" t="s">
        <v>256</v>
      </c>
      <c r="D828" t="s">
        <v>524</v>
      </c>
      <c r="E828" t="s">
        <v>255</v>
      </c>
      <c r="F828" s="51">
        <v>45608</v>
      </c>
      <c r="G828" t="s">
        <v>1</v>
      </c>
    </row>
    <row r="829" spans="1:7" x14ac:dyDescent="0.3">
      <c r="A829" t="s">
        <v>2702</v>
      </c>
      <c r="B829">
        <v>43593</v>
      </c>
      <c r="C829" t="s">
        <v>1032</v>
      </c>
      <c r="D829" t="s">
        <v>1033</v>
      </c>
      <c r="E829" t="s">
        <v>615</v>
      </c>
      <c r="F829" s="51">
        <v>45630</v>
      </c>
      <c r="G829" t="s">
        <v>1</v>
      </c>
    </row>
    <row r="830" spans="1:7" x14ac:dyDescent="0.3">
      <c r="A830" t="s">
        <v>2702</v>
      </c>
      <c r="B830">
        <v>43594</v>
      </c>
      <c r="C830" t="s">
        <v>761</v>
      </c>
      <c r="D830" t="s">
        <v>718</v>
      </c>
      <c r="E830" t="s">
        <v>1034</v>
      </c>
      <c r="F830" s="51">
        <v>45603</v>
      </c>
      <c r="G830" t="s">
        <v>2</v>
      </c>
    </row>
    <row r="831" spans="1:7" x14ac:dyDescent="0.3">
      <c r="A831" t="s">
        <v>2702</v>
      </c>
      <c r="B831">
        <v>43596</v>
      </c>
      <c r="C831" t="s">
        <v>41</v>
      </c>
      <c r="D831" t="s">
        <v>2684</v>
      </c>
      <c r="E831" t="s">
        <v>2685</v>
      </c>
      <c r="F831" s="51">
        <v>45874</v>
      </c>
      <c r="G831" t="s">
        <v>4</v>
      </c>
    </row>
    <row r="832" spans="1:7" x14ac:dyDescent="0.3">
      <c r="A832" t="s">
        <v>2702</v>
      </c>
      <c r="B832">
        <v>43597</v>
      </c>
      <c r="C832" t="s">
        <v>1035</v>
      </c>
      <c r="D832" t="s">
        <v>211</v>
      </c>
      <c r="E832" t="s">
        <v>742</v>
      </c>
      <c r="F832" s="51">
        <v>45608</v>
      </c>
      <c r="G832" t="s">
        <v>1</v>
      </c>
    </row>
    <row r="833" spans="1:7" x14ac:dyDescent="0.3">
      <c r="A833" t="s">
        <v>2702</v>
      </c>
      <c r="B833">
        <v>43598</v>
      </c>
      <c r="C833" t="s">
        <v>1036</v>
      </c>
      <c r="D833" t="s">
        <v>775</v>
      </c>
      <c r="E833" t="s">
        <v>1037</v>
      </c>
      <c r="F833" s="51">
        <v>45603</v>
      </c>
      <c r="G833" t="s">
        <v>1</v>
      </c>
    </row>
    <row r="834" spans="1:7" x14ac:dyDescent="0.3">
      <c r="A834" t="s">
        <v>2702</v>
      </c>
      <c r="B834">
        <v>43599</v>
      </c>
      <c r="C834" t="s">
        <v>1038</v>
      </c>
      <c r="D834" t="s">
        <v>1039</v>
      </c>
      <c r="E834" t="s">
        <v>98</v>
      </c>
      <c r="F834" s="51">
        <v>45692</v>
      </c>
      <c r="G834" t="s">
        <v>4</v>
      </c>
    </row>
    <row r="835" spans="1:7" x14ac:dyDescent="0.3">
      <c r="A835" t="s">
        <v>2702</v>
      </c>
      <c r="B835">
        <v>43601</v>
      </c>
      <c r="C835" t="s">
        <v>1040</v>
      </c>
      <c r="D835" t="s">
        <v>260</v>
      </c>
      <c r="E835" t="s">
        <v>615</v>
      </c>
      <c r="F835" s="51">
        <v>45614</v>
      </c>
      <c r="G835" t="s">
        <v>1</v>
      </c>
    </row>
    <row r="836" spans="1:7" x14ac:dyDescent="0.3">
      <c r="A836" t="s">
        <v>2702</v>
      </c>
      <c r="B836">
        <v>43602</v>
      </c>
      <c r="C836" t="s">
        <v>439</v>
      </c>
      <c r="D836" t="s">
        <v>133</v>
      </c>
      <c r="E836" t="s">
        <v>770</v>
      </c>
      <c r="F836" s="51">
        <v>45617</v>
      </c>
      <c r="G836" t="s">
        <v>3</v>
      </c>
    </row>
    <row r="837" spans="1:7" x14ac:dyDescent="0.3">
      <c r="A837" t="s">
        <v>2702</v>
      </c>
      <c r="B837">
        <v>43603</v>
      </c>
      <c r="C837" t="s">
        <v>446</v>
      </c>
      <c r="D837" t="s">
        <v>75</v>
      </c>
      <c r="E837" t="s">
        <v>615</v>
      </c>
      <c r="F837" s="51">
        <v>45614</v>
      </c>
      <c r="G837" t="s">
        <v>2</v>
      </c>
    </row>
    <row r="838" spans="1:7" x14ac:dyDescent="0.3">
      <c r="A838" t="s">
        <v>2702</v>
      </c>
      <c r="B838">
        <v>43604</v>
      </c>
      <c r="C838" t="s">
        <v>1041</v>
      </c>
      <c r="D838" t="s">
        <v>1042</v>
      </c>
      <c r="E838" t="s">
        <v>1043</v>
      </c>
      <c r="F838" s="51">
        <v>45603</v>
      </c>
      <c r="G838" t="s">
        <v>1</v>
      </c>
    </row>
    <row r="839" spans="1:7" x14ac:dyDescent="0.3">
      <c r="A839" t="s">
        <v>2702</v>
      </c>
      <c r="B839">
        <v>43605</v>
      </c>
      <c r="C839" t="s">
        <v>486</v>
      </c>
      <c r="D839" t="s">
        <v>45</v>
      </c>
      <c r="E839" t="s">
        <v>699</v>
      </c>
      <c r="F839" s="51">
        <v>45614</v>
      </c>
      <c r="G839" t="s">
        <v>1</v>
      </c>
    </row>
    <row r="840" spans="1:7" x14ac:dyDescent="0.3">
      <c r="A840" t="s">
        <v>2702</v>
      </c>
      <c r="B840">
        <v>43606</v>
      </c>
      <c r="C840" t="s">
        <v>591</v>
      </c>
      <c r="D840" t="s">
        <v>32</v>
      </c>
      <c r="E840" t="s">
        <v>2101</v>
      </c>
      <c r="F840" s="51">
        <v>45771</v>
      </c>
      <c r="G840" t="s">
        <v>4</v>
      </c>
    </row>
    <row r="841" spans="1:7" x14ac:dyDescent="0.3">
      <c r="A841" t="s">
        <v>2702</v>
      </c>
      <c r="B841">
        <v>43608</v>
      </c>
      <c r="C841" t="s">
        <v>562</v>
      </c>
      <c r="D841" t="s">
        <v>563</v>
      </c>
      <c r="E841" t="s">
        <v>1044</v>
      </c>
      <c r="F841" s="51">
        <v>45608</v>
      </c>
      <c r="G841" t="s">
        <v>1</v>
      </c>
    </row>
    <row r="842" spans="1:7" x14ac:dyDescent="0.3">
      <c r="A842" t="s">
        <v>2702</v>
      </c>
      <c r="B842">
        <v>43609</v>
      </c>
      <c r="C842" t="s">
        <v>903</v>
      </c>
      <c r="D842" t="s">
        <v>260</v>
      </c>
      <c r="E842" t="s">
        <v>1045</v>
      </c>
      <c r="F842" s="51">
        <v>45614</v>
      </c>
      <c r="G842" t="s">
        <v>8</v>
      </c>
    </row>
    <row r="843" spans="1:7" x14ac:dyDescent="0.3">
      <c r="A843" t="s">
        <v>2702</v>
      </c>
      <c r="B843">
        <v>43611</v>
      </c>
      <c r="C843" t="s">
        <v>36</v>
      </c>
      <c r="D843" t="s">
        <v>240</v>
      </c>
      <c r="E843" t="s">
        <v>891</v>
      </c>
      <c r="F843" s="51">
        <v>45617</v>
      </c>
      <c r="G843" t="s">
        <v>2</v>
      </c>
    </row>
    <row r="844" spans="1:7" x14ac:dyDescent="0.3">
      <c r="A844" t="s">
        <v>2702</v>
      </c>
      <c r="B844">
        <v>43612</v>
      </c>
      <c r="C844" t="s">
        <v>41</v>
      </c>
      <c r="D844" t="s">
        <v>138</v>
      </c>
      <c r="E844" t="s">
        <v>98</v>
      </c>
      <c r="F844" s="51">
        <v>45796</v>
      </c>
      <c r="G844" t="s">
        <v>4</v>
      </c>
    </row>
    <row r="845" spans="1:7" x14ac:dyDescent="0.3">
      <c r="A845" t="s">
        <v>2702</v>
      </c>
      <c r="B845">
        <v>43613</v>
      </c>
      <c r="C845" t="s">
        <v>808</v>
      </c>
      <c r="D845" t="s">
        <v>1000</v>
      </c>
      <c r="E845" t="s">
        <v>615</v>
      </c>
      <c r="F845" s="51">
        <v>45614</v>
      </c>
      <c r="G845" t="s">
        <v>1</v>
      </c>
    </row>
    <row r="846" spans="1:7" x14ac:dyDescent="0.3">
      <c r="A846" t="s">
        <v>2702</v>
      </c>
      <c r="B846">
        <v>43614</v>
      </c>
      <c r="C846" t="s">
        <v>342</v>
      </c>
      <c r="D846" t="s">
        <v>1046</v>
      </c>
      <c r="E846" t="s">
        <v>1047</v>
      </c>
      <c r="F846" s="51">
        <v>45603</v>
      </c>
      <c r="G846" t="s">
        <v>1</v>
      </c>
    </row>
    <row r="847" spans="1:7" x14ac:dyDescent="0.3">
      <c r="A847" t="s">
        <v>2702</v>
      </c>
      <c r="B847">
        <v>43615</v>
      </c>
      <c r="C847" t="s">
        <v>71</v>
      </c>
      <c r="D847" t="s">
        <v>533</v>
      </c>
      <c r="E847" t="s">
        <v>1048</v>
      </c>
      <c r="F847" s="51">
        <v>45603</v>
      </c>
      <c r="G847" t="s">
        <v>1</v>
      </c>
    </row>
    <row r="848" spans="1:7" x14ac:dyDescent="0.3">
      <c r="A848" t="s">
        <v>2702</v>
      </c>
      <c r="B848">
        <v>43618</v>
      </c>
      <c r="C848" t="s">
        <v>559</v>
      </c>
      <c r="D848" t="s">
        <v>45</v>
      </c>
      <c r="E848" t="s">
        <v>671</v>
      </c>
      <c r="F848" s="51">
        <v>45604</v>
      </c>
      <c r="G848" t="s">
        <v>3</v>
      </c>
    </row>
    <row r="849" spans="1:7" x14ac:dyDescent="0.3">
      <c r="A849" t="s">
        <v>2702</v>
      </c>
      <c r="B849">
        <v>43619</v>
      </c>
      <c r="C849" t="s">
        <v>41</v>
      </c>
      <c r="D849" t="s">
        <v>2681</v>
      </c>
      <c r="E849" t="s">
        <v>98</v>
      </c>
      <c r="F849" s="51">
        <v>45874</v>
      </c>
      <c r="G849" t="s">
        <v>4</v>
      </c>
    </row>
    <row r="850" spans="1:7" x14ac:dyDescent="0.3">
      <c r="A850" t="s">
        <v>2702</v>
      </c>
      <c r="B850">
        <v>43620</v>
      </c>
      <c r="C850" t="s">
        <v>36</v>
      </c>
      <c r="D850" t="s">
        <v>240</v>
      </c>
      <c r="E850" t="s">
        <v>1049</v>
      </c>
      <c r="F850" s="51">
        <v>45614</v>
      </c>
      <c r="G850" t="s">
        <v>2</v>
      </c>
    </row>
    <row r="851" spans="1:7" x14ac:dyDescent="0.3">
      <c r="A851" t="s">
        <v>2702</v>
      </c>
      <c r="B851">
        <v>43621</v>
      </c>
      <c r="C851" t="s">
        <v>570</v>
      </c>
      <c r="D851" t="s">
        <v>453</v>
      </c>
      <c r="E851" t="s">
        <v>1050</v>
      </c>
      <c r="F851" s="51">
        <v>45608</v>
      </c>
      <c r="G851" t="s">
        <v>1</v>
      </c>
    </row>
    <row r="852" spans="1:7" x14ac:dyDescent="0.3">
      <c r="A852" t="s">
        <v>2702</v>
      </c>
      <c r="B852">
        <v>43622</v>
      </c>
      <c r="C852" t="s">
        <v>482</v>
      </c>
      <c r="D852" t="s">
        <v>63</v>
      </c>
      <c r="E852" t="s">
        <v>113</v>
      </c>
      <c r="F852" s="51">
        <v>45615</v>
      </c>
      <c r="G852" t="s">
        <v>1</v>
      </c>
    </row>
    <row r="853" spans="1:7" x14ac:dyDescent="0.3">
      <c r="A853" t="s">
        <v>2702</v>
      </c>
      <c r="B853">
        <v>43625</v>
      </c>
      <c r="C853" t="s">
        <v>674</v>
      </c>
      <c r="D853" t="s">
        <v>362</v>
      </c>
      <c r="E853" t="s">
        <v>537</v>
      </c>
      <c r="F853" s="51">
        <v>45618</v>
      </c>
      <c r="G853" t="s">
        <v>1</v>
      </c>
    </row>
    <row r="854" spans="1:7" x14ac:dyDescent="0.3">
      <c r="A854" t="s">
        <v>2702</v>
      </c>
      <c r="B854">
        <v>43626</v>
      </c>
      <c r="C854" t="s">
        <v>256</v>
      </c>
      <c r="D854" t="s">
        <v>677</v>
      </c>
      <c r="E854" t="s">
        <v>615</v>
      </c>
      <c r="F854" s="51">
        <v>45608</v>
      </c>
      <c r="G854" t="s">
        <v>1</v>
      </c>
    </row>
    <row r="855" spans="1:7" x14ac:dyDescent="0.3">
      <c r="A855" t="s">
        <v>2702</v>
      </c>
      <c r="B855">
        <v>43627</v>
      </c>
      <c r="C855" t="s">
        <v>237</v>
      </c>
      <c r="D855" t="s">
        <v>84</v>
      </c>
      <c r="E855" t="s">
        <v>146</v>
      </c>
      <c r="F855" s="51">
        <v>45608</v>
      </c>
      <c r="G855" t="s">
        <v>1</v>
      </c>
    </row>
    <row r="856" spans="1:7" x14ac:dyDescent="0.3">
      <c r="A856" t="s">
        <v>2702</v>
      </c>
      <c r="B856">
        <v>43628</v>
      </c>
      <c r="C856" t="s">
        <v>99</v>
      </c>
      <c r="D856" t="s">
        <v>185</v>
      </c>
      <c r="E856" t="s">
        <v>603</v>
      </c>
      <c r="F856" s="51">
        <v>45621</v>
      </c>
      <c r="G856" t="s">
        <v>1</v>
      </c>
    </row>
    <row r="857" spans="1:7" x14ac:dyDescent="0.3">
      <c r="A857" t="s">
        <v>2702</v>
      </c>
      <c r="B857">
        <v>43629</v>
      </c>
      <c r="C857" t="s">
        <v>25</v>
      </c>
      <c r="D857" t="s">
        <v>138</v>
      </c>
      <c r="E857" t="s">
        <v>1051</v>
      </c>
      <c r="F857" s="51">
        <v>45630</v>
      </c>
      <c r="G857" t="s">
        <v>1</v>
      </c>
    </row>
    <row r="858" spans="1:7" x14ac:dyDescent="0.3">
      <c r="A858" t="s">
        <v>2702</v>
      </c>
      <c r="B858">
        <v>43630</v>
      </c>
      <c r="C858" t="s">
        <v>41</v>
      </c>
      <c r="D858" t="s">
        <v>1052</v>
      </c>
      <c r="E858" t="s">
        <v>98</v>
      </c>
      <c r="F858" s="51">
        <v>45614</v>
      </c>
      <c r="G858" t="s">
        <v>4</v>
      </c>
    </row>
    <row r="859" spans="1:7" x14ac:dyDescent="0.3">
      <c r="A859" t="s">
        <v>2702</v>
      </c>
      <c r="B859">
        <v>43631</v>
      </c>
      <c r="C859" t="s">
        <v>74</v>
      </c>
      <c r="D859" t="s">
        <v>1053</v>
      </c>
      <c r="E859" t="s">
        <v>145</v>
      </c>
      <c r="F859" s="51">
        <v>45608</v>
      </c>
      <c r="G859" t="s">
        <v>1</v>
      </c>
    </row>
    <row r="860" spans="1:7" x14ac:dyDescent="0.3">
      <c r="A860" t="s">
        <v>2702</v>
      </c>
      <c r="B860">
        <v>43633</v>
      </c>
      <c r="C860" t="s">
        <v>34</v>
      </c>
      <c r="D860" t="s">
        <v>1054</v>
      </c>
      <c r="E860" t="s">
        <v>662</v>
      </c>
      <c r="F860" s="51">
        <v>45608</v>
      </c>
      <c r="G860" t="s">
        <v>8</v>
      </c>
    </row>
    <row r="861" spans="1:7" x14ac:dyDescent="0.3">
      <c r="A861" t="s">
        <v>2702</v>
      </c>
      <c r="B861">
        <v>43634</v>
      </c>
      <c r="C861" t="s">
        <v>1055</v>
      </c>
      <c r="E861" t="s">
        <v>933</v>
      </c>
      <c r="F861" s="51">
        <v>45610</v>
      </c>
      <c r="G861" t="s">
        <v>1</v>
      </c>
    </row>
    <row r="862" spans="1:7" x14ac:dyDescent="0.3">
      <c r="A862" t="s">
        <v>2702</v>
      </c>
      <c r="B862">
        <v>43636</v>
      </c>
      <c r="C862" t="s">
        <v>71</v>
      </c>
      <c r="D862" t="s">
        <v>57</v>
      </c>
      <c r="E862" t="s">
        <v>1056</v>
      </c>
      <c r="F862" s="51">
        <v>45609</v>
      </c>
      <c r="G862" t="s">
        <v>1</v>
      </c>
    </row>
    <row r="863" spans="1:7" x14ac:dyDescent="0.3">
      <c r="A863" t="s">
        <v>2702</v>
      </c>
      <c r="B863">
        <v>43639</v>
      </c>
      <c r="C863" t="s">
        <v>73</v>
      </c>
      <c r="D863" t="s">
        <v>1057</v>
      </c>
      <c r="E863" t="s">
        <v>1058</v>
      </c>
      <c r="F863" s="51">
        <v>45677</v>
      </c>
      <c r="G863" t="s">
        <v>1</v>
      </c>
    </row>
    <row r="864" spans="1:7" x14ac:dyDescent="0.3">
      <c r="A864" t="s">
        <v>2702</v>
      </c>
      <c r="B864">
        <v>43642</v>
      </c>
      <c r="C864" t="s">
        <v>1059</v>
      </c>
      <c r="D864" t="s">
        <v>32</v>
      </c>
      <c r="E864" t="s">
        <v>991</v>
      </c>
      <c r="F864" s="51">
        <v>45618</v>
      </c>
      <c r="G864" t="s">
        <v>6</v>
      </c>
    </row>
    <row r="865" spans="1:7" x14ac:dyDescent="0.3">
      <c r="A865" t="s">
        <v>2702</v>
      </c>
      <c r="B865">
        <v>43643</v>
      </c>
      <c r="C865" t="s">
        <v>1059</v>
      </c>
      <c r="D865" t="s">
        <v>106</v>
      </c>
      <c r="E865" t="s">
        <v>1060</v>
      </c>
      <c r="F865" s="51">
        <v>45618</v>
      </c>
      <c r="G865" t="s">
        <v>6</v>
      </c>
    </row>
    <row r="866" spans="1:7" x14ac:dyDescent="0.3">
      <c r="A866" t="s">
        <v>2702</v>
      </c>
      <c r="B866">
        <v>43644</v>
      </c>
      <c r="C866" t="s">
        <v>1059</v>
      </c>
      <c r="D866" t="s">
        <v>32</v>
      </c>
      <c r="E866" t="s">
        <v>671</v>
      </c>
      <c r="F866" s="51">
        <v>45618</v>
      </c>
      <c r="G866" t="s">
        <v>6</v>
      </c>
    </row>
    <row r="867" spans="1:7" x14ac:dyDescent="0.3">
      <c r="A867" t="s">
        <v>2702</v>
      </c>
      <c r="B867">
        <v>43645</v>
      </c>
      <c r="C867" t="s">
        <v>1061</v>
      </c>
      <c r="D867" t="s">
        <v>1021</v>
      </c>
      <c r="E867" t="s">
        <v>615</v>
      </c>
      <c r="F867" s="51">
        <v>45615</v>
      </c>
      <c r="G867" t="s">
        <v>1</v>
      </c>
    </row>
    <row r="868" spans="1:7" x14ac:dyDescent="0.3">
      <c r="A868" t="s">
        <v>2702</v>
      </c>
      <c r="B868">
        <v>43647</v>
      </c>
      <c r="C868" t="s">
        <v>687</v>
      </c>
      <c r="D868" t="s">
        <v>688</v>
      </c>
      <c r="E868" t="s">
        <v>401</v>
      </c>
      <c r="F868" s="51">
        <v>45617</v>
      </c>
      <c r="G868" t="s">
        <v>8</v>
      </c>
    </row>
    <row r="869" spans="1:7" x14ac:dyDescent="0.3">
      <c r="A869" t="s">
        <v>2702</v>
      </c>
      <c r="B869">
        <v>43650</v>
      </c>
      <c r="C869" t="s">
        <v>71</v>
      </c>
      <c r="D869" t="s">
        <v>533</v>
      </c>
      <c r="E869" t="s">
        <v>1062</v>
      </c>
      <c r="F869" s="51">
        <v>45624</v>
      </c>
      <c r="G869" t="s">
        <v>2</v>
      </c>
    </row>
    <row r="870" spans="1:7" x14ac:dyDescent="0.3">
      <c r="A870" t="s">
        <v>2702</v>
      </c>
      <c r="B870">
        <v>43651</v>
      </c>
      <c r="C870" t="s">
        <v>1063</v>
      </c>
      <c r="E870" t="s">
        <v>27</v>
      </c>
      <c r="F870" s="51">
        <v>45609</v>
      </c>
      <c r="G870" t="s">
        <v>1</v>
      </c>
    </row>
    <row r="871" spans="1:7" x14ac:dyDescent="0.3">
      <c r="A871" t="s">
        <v>2702</v>
      </c>
      <c r="B871">
        <v>43654</v>
      </c>
      <c r="C871" t="s">
        <v>845</v>
      </c>
      <c r="D871" t="s">
        <v>1064</v>
      </c>
      <c r="E871" t="s">
        <v>1065</v>
      </c>
      <c r="F871" s="51">
        <v>45621</v>
      </c>
      <c r="G871" t="s">
        <v>1</v>
      </c>
    </row>
    <row r="872" spans="1:7" x14ac:dyDescent="0.3">
      <c r="A872" t="s">
        <v>2702</v>
      </c>
      <c r="B872">
        <v>43655</v>
      </c>
      <c r="C872" t="s">
        <v>74</v>
      </c>
      <c r="D872" t="s">
        <v>367</v>
      </c>
      <c r="E872" t="s">
        <v>146</v>
      </c>
      <c r="F872" s="51">
        <v>45622</v>
      </c>
      <c r="G872" t="s">
        <v>3</v>
      </c>
    </row>
    <row r="873" spans="1:7" x14ac:dyDescent="0.3">
      <c r="A873" t="s">
        <v>2702</v>
      </c>
      <c r="B873">
        <v>43660</v>
      </c>
      <c r="C873" t="s">
        <v>1066</v>
      </c>
      <c r="D873" t="s">
        <v>544</v>
      </c>
      <c r="E873" t="s">
        <v>85</v>
      </c>
      <c r="F873" s="51">
        <v>45625</v>
      </c>
      <c r="G873" t="s">
        <v>1</v>
      </c>
    </row>
    <row r="874" spans="1:7" x14ac:dyDescent="0.3">
      <c r="A874" t="s">
        <v>2702</v>
      </c>
      <c r="B874">
        <v>43661</v>
      </c>
      <c r="C874" t="s">
        <v>560</v>
      </c>
      <c r="D874" t="s">
        <v>45</v>
      </c>
      <c r="E874" t="s">
        <v>1067</v>
      </c>
      <c r="F874" s="51">
        <v>45617</v>
      </c>
      <c r="G874" t="s">
        <v>5</v>
      </c>
    </row>
    <row r="875" spans="1:7" x14ac:dyDescent="0.3">
      <c r="A875" t="s">
        <v>2702</v>
      </c>
      <c r="B875">
        <v>43662</v>
      </c>
      <c r="C875" t="s">
        <v>468</v>
      </c>
      <c r="D875" t="s">
        <v>45</v>
      </c>
      <c r="E875" t="s">
        <v>1068</v>
      </c>
      <c r="F875" s="51">
        <v>45621</v>
      </c>
      <c r="G875" t="s">
        <v>12</v>
      </c>
    </row>
    <row r="876" spans="1:7" x14ac:dyDescent="0.3">
      <c r="A876" t="s">
        <v>2702</v>
      </c>
      <c r="B876">
        <v>43663</v>
      </c>
      <c r="C876" t="s">
        <v>468</v>
      </c>
      <c r="D876" t="s">
        <v>45</v>
      </c>
      <c r="E876" t="s">
        <v>784</v>
      </c>
      <c r="F876" s="51">
        <v>45621</v>
      </c>
      <c r="G876" t="s">
        <v>12</v>
      </c>
    </row>
    <row r="877" spans="1:7" x14ac:dyDescent="0.3">
      <c r="A877" t="s">
        <v>2702</v>
      </c>
      <c r="B877">
        <v>43664</v>
      </c>
      <c r="C877" t="s">
        <v>486</v>
      </c>
      <c r="D877" t="s">
        <v>179</v>
      </c>
      <c r="E877" t="s">
        <v>1958</v>
      </c>
      <c r="F877" s="51">
        <v>45706</v>
      </c>
      <c r="G877" t="s">
        <v>6</v>
      </c>
    </row>
    <row r="878" spans="1:7" x14ac:dyDescent="0.3">
      <c r="A878" t="s">
        <v>2702</v>
      </c>
      <c r="B878">
        <v>43665</v>
      </c>
      <c r="C878" t="s">
        <v>164</v>
      </c>
      <c r="D878" t="s">
        <v>453</v>
      </c>
      <c r="E878" t="s">
        <v>615</v>
      </c>
      <c r="F878" s="51">
        <v>45621</v>
      </c>
      <c r="G878" t="s">
        <v>1</v>
      </c>
    </row>
    <row r="879" spans="1:7" x14ac:dyDescent="0.3">
      <c r="A879" t="s">
        <v>2702</v>
      </c>
      <c r="B879">
        <v>43666</v>
      </c>
      <c r="C879" t="s">
        <v>439</v>
      </c>
      <c r="D879" t="s">
        <v>133</v>
      </c>
      <c r="E879" t="s">
        <v>880</v>
      </c>
      <c r="F879" s="51">
        <v>45617</v>
      </c>
      <c r="G879" t="s">
        <v>3</v>
      </c>
    </row>
    <row r="880" spans="1:7" x14ac:dyDescent="0.3">
      <c r="A880" t="s">
        <v>2702</v>
      </c>
      <c r="B880">
        <v>43667</v>
      </c>
      <c r="C880" t="s">
        <v>1069</v>
      </c>
      <c r="D880" t="s">
        <v>179</v>
      </c>
      <c r="E880" t="s">
        <v>1070</v>
      </c>
      <c r="F880" s="51">
        <v>45666</v>
      </c>
      <c r="G880" t="s">
        <v>1</v>
      </c>
    </row>
    <row r="881" spans="1:7" x14ac:dyDescent="0.3">
      <c r="A881" t="s">
        <v>2702</v>
      </c>
      <c r="B881">
        <v>43675</v>
      </c>
      <c r="C881" t="s">
        <v>1071</v>
      </c>
      <c r="D881" t="s">
        <v>204</v>
      </c>
      <c r="E881" t="s">
        <v>1072</v>
      </c>
      <c r="F881" s="51">
        <v>45665</v>
      </c>
      <c r="G881" t="s">
        <v>1</v>
      </c>
    </row>
    <row r="882" spans="1:7" x14ac:dyDescent="0.3">
      <c r="A882" t="s">
        <v>2702</v>
      </c>
      <c r="B882">
        <v>43676</v>
      </c>
      <c r="C882" t="s">
        <v>164</v>
      </c>
      <c r="D882" t="s">
        <v>453</v>
      </c>
      <c r="E882" t="s">
        <v>525</v>
      </c>
      <c r="F882" s="51">
        <v>45684</v>
      </c>
      <c r="G882" t="s">
        <v>1</v>
      </c>
    </row>
    <row r="883" spans="1:7" x14ac:dyDescent="0.3">
      <c r="A883" t="s">
        <v>2702</v>
      </c>
      <c r="B883">
        <v>43678</v>
      </c>
      <c r="C883" t="s">
        <v>1073</v>
      </c>
      <c r="D883" t="s">
        <v>305</v>
      </c>
      <c r="E883" t="s">
        <v>27</v>
      </c>
      <c r="F883" s="51">
        <v>45622</v>
      </c>
      <c r="G883" t="s">
        <v>1</v>
      </c>
    </row>
    <row r="884" spans="1:7" x14ac:dyDescent="0.3">
      <c r="A884" t="s">
        <v>2702</v>
      </c>
      <c r="B884">
        <v>43679</v>
      </c>
      <c r="C884" t="s">
        <v>71</v>
      </c>
      <c r="D884" t="s">
        <v>106</v>
      </c>
      <c r="E884" t="s">
        <v>1074</v>
      </c>
      <c r="F884" s="51">
        <v>45625</v>
      </c>
      <c r="G884" t="s">
        <v>2</v>
      </c>
    </row>
    <row r="885" spans="1:7" x14ac:dyDescent="0.3">
      <c r="A885" t="s">
        <v>2702</v>
      </c>
      <c r="B885">
        <v>43680</v>
      </c>
      <c r="C885" t="s">
        <v>1075</v>
      </c>
      <c r="D885" t="s">
        <v>133</v>
      </c>
      <c r="E885" t="s">
        <v>356</v>
      </c>
      <c r="F885" s="51">
        <v>45622</v>
      </c>
      <c r="G885" t="s">
        <v>1</v>
      </c>
    </row>
    <row r="886" spans="1:7" x14ac:dyDescent="0.3">
      <c r="A886" t="s">
        <v>2702</v>
      </c>
      <c r="B886">
        <v>43681</v>
      </c>
      <c r="C886" t="s">
        <v>34</v>
      </c>
      <c r="D886" t="s">
        <v>204</v>
      </c>
      <c r="E886" t="s">
        <v>146</v>
      </c>
      <c r="F886" s="51">
        <v>45622</v>
      </c>
      <c r="G886" t="s">
        <v>1</v>
      </c>
    </row>
    <row r="887" spans="1:7" x14ac:dyDescent="0.3">
      <c r="A887" t="s">
        <v>2702</v>
      </c>
      <c r="B887">
        <v>43682</v>
      </c>
      <c r="C887" t="s">
        <v>661</v>
      </c>
      <c r="D887" t="s">
        <v>133</v>
      </c>
      <c r="E887" t="s">
        <v>1076</v>
      </c>
      <c r="F887" s="51">
        <v>45625</v>
      </c>
      <c r="G887" t="s">
        <v>1</v>
      </c>
    </row>
    <row r="888" spans="1:7" x14ac:dyDescent="0.3">
      <c r="A888" t="s">
        <v>2702</v>
      </c>
      <c r="B888">
        <v>43686</v>
      </c>
      <c r="C888" t="s">
        <v>1026</v>
      </c>
      <c r="D888" t="s">
        <v>362</v>
      </c>
      <c r="E888" t="s">
        <v>1077</v>
      </c>
      <c r="F888" s="51">
        <v>45635</v>
      </c>
      <c r="G888" t="s">
        <v>1</v>
      </c>
    </row>
    <row r="889" spans="1:7" x14ac:dyDescent="0.3">
      <c r="A889" t="s">
        <v>2702</v>
      </c>
      <c r="B889">
        <v>43687</v>
      </c>
      <c r="C889" t="s">
        <v>236</v>
      </c>
      <c r="E889" t="s">
        <v>27</v>
      </c>
      <c r="F889" s="51">
        <v>45622</v>
      </c>
      <c r="G889" t="s">
        <v>1</v>
      </c>
    </row>
    <row r="890" spans="1:7" x14ac:dyDescent="0.3">
      <c r="A890" t="s">
        <v>2702</v>
      </c>
      <c r="B890">
        <v>43688</v>
      </c>
      <c r="C890" t="s">
        <v>1040</v>
      </c>
      <c r="D890" t="s">
        <v>260</v>
      </c>
      <c r="E890" t="s">
        <v>615</v>
      </c>
      <c r="F890" s="51">
        <v>45625</v>
      </c>
      <c r="G890" t="s">
        <v>1</v>
      </c>
    </row>
    <row r="891" spans="1:7" x14ac:dyDescent="0.3">
      <c r="A891" t="s">
        <v>2702</v>
      </c>
      <c r="B891">
        <v>43689</v>
      </c>
      <c r="C891" t="s">
        <v>237</v>
      </c>
      <c r="D891" t="s">
        <v>84</v>
      </c>
      <c r="E891" t="s">
        <v>1078</v>
      </c>
      <c r="F891" s="51">
        <v>45686</v>
      </c>
      <c r="G891" t="s">
        <v>1</v>
      </c>
    </row>
    <row r="892" spans="1:7" x14ac:dyDescent="0.3">
      <c r="A892" t="s">
        <v>2702</v>
      </c>
      <c r="B892">
        <v>43692</v>
      </c>
      <c r="C892" t="s">
        <v>290</v>
      </c>
      <c r="D892" t="s">
        <v>63</v>
      </c>
      <c r="E892" t="s">
        <v>1079</v>
      </c>
      <c r="F892" s="51">
        <v>45625</v>
      </c>
      <c r="G892" t="s">
        <v>1</v>
      </c>
    </row>
    <row r="893" spans="1:7" x14ac:dyDescent="0.3">
      <c r="A893" t="s">
        <v>2702</v>
      </c>
      <c r="B893">
        <v>43693</v>
      </c>
      <c r="C893" t="s">
        <v>808</v>
      </c>
      <c r="E893" t="s">
        <v>1080</v>
      </c>
      <c r="F893" s="51">
        <v>45631</v>
      </c>
      <c r="G893" t="s">
        <v>1</v>
      </c>
    </row>
    <row r="894" spans="1:7" x14ac:dyDescent="0.3">
      <c r="A894" t="s">
        <v>2702</v>
      </c>
      <c r="B894">
        <v>43694</v>
      </c>
      <c r="C894" t="s">
        <v>2039</v>
      </c>
      <c r="D894" t="s">
        <v>120</v>
      </c>
      <c r="E894" t="s">
        <v>121</v>
      </c>
      <c r="F894" s="51">
        <v>45741</v>
      </c>
      <c r="G894" t="s">
        <v>4</v>
      </c>
    </row>
    <row r="895" spans="1:7" x14ac:dyDescent="0.3">
      <c r="A895" t="s">
        <v>2702</v>
      </c>
      <c r="B895">
        <v>43695</v>
      </c>
      <c r="C895" t="s">
        <v>1081</v>
      </c>
      <c r="D895" t="s">
        <v>254</v>
      </c>
      <c r="E895" t="s">
        <v>1012</v>
      </c>
      <c r="F895" s="51">
        <v>45630</v>
      </c>
      <c r="G895" t="s">
        <v>6</v>
      </c>
    </row>
    <row r="896" spans="1:7" x14ac:dyDescent="0.3">
      <c r="A896" t="s">
        <v>2702</v>
      </c>
      <c r="B896">
        <v>43696</v>
      </c>
      <c r="C896" t="s">
        <v>1082</v>
      </c>
      <c r="D896" t="s">
        <v>1083</v>
      </c>
      <c r="E896" t="s">
        <v>85</v>
      </c>
      <c r="F896" s="51">
        <v>45693</v>
      </c>
      <c r="G896" t="s">
        <v>1</v>
      </c>
    </row>
    <row r="897" spans="1:7" x14ac:dyDescent="0.3">
      <c r="A897" t="s">
        <v>2702</v>
      </c>
      <c r="B897">
        <v>43697</v>
      </c>
      <c r="C897" t="s">
        <v>328</v>
      </c>
      <c r="D897" t="s">
        <v>487</v>
      </c>
      <c r="E897" t="s">
        <v>1084</v>
      </c>
      <c r="F897" s="51">
        <v>45629</v>
      </c>
      <c r="G897" t="s">
        <v>1</v>
      </c>
    </row>
    <row r="898" spans="1:7" x14ac:dyDescent="0.3">
      <c r="A898" t="s">
        <v>2702</v>
      </c>
      <c r="B898">
        <v>43698</v>
      </c>
      <c r="C898" t="s">
        <v>225</v>
      </c>
      <c r="D898" t="s">
        <v>32</v>
      </c>
      <c r="E898" t="s">
        <v>485</v>
      </c>
      <c r="F898" s="51">
        <v>45632</v>
      </c>
      <c r="G898" t="s">
        <v>1</v>
      </c>
    </row>
    <row r="899" spans="1:7" x14ac:dyDescent="0.3">
      <c r="A899" t="s">
        <v>2702</v>
      </c>
      <c r="B899">
        <v>43699</v>
      </c>
      <c r="C899" t="s">
        <v>411</v>
      </c>
      <c r="D899" t="s">
        <v>179</v>
      </c>
      <c r="E899" t="s">
        <v>947</v>
      </c>
      <c r="F899" s="51">
        <v>45701</v>
      </c>
      <c r="G899" t="s">
        <v>1</v>
      </c>
    </row>
    <row r="900" spans="1:7" x14ac:dyDescent="0.3">
      <c r="A900" t="s">
        <v>2702</v>
      </c>
      <c r="B900">
        <v>43702</v>
      </c>
      <c r="C900" t="s">
        <v>758</v>
      </c>
      <c r="D900" t="s">
        <v>706</v>
      </c>
      <c r="E900" t="s">
        <v>121</v>
      </c>
      <c r="F900" s="51">
        <v>45735</v>
      </c>
      <c r="G900" t="s">
        <v>4</v>
      </c>
    </row>
    <row r="901" spans="1:7" x14ac:dyDescent="0.3">
      <c r="A901" t="s">
        <v>2702</v>
      </c>
      <c r="B901">
        <v>43703</v>
      </c>
      <c r="C901" t="s">
        <v>187</v>
      </c>
      <c r="D901" t="s">
        <v>106</v>
      </c>
      <c r="E901" t="s">
        <v>1085</v>
      </c>
      <c r="F901" s="51">
        <v>45630</v>
      </c>
      <c r="G901" t="s">
        <v>1</v>
      </c>
    </row>
    <row r="902" spans="1:7" x14ac:dyDescent="0.3">
      <c r="A902" t="s">
        <v>2702</v>
      </c>
      <c r="B902">
        <v>43704</v>
      </c>
      <c r="C902" t="s">
        <v>653</v>
      </c>
      <c r="D902" t="s">
        <v>94</v>
      </c>
      <c r="E902" t="s">
        <v>1086</v>
      </c>
      <c r="F902" s="51">
        <v>45673</v>
      </c>
      <c r="G902" t="s">
        <v>4</v>
      </c>
    </row>
    <row r="903" spans="1:7" x14ac:dyDescent="0.3">
      <c r="A903" t="s">
        <v>2702</v>
      </c>
      <c r="B903">
        <v>43705</v>
      </c>
      <c r="C903" t="s">
        <v>180</v>
      </c>
      <c r="D903" t="s">
        <v>181</v>
      </c>
      <c r="E903" t="s">
        <v>146</v>
      </c>
      <c r="F903" s="51">
        <v>45629</v>
      </c>
      <c r="G903" t="s">
        <v>1</v>
      </c>
    </row>
    <row r="904" spans="1:7" x14ac:dyDescent="0.3">
      <c r="A904" t="s">
        <v>2702</v>
      </c>
      <c r="B904">
        <v>43706</v>
      </c>
      <c r="C904" t="s">
        <v>1087</v>
      </c>
      <c r="D904" t="s">
        <v>148</v>
      </c>
      <c r="E904" t="s">
        <v>98</v>
      </c>
      <c r="F904" s="51">
        <v>45671</v>
      </c>
      <c r="G904" t="s">
        <v>4</v>
      </c>
    </row>
    <row r="905" spans="1:7" x14ac:dyDescent="0.3">
      <c r="A905" t="s">
        <v>2702</v>
      </c>
      <c r="B905">
        <v>43707</v>
      </c>
      <c r="C905" t="s">
        <v>446</v>
      </c>
      <c r="D905" t="s">
        <v>75</v>
      </c>
      <c r="E905" t="s">
        <v>1088</v>
      </c>
      <c r="F905" s="51">
        <v>45632</v>
      </c>
      <c r="G905" t="s">
        <v>2</v>
      </c>
    </row>
    <row r="906" spans="1:7" x14ac:dyDescent="0.3">
      <c r="A906" t="s">
        <v>2702</v>
      </c>
      <c r="B906">
        <v>43708</v>
      </c>
      <c r="C906" t="s">
        <v>975</v>
      </c>
      <c r="D906" t="s">
        <v>75</v>
      </c>
      <c r="E906" t="s">
        <v>784</v>
      </c>
      <c r="F906" s="51">
        <v>45631</v>
      </c>
      <c r="G906" t="s">
        <v>12</v>
      </c>
    </row>
    <row r="907" spans="1:7" x14ac:dyDescent="0.3">
      <c r="A907" t="s">
        <v>2702</v>
      </c>
      <c r="B907">
        <v>43709</v>
      </c>
      <c r="C907" t="s">
        <v>73</v>
      </c>
      <c r="E907" t="s">
        <v>27</v>
      </c>
      <c r="F907" s="51">
        <v>45625</v>
      </c>
      <c r="G907" t="s">
        <v>1</v>
      </c>
    </row>
    <row r="908" spans="1:7" x14ac:dyDescent="0.3">
      <c r="A908" t="s">
        <v>2702</v>
      </c>
      <c r="B908">
        <v>43710</v>
      </c>
      <c r="C908" t="s">
        <v>559</v>
      </c>
      <c r="D908" t="s">
        <v>45</v>
      </c>
      <c r="E908" t="s">
        <v>1088</v>
      </c>
      <c r="F908" s="51">
        <v>45632</v>
      </c>
      <c r="G908" t="s">
        <v>2</v>
      </c>
    </row>
    <row r="909" spans="1:7" x14ac:dyDescent="0.3">
      <c r="A909" t="s">
        <v>2702</v>
      </c>
      <c r="B909">
        <v>43711</v>
      </c>
      <c r="C909" t="s">
        <v>687</v>
      </c>
      <c r="D909" t="s">
        <v>688</v>
      </c>
      <c r="E909" t="s">
        <v>787</v>
      </c>
      <c r="F909" s="51">
        <v>45670</v>
      </c>
      <c r="G909" t="s">
        <v>1</v>
      </c>
    </row>
    <row r="910" spans="1:7" x14ac:dyDescent="0.3">
      <c r="A910" t="s">
        <v>2702</v>
      </c>
      <c r="B910">
        <v>43713</v>
      </c>
      <c r="C910" t="s">
        <v>102</v>
      </c>
      <c r="D910" t="s">
        <v>718</v>
      </c>
      <c r="E910" t="s">
        <v>1089</v>
      </c>
      <c r="F910" s="51">
        <v>45671</v>
      </c>
      <c r="G910" t="s">
        <v>5</v>
      </c>
    </row>
    <row r="911" spans="1:7" x14ac:dyDescent="0.3">
      <c r="A911" t="s">
        <v>2702</v>
      </c>
      <c r="B911">
        <v>43714</v>
      </c>
      <c r="C911" t="s">
        <v>86</v>
      </c>
      <c r="D911" t="s">
        <v>148</v>
      </c>
      <c r="E911" t="s">
        <v>1089</v>
      </c>
      <c r="F911" s="51">
        <v>45709</v>
      </c>
      <c r="G911" t="s">
        <v>5</v>
      </c>
    </row>
    <row r="912" spans="1:7" x14ac:dyDescent="0.3">
      <c r="A912" t="s">
        <v>2702</v>
      </c>
      <c r="B912">
        <v>43715</v>
      </c>
      <c r="C912" t="s">
        <v>79</v>
      </c>
      <c r="D912" t="s">
        <v>75</v>
      </c>
      <c r="E912" t="s">
        <v>1089</v>
      </c>
      <c r="F912" s="51">
        <v>45672</v>
      </c>
      <c r="G912" t="s">
        <v>5</v>
      </c>
    </row>
    <row r="913" spans="1:7" x14ac:dyDescent="0.3">
      <c r="A913" t="s">
        <v>2702</v>
      </c>
      <c r="B913">
        <v>43716</v>
      </c>
      <c r="C913" t="s">
        <v>611</v>
      </c>
      <c r="D913" t="s">
        <v>45</v>
      </c>
      <c r="E913" t="s">
        <v>1089</v>
      </c>
      <c r="F913" s="51">
        <v>45807</v>
      </c>
      <c r="G913" t="s">
        <v>5</v>
      </c>
    </row>
    <row r="914" spans="1:7" x14ac:dyDescent="0.3">
      <c r="A914" t="s">
        <v>2702</v>
      </c>
      <c r="B914">
        <v>43717</v>
      </c>
      <c r="C914" t="s">
        <v>1535</v>
      </c>
      <c r="D914" t="s">
        <v>45</v>
      </c>
      <c r="E914" t="s">
        <v>1089</v>
      </c>
      <c r="F914" s="51">
        <v>45707</v>
      </c>
      <c r="G914" t="s">
        <v>5</v>
      </c>
    </row>
    <row r="915" spans="1:7" x14ac:dyDescent="0.3">
      <c r="A915" t="s">
        <v>2702</v>
      </c>
      <c r="B915">
        <v>43718</v>
      </c>
      <c r="C915" t="s">
        <v>439</v>
      </c>
      <c r="D915" t="s">
        <v>133</v>
      </c>
      <c r="E915" t="s">
        <v>1089</v>
      </c>
      <c r="F915" s="99">
        <v>45694.431377314817</v>
      </c>
      <c r="G915" t="s">
        <v>5</v>
      </c>
    </row>
    <row r="916" spans="1:7" x14ac:dyDescent="0.3">
      <c r="A916" t="s">
        <v>2702</v>
      </c>
      <c r="B916">
        <v>43719</v>
      </c>
      <c r="C916" t="s">
        <v>1090</v>
      </c>
      <c r="D916" t="s">
        <v>133</v>
      </c>
      <c r="E916" t="s">
        <v>1089</v>
      </c>
      <c r="F916" s="51">
        <v>45692</v>
      </c>
      <c r="G916" t="s">
        <v>5</v>
      </c>
    </row>
    <row r="917" spans="1:7" x14ac:dyDescent="0.3">
      <c r="A917" t="s">
        <v>2702</v>
      </c>
      <c r="B917">
        <v>43720</v>
      </c>
      <c r="C917" t="s">
        <v>62</v>
      </c>
      <c r="D917" t="s">
        <v>148</v>
      </c>
      <c r="E917" t="s">
        <v>1089</v>
      </c>
      <c r="F917" s="51">
        <v>45701</v>
      </c>
      <c r="G917" t="s">
        <v>5</v>
      </c>
    </row>
    <row r="918" spans="1:7" x14ac:dyDescent="0.3">
      <c r="A918" t="s">
        <v>2702</v>
      </c>
      <c r="B918">
        <v>43721</v>
      </c>
      <c r="C918" t="s">
        <v>337</v>
      </c>
      <c r="D918" t="s">
        <v>75</v>
      </c>
      <c r="E918" t="s">
        <v>1089</v>
      </c>
      <c r="F918" s="51">
        <v>45638</v>
      </c>
      <c r="G918" t="s">
        <v>5</v>
      </c>
    </row>
    <row r="919" spans="1:7" x14ac:dyDescent="0.3">
      <c r="A919" t="s">
        <v>2702</v>
      </c>
      <c r="B919">
        <v>43722</v>
      </c>
      <c r="C919" t="s">
        <v>1916</v>
      </c>
      <c r="D919" t="s">
        <v>148</v>
      </c>
      <c r="E919" t="s">
        <v>1089</v>
      </c>
      <c r="F919" s="51">
        <v>45736</v>
      </c>
      <c r="G919" t="s">
        <v>5</v>
      </c>
    </row>
    <row r="920" spans="1:7" x14ac:dyDescent="0.3">
      <c r="A920" t="s">
        <v>2702</v>
      </c>
      <c r="B920">
        <v>43723</v>
      </c>
      <c r="C920" t="s">
        <v>1536</v>
      </c>
      <c r="D920" t="s">
        <v>148</v>
      </c>
      <c r="E920" t="s">
        <v>1089</v>
      </c>
      <c r="F920" s="99">
        <v>45699.417870370373</v>
      </c>
      <c r="G920" t="s">
        <v>5</v>
      </c>
    </row>
    <row r="921" spans="1:7" x14ac:dyDescent="0.3">
      <c r="A921" t="s">
        <v>2702</v>
      </c>
      <c r="B921">
        <v>43724</v>
      </c>
      <c r="C921" t="s">
        <v>567</v>
      </c>
      <c r="D921" t="s">
        <v>299</v>
      </c>
      <c r="E921" t="s">
        <v>779</v>
      </c>
      <c r="F921" s="51">
        <v>45671</v>
      </c>
      <c r="G921" t="s">
        <v>1</v>
      </c>
    </row>
    <row r="922" spans="1:7" x14ac:dyDescent="0.3">
      <c r="A922" t="s">
        <v>2702</v>
      </c>
      <c r="B922">
        <v>43725</v>
      </c>
      <c r="C922" t="s">
        <v>674</v>
      </c>
      <c r="D922" t="s">
        <v>106</v>
      </c>
      <c r="E922" t="s">
        <v>1091</v>
      </c>
      <c r="F922" s="51">
        <v>45631</v>
      </c>
      <c r="G922" t="s">
        <v>1</v>
      </c>
    </row>
    <row r="923" spans="1:7" x14ac:dyDescent="0.3">
      <c r="A923" t="s">
        <v>2702</v>
      </c>
      <c r="B923">
        <v>43727</v>
      </c>
      <c r="C923" t="s">
        <v>122</v>
      </c>
      <c r="D923" t="s">
        <v>123</v>
      </c>
      <c r="E923" t="s">
        <v>1092</v>
      </c>
      <c r="F923" s="51">
        <v>45635</v>
      </c>
      <c r="G923" t="s">
        <v>1</v>
      </c>
    </row>
    <row r="924" spans="1:7" x14ac:dyDescent="0.3">
      <c r="A924" t="s">
        <v>2702</v>
      </c>
      <c r="B924">
        <v>43729</v>
      </c>
      <c r="C924" t="s">
        <v>34</v>
      </c>
      <c r="D924" t="s">
        <v>1054</v>
      </c>
      <c r="E924" t="s">
        <v>1093</v>
      </c>
      <c r="F924" s="51">
        <v>45644</v>
      </c>
      <c r="G924" t="s">
        <v>1</v>
      </c>
    </row>
    <row r="925" spans="1:7" x14ac:dyDescent="0.3">
      <c r="A925" t="s">
        <v>2702</v>
      </c>
      <c r="B925">
        <v>43731</v>
      </c>
      <c r="C925" t="s">
        <v>411</v>
      </c>
      <c r="D925" t="s">
        <v>32</v>
      </c>
      <c r="E925" t="s">
        <v>416</v>
      </c>
      <c r="F925" s="51">
        <v>45735</v>
      </c>
      <c r="G925" t="s">
        <v>4</v>
      </c>
    </row>
    <row r="926" spans="1:7" x14ac:dyDescent="0.3">
      <c r="A926" t="s">
        <v>2702</v>
      </c>
      <c r="B926">
        <v>43732</v>
      </c>
      <c r="C926" t="s">
        <v>34</v>
      </c>
      <c r="D926" t="s">
        <v>204</v>
      </c>
      <c r="E926" t="s">
        <v>1959</v>
      </c>
      <c r="F926" s="51">
        <v>45707</v>
      </c>
      <c r="G926" t="s">
        <v>1</v>
      </c>
    </row>
    <row r="927" spans="1:7" x14ac:dyDescent="0.3">
      <c r="A927" t="s">
        <v>2702</v>
      </c>
      <c r="B927">
        <v>43735</v>
      </c>
      <c r="C927" t="s">
        <v>276</v>
      </c>
      <c r="D927" t="s">
        <v>1094</v>
      </c>
      <c r="E927" t="s">
        <v>1095</v>
      </c>
      <c r="F927" s="51">
        <v>45635</v>
      </c>
      <c r="G927" t="s">
        <v>1</v>
      </c>
    </row>
    <row r="928" spans="1:7" x14ac:dyDescent="0.3">
      <c r="A928" t="s">
        <v>2702</v>
      </c>
      <c r="B928">
        <v>43737</v>
      </c>
      <c r="C928" t="s">
        <v>251</v>
      </c>
      <c r="D928" t="s">
        <v>32</v>
      </c>
      <c r="E928" t="s">
        <v>1096</v>
      </c>
      <c r="F928" s="51">
        <v>45638</v>
      </c>
      <c r="G928" t="s">
        <v>1</v>
      </c>
    </row>
    <row r="929" spans="1:7" x14ac:dyDescent="0.3">
      <c r="A929" t="s">
        <v>2702</v>
      </c>
      <c r="B929">
        <v>43739</v>
      </c>
      <c r="C929" t="s">
        <v>551</v>
      </c>
      <c r="D929" t="s">
        <v>226</v>
      </c>
      <c r="E929" t="s">
        <v>757</v>
      </c>
      <c r="F929" s="51">
        <v>45635</v>
      </c>
      <c r="G929" t="s">
        <v>1</v>
      </c>
    </row>
    <row r="930" spans="1:7" x14ac:dyDescent="0.3">
      <c r="A930" t="s">
        <v>2702</v>
      </c>
      <c r="B930">
        <v>43740</v>
      </c>
      <c r="C930" t="s">
        <v>286</v>
      </c>
      <c r="D930" t="s">
        <v>45</v>
      </c>
      <c r="E930" t="s">
        <v>61</v>
      </c>
      <c r="F930" s="51">
        <v>45707</v>
      </c>
      <c r="G930" t="s">
        <v>1</v>
      </c>
    </row>
    <row r="931" spans="1:7" x14ac:dyDescent="0.3">
      <c r="A931" t="s">
        <v>2702</v>
      </c>
      <c r="B931">
        <v>43742</v>
      </c>
      <c r="C931" t="s">
        <v>375</v>
      </c>
      <c r="D931" t="s">
        <v>75</v>
      </c>
      <c r="E931" t="s">
        <v>525</v>
      </c>
      <c r="F931" s="51">
        <v>45628</v>
      </c>
      <c r="G931" t="s">
        <v>2</v>
      </c>
    </row>
    <row r="932" spans="1:7" x14ac:dyDescent="0.3">
      <c r="A932" t="s">
        <v>2702</v>
      </c>
      <c r="B932">
        <v>43743</v>
      </c>
      <c r="C932" t="s">
        <v>875</v>
      </c>
      <c r="D932" t="s">
        <v>277</v>
      </c>
      <c r="E932" t="s">
        <v>373</v>
      </c>
      <c r="F932" s="51">
        <v>45686</v>
      </c>
      <c r="G932" t="s">
        <v>1</v>
      </c>
    </row>
    <row r="933" spans="1:7" x14ac:dyDescent="0.3">
      <c r="A933" t="s">
        <v>2702</v>
      </c>
      <c r="B933">
        <v>43744</v>
      </c>
      <c r="C933" t="s">
        <v>71</v>
      </c>
      <c r="D933" t="s">
        <v>533</v>
      </c>
      <c r="E933" t="s">
        <v>1098</v>
      </c>
      <c r="F933" s="51">
        <v>45665</v>
      </c>
      <c r="G933" t="s">
        <v>3</v>
      </c>
    </row>
    <row r="934" spans="1:7" x14ac:dyDescent="0.3">
      <c r="A934" t="s">
        <v>2702</v>
      </c>
      <c r="B934">
        <v>43746</v>
      </c>
      <c r="C934" t="s">
        <v>1099</v>
      </c>
      <c r="D934" t="s">
        <v>272</v>
      </c>
      <c r="E934" t="s">
        <v>1100</v>
      </c>
      <c r="F934" s="51">
        <v>45635</v>
      </c>
      <c r="G934" t="s">
        <v>2</v>
      </c>
    </row>
    <row r="935" spans="1:7" x14ac:dyDescent="0.3">
      <c r="A935" t="s">
        <v>2702</v>
      </c>
      <c r="B935">
        <v>43747</v>
      </c>
      <c r="C935" t="s">
        <v>337</v>
      </c>
      <c r="D935" t="s">
        <v>367</v>
      </c>
      <c r="E935" t="s">
        <v>2024</v>
      </c>
      <c r="F935" s="51">
        <v>45735</v>
      </c>
      <c r="G935" t="s">
        <v>4</v>
      </c>
    </row>
    <row r="936" spans="1:7" x14ac:dyDescent="0.3">
      <c r="A936" t="s">
        <v>2702</v>
      </c>
      <c r="B936">
        <v>43748</v>
      </c>
      <c r="C936" t="s">
        <v>411</v>
      </c>
      <c r="D936" t="s">
        <v>179</v>
      </c>
      <c r="E936" t="s">
        <v>255</v>
      </c>
      <c r="F936" s="51">
        <v>45670</v>
      </c>
      <c r="G936" t="s">
        <v>6</v>
      </c>
    </row>
    <row r="937" spans="1:7" x14ac:dyDescent="0.3">
      <c r="A937" t="s">
        <v>2702</v>
      </c>
      <c r="B937">
        <v>43751</v>
      </c>
      <c r="C937" t="s">
        <v>2623</v>
      </c>
      <c r="D937" t="s">
        <v>2624</v>
      </c>
      <c r="E937" t="s">
        <v>121</v>
      </c>
      <c r="F937" s="51">
        <v>45854</v>
      </c>
      <c r="G937" t="s">
        <v>4</v>
      </c>
    </row>
    <row r="938" spans="1:7" x14ac:dyDescent="0.3">
      <c r="A938" t="s">
        <v>2702</v>
      </c>
      <c r="B938">
        <v>43752</v>
      </c>
      <c r="C938" t="s">
        <v>225</v>
      </c>
      <c r="D938" t="s">
        <v>812</v>
      </c>
      <c r="E938" t="s">
        <v>121</v>
      </c>
      <c r="F938" s="51">
        <v>45812</v>
      </c>
      <c r="G938" t="s">
        <v>4</v>
      </c>
    </row>
    <row r="939" spans="1:7" x14ac:dyDescent="0.3">
      <c r="A939" t="s">
        <v>2702</v>
      </c>
      <c r="B939">
        <v>43754</v>
      </c>
      <c r="C939" t="s">
        <v>239</v>
      </c>
      <c r="D939" t="s">
        <v>546</v>
      </c>
      <c r="E939" t="s">
        <v>1101</v>
      </c>
      <c r="F939" s="51">
        <v>45644</v>
      </c>
      <c r="G939" t="s">
        <v>2</v>
      </c>
    </row>
    <row r="940" spans="1:7" x14ac:dyDescent="0.3">
      <c r="A940" t="s">
        <v>2702</v>
      </c>
      <c r="B940">
        <v>43756</v>
      </c>
      <c r="C940" t="s">
        <v>465</v>
      </c>
      <c r="D940" t="s">
        <v>1054</v>
      </c>
      <c r="E940" t="s">
        <v>946</v>
      </c>
      <c r="F940" s="51">
        <v>45721</v>
      </c>
      <c r="G940" t="s">
        <v>1</v>
      </c>
    </row>
    <row r="941" spans="1:7" x14ac:dyDescent="0.3">
      <c r="A941" t="s">
        <v>2702</v>
      </c>
      <c r="B941">
        <v>43758</v>
      </c>
      <c r="C941" t="s">
        <v>875</v>
      </c>
      <c r="D941" t="s">
        <v>1102</v>
      </c>
      <c r="E941" t="s">
        <v>121</v>
      </c>
      <c r="F941" s="51">
        <v>45692</v>
      </c>
      <c r="G941" t="s">
        <v>4</v>
      </c>
    </row>
    <row r="942" spans="1:7" x14ac:dyDescent="0.3">
      <c r="A942" t="s">
        <v>2702</v>
      </c>
      <c r="B942">
        <v>43759</v>
      </c>
      <c r="C942" t="s">
        <v>562</v>
      </c>
      <c r="D942" t="s">
        <v>563</v>
      </c>
      <c r="E942" t="s">
        <v>1103</v>
      </c>
      <c r="F942" s="51">
        <v>45680</v>
      </c>
      <c r="G942" t="s">
        <v>5</v>
      </c>
    </row>
    <row r="943" spans="1:7" x14ac:dyDescent="0.3">
      <c r="A943" t="s">
        <v>2702</v>
      </c>
      <c r="B943">
        <v>43760</v>
      </c>
      <c r="C943" t="s">
        <v>1104</v>
      </c>
      <c r="D943" t="s">
        <v>1105</v>
      </c>
      <c r="E943" t="s">
        <v>85</v>
      </c>
      <c r="F943" s="51">
        <v>45686</v>
      </c>
      <c r="G943" t="s">
        <v>1</v>
      </c>
    </row>
    <row r="944" spans="1:7" x14ac:dyDescent="0.3">
      <c r="A944" t="s">
        <v>2702</v>
      </c>
      <c r="B944">
        <v>43763</v>
      </c>
      <c r="C944" t="s">
        <v>41</v>
      </c>
      <c r="D944" t="s">
        <v>2677</v>
      </c>
      <c r="F944" s="51">
        <v>45874</v>
      </c>
      <c r="G944" t="s">
        <v>4</v>
      </c>
    </row>
    <row r="945" spans="1:7" x14ac:dyDescent="0.3">
      <c r="A945" t="s">
        <v>2702</v>
      </c>
      <c r="B945">
        <v>43765</v>
      </c>
      <c r="C945" t="s">
        <v>1106</v>
      </c>
      <c r="D945" t="s">
        <v>1107</v>
      </c>
      <c r="E945" t="s">
        <v>146</v>
      </c>
      <c r="F945" s="51">
        <v>45670</v>
      </c>
      <c r="G945" t="s">
        <v>1</v>
      </c>
    </row>
    <row r="946" spans="1:7" x14ac:dyDescent="0.3">
      <c r="A946" t="s">
        <v>2702</v>
      </c>
      <c r="B946">
        <v>43768</v>
      </c>
      <c r="C946" t="s">
        <v>729</v>
      </c>
      <c r="D946" t="s">
        <v>1108</v>
      </c>
      <c r="E946" t="s">
        <v>172</v>
      </c>
      <c r="F946" s="51">
        <v>45671</v>
      </c>
      <c r="G946" t="s">
        <v>6</v>
      </c>
    </row>
    <row r="947" spans="1:7" x14ac:dyDescent="0.3">
      <c r="A947" t="s">
        <v>2702</v>
      </c>
      <c r="B947">
        <v>43771</v>
      </c>
      <c r="C947" t="s">
        <v>2425</v>
      </c>
      <c r="D947" t="s">
        <v>362</v>
      </c>
      <c r="E947" t="s">
        <v>121</v>
      </c>
      <c r="F947" s="51">
        <v>45820</v>
      </c>
      <c r="G947" t="s">
        <v>4</v>
      </c>
    </row>
    <row r="948" spans="1:7" x14ac:dyDescent="0.3">
      <c r="A948" t="s">
        <v>2702</v>
      </c>
      <c r="B948">
        <v>43773</v>
      </c>
      <c r="C948" t="s">
        <v>1960</v>
      </c>
      <c r="D948" t="s">
        <v>442</v>
      </c>
      <c r="E948" t="s">
        <v>373</v>
      </c>
      <c r="F948" s="51">
        <v>45707</v>
      </c>
      <c r="G948" t="s">
        <v>1</v>
      </c>
    </row>
    <row r="949" spans="1:7" x14ac:dyDescent="0.3">
      <c r="A949" t="s">
        <v>2702</v>
      </c>
      <c r="B949">
        <v>43774</v>
      </c>
      <c r="C949" t="s">
        <v>919</v>
      </c>
      <c r="D949" t="s">
        <v>226</v>
      </c>
      <c r="E949" t="s">
        <v>1109</v>
      </c>
      <c r="F949" s="51">
        <v>45686</v>
      </c>
      <c r="G949" t="s">
        <v>1</v>
      </c>
    </row>
    <row r="950" spans="1:7" x14ac:dyDescent="0.3">
      <c r="A950" t="s">
        <v>2702</v>
      </c>
      <c r="B950">
        <v>43777</v>
      </c>
      <c r="C950" t="s">
        <v>1110</v>
      </c>
      <c r="D950" t="s">
        <v>1111</v>
      </c>
      <c r="E950" t="s">
        <v>1112</v>
      </c>
      <c r="F950" s="51">
        <v>45670</v>
      </c>
      <c r="G950" t="s">
        <v>1</v>
      </c>
    </row>
    <row r="951" spans="1:7" x14ac:dyDescent="0.3">
      <c r="A951" t="s">
        <v>2702</v>
      </c>
      <c r="B951">
        <v>43779</v>
      </c>
      <c r="C951" t="s">
        <v>1040</v>
      </c>
      <c r="D951" t="s">
        <v>260</v>
      </c>
      <c r="E951" t="s">
        <v>615</v>
      </c>
      <c r="F951" s="51">
        <v>45670</v>
      </c>
      <c r="G951" t="s">
        <v>1</v>
      </c>
    </row>
    <row r="952" spans="1:7" x14ac:dyDescent="0.3">
      <c r="A952" t="s">
        <v>2702</v>
      </c>
      <c r="B952">
        <v>43780</v>
      </c>
      <c r="C952" t="s">
        <v>56</v>
      </c>
      <c r="D952" t="s">
        <v>1113</v>
      </c>
      <c r="E952" t="s">
        <v>121</v>
      </c>
      <c r="F952" s="51">
        <v>45671</v>
      </c>
      <c r="G952" t="s">
        <v>4</v>
      </c>
    </row>
    <row r="953" spans="1:7" x14ac:dyDescent="0.3">
      <c r="A953" t="s">
        <v>2702</v>
      </c>
      <c r="B953">
        <v>43781</v>
      </c>
      <c r="C953" t="s">
        <v>622</v>
      </c>
      <c r="D953" t="s">
        <v>1114</v>
      </c>
      <c r="E953" t="s">
        <v>1115</v>
      </c>
      <c r="F953" s="51">
        <v>45670</v>
      </c>
      <c r="G953" t="s">
        <v>1</v>
      </c>
    </row>
    <row r="954" spans="1:7" x14ac:dyDescent="0.3">
      <c r="A954" t="s">
        <v>2702</v>
      </c>
      <c r="B954">
        <v>43782</v>
      </c>
      <c r="C954" t="s">
        <v>239</v>
      </c>
      <c r="D954" t="s">
        <v>546</v>
      </c>
      <c r="E954" t="s">
        <v>1116</v>
      </c>
      <c r="F954" s="51">
        <v>45670</v>
      </c>
      <c r="G954" t="s">
        <v>2</v>
      </c>
    </row>
    <row r="955" spans="1:7" x14ac:dyDescent="0.3">
      <c r="A955" t="s">
        <v>2702</v>
      </c>
      <c r="B955">
        <v>43783</v>
      </c>
      <c r="C955" t="s">
        <v>1124</v>
      </c>
      <c r="D955" t="s">
        <v>709</v>
      </c>
      <c r="E955" t="s">
        <v>121</v>
      </c>
      <c r="F955" s="51">
        <v>45729</v>
      </c>
      <c r="G955" t="s">
        <v>4</v>
      </c>
    </row>
    <row r="956" spans="1:7" x14ac:dyDescent="0.3">
      <c r="A956" t="s">
        <v>2702</v>
      </c>
      <c r="B956">
        <v>43786</v>
      </c>
      <c r="C956" t="s">
        <v>1117</v>
      </c>
      <c r="D956" t="s">
        <v>1118</v>
      </c>
      <c r="E956" t="s">
        <v>1119</v>
      </c>
      <c r="F956" s="51">
        <v>45684</v>
      </c>
      <c r="G956" t="s">
        <v>1</v>
      </c>
    </row>
    <row r="957" spans="1:7" x14ac:dyDescent="0.3">
      <c r="A957" t="s">
        <v>2702</v>
      </c>
      <c r="B957">
        <v>43790</v>
      </c>
      <c r="C957" t="s">
        <v>41</v>
      </c>
      <c r="D957" t="s">
        <v>367</v>
      </c>
      <c r="E957" t="s">
        <v>121</v>
      </c>
      <c r="F957" s="51">
        <v>45849</v>
      </c>
      <c r="G957" t="s">
        <v>4</v>
      </c>
    </row>
    <row r="958" spans="1:7" x14ac:dyDescent="0.3">
      <c r="A958" t="s">
        <v>2702</v>
      </c>
      <c r="B958">
        <v>43791</v>
      </c>
      <c r="C958" t="s">
        <v>559</v>
      </c>
      <c r="D958" t="s">
        <v>45</v>
      </c>
      <c r="E958" t="s">
        <v>1120</v>
      </c>
      <c r="F958" s="51">
        <v>45666</v>
      </c>
      <c r="G958" t="s">
        <v>2</v>
      </c>
    </row>
    <row r="959" spans="1:7" x14ac:dyDescent="0.3">
      <c r="A959" t="s">
        <v>2702</v>
      </c>
      <c r="B959">
        <v>43794</v>
      </c>
      <c r="C959" t="s">
        <v>56</v>
      </c>
      <c r="D959" t="s">
        <v>106</v>
      </c>
      <c r="E959" t="s">
        <v>671</v>
      </c>
      <c r="F959" s="51">
        <v>45667</v>
      </c>
      <c r="G959" t="s">
        <v>1</v>
      </c>
    </row>
    <row r="960" spans="1:7" x14ac:dyDescent="0.3">
      <c r="A960" t="s">
        <v>2702</v>
      </c>
      <c r="B960">
        <v>43795</v>
      </c>
      <c r="C960" t="s">
        <v>941</v>
      </c>
      <c r="D960" t="s">
        <v>1121</v>
      </c>
      <c r="E960" t="s">
        <v>146</v>
      </c>
      <c r="F960" s="51">
        <v>45686</v>
      </c>
      <c r="G960" t="s">
        <v>1</v>
      </c>
    </row>
    <row r="961" spans="1:7" x14ac:dyDescent="0.3">
      <c r="A961" t="s">
        <v>2702</v>
      </c>
      <c r="B961">
        <v>43796</v>
      </c>
      <c r="C961" t="s">
        <v>365</v>
      </c>
      <c r="D961" t="s">
        <v>148</v>
      </c>
      <c r="E961" t="s">
        <v>832</v>
      </c>
      <c r="F961" s="51">
        <v>45670</v>
      </c>
      <c r="G961" t="s">
        <v>1</v>
      </c>
    </row>
    <row r="962" spans="1:7" x14ac:dyDescent="0.3">
      <c r="A962" t="s">
        <v>2702</v>
      </c>
      <c r="B962">
        <v>43797</v>
      </c>
      <c r="C962" t="s">
        <v>789</v>
      </c>
      <c r="D962" t="s">
        <v>45</v>
      </c>
      <c r="E962" t="s">
        <v>1122</v>
      </c>
      <c r="F962" s="51">
        <v>45692</v>
      </c>
      <c r="G962" t="s">
        <v>5</v>
      </c>
    </row>
    <row r="963" spans="1:7" x14ac:dyDescent="0.3">
      <c r="A963" t="s">
        <v>2702</v>
      </c>
      <c r="B963">
        <v>43798</v>
      </c>
      <c r="C963" t="s">
        <v>108</v>
      </c>
      <c r="D963" t="s">
        <v>1123</v>
      </c>
      <c r="E963" t="s">
        <v>121</v>
      </c>
      <c r="F963" s="51">
        <v>45671</v>
      </c>
      <c r="G963" t="s">
        <v>4</v>
      </c>
    </row>
    <row r="964" spans="1:7" x14ac:dyDescent="0.3">
      <c r="A964" t="s">
        <v>2702</v>
      </c>
      <c r="B964">
        <v>43799</v>
      </c>
      <c r="C964" t="s">
        <v>1124</v>
      </c>
      <c r="D964" t="s">
        <v>1125</v>
      </c>
      <c r="E964" t="s">
        <v>121</v>
      </c>
      <c r="F964" s="51">
        <v>45684</v>
      </c>
      <c r="G964" t="s">
        <v>4</v>
      </c>
    </row>
    <row r="965" spans="1:7" x14ac:dyDescent="0.3">
      <c r="A965" t="s">
        <v>2702</v>
      </c>
      <c r="B965">
        <v>43802</v>
      </c>
      <c r="C965" t="s">
        <v>1971</v>
      </c>
      <c r="D965" t="s">
        <v>544</v>
      </c>
      <c r="E965" t="s">
        <v>85</v>
      </c>
      <c r="F965" s="51">
        <v>45719</v>
      </c>
      <c r="G965" t="s">
        <v>1</v>
      </c>
    </row>
    <row r="966" spans="1:7" x14ac:dyDescent="0.3">
      <c r="A966" t="s">
        <v>2702</v>
      </c>
      <c r="B966">
        <v>43804</v>
      </c>
      <c r="C966" t="s">
        <v>1126</v>
      </c>
      <c r="D966" t="s">
        <v>1013</v>
      </c>
      <c r="E966" t="s">
        <v>1127</v>
      </c>
      <c r="F966" s="51">
        <v>45664</v>
      </c>
      <c r="G966" t="s">
        <v>1</v>
      </c>
    </row>
    <row r="967" spans="1:7" x14ac:dyDescent="0.3">
      <c r="A967" t="s">
        <v>2702</v>
      </c>
      <c r="B967">
        <v>43805</v>
      </c>
      <c r="C967" t="s">
        <v>559</v>
      </c>
      <c r="D967" t="s">
        <v>45</v>
      </c>
      <c r="E967" t="s">
        <v>1128</v>
      </c>
      <c r="F967" s="51">
        <v>45672</v>
      </c>
      <c r="G967" t="s">
        <v>1</v>
      </c>
    </row>
    <row r="968" spans="1:7" x14ac:dyDescent="0.3">
      <c r="A968" t="s">
        <v>2702</v>
      </c>
      <c r="B968">
        <v>43806</v>
      </c>
      <c r="C968" t="s">
        <v>41</v>
      </c>
      <c r="D968" t="s">
        <v>367</v>
      </c>
      <c r="E968" t="s">
        <v>564</v>
      </c>
      <c r="F968" s="51">
        <v>45685</v>
      </c>
      <c r="G968" t="s">
        <v>5</v>
      </c>
    </row>
    <row r="969" spans="1:7" x14ac:dyDescent="0.3">
      <c r="A969" t="s">
        <v>2702</v>
      </c>
      <c r="B969">
        <v>43809</v>
      </c>
      <c r="C969" t="s">
        <v>256</v>
      </c>
      <c r="D969" t="s">
        <v>1129</v>
      </c>
      <c r="E969" t="s">
        <v>1130</v>
      </c>
      <c r="F969" s="51">
        <v>45671</v>
      </c>
      <c r="G969" t="s">
        <v>1</v>
      </c>
    </row>
    <row r="970" spans="1:7" x14ac:dyDescent="0.3">
      <c r="A970" t="s">
        <v>2702</v>
      </c>
      <c r="B970">
        <v>43810</v>
      </c>
      <c r="C970" t="s">
        <v>567</v>
      </c>
      <c r="D970" t="s">
        <v>299</v>
      </c>
      <c r="E970" t="s">
        <v>779</v>
      </c>
      <c r="F970" s="51">
        <v>45671</v>
      </c>
      <c r="G970" t="s">
        <v>2</v>
      </c>
    </row>
    <row r="971" spans="1:7" x14ac:dyDescent="0.3">
      <c r="A971" t="s">
        <v>2702</v>
      </c>
      <c r="B971">
        <v>43811</v>
      </c>
      <c r="C971" t="s">
        <v>187</v>
      </c>
      <c r="D971" t="s">
        <v>1131</v>
      </c>
      <c r="E971" t="s">
        <v>1132</v>
      </c>
      <c r="F971" s="51">
        <v>45670</v>
      </c>
      <c r="G971" t="s">
        <v>1</v>
      </c>
    </row>
    <row r="972" spans="1:7" x14ac:dyDescent="0.3">
      <c r="A972" t="s">
        <v>2702</v>
      </c>
      <c r="B972">
        <v>43812</v>
      </c>
      <c r="C972" t="s">
        <v>890</v>
      </c>
      <c r="D972" t="s">
        <v>891</v>
      </c>
      <c r="E972" t="s">
        <v>2373</v>
      </c>
      <c r="F972" s="51">
        <v>45807</v>
      </c>
      <c r="G972" t="s">
        <v>1</v>
      </c>
    </row>
    <row r="973" spans="1:7" x14ac:dyDescent="0.3">
      <c r="A973" t="s">
        <v>2702</v>
      </c>
      <c r="B973">
        <v>43813</v>
      </c>
      <c r="C973" t="s">
        <v>71</v>
      </c>
      <c r="D973" t="s">
        <v>106</v>
      </c>
      <c r="E973" t="s">
        <v>1133</v>
      </c>
      <c r="F973" s="51">
        <v>45672</v>
      </c>
      <c r="G973" t="s">
        <v>3</v>
      </c>
    </row>
    <row r="974" spans="1:7" x14ac:dyDescent="0.3">
      <c r="A974" t="s">
        <v>2702</v>
      </c>
      <c r="B974">
        <v>43814</v>
      </c>
      <c r="C974" t="s">
        <v>74</v>
      </c>
      <c r="D974" t="s">
        <v>367</v>
      </c>
      <c r="E974" t="s">
        <v>121</v>
      </c>
      <c r="F974" s="51">
        <v>45812</v>
      </c>
      <c r="G974" t="s">
        <v>4</v>
      </c>
    </row>
    <row r="975" spans="1:7" x14ac:dyDescent="0.3">
      <c r="A975" t="s">
        <v>2702</v>
      </c>
      <c r="B975">
        <v>43817</v>
      </c>
      <c r="C975" t="s">
        <v>639</v>
      </c>
      <c r="D975" t="s">
        <v>106</v>
      </c>
      <c r="E975" t="s">
        <v>991</v>
      </c>
      <c r="F975" s="51">
        <v>45671</v>
      </c>
      <c r="G975" t="s">
        <v>6</v>
      </c>
    </row>
    <row r="976" spans="1:7" x14ac:dyDescent="0.3">
      <c r="A976" t="s">
        <v>2702</v>
      </c>
      <c r="B976">
        <v>43818</v>
      </c>
      <c r="C976" t="s">
        <v>1137</v>
      </c>
      <c r="D976" t="s">
        <v>797</v>
      </c>
      <c r="E976" t="s">
        <v>2511</v>
      </c>
      <c r="F976" s="51">
        <v>45835</v>
      </c>
      <c r="G976" t="s">
        <v>2</v>
      </c>
    </row>
    <row r="977" spans="1:7" x14ac:dyDescent="0.3">
      <c r="A977" t="s">
        <v>2702</v>
      </c>
      <c r="B977">
        <v>43819</v>
      </c>
      <c r="C977" t="s">
        <v>41</v>
      </c>
      <c r="D977" t="s">
        <v>367</v>
      </c>
      <c r="E977" t="s">
        <v>1134</v>
      </c>
      <c r="F977" s="51">
        <v>45691</v>
      </c>
      <c r="G977" t="s">
        <v>2</v>
      </c>
    </row>
    <row r="978" spans="1:7" x14ac:dyDescent="0.3">
      <c r="A978" t="s">
        <v>2702</v>
      </c>
      <c r="B978">
        <v>43820</v>
      </c>
      <c r="C978" t="s">
        <v>1135</v>
      </c>
      <c r="D978" t="s">
        <v>63</v>
      </c>
      <c r="E978" t="s">
        <v>1136</v>
      </c>
      <c r="F978" s="51">
        <v>45693</v>
      </c>
      <c r="G978" t="s">
        <v>3</v>
      </c>
    </row>
    <row r="979" spans="1:7" x14ac:dyDescent="0.3">
      <c r="A979" t="s">
        <v>2702</v>
      </c>
      <c r="B979">
        <v>43821</v>
      </c>
      <c r="C979" t="s">
        <v>1135</v>
      </c>
      <c r="D979" t="s">
        <v>63</v>
      </c>
      <c r="E979" t="s">
        <v>1074</v>
      </c>
      <c r="F979" s="51">
        <v>45693</v>
      </c>
      <c r="G979" t="s">
        <v>3</v>
      </c>
    </row>
    <row r="980" spans="1:7" x14ac:dyDescent="0.3">
      <c r="A980" t="s">
        <v>2702</v>
      </c>
      <c r="B980">
        <v>43822</v>
      </c>
      <c r="C980" t="s">
        <v>1135</v>
      </c>
      <c r="D980" t="s">
        <v>63</v>
      </c>
      <c r="E980" t="s">
        <v>172</v>
      </c>
      <c r="F980" s="51">
        <v>45693</v>
      </c>
      <c r="G980" t="s">
        <v>3</v>
      </c>
    </row>
    <row r="981" spans="1:7" x14ac:dyDescent="0.3">
      <c r="A981" t="s">
        <v>2702</v>
      </c>
      <c r="B981">
        <v>43823</v>
      </c>
      <c r="C981" t="s">
        <v>468</v>
      </c>
      <c r="D981" t="s">
        <v>1999</v>
      </c>
      <c r="E981" t="s">
        <v>121</v>
      </c>
      <c r="F981" s="51">
        <v>45771</v>
      </c>
      <c r="G981" t="s">
        <v>4</v>
      </c>
    </row>
    <row r="982" spans="1:7" x14ac:dyDescent="0.3">
      <c r="A982" t="s">
        <v>2702</v>
      </c>
      <c r="B982">
        <v>43825</v>
      </c>
      <c r="C982" t="s">
        <v>1137</v>
      </c>
      <c r="D982" t="s">
        <v>797</v>
      </c>
      <c r="E982" t="s">
        <v>549</v>
      </c>
      <c r="F982" s="51">
        <v>45670</v>
      </c>
      <c r="G982" t="s">
        <v>4</v>
      </c>
    </row>
    <row r="983" spans="1:7" x14ac:dyDescent="0.3">
      <c r="A983" t="s">
        <v>2702</v>
      </c>
      <c r="B983">
        <v>43826</v>
      </c>
      <c r="C983" t="s">
        <v>975</v>
      </c>
      <c r="D983" t="s">
        <v>287</v>
      </c>
      <c r="E983" t="s">
        <v>1138</v>
      </c>
      <c r="F983" s="51">
        <v>45686</v>
      </c>
      <c r="G983" t="s">
        <v>1</v>
      </c>
    </row>
    <row r="984" spans="1:7" x14ac:dyDescent="0.3">
      <c r="A984" t="s">
        <v>2702</v>
      </c>
      <c r="B984">
        <v>43828</v>
      </c>
      <c r="C984" t="s">
        <v>450</v>
      </c>
      <c r="D984" t="s">
        <v>444</v>
      </c>
      <c r="E984" t="s">
        <v>732</v>
      </c>
      <c r="F984" s="51">
        <v>45672</v>
      </c>
      <c r="G984" t="s">
        <v>1</v>
      </c>
    </row>
    <row r="985" spans="1:7" x14ac:dyDescent="0.3">
      <c r="A985" t="s">
        <v>2702</v>
      </c>
      <c r="B985">
        <v>43829</v>
      </c>
      <c r="C985" t="s">
        <v>1104</v>
      </c>
      <c r="D985" t="s">
        <v>75</v>
      </c>
      <c r="E985" t="s">
        <v>146</v>
      </c>
      <c r="F985" s="51">
        <v>45681</v>
      </c>
      <c r="G985" t="s">
        <v>3</v>
      </c>
    </row>
    <row r="986" spans="1:7" x14ac:dyDescent="0.3">
      <c r="A986" t="s">
        <v>2702</v>
      </c>
      <c r="B986">
        <v>43830</v>
      </c>
      <c r="C986" t="s">
        <v>1139</v>
      </c>
      <c r="D986" t="s">
        <v>181</v>
      </c>
      <c r="E986" t="s">
        <v>207</v>
      </c>
      <c r="F986" s="51">
        <v>45673</v>
      </c>
      <c r="G986" t="s">
        <v>1</v>
      </c>
    </row>
    <row r="987" spans="1:7" x14ac:dyDescent="0.3">
      <c r="A987" t="s">
        <v>2702</v>
      </c>
      <c r="B987">
        <v>43831</v>
      </c>
      <c r="C987" t="s">
        <v>71</v>
      </c>
      <c r="D987" t="s">
        <v>533</v>
      </c>
      <c r="E987" t="s">
        <v>1987</v>
      </c>
      <c r="F987" s="51">
        <v>45729</v>
      </c>
      <c r="G987" t="s">
        <v>5</v>
      </c>
    </row>
    <row r="988" spans="1:7" x14ac:dyDescent="0.3">
      <c r="A988" t="s">
        <v>2702</v>
      </c>
      <c r="B988">
        <v>43832</v>
      </c>
      <c r="C988" t="s">
        <v>411</v>
      </c>
      <c r="D988" t="s">
        <v>179</v>
      </c>
      <c r="E988" t="s">
        <v>1140</v>
      </c>
      <c r="F988" s="51">
        <v>45674</v>
      </c>
      <c r="G988" t="s">
        <v>2</v>
      </c>
    </row>
    <row r="989" spans="1:7" x14ac:dyDescent="0.3">
      <c r="A989" t="s">
        <v>2702</v>
      </c>
      <c r="B989">
        <v>43834</v>
      </c>
      <c r="C989" t="s">
        <v>729</v>
      </c>
      <c r="D989" t="s">
        <v>369</v>
      </c>
      <c r="E989" t="s">
        <v>1961</v>
      </c>
      <c r="F989" s="51">
        <v>45709</v>
      </c>
      <c r="G989" t="s">
        <v>1</v>
      </c>
    </row>
    <row r="990" spans="1:7" x14ac:dyDescent="0.3">
      <c r="A990" t="s">
        <v>2702</v>
      </c>
      <c r="B990">
        <v>43835</v>
      </c>
      <c r="C990" t="s">
        <v>570</v>
      </c>
      <c r="D990" t="s">
        <v>240</v>
      </c>
      <c r="E990" t="s">
        <v>255</v>
      </c>
      <c r="F990" s="51">
        <v>45692</v>
      </c>
      <c r="G990" t="s">
        <v>8</v>
      </c>
    </row>
    <row r="991" spans="1:7" x14ac:dyDescent="0.3">
      <c r="A991" t="s">
        <v>2702</v>
      </c>
      <c r="B991">
        <v>43837</v>
      </c>
      <c r="C991" t="s">
        <v>1141</v>
      </c>
      <c r="D991" t="s">
        <v>803</v>
      </c>
      <c r="E991" t="s">
        <v>1142</v>
      </c>
      <c r="F991" s="51">
        <v>45694</v>
      </c>
      <c r="G991" t="s">
        <v>1</v>
      </c>
    </row>
    <row r="992" spans="1:7" x14ac:dyDescent="0.3">
      <c r="A992" t="s">
        <v>2702</v>
      </c>
      <c r="B992">
        <v>43838</v>
      </c>
      <c r="C992" t="s">
        <v>180</v>
      </c>
      <c r="D992" t="s">
        <v>181</v>
      </c>
      <c r="E992" t="s">
        <v>35</v>
      </c>
      <c r="F992" s="51">
        <v>45686</v>
      </c>
      <c r="G992" t="s">
        <v>1</v>
      </c>
    </row>
    <row r="993" spans="1:7" x14ac:dyDescent="0.3">
      <c r="A993" t="s">
        <v>2702</v>
      </c>
      <c r="B993">
        <v>43839</v>
      </c>
      <c r="C993" t="s">
        <v>256</v>
      </c>
      <c r="D993" t="s">
        <v>524</v>
      </c>
      <c r="E993" t="s">
        <v>146</v>
      </c>
      <c r="F993" s="51">
        <v>45692</v>
      </c>
      <c r="G993" t="s">
        <v>8</v>
      </c>
    </row>
    <row r="994" spans="1:7" x14ac:dyDescent="0.3">
      <c r="A994" t="s">
        <v>2702</v>
      </c>
      <c r="B994">
        <v>43840</v>
      </c>
      <c r="C994" t="s">
        <v>271</v>
      </c>
      <c r="D994" t="s">
        <v>272</v>
      </c>
      <c r="E994" t="s">
        <v>2025</v>
      </c>
      <c r="F994" s="51">
        <v>45735</v>
      </c>
      <c r="G994" t="s">
        <v>1</v>
      </c>
    </row>
    <row r="995" spans="1:7" x14ac:dyDescent="0.3">
      <c r="A995" t="s">
        <v>2702</v>
      </c>
      <c r="B995">
        <v>43842</v>
      </c>
      <c r="C995" t="s">
        <v>1143</v>
      </c>
      <c r="E995" t="s">
        <v>27</v>
      </c>
      <c r="F995" s="51">
        <v>45674</v>
      </c>
      <c r="G995" t="s">
        <v>1</v>
      </c>
    </row>
    <row r="996" spans="1:7" x14ac:dyDescent="0.3">
      <c r="A996" t="s">
        <v>2702</v>
      </c>
      <c r="B996">
        <v>43843</v>
      </c>
      <c r="C996" t="s">
        <v>1963</v>
      </c>
      <c r="D996" t="s">
        <v>106</v>
      </c>
      <c r="E996" t="s">
        <v>1894</v>
      </c>
      <c r="F996" s="51">
        <v>45709</v>
      </c>
      <c r="G996" t="s">
        <v>1</v>
      </c>
    </row>
    <row r="997" spans="1:7" x14ac:dyDescent="0.3">
      <c r="A997" t="s">
        <v>2702</v>
      </c>
      <c r="B997">
        <v>43844</v>
      </c>
      <c r="C997" t="s">
        <v>1090</v>
      </c>
      <c r="D997" t="s">
        <v>179</v>
      </c>
      <c r="E997" t="s">
        <v>2002</v>
      </c>
      <c r="F997" s="51">
        <v>45733</v>
      </c>
      <c r="G997" t="s">
        <v>6</v>
      </c>
    </row>
    <row r="998" spans="1:7" x14ac:dyDescent="0.3">
      <c r="A998" t="s">
        <v>2702</v>
      </c>
      <c r="B998">
        <v>43847</v>
      </c>
      <c r="C998" t="s">
        <v>584</v>
      </c>
      <c r="D998" t="s">
        <v>63</v>
      </c>
      <c r="E998" t="s">
        <v>598</v>
      </c>
      <c r="F998" s="51">
        <v>45687</v>
      </c>
      <c r="G998" t="s">
        <v>1</v>
      </c>
    </row>
    <row r="999" spans="1:7" x14ac:dyDescent="0.3">
      <c r="A999" t="s">
        <v>2702</v>
      </c>
      <c r="B999">
        <v>43848</v>
      </c>
      <c r="C999" t="s">
        <v>661</v>
      </c>
      <c r="D999" t="s">
        <v>133</v>
      </c>
      <c r="E999" t="s">
        <v>1144</v>
      </c>
      <c r="F999" s="51">
        <v>45686</v>
      </c>
      <c r="G999" t="s">
        <v>6</v>
      </c>
    </row>
    <row r="1000" spans="1:7" x14ac:dyDescent="0.3">
      <c r="A1000" t="s">
        <v>2702</v>
      </c>
      <c r="B1000">
        <v>43849</v>
      </c>
      <c r="C1000" t="s">
        <v>1090</v>
      </c>
      <c r="D1000" t="s">
        <v>151</v>
      </c>
      <c r="E1000" t="s">
        <v>121</v>
      </c>
      <c r="F1000" s="51">
        <v>45812</v>
      </c>
      <c r="G1000" t="s">
        <v>4</v>
      </c>
    </row>
    <row r="1001" spans="1:7" x14ac:dyDescent="0.3">
      <c r="A1001" t="s">
        <v>2702</v>
      </c>
      <c r="B1001">
        <v>43850</v>
      </c>
      <c r="C1001" t="s">
        <v>2026</v>
      </c>
      <c r="D1001" t="s">
        <v>405</v>
      </c>
      <c r="F1001" s="51">
        <v>45735</v>
      </c>
      <c r="G1001" t="s">
        <v>1</v>
      </c>
    </row>
    <row r="1002" spans="1:7" x14ac:dyDescent="0.3">
      <c r="A1002" t="s">
        <v>2702</v>
      </c>
      <c r="B1002">
        <v>43851</v>
      </c>
      <c r="C1002" t="s">
        <v>567</v>
      </c>
      <c r="D1002" t="s">
        <v>295</v>
      </c>
      <c r="E1002" t="s">
        <v>176</v>
      </c>
      <c r="F1002" s="51">
        <v>45719</v>
      </c>
      <c r="G1002" t="s">
        <v>1</v>
      </c>
    </row>
    <row r="1003" spans="1:7" x14ac:dyDescent="0.3">
      <c r="A1003" t="s">
        <v>2702</v>
      </c>
      <c r="B1003">
        <v>43852</v>
      </c>
      <c r="C1003" t="s">
        <v>180</v>
      </c>
      <c r="D1003" t="s">
        <v>181</v>
      </c>
      <c r="E1003" t="s">
        <v>1145</v>
      </c>
      <c r="F1003" s="51">
        <v>45684</v>
      </c>
      <c r="G1003" t="s">
        <v>1</v>
      </c>
    </row>
    <row r="1004" spans="1:7" x14ac:dyDescent="0.3">
      <c r="A1004" t="s">
        <v>2702</v>
      </c>
      <c r="B1004">
        <v>43857</v>
      </c>
      <c r="C1004" t="s">
        <v>1146</v>
      </c>
      <c r="E1004" t="s">
        <v>116</v>
      </c>
      <c r="F1004" s="51">
        <v>45687</v>
      </c>
      <c r="G1004" t="s">
        <v>1</v>
      </c>
    </row>
    <row r="1005" spans="1:7" x14ac:dyDescent="0.3">
      <c r="A1005" t="s">
        <v>2702</v>
      </c>
      <c r="B1005">
        <v>43860</v>
      </c>
      <c r="C1005" t="s">
        <v>86</v>
      </c>
      <c r="D1005" t="s">
        <v>45</v>
      </c>
      <c r="E1005" t="s">
        <v>671</v>
      </c>
      <c r="F1005" s="51">
        <v>45684</v>
      </c>
      <c r="G1005" t="s">
        <v>1</v>
      </c>
    </row>
    <row r="1006" spans="1:7" x14ac:dyDescent="0.3">
      <c r="A1006" t="s">
        <v>2702</v>
      </c>
      <c r="B1006">
        <v>43861</v>
      </c>
      <c r="C1006" t="s">
        <v>86</v>
      </c>
      <c r="D1006" t="s">
        <v>45</v>
      </c>
      <c r="E1006" t="s">
        <v>1147</v>
      </c>
      <c r="F1006" s="51">
        <v>45681</v>
      </c>
      <c r="G1006" t="s">
        <v>3</v>
      </c>
    </row>
    <row r="1007" spans="1:7" x14ac:dyDescent="0.3">
      <c r="A1007" t="s">
        <v>2702</v>
      </c>
      <c r="B1007">
        <v>43862</v>
      </c>
      <c r="C1007" t="s">
        <v>1059</v>
      </c>
      <c r="D1007" t="s">
        <v>32</v>
      </c>
      <c r="E1007" t="s">
        <v>1116</v>
      </c>
      <c r="F1007" s="51">
        <v>45687</v>
      </c>
      <c r="G1007" t="s">
        <v>1</v>
      </c>
    </row>
    <row r="1008" spans="1:7" x14ac:dyDescent="0.3">
      <c r="A1008" t="s">
        <v>2702</v>
      </c>
      <c r="B1008">
        <v>43863</v>
      </c>
      <c r="C1008" t="s">
        <v>559</v>
      </c>
      <c r="D1008" t="s">
        <v>1017</v>
      </c>
      <c r="E1008" t="s">
        <v>1148</v>
      </c>
      <c r="F1008" s="51">
        <v>45686</v>
      </c>
      <c r="G1008" t="s">
        <v>2</v>
      </c>
    </row>
    <row r="1009" spans="1:7" x14ac:dyDescent="0.3">
      <c r="A1009" t="s">
        <v>2702</v>
      </c>
      <c r="B1009">
        <v>43864</v>
      </c>
      <c r="C1009" t="s">
        <v>1149</v>
      </c>
      <c r="E1009" t="s">
        <v>1150</v>
      </c>
      <c r="F1009" s="51">
        <v>45694</v>
      </c>
      <c r="G1009" t="s">
        <v>1</v>
      </c>
    </row>
    <row r="1010" spans="1:7" x14ac:dyDescent="0.3">
      <c r="A1010" t="s">
        <v>2702</v>
      </c>
      <c r="B1010">
        <v>43866</v>
      </c>
      <c r="C1010" t="s">
        <v>1059</v>
      </c>
      <c r="D1010" t="s">
        <v>32</v>
      </c>
      <c r="E1010" t="s">
        <v>1151</v>
      </c>
      <c r="F1010" s="51">
        <v>45684</v>
      </c>
      <c r="G1010" t="s">
        <v>1</v>
      </c>
    </row>
    <row r="1011" spans="1:7" x14ac:dyDescent="0.3">
      <c r="A1011" t="s">
        <v>2702</v>
      </c>
      <c r="B1011">
        <v>43868</v>
      </c>
      <c r="C1011" t="s">
        <v>36</v>
      </c>
      <c r="D1011" t="s">
        <v>37</v>
      </c>
      <c r="E1011" t="s">
        <v>534</v>
      </c>
      <c r="F1011" s="51">
        <v>45799</v>
      </c>
      <c r="G1011" t="s">
        <v>1</v>
      </c>
    </row>
    <row r="1012" spans="1:7" x14ac:dyDescent="0.3">
      <c r="A1012" t="s">
        <v>2702</v>
      </c>
      <c r="B1012">
        <v>43869</v>
      </c>
      <c r="C1012" t="s">
        <v>155</v>
      </c>
      <c r="D1012" t="s">
        <v>524</v>
      </c>
      <c r="E1012" t="s">
        <v>1049</v>
      </c>
      <c r="F1012" s="51">
        <v>45730</v>
      </c>
      <c r="G1012" t="s">
        <v>1</v>
      </c>
    </row>
    <row r="1013" spans="1:7" x14ac:dyDescent="0.3">
      <c r="A1013" t="s">
        <v>2702</v>
      </c>
      <c r="B1013">
        <v>43870</v>
      </c>
      <c r="C1013" t="s">
        <v>41</v>
      </c>
      <c r="D1013" t="s">
        <v>453</v>
      </c>
      <c r="E1013" t="s">
        <v>787</v>
      </c>
      <c r="F1013" s="51">
        <v>45730</v>
      </c>
      <c r="G1013" t="s">
        <v>4</v>
      </c>
    </row>
    <row r="1014" spans="1:7" x14ac:dyDescent="0.3">
      <c r="A1014" t="s">
        <v>2702</v>
      </c>
      <c r="B1014">
        <v>43872</v>
      </c>
      <c r="C1014" t="s">
        <v>439</v>
      </c>
      <c r="D1014" t="s">
        <v>718</v>
      </c>
      <c r="E1014" t="s">
        <v>1134</v>
      </c>
      <c r="F1014" s="51">
        <v>45685</v>
      </c>
      <c r="G1014" t="s">
        <v>2</v>
      </c>
    </row>
    <row r="1015" spans="1:7" x14ac:dyDescent="0.3">
      <c r="A1015" t="s">
        <v>2702</v>
      </c>
      <c r="B1015">
        <v>43875</v>
      </c>
      <c r="C1015" t="s">
        <v>236</v>
      </c>
      <c r="D1015" t="s">
        <v>75</v>
      </c>
      <c r="E1015" t="s">
        <v>35</v>
      </c>
      <c r="F1015" s="51">
        <v>45729</v>
      </c>
      <c r="G1015" t="s">
        <v>1</v>
      </c>
    </row>
    <row r="1016" spans="1:7" x14ac:dyDescent="0.3">
      <c r="A1016" t="s">
        <v>2702</v>
      </c>
      <c r="B1016">
        <v>43876</v>
      </c>
      <c r="C1016" t="s">
        <v>180</v>
      </c>
      <c r="D1016" t="s">
        <v>181</v>
      </c>
      <c r="E1016" t="s">
        <v>1072</v>
      </c>
      <c r="F1016" s="51">
        <v>45692</v>
      </c>
      <c r="G1016" t="s">
        <v>1</v>
      </c>
    </row>
    <row r="1017" spans="1:7" x14ac:dyDescent="0.3">
      <c r="A1017" t="s">
        <v>2702</v>
      </c>
      <c r="B1017">
        <v>43877</v>
      </c>
      <c r="C1017" t="s">
        <v>498</v>
      </c>
      <c r="D1017" t="s">
        <v>148</v>
      </c>
      <c r="E1017" t="s">
        <v>416</v>
      </c>
      <c r="F1017" s="51">
        <v>45701</v>
      </c>
      <c r="G1017" t="s">
        <v>1</v>
      </c>
    </row>
    <row r="1018" spans="1:7" x14ac:dyDescent="0.3">
      <c r="A1018" t="s">
        <v>2702</v>
      </c>
      <c r="B1018">
        <v>43879</v>
      </c>
      <c r="C1018" t="s">
        <v>41</v>
      </c>
      <c r="D1018" t="s">
        <v>2018</v>
      </c>
      <c r="E1018" t="s">
        <v>2019</v>
      </c>
      <c r="F1018" s="51">
        <v>45734</v>
      </c>
      <c r="G1018" t="s">
        <v>5</v>
      </c>
    </row>
    <row r="1019" spans="1:7" x14ac:dyDescent="0.3">
      <c r="A1019" t="s">
        <v>2702</v>
      </c>
      <c r="B1019">
        <v>43880</v>
      </c>
      <c r="C1019" t="s">
        <v>41</v>
      </c>
      <c r="D1019" t="s">
        <v>2181</v>
      </c>
      <c r="E1019" t="s">
        <v>85</v>
      </c>
      <c r="F1019" s="51">
        <v>45796</v>
      </c>
      <c r="G1019" t="s">
        <v>4</v>
      </c>
    </row>
    <row r="1020" spans="1:7" x14ac:dyDescent="0.3">
      <c r="A1020" t="s">
        <v>2702</v>
      </c>
      <c r="B1020">
        <v>43883</v>
      </c>
      <c r="C1020" t="s">
        <v>71</v>
      </c>
      <c r="D1020" t="s">
        <v>32</v>
      </c>
      <c r="E1020" t="s">
        <v>2211</v>
      </c>
      <c r="F1020" s="51">
        <v>45855</v>
      </c>
      <c r="G1020" t="s">
        <v>2077</v>
      </c>
    </row>
    <row r="1021" spans="1:7" x14ac:dyDescent="0.3">
      <c r="A1021" t="s">
        <v>2702</v>
      </c>
      <c r="B1021">
        <v>43884</v>
      </c>
      <c r="C1021" t="s">
        <v>919</v>
      </c>
      <c r="D1021" t="s">
        <v>1105</v>
      </c>
      <c r="E1021" t="s">
        <v>958</v>
      </c>
      <c r="F1021" s="51">
        <v>45692</v>
      </c>
      <c r="G1021" t="s">
        <v>1</v>
      </c>
    </row>
    <row r="1022" spans="1:7" x14ac:dyDescent="0.3">
      <c r="A1022" t="s">
        <v>2702</v>
      </c>
      <c r="B1022">
        <v>43888</v>
      </c>
      <c r="C1022" t="s">
        <v>773</v>
      </c>
      <c r="D1022" t="s">
        <v>94</v>
      </c>
      <c r="E1022" t="s">
        <v>947</v>
      </c>
      <c r="F1022" s="51">
        <v>45719</v>
      </c>
      <c r="G1022" t="s">
        <v>1</v>
      </c>
    </row>
    <row r="1023" spans="1:7" x14ac:dyDescent="0.3">
      <c r="A1023" t="s">
        <v>2702</v>
      </c>
      <c r="B1023">
        <v>43890</v>
      </c>
      <c r="C1023" t="s">
        <v>1035</v>
      </c>
      <c r="D1023" t="s">
        <v>408</v>
      </c>
      <c r="E1023" t="s">
        <v>146</v>
      </c>
      <c r="F1023" s="51">
        <v>45719</v>
      </c>
      <c r="G1023" t="s">
        <v>1</v>
      </c>
    </row>
    <row r="1024" spans="1:7" x14ac:dyDescent="0.3">
      <c r="A1024" t="s">
        <v>2702</v>
      </c>
      <c r="B1024">
        <v>43892</v>
      </c>
      <c r="C1024" t="s">
        <v>71</v>
      </c>
      <c r="D1024" t="s">
        <v>57</v>
      </c>
      <c r="E1024" t="s">
        <v>416</v>
      </c>
      <c r="F1024" s="51">
        <v>45729</v>
      </c>
      <c r="G1024" t="s">
        <v>2077</v>
      </c>
    </row>
    <row r="1025" spans="1:7" x14ac:dyDescent="0.3">
      <c r="A1025" t="s">
        <v>2702</v>
      </c>
      <c r="B1025">
        <v>43893</v>
      </c>
      <c r="C1025" t="s">
        <v>426</v>
      </c>
      <c r="D1025" t="s">
        <v>232</v>
      </c>
      <c r="E1025" t="s">
        <v>1995</v>
      </c>
      <c r="F1025" s="51">
        <v>45729</v>
      </c>
      <c r="G1025" t="s">
        <v>1</v>
      </c>
    </row>
    <row r="1026" spans="1:7" x14ac:dyDescent="0.3">
      <c r="A1026" t="s">
        <v>2702</v>
      </c>
      <c r="B1026">
        <v>43894</v>
      </c>
      <c r="C1026" t="s">
        <v>486</v>
      </c>
      <c r="D1026" t="s">
        <v>487</v>
      </c>
      <c r="E1026" t="s">
        <v>2120</v>
      </c>
      <c r="F1026" s="51">
        <v>45777</v>
      </c>
      <c r="G1026" t="s">
        <v>5</v>
      </c>
    </row>
    <row r="1027" spans="1:7" x14ac:dyDescent="0.3">
      <c r="A1027" t="s">
        <v>2702</v>
      </c>
      <c r="B1027">
        <v>43896</v>
      </c>
      <c r="C1027" t="s">
        <v>778</v>
      </c>
      <c r="D1027" t="s">
        <v>752</v>
      </c>
      <c r="E1027" t="s">
        <v>1001</v>
      </c>
      <c r="F1027" s="51">
        <v>45729</v>
      </c>
      <c r="G1027" t="s">
        <v>1</v>
      </c>
    </row>
    <row r="1028" spans="1:7" x14ac:dyDescent="0.3">
      <c r="A1028" t="s">
        <v>2702</v>
      </c>
      <c r="B1028">
        <v>43897</v>
      </c>
      <c r="C1028" t="s">
        <v>239</v>
      </c>
      <c r="D1028" t="s">
        <v>546</v>
      </c>
      <c r="E1028" t="s">
        <v>1049</v>
      </c>
      <c r="F1028" s="51">
        <v>45691</v>
      </c>
      <c r="G1028" t="s">
        <v>2</v>
      </c>
    </row>
    <row r="1029" spans="1:7" x14ac:dyDescent="0.3">
      <c r="A1029" t="s">
        <v>2702</v>
      </c>
      <c r="B1029">
        <v>43899</v>
      </c>
      <c r="C1029" t="s">
        <v>74</v>
      </c>
      <c r="D1029" t="s">
        <v>217</v>
      </c>
      <c r="E1029" t="s">
        <v>2078</v>
      </c>
      <c r="F1029" s="51">
        <v>45719</v>
      </c>
      <c r="G1029" t="s">
        <v>3</v>
      </c>
    </row>
    <row r="1030" spans="1:7" x14ac:dyDescent="0.3">
      <c r="A1030" t="s">
        <v>2702</v>
      </c>
      <c r="B1030">
        <v>43900</v>
      </c>
      <c r="C1030" t="s">
        <v>1152</v>
      </c>
      <c r="E1030" t="s">
        <v>27</v>
      </c>
      <c r="F1030" s="51">
        <v>45694</v>
      </c>
      <c r="G1030" t="s">
        <v>1</v>
      </c>
    </row>
    <row r="1031" spans="1:7" x14ac:dyDescent="0.3">
      <c r="A1031" t="s">
        <v>2702</v>
      </c>
      <c r="B1031">
        <v>43902</v>
      </c>
      <c r="C1031" t="s">
        <v>337</v>
      </c>
      <c r="D1031" t="s">
        <v>75</v>
      </c>
      <c r="E1031" t="s">
        <v>1962</v>
      </c>
      <c r="F1031" s="51">
        <v>45709</v>
      </c>
      <c r="G1031" t="s">
        <v>1</v>
      </c>
    </row>
    <row r="1032" spans="1:7" x14ac:dyDescent="0.3">
      <c r="A1032" t="s">
        <v>2702</v>
      </c>
      <c r="B1032">
        <v>43904</v>
      </c>
      <c r="C1032" t="s">
        <v>199</v>
      </c>
      <c r="D1032" t="s">
        <v>2402</v>
      </c>
      <c r="E1032" t="s">
        <v>2403</v>
      </c>
      <c r="F1032" s="51">
        <v>45812</v>
      </c>
      <c r="G1032" t="s">
        <v>4</v>
      </c>
    </row>
    <row r="1033" spans="1:7" x14ac:dyDescent="0.3">
      <c r="A1033" t="s">
        <v>2702</v>
      </c>
      <c r="B1033">
        <v>43905</v>
      </c>
      <c r="C1033" t="s">
        <v>73</v>
      </c>
      <c r="E1033" t="s">
        <v>1945</v>
      </c>
      <c r="F1033" s="51">
        <v>45701</v>
      </c>
      <c r="G1033" t="s">
        <v>1</v>
      </c>
    </row>
    <row r="1034" spans="1:7" x14ac:dyDescent="0.3">
      <c r="A1034" t="s">
        <v>2702</v>
      </c>
      <c r="B1034">
        <v>43906</v>
      </c>
      <c r="C1034" t="s">
        <v>309</v>
      </c>
      <c r="D1034" t="s">
        <v>106</v>
      </c>
      <c r="E1034" t="s">
        <v>215</v>
      </c>
      <c r="F1034" s="51">
        <v>45694</v>
      </c>
      <c r="G1034" t="s">
        <v>4</v>
      </c>
    </row>
    <row r="1035" spans="1:7" x14ac:dyDescent="0.3">
      <c r="A1035" t="s">
        <v>2702</v>
      </c>
      <c r="B1035">
        <v>43907</v>
      </c>
      <c r="C1035" t="s">
        <v>799</v>
      </c>
      <c r="D1035" t="s">
        <v>179</v>
      </c>
      <c r="E1035" t="s">
        <v>70</v>
      </c>
      <c r="F1035" s="51">
        <v>45699</v>
      </c>
      <c r="G1035" t="s">
        <v>1</v>
      </c>
    </row>
    <row r="1036" spans="1:7" x14ac:dyDescent="0.3">
      <c r="A1036" t="s">
        <v>2702</v>
      </c>
      <c r="B1036">
        <v>43908</v>
      </c>
      <c r="C1036" t="s">
        <v>2106</v>
      </c>
      <c r="D1036" t="s">
        <v>2107</v>
      </c>
      <c r="E1036" t="s">
        <v>121</v>
      </c>
      <c r="F1036" s="51">
        <v>45776</v>
      </c>
      <c r="G1036" t="s">
        <v>4</v>
      </c>
    </row>
    <row r="1037" spans="1:7" x14ac:dyDescent="0.3">
      <c r="A1037" t="s">
        <v>2702</v>
      </c>
      <c r="B1037">
        <v>43909</v>
      </c>
      <c r="C1037" t="s">
        <v>639</v>
      </c>
      <c r="D1037" t="s">
        <v>94</v>
      </c>
      <c r="E1037" t="s">
        <v>121</v>
      </c>
      <c r="F1037" s="51">
        <v>45771</v>
      </c>
      <c r="G1037" t="s">
        <v>4</v>
      </c>
    </row>
    <row r="1038" spans="1:7" x14ac:dyDescent="0.3">
      <c r="A1038" t="s">
        <v>2702</v>
      </c>
      <c r="B1038">
        <v>43910</v>
      </c>
      <c r="C1038" t="s">
        <v>2052</v>
      </c>
      <c r="D1038" t="s">
        <v>2053</v>
      </c>
      <c r="E1038" t="s">
        <v>85</v>
      </c>
      <c r="F1038" s="51">
        <v>45741</v>
      </c>
      <c r="G1038" t="s">
        <v>6</v>
      </c>
    </row>
    <row r="1039" spans="1:7" x14ac:dyDescent="0.3">
      <c r="A1039" t="s">
        <v>2702</v>
      </c>
      <c r="B1039">
        <v>43911</v>
      </c>
      <c r="C1039" t="s">
        <v>951</v>
      </c>
      <c r="D1039" t="s">
        <v>688</v>
      </c>
      <c r="E1039" t="s">
        <v>1943</v>
      </c>
      <c r="F1039" s="51">
        <v>45699</v>
      </c>
      <c r="G1039" t="s">
        <v>1</v>
      </c>
    </row>
    <row r="1040" spans="1:7" x14ac:dyDescent="0.3">
      <c r="A1040" t="s">
        <v>2702</v>
      </c>
      <c r="B1040">
        <v>43912</v>
      </c>
      <c r="C1040" t="s">
        <v>1040</v>
      </c>
      <c r="D1040" t="s">
        <v>260</v>
      </c>
      <c r="E1040" t="s">
        <v>401</v>
      </c>
      <c r="F1040" s="51">
        <v>45699</v>
      </c>
      <c r="G1040" t="s">
        <v>1</v>
      </c>
    </row>
    <row r="1041" spans="1:7" x14ac:dyDescent="0.3">
      <c r="A1041" t="s">
        <v>2702</v>
      </c>
      <c r="B1041">
        <v>43916</v>
      </c>
      <c r="C1041" t="s">
        <v>128</v>
      </c>
      <c r="D1041" t="s">
        <v>533</v>
      </c>
      <c r="E1041" t="s">
        <v>121</v>
      </c>
      <c r="F1041" s="51">
        <v>45831</v>
      </c>
      <c r="G1041" t="s">
        <v>4</v>
      </c>
    </row>
    <row r="1042" spans="1:7" x14ac:dyDescent="0.3">
      <c r="A1042" t="s">
        <v>2702</v>
      </c>
      <c r="B1042">
        <v>43919</v>
      </c>
      <c r="C1042" t="s">
        <v>1964</v>
      </c>
      <c r="D1042" t="s">
        <v>1965</v>
      </c>
      <c r="F1042" s="51">
        <v>45709</v>
      </c>
      <c r="G1042" t="s">
        <v>1</v>
      </c>
    </row>
    <row r="1043" spans="1:7" x14ac:dyDescent="0.3">
      <c r="A1043" t="s">
        <v>2702</v>
      </c>
      <c r="B1043">
        <v>43920</v>
      </c>
      <c r="C1043" t="s">
        <v>543</v>
      </c>
      <c r="D1043" t="s">
        <v>544</v>
      </c>
      <c r="E1043" t="s">
        <v>403</v>
      </c>
      <c r="F1043" s="51">
        <v>45707</v>
      </c>
      <c r="G1043" t="s">
        <v>6</v>
      </c>
    </row>
    <row r="1044" spans="1:7" x14ac:dyDescent="0.3">
      <c r="A1044" t="s">
        <v>2702</v>
      </c>
      <c r="B1044">
        <v>43921</v>
      </c>
      <c r="C1044" t="s">
        <v>41</v>
      </c>
      <c r="D1044" t="s">
        <v>75</v>
      </c>
      <c r="E1044" t="s">
        <v>569</v>
      </c>
      <c r="F1044" s="51">
        <v>45777</v>
      </c>
      <c r="G1044" t="s">
        <v>4</v>
      </c>
    </row>
    <row r="1045" spans="1:7" x14ac:dyDescent="0.3">
      <c r="A1045" t="s">
        <v>2702</v>
      </c>
      <c r="B1045">
        <v>43922</v>
      </c>
      <c r="C1045" t="s">
        <v>262</v>
      </c>
      <c r="D1045" t="s">
        <v>263</v>
      </c>
      <c r="E1045" t="s">
        <v>2532</v>
      </c>
      <c r="F1045" s="51">
        <v>45835</v>
      </c>
      <c r="G1045" t="s">
        <v>4</v>
      </c>
    </row>
    <row r="1046" spans="1:7" x14ac:dyDescent="0.3">
      <c r="A1046" t="s">
        <v>2702</v>
      </c>
      <c r="B1046">
        <v>43923</v>
      </c>
      <c r="C1046" t="s">
        <v>674</v>
      </c>
      <c r="D1046" t="s">
        <v>106</v>
      </c>
      <c r="E1046" t="s">
        <v>950</v>
      </c>
      <c r="F1046" s="51">
        <v>45707</v>
      </c>
      <c r="G1046" t="s">
        <v>1</v>
      </c>
    </row>
    <row r="1047" spans="1:7" x14ac:dyDescent="0.3">
      <c r="A1047" t="s">
        <v>2702</v>
      </c>
      <c r="B1047">
        <v>43924</v>
      </c>
      <c r="C1047" t="s">
        <v>1994</v>
      </c>
      <c r="E1047" t="s">
        <v>1575</v>
      </c>
      <c r="F1047" s="51">
        <v>45730</v>
      </c>
      <c r="G1047" t="s">
        <v>1</v>
      </c>
    </row>
    <row r="1048" spans="1:7" x14ac:dyDescent="0.3">
      <c r="A1048" t="s">
        <v>2702</v>
      </c>
      <c r="B1048">
        <v>43925</v>
      </c>
      <c r="C1048" t="s">
        <v>441</v>
      </c>
      <c r="D1048" t="s">
        <v>75</v>
      </c>
      <c r="E1048" t="s">
        <v>1946</v>
      </c>
      <c r="F1048" s="51">
        <v>45701</v>
      </c>
      <c r="G1048" t="s">
        <v>1</v>
      </c>
    </row>
    <row r="1049" spans="1:7" x14ac:dyDescent="0.3">
      <c r="A1049" t="s">
        <v>2702</v>
      </c>
      <c r="B1049">
        <v>43927</v>
      </c>
      <c r="C1049" t="s">
        <v>559</v>
      </c>
      <c r="D1049" t="s">
        <v>2121</v>
      </c>
      <c r="E1049" t="s">
        <v>186</v>
      </c>
      <c r="F1049" s="51">
        <v>45777</v>
      </c>
      <c r="G1049" t="s">
        <v>1</v>
      </c>
    </row>
    <row r="1050" spans="1:7" x14ac:dyDescent="0.3">
      <c r="A1050" t="s">
        <v>2702</v>
      </c>
      <c r="B1050">
        <v>43928</v>
      </c>
      <c r="C1050" t="s">
        <v>262</v>
      </c>
      <c r="D1050" t="s">
        <v>596</v>
      </c>
      <c r="E1050" t="s">
        <v>85</v>
      </c>
      <c r="F1050" s="51">
        <v>45709</v>
      </c>
      <c r="G1050" t="s">
        <v>1</v>
      </c>
    </row>
    <row r="1051" spans="1:7" x14ac:dyDescent="0.3">
      <c r="A1051" t="s">
        <v>2702</v>
      </c>
      <c r="B1051">
        <v>43929</v>
      </c>
      <c r="C1051" t="s">
        <v>262</v>
      </c>
      <c r="D1051" t="s">
        <v>596</v>
      </c>
      <c r="E1051" t="s">
        <v>2190</v>
      </c>
      <c r="F1051" s="51">
        <v>45798</v>
      </c>
      <c r="G1051" t="s">
        <v>2</v>
      </c>
    </row>
    <row r="1052" spans="1:7" x14ac:dyDescent="0.3">
      <c r="A1052" t="s">
        <v>2702</v>
      </c>
      <c r="B1052">
        <v>43931</v>
      </c>
      <c r="C1052" t="s">
        <v>610</v>
      </c>
      <c r="D1052" t="s">
        <v>1980</v>
      </c>
      <c r="E1052" t="s">
        <v>116</v>
      </c>
      <c r="F1052" s="51">
        <v>45719</v>
      </c>
      <c r="G1052" t="s">
        <v>1</v>
      </c>
    </row>
    <row r="1053" spans="1:7" x14ac:dyDescent="0.3">
      <c r="A1053" t="s">
        <v>2702</v>
      </c>
      <c r="B1053">
        <v>43932</v>
      </c>
      <c r="C1053" t="s">
        <v>41</v>
      </c>
      <c r="D1053" t="s">
        <v>718</v>
      </c>
      <c r="E1053" t="s">
        <v>1993</v>
      </c>
      <c r="F1053" s="51">
        <v>45730</v>
      </c>
      <c r="G1053" t="s">
        <v>5</v>
      </c>
    </row>
    <row r="1054" spans="1:7" x14ac:dyDescent="0.3">
      <c r="A1054" t="s">
        <v>2702</v>
      </c>
      <c r="B1054">
        <v>43933</v>
      </c>
      <c r="C1054" t="s">
        <v>746</v>
      </c>
      <c r="D1054" t="s">
        <v>718</v>
      </c>
      <c r="E1054" t="s">
        <v>2179</v>
      </c>
      <c r="F1054" s="51">
        <v>45796</v>
      </c>
      <c r="G1054" t="s">
        <v>5</v>
      </c>
    </row>
    <row r="1055" spans="1:7" x14ac:dyDescent="0.3">
      <c r="A1055" t="s">
        <v>2702</v>
      </c>
      <c r="B1055">
        <v>43935</v>
      </c>
      <c r="C1055" t="s">
        <v>509</v>
      </c>
      <c r="D1055" t="s">
        <v>440</v>
      </c>
      <c r="E1055" t="s">
        <v>1979</v>
      </c>
      <c r="F1055" s="51">
        <v>45719</v>
      </c>
      <c r="G1055" t="s">
        <v>3</v>
      </c>
    </row>
    <row r="1056" spans="1:7" x14ac:dyDescent="0.3">
      <c r="A1056" t="s">
        <v>2702</v>
      </c>
      <c r="B1056">
        <v>43936</v>
      </c>
      <c r="C1056" t="s">
        <v>239</v>
      </c>
      <c r="D1056" t="s">
        <v>1203</v>
      </c>
      <c r="E1056" t="s">
        <v>2027</v>
      </c>
      <c r="F1056" s="51">
        <v>45735</v>
      </c>
      <c r="G1056" t="s">
        <v>1</v>
      </c>
    </row>
    <row r="1057" spans="1:7" x14ac:dyDescent="0.3">
      <c r="A1057" t="s">
        <v>2702</v>
      </c>
      <c r="B1057">
        <v>43937</v>
      </c>
      <c r="C1057" t="s">
        <v>1711</v>
      </c>
      <c r="D1057" t="s">
        <v>1712</v>
      </c>
      <c r="E1057" t="s">
        <v>1989</v>
      </c>
      <c r="F1057" s="51">
        <v>45730</v>
      </c>
      <c r="G1057" t="s">
        <v>2</v>
      </c>
    </row>
    <row r="1058" spans="1:7" x14ac:dyDescent="0.3">
      <c r="A1058" t="s">
        <v>2702</v>
      </c>
      <c r="B1058">
        <v>43939</v>
      </c>
      <c r="C1058" t="s">
        <v>450</v>
      </c>
      <c r="D1058" t="s">
        <v>524</v>
      </c>
      <c r="E1058" t="s">
        <v>1992</v>
      </c>
      <c r="F1058" s="51">
        <v>45730</v>
      </c>
      <c r="G1058" t="s">
        <v>1</v>
      </c>
    </row>
    <row r="1059" spans="1:7" x14ac:dyDescent="0.3">
      <c r="A1059" t="s">
        <v>2702</v>
      </c>
      <c r="B1059">
        <v>43940</v>
      </c>
      <c r="C1059" t="s">
        <v>1960</v>
      </c>
      <c r="D1059" t="s">
        <v>312</v>
      </c>
      <c r="E1059" t="s">
        <v>2040</v>
      </c>
      <c r="F1059" s="51">
        <v>45741</v>
      </c>
      <c r="G1059" t="s">
        <v>1</v>
      </c>
    </row>
    <row r="1060" spans="1:7" x14ac:dyDescent="0.3">
      <c r="A1060" t="s">
        <v>2702</v>
      </c>
      <c r="B1060">
        <v>43941</v>
      </c>
      <c r="C1060" t="s">
        <v>2031</v>
      </c>
      <c r="D1060" t="s">
        <v>2032</v>
      </c>
      <c r="E1060" t="s">
        <v>153</v>
      </c>
      <c r="F1060" s="51">
        <v>45735</v>
      </c>
      <c r="G1060" t="s">
        <v>1</v>
      </c>
    </row>
    <row r="1061" spans="1:7" x14ac:dyDescent="0.3">
      <c r="A1061" t="s">
        <v>2702</v>
      </c>
      <c r="B1061">
        <v>43942</v>
      </c>
      <c r="C1061" t="s">
        <v>155</v>
      </c>
      <c r="D1061" t="s">
        <v>170</v>
      </c>
      <c r="E1061" t="s">
        <v>176</v>
      </c>
      <c r="F1061" s="51">
        <v>45719</v>
      </c>
      <c r="G1061" t="s">
        <v>1</v>
      </c>
    </row>
    <row r="1062" spans="1:7" x14ac:dyDescent="0.3">
      <c r="A1062" t="s">
        <v>2702</v>
      </c>
      <c r="B1062">
        <v>43943</v>
      </c>
      <c r="C1062" t="s">
        <v>1974</v>
      </c>
      <c r="D1062" t="s">
        <v>797</v>
      </c>
      <c r="E1062" t="s">
        <v>1975</v>
      </c>
      <c r="F1062" s="51">
        <v>45719</v>
      </c>
      <c r="G1062" t="s">
        <v>2</v>
      </c>
    </row>
    <row r="1063" spans="1:7" x14ac:dyDescent="0.3">
      <c r="A1063" t="s">
        <v>2702</v>
      </c>
      <c r="B1063">
        <v>43944</v>
      </c>
      <c r="C1063" t="s">
        <v>1996</v>
      </c>
      <c r="D1063" t="s">
        <v>175</v>
      </c>
      <c r="E1063" t="s">
        <v>1997</v>
      </c>
      <c r="F1063" s="51">
        <v>45730</v>
      </c>
      <c r="G1063" t="s">
        <v>1</v>
      </c>
    </row>
    <row r="1064" spans="1:7" x14ac:dyDescent="0.3">
      <c r="A1064" t="s">
        <v>2702</v>
      </c>
      <c r="B1064">
        <v>43945</v>
      </c>
      <c r="C1064" t="s">
        <v>328</v>
      </c>
      <c r="D1064" t="s">
        <v>148</v>
      </c>
      <c r="E1064" t="s">
        <v>946</v>
      </c>
      <c r="F1064" s="51">
        <v>45777</v>
      </c>
      <c r="G1064" t="s">
        <v>1</v>
      </c>
    </row>
    <row r="1065" spans="1:7" x14ac:dyDescent="0.3">
      <c r="A1065" t="s">
        <v>2702</v>
      </c>
      <c r="B1065">
        <v>43946</v>
      </c>
      <c r="C1065" t="s">
        <v>108</v>
      </c>
      <c r="D1065" t="s">
        <v>1123</v>
      </c>
      <c r="E1065" t="s">
        <v>2049</v>
      </c>
      <c r="F1065" s="51">
        <v>45741</v>
      </c>
      <c r="G1065" t="s">
        <v>2</v>
      </c>
    </row>
    <row r="1066" spans="1:7" x14ac:dyDescent="0.3">
      <c r="A1066" t="s">
        <v>2702</v>
      </c>
      <c r="B1066">
        <v>43948</v>
      </c>
      <c r="C1066" t="s">
        <v>187</v>
      </c>
      <c r="D1066" t="s">
        <v>106</v>
      </c>
      <c r="E1066" t="s">
        <v>2067</v>
      </c>
      <c r="F1066" s="51">
        <v>45756</v>
      </c>
      <c r="G1066" t="s">
        <v>1</v>
      </c>
    </row>
    <row r="1067" spans="1:7" x14ac:dyDescent="0.3">
      <c r="A1067" t="s">
        <v>2702</v>
      </c>
      <c r="B1067">
        <v>43949</v>
      </c>
      <c r="C1067" t="s">
        <v>729</v>
      </c>
      <c r="D1067" t="s">
        <v>369</v>
      </c>
      <c r="E1067" t="s">
        <v>2126</v>
      </c>
      <c r="F1067" s="51">
        <v>45777</v>
      </c>
      <c r="G1067" t="s">
        <v>2077</v>
      </c>
    </row>
    <row r="1068" spans="1:7" x14ac:dyDescent="0.3">
      <c r="A1068" t="s">
        <v>2702</v>
      </c>
      <c r="B1068">
        <v>43950</v>
      </c>
      <c r="C1068" t="s">
        <v>729</v>
      </c>
      <c r="D1068" t="s">
        <v>249</v>
      </c>
      <c r="E1068" t="s">
        <v>113</v>
      </c>
      <c r="F1068" s="51">
        <v>45789</v>
      </c>
      <c r="G1068" t="s">
        <v>1</v>
      </c>
    </row>
    <row r="1069" spans="1:7" x14ac:dyDescent="0.3">
      <c r="A1069" t="s">
        <v>2702</v>
      </c>
      <c r="B1069">
        <v>43953</v>
      </c>
      <c r="C1069" t="s">
        <v>2102</v>
      </c>
      <c r="D1069" t="s">
        <v>2103</v>
      </c>
      <c r="E1069" t="s">
        <v>121</v>
      </c>
      <c r="F1069" s="51">
        <v>45771</v>
      </c>
      <c r="G1069" t="s">
        <v>4</v>
      </c>
    </row>
    <row r="1070" spans="1:7" x14ac:dyDescent="0.3">
      <c r="A1070" t="s">
        <v>2702</v>
      </c>
      <c r="B1070">
        <v>43954</v>
      </c>
      <c r="C1070" t="s">
        <v>1247</v>
      </c>
      <c r="D1070" t="s">
        <v>2093</v>
      </c>
      <c r="E1070" t="s">
        <v>121</v>
      </c>
      <c r="F1070" s="51">
        <v>45769</v>
      </c>
      <c r="G1070" t="s">
        <v>4</v>
      </c>
    </row>
    <row r="1071" spans="1:7" x14ac:dyDescent="0.3">
      <c r="A1071" t="s">
        <v>2702</v>
      </c>
      <c r="B1071">
        <v>43955</v>
      </c>
      <c r="C1071" t="s">
        <v>2041</v>
      </c>
      <c r="D1071" t="s">
        <v>2042</v>
      </c>
      <c r="E1071" t="s">
        <v>121</v>
      </c>
      <c r="F1071" s="51">
        <v>45741</v>
      </c>
      <c r="G1071" t="s">
        <v>4</v>
      </c>
    </row>
    <row r="1072" spans="1:7" x14ac:dyDescent="0.3">
      <c r="A1072" t="s">
        <v>2702</v>
      </c>
      <c r="B1072">
        <v>43956</v>
      </c>
      <c r="C1072" t="s">
        <v>2057</v>
      </c>
      <c r="D1072" t="s">
        <v>2058</v>
      </c>
      <c r="E1072" t="s">
        <v>2059</v>
      </c>
      <c r="F1072" s="51">
        <v>45744</v>
      </c>
      <c r="G1072" t="s">
        <v>1</v>
      </c>
    </row>
    <row r="1073" spans="1:7" x14ac:dyDescent="0.3">
      <c r="A1073" t="s">
        <v>2702</v>
      </c>
      <c r="B1073">
        <v>43957</v>
      </c>
      <c r="C1073" t="s">
        <v>773</v>
      </c>
      <c r="D1073" t="s">
        <v>94</v>
      </c>
      <c r="E1073" t="s">
        <v>1981</v>
      </c>
      <c r="F1073" s="51">
        <v>45719</v>
      </c>
      <c r="G1073" t="s">
        <v>1</v>
      </c>
    </row>
    <row r="1074" spans="1:7" x14ac:dyDescent="0.3">
      <c r="A1074" t="s">
        <v>2702</v>
      </c>
      <c r="B1074">
        <v>43958</v>
      </c>
      <c r="C1074" t="s">
        <v>41</v>
      </c>
      <c r="D1074" t="s">
        <v>227</v>
      </c>
      <c r="E1074" t="s">
        <v>2636</v>
      </c>
      <c r="F1074" s="51">
        <v>45860</v>
      </c>
      <c r="G1074" t="s">
        <v>4</v>
      </c>
    </row>
    <row r="1075" spans="1:7" x14ac:dyDescent="0.3">
      <c r="A1075" t="s">
        <v>2702</v>
      </c>
      <c r="B1075">
        <v>43959</v>
      </c>
      <c r="C1075" t="s">
        <v>65</v>
      </c>
      <c r="D1075" t="s">
        <v>1998</v>
      </c>
      <c r="E1075" t="s">
        <v>245</v>
      </c>
      <c r="F1075" s="51">
        <v>45733</v>
      </c>
      <c r="G1075" t="s">
        <v>1</v>
      </c>
    </row>
    <row r="1076" spans="1:7" x14ac:dyDescent="0.3">
      <c r="A1076" t="s">
        <v>2702</v>
      </c>
      <c r="B1076">
        <v>43960</v>
      </c>
      <c r="C1076" t="s">
        <v>256</v>
      </c>
      <c r="D1076" t="s">
        <v>1129</v>
      </c>
      <c r="E1076" t="s">
        <v>70</v>
      </c>
      <c r="F1076" s="51">
        <v>45729</v>
      </c>
      <c r="G1076" t="s">
        <v>1</v>
      </c>
    </row>
    <row r="1077" spans="1:7" x14ac:dyDescent="0.3">
      <c r="A1077" t="s">
        <v>2702</v>
      </c>
      <c r="B1077">
        <v>43961</v>
      </c>
      <c r="C1077" t="s">
        <v>292</v>
      </c>
      <c r="D1077" t="s">
        <v>75</v>
      </c>
      <c r="E1077" t="s">
        <v>1088</v>
      </c>
      <c r="F1077" s="51">
        <v>45730</v>
      </c>
      <c r="G1077" t="s">
        <v>3</v>
      </c>
    </row>
    <row r="1078" spans="1:7" x14ac:dyDescent="0.3">
      <c r="A1078" t="s">
        <v>2702</v>
      </c>
      <c r="B1078">
        <v>43962</v>
      </c>
      <c r="C1078" t="s">
        <v>1135</v>
      </c>
      <c r="D1078" t="s">
        <v>63</v>
      </c>
      <c r="E1078" t="s">
        <v>145</v>
      </c>
      <c r="F1078" s="51">
        <v>45730</v>
      </c>
      <c r="G1078" t="s">
        <v>3</v>
      </c>
    </row>
    <row r="1079" spans="1:7" x14ac:dyDescent="0.3">
      <c r="A1079" t="s">
        <v>2702</v>
      </c>
      <c r="B1079">
        <v>43963</v>
      </c>
      <c r="C1079" t="s">
        <v>1135</v>
      </c>
      <c r="D1079" t="s">
        <v>63</v>
      </c>
      <c r="E1079" t="s">
        <v>255</v>
      </c>
      <c r="F1079" s="51">
        <v>45736</v>
      </c>
      <c r="G1079" t="s">
        <v>3</v>
      </c>
    </row>
    <row r="1080" spans="1:7" x14ac:dyDescent="0.3">
      <c r="A1080" t="s">
        <v>2702</v>
      </c>
      <c r="B1080">
        <v>43964</v>
      </c>
      <c r="C1080" t="s">
        <v>292</v>
      </c>
      <c r="D1080" t="s">
        <v>75</v>
      </c>
      <c r="E1080" t="s">
        <v>1798</v>
      </c>
      <c r="F1080" s="51">
        <v>45733</v>
      </c>
      <c r="G1080" t="s">
        <v>6</v>
      </c>
    </row>
    <row r="1081" spans="1:7" x14ac:dyDescent="0.3">
      <c r="A1081" t="s">
        <v>2702</v>
      </c>
      <c r="B1081">
        <v>43965</v>
      </c>
      <c r="C1081" t="s">
        <v>1972</v>
      </c>
      <c r="E1081" t="s">
        <v>116</v>
      </c>
      <c r="F1081" s="51">
        <v>45719</v>
      </c>
      <c r="G1081" t="s">
        <v>1</v>
      </c>
    </row>
    <row r="1082" spans="1:7" x14ac:dyDescent="0.3">
      <c r="A1082" t="s">
        <v>2702</v>
      </c>
      <c r="B1082">
        <v>43970</v>
      </c>
      <c r="C1082" t="s">
        <v>122</v>
      </c>
      <c r="D1082" t="s">
        <v>2111</v>
      </c>
      <c r="E1082" t="s">
        <v>720</v>
      </c>
      <c r="F1082" s="51">
        <v>45776</v>
      </c>
      <c r="G1082" t="s">
        <v>1</v>
      </c>
    </row>
    <row r="1083" spans="1:7" x14ac:dyDescent="0.3">
      <c r="A1083" t="s">
        <v>2702</v>
      </c>
      <c r="B1083">
        <v>43971</v>
      </c>
      <c r="C1083" t="s">
        <v>761</v>
      </c>
      <c r="D1083" t="s">
        <v>1999</v>
      </c>
      <c r="E1083" t="s">
        <v>85</v>
      </c>
      <c r="F1083" s="51">
        <v>45729</v>
      </c>
      <c r="G1083" t="s">
        <v>1</v>
      </c>
    </row>
    <row r="1084" spans="1:7" x14ac:dyDescent="0.3">
      <c r="A1084" t="s">
        <v>2702</v>
      </c>
      <c r="B1084">
        <v>43972</v>
      </c>
      <c r="C1084" t="s">
        <v>1701</v>
      </c>
      <c r="D1084" t="s">
        <v>563</v>
      </c>
      <c r="E1084" t="s">
        <v>1660</v>
      </c>
      <c r="F1084" s="51">
        <v>45735</v>
      </c>
      <c r="G1084" t="s">
        <v>3</v>
      </c>
    </row>
    <row r="1085" spans="1:7" x14ac:dyDescent="0.3">
      <c r="A1085" t="s">
        <v>2702</v>
      </c>
      <c r="B1085">
        <v>43973</v>
      </c>
      <c r="C1085" t="s">
        <v>470</v>
      </c>
      <c r="D1085" t="s">
        <v>982</v>
      </c>
      <c r="E1085" t="s">
        <v>2372</v>
      </c>
      <c r="F1085" s="51">
        <v>45807</v>
      </c>
      <c r="G1085" t="s">
        <v>4</v>
      </c>
    </row>
    <row r="1086" spans="1:7" x14ac:dyDescent="0.3">
      <c r="A1086" t="s">
        <v>2702</v>
      </c>
      <c r="B1086">
        <v>43974</v>
      </c>
      <c r="C1086" t="s">
        <v>1977</v>
      </c>
      <c r="D1086" t="s">
        <v>1978</v>
      </c>
      <c r="E1086" t="s">
        <v>121</v>
      </c>
      <c r="F1086" s="51">
        <v>45719</v>
      </c>
      <c r="G1086" t="s">
        <v>4</v>
      </c>
    </row>
    <row r="1087" spans="1:7" x14ac:dyDescent="0.3">
      <c r="A1087" t="s">
        <v>2702</v>
      </c>
      <c r="B1087">
        <v>43975</v>
      </c>
      <c r="C1087" t="s">
        <v>180</v>
      </c>
      <c r="D1087" t="s">
        <v>181</v>
      </c>
      <c r="E1087" t="s">
        <v>2000</v>
      </c>
      <c r="F1087" s="51">
        <v>45733</v>
      </c>
      <c r="G1087" t="s">
        <v>10</v>
      </c>
    </row>
    <row r="1088" spans="1:7" x14ac:dyDescent="0.3">
      <c r="A1088" t="s">
        <v>2702</v>
      </c>
      <c r="B1088">
        <v>43977</v>
      </c>
      <c r="C1088" t="s">
        <v>975</v>
      </c>
      <c r="D1088" t="s">
        <v>2226</v>
      </c>
      <c r="E1088" t="s">
        <v>176</v>
      </c>
      <c r="F1088" s="51">
        <v>45800</v>
      </c>
      <c r="G1088" t="s">
        <v>2077</v>
      </c>
    </row>
    <row r="1089" spans="1:7" x14ac:dyDescent="0.3">
      <c r="A1089" t="s">
        <v>2702</v>
      </c>
      <c r="B1089">
        <v>43978</v>
      </c>
      <c r="C1089" t="s">
        <v>1960</v>
      </c>
      <c r="D1089" t="s">
        <v>295</v>
      </c>
      <c r="E1089" t="s">
        <v>787</v>
      </c>
      <c r="F1089" s="51">
        <v>45720</v>
      </c>
      <c r="G1089" t="s">
        <v>1</v>
      </c>
    </row>
    <row r="1090" spans="1:7" x14ac:dyDescent="0.3">
      <c r="A1090" t="s">
        <v>2702</v>
      </c>
      <c r="B1090">
        <v>43979</v>
      </c>
      <c r="C1090" t="s">
        <v>74</v>
      </c>
      <c r="D1090" t="s">
        <v>367</v>
      </c>
      <c r="E1090" t="s">
        <v>1134</v>
      </c>
      <c r="F1090" s="51">
        <v>45730</v>
      </c>
      <c r="G1090" t="s">
        <v>2</v>
      </c>
    </row>
    <row r="1091" spans="1:7" x14ac:dyDescent="0.3">
      <c r="A1091" t="s">
        <v>2702</v>
      </c>
      <c r="B1091">
        <v>43980</v>
      </c>
      <c r="C1091" t="s">
        <v>611</v>
      </c>
      <c r="D1091" t="s">
        <v>2104</v>
      </c>
      <c r="E1091" t="s">
        <v>121</v>
      </c>
      <c r="F1091" s="51">
        <v>45771</v>
      </c>
      <c r="G1091" t="s">
        <v>4</v>
      </c>
    </row>
    <row r="1092" spans="1:7" x14ac:dyDescent="0.3">
      <c r="A1092" t="s">
        <v>2702</v>
      </c>
      <c r="B1092">
        <v>43984</v>
      </c>
      <c r="C1092" t="s">
        <v>239</v>
      </c>
      <c r="D1092" t="s">
        <v>546</v>
      </c>
      <c r="E1092" t="s">
        <v>172</v>
      </c>
      <c r="F1092" s="51">
        <v>45733</v>
      </c>
      <c r="G1092" t="s">
        <v>2</v>
      </c>
    </row>
    <row r="1093" spans="1:7" x14ac:dyDescent="0.3">
      <c r="A1093" t="s">
        <v>2702</v>
      </c>
      <c r="B1093">
        <v>43988</v>
      </c>
      <c r="C1093" t="s">
        <v>1124</v>
      </c>
      <c r="D1093" t="s">
        <v>1125</v>
      </c>
      <c r="E1093" t="s">
        <v>428</v>
      </c>
      <c r="F1093" s="51">
        <v>45733</v>
      </c>
      <c r="G1093" t="s">
        <v>1</v>
      </c>
    </row>
    <row r="1094" spans="1:7" x14ac:dyDescent="0.3">
      <c r="A1094" t="s">
        <v>2702</v>
      </c>
      <c r="B1094">
        <v>43989</v>
      </c>
      <c r="C1094" t="s">
        <v>2137</v>
      </c>
      <c r="D1094" t="s">
        <v>295</v>
      </c>
      <c r="E1094" t="s">
        <v>176</v>
      </c>
      <c r="F1094" s="51">
        <v>45782</v>
      </c>
      <c r="G1094" t="s">
        <v>1</v>
      </c>
    </row>
    <row r="1095" spans="1:7" x14ac:dyDescent="0.3">
      <c r="A1095" t="s">
        <v>2702</v>
      </c>
      <c r="B1095">
        <v>43990</v>
      </c>
      <c r="C1095" t="s">
        <v>1009</v>
      </c>
      <c r="D1095" t="s">
        <v>227</v>
      </c>
      <c r="E1095" t="s">
        <v>356</v>
      </c>
      <c r="F1095" s="51">
        <v>45730</v>
      </c>
      <c r="G1095" t="s">
        <v>1</v>
      </c>
    </row>
    <row r="1096" spans="1:7" x14ac:dyDescent="0.3">
      <c r="A1096" t="s">
        <v>2702</v>
      </c>
      <c r="B1096">
        <v>43991</v>
      </c>
      <c r="C1096" t="s">
        <v>2039</v>
      </c>
      <c r="D1096" t="s">
        <v>2109</v>
      </c>
      <c r="E1096" t="s">
        <v>121</v>
      </c>
      <c r="F1096" s="51">
        <v>45784</v>
      </c>
      <c r="G1096" t="s">
        <v>4</v>
      </c>
    </row>
    <row r="1097" spans="1:7" x14ac:dyDescent="0.3">
      <c r="A1097" t="s">
        <v>2702</v>
      </c>
      <c r="B1097">
        <v>43992</v>
      </c>
      <c r="C1097" t="s">
        <v>41</v>
      </c>
      <c r="D1097" t="s">
        <v>2680</v>
      </c>
      <c r="E1097" t="s">
        <v>98</v>
      </c>
      <c r="F1097" s="51">
        <v>45874</v>
      </c>
      <c r="G1097" t="s">
        <v>4</v>
      </c>
    </row>
    <row r="1098" spans="1:7" x14ac:dyDescent="0.3">
      <c r="A1098" t="s">
        <v>2702</v>
      </c>
      <c r="B1098">
        <v>43996</v>
      </c>
      <c r="C1098" t="s">
        <v>687</v>
      </c>
      <c r="D1098" t="s">
        <v>162</v>
      </c>
      <c r="E1098" t="s">
        <v>2051</v>
      </c>
      <c r="F1098" s="51">
        <v>45741</v>
      </c>
      <c r="G1098" t="s">
        <v>1</v>
      </c>
    </row>
    <row r="1099" spans="1:7" x14ac:dyDescent="0.3">
      <c r="A1099" t="s">
        <v>2702</v>
      </c>
      <c r="B1099">
        <v>43997</v>
      </c>
      <c r="C1099" t="s">
        <v>74</v>
      </c>
      <c r="D1099" t="s">
        <v>2182</v>
      </c>
      <c r="E1099" t="s">
        <v>1547</v>
      </c>
      <c r="F1099" s="51">
        <v>45797</v>
      </c>
      <c r="G1099" t="s">
        <v>1</v>
      </c>
    </row>
    <row r="1100" spans="1:7" x14ac:dyDescent="0.3">
      <c r="A1100" t="s">
        <v>2702</v>
      </c>
      <c r="B1100">
        <v>43998</v>
      </c>
      <c r="C1100" t="s">
        <v>199</v>
      </c>
      <c r="D1100" t="s">
        <v>293</v>
      </c>
      <c r="E1100" t="s">
        <v>98</v>
      </c>
      <c r="F1100" s="51">
        <v>45730</v>
      </c>
      <c r="G1100" t="s">
        <v>4</v>
      </c>
    </row>
    <row r="1101" spans="1:7" x14ac:dyDescent="0.3">
      <c r="A1101" t="s">
        <v>2702</v>
      </c>
      <c r="B1101">
        <v>43999</v>
      </c>
      <c r="C1101" t="s">
        <v>2029</v>
      </c>
      <c r="E1101" t="s">
        <v>554</v>
      </c>
      <c r="F1101" s="51">
        <v>45735</v>
      </c>
      <c r="G1101" t="s">
        <v>1</v>
      </c>
    </row>
    <row r="1102" spans="1:7" x14ac:dyDescent="0.3">
      <c r="A1102" t="s">
        <v>2702</v>
      </c>
      <c r="B1102">
        <v>44002</v>
      </c>
      <c r="C1102" t="s">
        <v>486</v>
      </c>
      <c r="D1102" t="s">
        <v>223</v>
      </c>
      <c r="E1102" t="s">
        <v>686</v>
      </c>
      <c r="F1102" s="51">
        <v>45733</v>
      </c>
      <c r="G1102" t="s">
        <v>1</v>
      </c>
    </row>
    <row r="1103" spans="1:7" x14ac:dyDescent="0.3">
      <c r="A1103" t="s">
        <v>2702</v>
      </c>
      <c r="B1103">
        <v>44003</v>
      </c>
      <c r="C1103" t="s">
        <v>189</v>
      </c>
      <c r="D1103" t="s">
        <v>2030</v>
      </c>
      <c r="E1103" t="s">
        <v>1757</v>
      </c>
      <c r="F1103" s="51">
        <v>45735</v>
      </c>
      <c r="G1103" t="s">
        <v>1</v>
      </c>
    </row>
    <row r="1104" spans="1:7" x14ac:dyDescent="0.3">
      <c r="A1104" t="s">
        <v>2702</v>
      </c>
      <c r="B1104">
        <v>44004</v>
      </c>
      <c r="C1104" t="s">
        <v>570</v>
      </c>
      <c r="D1104" t="s">
        <v>1054</v>
      </c>
      <c r="E1104" t="s">
        <v>373</v>
      </c>
      <c r="F1104" s="51">
        <v>45761</v>
      </c>
      <c r="G1104" t="s">
        <v>1</v>
      </c>
    </row>
    <row r="1105" spans="1:7" x14ac:dyDescent="0.3">
      <c r="A1105" t="s">
        <v>2702</v>
      </c>
      <c r="B1105">
        <v>44006</v>
      </c>
      <c r="C1105" t="s">
        <v>1090</v>
      </c>
      <c r="D1105" t="s">
        <v>179</v>
      </c>
      <c r="E1105" t="s">
        <v>2155</v>
      </c>
      <c r="F1105" s="51">
        <v>45789</v>
      </c>
      <c r="G1105" t="s">
        <v>1</v>
      </c>
    </row>
    <row r="1106" spans="1:7" x14ac:dyDescent="0.3">
      <c r="A1106" t="s">
        <v>2702</v>
      </c>
      <c r="B1106">
        <v>44007</v>
      </c>
      <c r="C1106" t="s">
        <v>1124</v>
      </c>
      <c r="D1106" t="s">
        <v>2043</v>
      </c>
      <c r="E1106" t="s">
        <v>2044</v>
      </c>
      <c r="F1106" s="51">
        <v>45741</v>
      </c>
      <c r="G1106" t="s">
        <v>8</v>
      </c>
    </row>
    <row r="1107" spans="1:7" x14ac:dyDescent="0.3">
      <c r="A1107" t="s">
        <v>2702</v>
      </c>
      <c r="B1107">
        <v>44009</v>
      </c>
      <c r="C1107" t="s">
        <v>468</v>
      </c>
      <c r="D1107" t="s">
        <v>1999</v>
      </c>
      <c r="E1107" t="s">
        <v>121</v>
      </c>
      <c r="F1107" s="51">
        <v>45771</v>
      </c>
      <c r="G1107" t="s">
        <v>4</v>
      </c>
    </row>
    <row r="1108" spans="1:7" x14ac:dyDescent="0.3">
      <c r="A1108" t="s">
        <v>2702</v>
      </c>
      <c r="B1108">
        <v>44015</v>
      </c>
      <c r="C1108" t="s">
        <v>799</v>
      </c>
      <c r="D1108" t="s">
        <v>179</v>
      </c>
      <c r="E1108" t="s">
        <v>525</v>
      </c>
      <c r="F1108" s="51">
        <v>45777</v>
      </c>
      <c r="G1108" t="s">
        <v>2077</v>
      </c>
    </row>
    <row r="1109" spans="1:7" x14ac:dyDescent="0.3">
      <c r="A1109" t="s">
        <v>2702</v>
      </c>
      <c r="B1109">
        <v>44017</v>
      </c>
      <c r="C1109" t="s">
        <v>79</v>
      </c>
      <c r="D1109" t="s">
        <v>32</v>
      </c>
      <c r="E1109" t="s">
        <v>615</v>
      </c>
      <c r="F1109" s="51">
        <v>45733</v>
      </c>
      <c r="G1109" t="s">
        <v>1</v>
      </c>
    </row>
    <row r="1110" spans="1:7" x14ac:dyDescent="0.3">
      <c r="A1110" t="s">
        <v>2702</v>
      </c>
      <c r="B1110">
        <v>44018</v>
      </c>
      <c r="C1110" t="s">
        <v>962</v>
      </c>
      <c r="D1110" t="s">
        <v>2003</v>
      </c>
      <c r="E1110" t="s">
        <v>549</v>
      </c>
      <c r="F1110" s="51">
        <v>45733</v>
      </c>
      <c r="G1110" t="s">
        <v>4</v>
      </c>
    </row>
    <row r="1111" spans="1:7" x14ac:dyDescent="0.3">
      <c r="A1111" t="s">
        <v>2702</v>
      </c>
      <c r="B1111">
        <v>44020</v>
      </c>
      <c r="C1111" t="s">
        <v>2004</v>
      </c>
      <c r="F1111" s="51">
        <v>45733</v>
      </c>
      <c r="G1111" t="s">
        <v>1</v>
      </c>
    </row>
    <row r="1112" spans="1:7" x14ac:dyDescent="0.3">
      <c r="A1112" t="s">
        <v>2702</v>
      </c>
      <c r="B1112">
        <v>44021</v>
      </c>
      <c r="C1112" t="s">
        <v>276</v>
      </c>
      <c r="D1112" t="s">
        <v>2005</v>
      </c>
      <c r="E1112" t="s">
        <v>495</v>
      </c>
      <c r="F1112" s="51">
        <v>45733</v>
      </c>
      <c r="G1112" t="s">
        <v>1</v>
      </c>
    </row>
    <row r="1113" spans="1:7" x14ac:dyDescent="0.3">
      <c r="A1113" t="s">
        <v>2702</v>
      </c>
      <c r="B1113">
        <v>44022</v>
      </c>
      <c r="C1113" t="s">
        <v>446</v>
      </c>
      <c r="D1113" t="s">
        <v>367</v>
      </c>
      <c r="E1113" t="s">
        <v>1436</v>
      </c>
      <c r="F1113" s="51">
        <v>45730</v>
      </c>
      <c r="G1113" t="s">
        <v>2</v>
      </c>
    </row>
    <row r="1114" spans="1:7" x14ac:dyDescent="0.3">
      <c r="A1114" t="s">
        <v>2702</v>
      </c>
      <c r="B1114">
        <v>44024</v>
      </c>
      <c r="C1114" t="s">
        <v>446</v>
      </c>
      <c r="D1114" t="s">
        <v>75</v>
      </c>
      <c r="E1114" t="s">
        <v>1597</v>
      </c>
      <c r="F1114" s="51">
        <v>45831</v>
      </c>
      <c r="G1114" t="s">
        <v>4</v>
      </c>
    </row>
    <row r="1115" spans="1:7" x14ac:dyDescent="0.3">
      <c r="A1115" t="s">
        <v>2702</v>
      </c>
      <c r="B1115">
        <v>44029</v>
      </c>
      <c r="C1115" t="s">
        <v>426</v>
      </c>
      <c r="D1115" t="s">
        <v>2489</v>
      </c>
      <c r="E1115" t="s">
        <v>98</v>
      </c>
      <c r="F1115" s="51">
        <v>45831</v>
      </c>
      <c r="G1115" t="s">
        <v>4</v>
      </c>
    </row>
    <row r="1116" spans="1:7" x14ac:dyDescent="0.3">
      <c r="A1116" t="s">
        <v>2702</v>
      </c>
      <c r="B1116">
        <v>44032</v>
      </c>
      <c r="C1116" t="s">
        <v>328</v>
      </c>
      <c r="D1116" t="s">
        <v>487</v>
      </c>
      <c r="E1116" t="s">
        <v>592</v>
      </c>
      <c r="F1116" s="51">
        <v>45784</v>
      </c>
      <c r="G1116" t="s">
        <v>2077</v>
      </c>
    </row>
    <row r="1117" spans="1:7" x14ac:dyDescent="0.3">
      <c r="A1117" t="s">
        <v>2702</v>
      </c>
      <c r="B1117">
        <v>44033</v>
      </c>
      <c r="C1117" t="s">
        <v>870</v>
      </c>
      <c r="D1117" t="s">
        <v>179</v>
      </c>
      <c r="E1117" t="s">
        <v>777</v>
      </c>
      <c r="F1117" s="51">
        <v>45735</v>
      </c>
      <c r="G1117" t="s">
        <v>1</v>
      </c>
    </row>
    <row r="1118" spans="1:7" x14ac:dyDescent="0.3">
      <c r="A1118" t="s">
        <v>2702</v>
      </c>
      <c r="B1118">
        <v>44034</v>
      </c>
      <c r="C1118" t="s">
        <v>365</v>
      </c>
      <c r="D1118" t="s">
        <v>148</v>
      </c>
      <c r="E1118" t="s">
        <v>779</v>
      </c>
      <c r="F1118" s="51">
        <v>45744</v>
      </c>
      <c r="G1118" t="s">
        <v>1</v>
      </c>
    </row>
    <row r="1119" spans="1:7" x14ac:dyDescent="0.3">
      <c r="A1119" t="s">
        <v>2702</v>
      </c>
      <c r="B1119">
        <v>44035</v>
      </c>
      <c r="C1119" t="s">
        <v>325</v>
      </c>
      <c r="D1119" t="s">
        <v>367</v>
      </c>
      <c r="E1119" t="s">
        <v>163</v>
      </c>
      <c r="F1119" s="51">
        <v>45744</v>
      </c>
      <c r="G1119" t="s">
        <v>3</v>
      </c>
    </row>
    <row r="1120" spans="1:7" x14ac:dyDescent="0.3">
      <c r="A1120" t="s">
        <v>2702</v>
      </c>
      <c r="B1120">
        <v>44036</v>
      </c>
      <c r="C1120" t="s">
        <v>325</v>
      </c>
      <c r="D1120" t="s">
        <v>367</v>
      </c>
      <c r="E1120" t="s">
        <v>491</v>
      </c>
      <c r="F1120" s="51">
        <v>45734</v>
      </c>
      <c r="G1120" t="s">
        <v>2</v>
      </c>
    </row>
    <row r="1121" spans="1:7" x14ac:dyDescent="0.3">
      <c r="A1121" t="s">
        <v>2702</v>
      </c>
      <c r="B1121">
        <v>44037</v>
      </c>
      <c r="C1121" t="s">
        <v>325</v>
      </c>
      <c r="D1121" t="s">
        <v>367</v>
      </c>
      <c r="E1121" t="s">
        <v>218</v>
      </c>
      <c r="F1121" s="51">
        <v>45744</v>
      </c>
      <c r="G1121" t="s">
        <v>3</v>
      </c>
    </row>
    <row r="1122" spans="1:7" x14ac:dyDescent="0.3">
      <c r="A1122" t="s">
        <v>2702</v>
      </c>
      <c r="B1122">
        <v>44038</v>
      </c>
      <c r="C1122" t="s">
        <v>236</v>
      </c>
      <c r="D1122" t="s">
        <v>2145</v>
      </c>
      <c r="E1122" t="s">
        <v>2146</v>
      </c>
      <c r="F1122" s="51">
        <v>45784</v>
      </c>
      <c r="G1122" t="s">
        <v>1</v>
      </c>
    </row>
    <row r="1123" spans="1:7" x14ac:dyDescent="0.3">
      <c r="A1123" t="s">
        <v>2702</v>
      </c>
      <c r="B1123">
        <v>44039</v>
      </c>
      <c r="C1123" t="s">
        <v>746</v>
      </c>
      <c r="D1123" t="s">
        <v>718</v>
      </c>
      <c r="E1123" t="s">
        <v>549</v>
      </c>
      <c r="F1123" s="51">
        <v>45729</v>
      </c>
      <c r="G1123" t="s">
        <v>4</v>
      </c>
    </row>
    <row r="1124" spans="1:7" x14ac:dyDescent="0.3">
      <c r="A1124" t="s">
        <v>2702</v>
      </c>
      <c r="B1124">
        <v>44040</v>
      </c>
      <c r="C1124" t="s">
        <v>2156</v>
      </c>
      <c r="D1124" t="s">
        <v>2157</v>
      </c>
      <c r="E1124" t="s">
        <v>2158</v>
      </c>
      <c r="F1124" s="51">
        <v>45790</v>
      </c>
      <c r="G1124" t="s">
        <v>1</v>
      </c>
    </row>
    <row r="1125" spans="1:7" x14ac:dyDescent="0.3">
      <c r="A1125" t="s">
        <v>2702</v>
      </c>
      <c r="B1125">
        <v>44042</v>
      </c>
      <c r="C1125" t="s">
        <v>399</v>
      </c>
      <c r="D1125" t="s">
        <v>66</v>
      </c>
      <c r="E1125" t="s">
        <v>495</v>
      </c>
      <c r="F1125" s="51">
        <v>45741</v>
      </c>
      <c r="G1125" t="s">
        <v>1</v>
      </c>
    </row>
    <row r="1126" spans="1:7" x14ac:dyDescent="0.3">
      <c r="A1126" t="s">
        <v>2702</v>
      </c>
      <c r="B1126">
        <v>44044</v>
      </c>
      <c r="C1126" t="s">
        <v>199</v>
      </c>
      <c r="D1126" t="s">
        <v>293</v>
      </c>
      <c r="E1126" t="s">
        <v>2045</v>
      </c>
      <c r="F1126" s="51">
        <v>45741</v>
      </c>
      <c r="G1126" t="s">
        <v>4</v>
      </c>
    </row>
    <row r="1127" spans="1:7" x14ac:dyDescent="0.3">
      <c r="A1127" t="s">
        <v>2702</v>
      </c>
      <c r="B1127">
        <v>44045</v>
      </c>
      <c r="C1127" t="s">
        <v>2122</v>
      </c>
      <c r="D1127" t="s">
        <v>66</v>
      </c>
      <c r="E1127" t="s">
        <v>176</v>
      </c>
      <c r="F1127" s="51">
        <v>45777</v>
      </c>
      <c r="G1127" t="s">
        <v>1</v>
      </c>
    </row>
    <row r="1128" spans="1:7" x14ac:dyDescent="0.3">
      <c r="A1128" t="s">
        <v>2702</v>
      </c>
      <c r="B1128">
        <v>44046</v>
      </c>
      <c r="C1128" t="s">
        <v>429</v>
      </c>
      <c r="D1128" t="s">
        <v>263</v>
      </c>
      <c r="E1128" t="s">
        <v>121</v>
      </c>
      <c r="F1128" s="51">
        <v>45812</v>
      </c>
      <c r="G1128" t="s">
        <v>4</v>
      </c>
    </row>
    <row r="1129" spans="1:7" x14ac:dyDescent="0.3">
      <c r="A1129" t="s">
        <v>2702</v>
      </c>
      <c r="B1129">
        <v>44047</v>
      </c>
      <c r="C1129" t="s">
        <v>65</v>
      </c>
      <c r="D1129" t="s">
        <v>408</v>
      </c>
      <c r="E1129" t="s">
        <v>1049</v>
      </c>
      <c r="F1129" s="51">
        <v>45735</v>
      </c>
      <c r="G1129" t="s">
        <v>1</v>
      </c>
    </row>
    <row r="1130" spans="1:7" x14ac:dyDescent="0.3">
      <c r="A1130" t="s">
        <v>2702</v>
      </c>
      <c r="B1130">
        <v>44049</v>
      </c>
      <c r="C1130" t="s">
        <v>622</v>
      </c>
      <c r="D1130" t="s">
        <v>133</v>
      </c>
      <c r="E1130" t="s">
        <v>801</v>
      </c>
      <c r="F1130" s="51">
        <v>45740</v>
      </c>
      <c r="G1130" t="s">
        <v>3</v>
      </c>
    </row>
    <row r="1131" spans="1:7" x14ac:dyDescent="0.3">
      <c r="A1131" t="s">
        <v>2702</v>
      </c>
      <c r="B1131">
        <v>44050</v>
      </c>
      <c r="C1131" t="s">
        <v>1090</v>
      </c>
      <c r="D1131" t="s">
        <v>2630</v>
      </c>
      <c r="E1131" t="s">
        <v>176</v>
      </c>
      <c r="F1131" s="51">
        <v>45856</v>
      </c>
      <c r="G1131" t="s">
        <v>1</v>
      </c>
    </row>
    <row r="1132" spans="1:7" x14ac:dyDescent="0.3">
      <c r="A1132" t="s">
        <v>2702</v>
      </c>
      <c r="B1132">
        <v>44051</v>
      </c>
      <c r="C1132" t="s">
        <v>71</v>
      </c>
      <c r="D1132" t="s">
        <v>106</v>
      </c>
      <c r="E1132" t="s">
        <v>922</v>
      </c>
      <c r="F1132" s="51">
        <v>45741</v>
      </c>
      <c r="G1132" t="s">
        <v>2</v>
      </c>
    </row>
    <row r="1133" spans="1:7" x14ac:dyDescent="0.3">
      <c r="A1133" t="s">
        <v>2702</v>
      </c>
      <c r="B1133">
        <v>44052</v>
      </c>
      <c r="C1133" t="s">
        <v>2046</v>
      </c>
      <c r="D1133" t="s">
        <v>588</v>
      </c>
      <c r="E1133" t="s">
        <v>315</v>
      </c>
      <c r="F1133" s="51">
        <v>45741</v>
      </c>
      <c r="G1133" t="s">
        <v>1</v>
      </c>
    </row>
    <row r="1134" spans="1:7" x14ac:dyDescent="0.3">
      <c r="A1134" t="s">
        <v>2702</v>
      </c>
      <c r="B1134">
        <v>44053</v>
      </c>
      <c r="C1134" t="s">
        <v>262</v>
      </c>
      <c r="D1134" t="s">
        <v>263</v>
      </c>
      <c r="E1134" t="s">
        <v>2196</v>
      </c>
      <c r="F1134" s="51">
        <v>45798</v>
      </c>
      <c r="G1134" t="s">
        <v>2</v>
      </c>
    </row>
    <row r="1135" spans="1:7" x14ac:dyDescent="0.3">
      <c r="A1135" t="s">
        <v>2702</v>
      </c>
      <c r="B1135">
        <v>44055</v>
      </c>
      <c r="C1135" t="s">
        <v>44</v>
      </c>
      <c r="D1135" t="s">
        <v>32</v>
      </c>
      <c r="E1135" t="s">
        <v>2047</v>
      </c>
      <c r="F1135" s="51">
        <v>45741</v>
      </c>
      <c r="G1135" t="s">
        <v>1</v>
      </c>
    </row>
    <row r="1136" spans="1:7" x14ac:dyDescent="0.3">
      <c r="A1136" t="s">
        <v>2702</v>
      </c>
      <c r="B1136">
        <v>44057</v>
      </c>
      <c r="C1136" t="s">
        <v>600</v>
      </c>
      <c r="D1136" t="s">
        <v>2088</v>
      </c>
      <c r="E1136" t="s">
        <v>2089</v>
      </c>
      <c r="F1136" s="51">
        <v>45765</v>
      </c>
      <c r="G1136" t="s">
        <v>1</v>
      </c>
    </row>
    <row r="1137" spans="1:7" x14ac:dyDescent="0.3">
      <c r="A1137" t="s">
        <v>2702</v>
      </c>
      <c r="B1137">
        <v>44059</v>
      </c>
      <c r="C1137" t="s">
        <v>672</v>
      </c>
      <c r="D1137" t="s">
        <v>240</v>
      </c>
      <c r="F1137" s="51">
        <v>45777</v>
      </c>
      <c r="G1137" t="s">
        <v>1</v>
      </c>
    </row>
    <row r="1138" spans="1:7" x14ac:dyDescent="0.3">
      <c r="A1138" t="s">
        <v>2702</v>
      </c>
      <c r="B1138">
        <v>44060</v>
      </c>
      <c r="C1138" t="s">
        <v>71</v>
      </c>
      <c r="D1138" t="s">
        <v>106</v>
      </c>
      <c r="E1138" t="s">
        <v>2054</v>
      </c>
      <c r="F1138" s="51">
        <v>45741</v>
      </c>
      <c r="G1138" t="s">
        <v>1</v>
      </c>
    </row>
    <row r="1139" spans="1:7" x14ac:dyDescent="0.3">
      <c r="A1139" t="s">
        <v>2702</v>
      </c>
      <c r="B1139">
        <v>44061</v>
      </c>
      <c r="C1139" t="s">
        <v>86</v>
      </c>
      <c r="D1139" t="s">
        <v>45</v>
      </c>
      <c r="E1139" t="s">
        <v>1645</v>
      </c>
      <c r="F1139" s="51">
        <v>45784</v>
      </c>
      <c r="G1139" t="s">
        <v>1</v>
      </c>
    </row>
    <row r="1140" spans="1:7" x14ac:dyDescent="0.3">
      <c r="A1140" t="s">
        <v>2702</v>
      </c>
      <c r="B1140">
        <v>44062</v>
      </c>
      <c r="C1140" t="s">
        <v>41</v>
      </c>
      <c r="D1140" t="s">
        <v>2678</v>
      </c>
      <c r="F1140" s="51">
        <v>45874</v>
      </c>
      <c r="G1140" t="s">
        <v>4</v>
      </c>
    </row>
    <row r="1141" spans="1:7" x14ac:dyDescent="0.3">
      <c r="A1141" t="s">
        <v>2702</v>
      </c>
      <c r="B1141">
        <v>44063</v>
      </c>
      <c r="C1141" t="s">
        <v>325</v>
      </c>
      <c r="D1141" t="s">
        <v>367</v>
      </c>
      <c r="E1141" t="s">
        <v>172</v>
      </c>
      <c r="F1141" s="51">
        <v>45744</v>
      </c>
      <c r="G1141" t="s">
        <v>3</v>
      </c>
    </row>
    <row r="1142" spans="1:7" x14ac:dyDescent="0.3">
      <c r="A1142" t="s">
        <v>2702</v>
      </c>
      <c r="B1142">
        <v>44064</v>
      </c>
      <c r="C1142" t="s">
        <v>474</v>
      </c>
      <c r="D1142" t="s">
        <v>45</v>
      </c>
      <c r="E1142" t="s">
        <v>145</v>
      </c>
      <c r="F1142" s="51">
        <v>45744</v>
      </c>
      <c r="G1142" t="s">
        <v>1</v>
      </c>
    </row>
    <row r="1143" spans="1:7" x14ac:dyDescent="0.3">
      <c r="A1143" t="s">
        <v>2702</v>
      </c>
      <c r="B1143">
        <v>44065</v>
      </c>
      <c r="C1143" t="s">
        <v>309</v>
      </c>
      <c r="D1143" t="s">
        <v>2105</v>
      </c>
      <c r="E1143" t="s">
        <v>126</v>
      </c>
      <c r="F1143" s="51">
        <v>45771</v>
      </c>
      <c r="G1143" t="s">
        <v>1</v>
      </c>
    </row>
    <row r="1144" spans="1:7" x14ac:dyDescent="0.3">
      <c r="A1144" t="s">
        <v>2702</v>
      </c>
      <c r="B1144">
        <v>44069</v>
      </c>
      <c r="C1144" t="s">
        <v>420</v>
      </c>
      <c r="E1144" t="s">
        <v>27</v>
      </c>
      <c r="F1144" s="51">
        <v>45740</v>
      </c>
      <c r="G1144" t="s">
        <v>1</v>
      </c>
    </row>
    <row r="1145" spans="1:7" x14ac:dyDescent="0.3">
      <c r="A1145" t="s">
        <v>2702</v>
      </c>
      <c r="B1145">
        <v>44070</v>
      </c>
      <c r="C1145" t="s">
        <v>41</v>
      </c>
      <c r="D1145" t="s">
        <v>1052</v>
      </c>
      <c r="E1145" t="s">
        <v>98</v>
      </c>
      <c r="F1145" s="51">
        <v>45771</v>
      </c>
      <c r="G1145" t="s">
        <v>4</v>
      </c>
    </row>
    <row r="1146" spans="1:7" x14ac:dyDescent="0.3">
      <c r="A1146" t="s">
        <v>2702</v>
      </c>
      <c r="B1146">
        <v>44073</v>
      </c>
      <c r="C1146" t="s">
        <v>2071</v>
      </c>
      <c r="D1146" t="s">
        <v>2072</v>
      </c>
      <c r="E1146" t="s">
        <v>615</v>
      </c>
      <c r="F1146" s="51">
        <v>45761</v>
      </c>
      <c r="G1146" t="s">
        <v>1</v>
      </c>
    </row>
    <row r="1147" spans="1:7" x14ac:dyDescent="0.3">
      <c r="A1147" t="s">
        <v>2702</v>
      </c>
      <c r="B1147">
        <v>44075</v>
      </c>
      <c r="C1147" t="s">
        <v>286</v>
      </c>
      <c r="D1147" t="s">
        <v>287</v>
      </c>
      <c r="E1147" t="s">
        <v>207</v>
      </c>
      <c r="F1147" s="51">
        <v>45784</v>
      </c>
      <c r="G1147" t="s">
        <v>1</v>
      </c>
    </row>
    <row r="1148" spans="1:7" x14ac:dyDescent="0.3">
      <c r="A1148" t="s">
        <v>2702</v>
      </c>
      <c r="B1148">
        <v>44076</v>
      </c>
      <c r="C1148" t="s">
        <v>576</v>
      </c>
      <c r="D1148" t="s">
        <v>2404</v>
      </c>
      <c r="E1148" t="s">
        <v>121</v>
      </c>
      <c r="F1148" s="51">
        <v>45812</v>
      </c>
      <c r="G1148" t="s">
        <v>4</v>
      </c>
    </row>
    <row r="1149" spans="1:7" x14ac:dyDescent="0.3">
      <c r="A1149" t="s">
        <v>2702</v>
      </c>
      <c r="B1149">
        <v>44077</v>
      </c>
      <c r="C1149" t="s">
        <v>2048</v>
      </c>
      <c r="E1149" t="s">
        <v>27</v>
      </c>
      <c r="F1149" s="51">
        <v>45741</v>
      </c>
      <c r="G1149" t="s">
        <v>1</v>
      </c>
    </row>
    <row r="1150" spans="1:7" x14ac:dyDescent="0.3">
      <c r="A1150" t="s">
        <v>2702</v>
      </c>
      <c r="B1150">
        <v>44078</v>
      </c>
      <c r="C1150" t="s">
        <v>325</v>
      </c>
      <c r="D1150" t="s">
        <v>367</v>
      </c>
      <c r="E1150" t="s">
        <v>186</v>
      </c>
      <c r="F1150" s="51">
        <v>45744</v>
      </c>
      <c r="G1150" t="s">
        <v>3</v>
      </c>
    </row>
    <row r="1151" spans="1:7" x14ac:dyDescent="0.3">
      <c r="A1151" t="s">
        <v>2702</v>
      </c>
      <c r="B1151">
        <v>44079</v>
      </c>
      <c r="C1151" t="s">
        <v>225</v>
      </c>
      <c r="D1151" t="s">
        <v>2405</v>
      </c>
      <c r="E1151" t="s">
        <v>121</v>
      </c>
      <c r="F1151" s="51">
        <v>45812</v>
      </c>
      <c r="G1151" t="s">
        <v>4</v>
      </c>
    </row>
    <row r="1152" spans="1:7" x14ac:dyDescent="0.3">
      <c r="A1152" t="s">
        <v>2702</v>
      </c>
      <c r="B1152">
        <v>44080</v>
      </c>
      <c r="C1152" t="s">
        <v>951</v>
      </c>
      <c r="D1152" t="s">
        <v>688</v>
      </c>
      <c r="E1152" t="s">
        <v>134</v>
      </c>
      <c r="F1152" s="51">
        <v>45860</v>
      </c>
      <c r="G1152" t="s">
        <v>8</v>
      </c>
    </row>
    <row r="1153" spans="1:7" x14ac:dyDescent="0.3">
      <c r="A1153" t="s">
        <v>2702</v>
      </c>
      <c r="B1153">
        <v>44081</v>
      </c>
      <c r="C1153" t="s">
        <v>259</v>
      </c>
      <c r="D1153" t="s">
        <v>63</v>
      </c>
      <c r="E1153" t="s">
        <v>671</v>
      </c>
      <c r="F1153" s="51">
        <v>45771</v>
      </c>
      <c r="G1153" t="s">
        <v>1</v>
      </c>
    </row>
    <row r="1154" spans="1:7" x14ac:dyDescent="0.3">
      <c r="A1154" t="s">
        <v>2702</v>
      </c>
      <c r="B1154">
        <v>44083</v>
      </c>
      <c r="C1154" t="s">
        <v>1081</v>
      </c>
      <c r="D1154" t="s">
        <v>45</v>
      </c>
      <c r="E1154" t="s">
        <v>410</v>
      </c>
      <c r="F1154" s="51">
        <v>45799</v>
      </c>
      <c r="G1154" t="s">
        <v>8</v>
      </c>
    </row>
    <row r="1155" spans="1:7" x14ac:dyDescent="0.3">
      <c r="A1155" t="s">
        <v>2702</v>
      </c>
      <c r="B1155">
        <v>44084</v>
      </c>
      <c r="C1155" t="s">
        <v>294</v>
      </c>
      <c r="D1155" t="s">
        <v>718</v>
      </c>
      <c r="E1155" t="s">
        <v>121</v>
      </c>
      <c r="F1155" s="51">
        <v>45812</v>
      </c>
      <c r="G1155" t="s">
        <v>4</v>
      </c>
    </row>
    <row r="1156" spans="1:7" x14ac:dyDescent="0.3">
      <c r="A1156" t="s">
        <v>2702</v>
      </c>
      <c r="B1156">
        <v>44085</v>
      </c>
      <c r="C1156" t="s">
        <v>292</v>
      </c>
      <c r="D1156" t="s">
        <v>718</v>
      </c>
      <c r="E1156" t="s">
        <v>121</v>
      </c>
      <c r="F1156" s="51">
        <v>45812</v>
      </c>
      <c r="G1156" t="s">
        <v>4</v>
      </c>
    </row>
    <row r="1157" spans="1:7" x14ac:dyDescent="0.3">
      <c r="A1157" t="s">
        <v>2702</v>
      </c>
      <c r="B1157">
        <v>44086</v>
      </c>
      <c r="C1157" t="s">
        <v>2123</v>
      </c>
      <c r="D1157" t="s">
        <v>106</v>
      </c>
      <c r="E1157" t="s">
        <v>134</v>
      </c>
      <c r="F1157" s="51">
        <v>45777</v>
      </c>
      <c r="G1157" t="s">
        <v>1</v>
      </c>
    </row>
    <row r="1158" spans="1:7" x14ac:dyDescent="0.3">
      <c r="A1158" t="s">
        <v>2702</v>
      </c>
      <c r="B1158">
        <v>44087</v>
      </c>
      <c r="C1158" t="s">
        <v>450</v>
      </c>
      <c r="D1158" t="s">
        <v>379</v>
      </c>
      <c r="E1158" t="s">
        <v>843</v>
      </c>
      <c r="F1158" s="51">
        <v>45744</v>
      </c>
      <c r="G1158" t="s">
        <v>1</v>
      </c>
    </row>
    <row r="1159" spans="1:7" x14ac:dyDescent="0.3">
      <c r="A1159" t="s">
        <v>2702</v>
      </c>
      <c r="B1159">
        <v>44088</v>
      </c>
      <c r="C1159" t="s">
        <v>511</v>
      </c>
      <c r="D1159" t="s">
        <v>106</v>
      </c>
      <c r="E1159" t="s">
        <v>1221</v>
      </c>
      <c r="F1159" s="51">
        <v>45777</v>
      </c>
      <c r="G1159" t="s">
        <v>1</v>
      </c>
    </row>
    <row r="1160" spans="1:7" x14ac:dyDescent="0.3">
      <c r="A1160" t="s">
        <v>2702</v>
      </c>
      <c r="B1160">
        <v>44089</v>
      </c>
      <c r="C1160" t="s">
        <v>2056</v>
      </c>
      <c r="E1160" t="s">
        <v>27</v>
      </c>
      <c r="F1160" s="51">
        <v>45744</v>
      </c>
      <c r="G1160" t="s">
        <v>1</v>
      </c>
    </row>
    <row r="1161" spans="1:7" x14ac:dyDescent="0.3">
      <c r="A1161" t="s">
        <v>2702</v>
      </c>
      <c r="B1161">
        <v>44090</v>
      </c>
      <c r="C1161" t="s">
        <v>155</v>
      </c>
      <c r="D1161" t="s">
        <v>2225</v>
      </c>
      <c r="E1161" t="s">
        <v>1470</v>
      </c>
      <c r="F1161" s="51">
        <v>45800</v>
      </c>
      <c r="G1161" t="s">
        <v>1</v>
      </c>
    </row>
    <row r="1162" spans="1:7" x14ac:dyDescent="0.3">
      <c r="A1162" t="s">
        <v>2702</v>
      </c>
      <c r="B1162">
        <v>44091</v>
      </c>
      <c r="C1162" t="s">
        <v>164</v>
      </c>
      <c r="D1162" t="s">
        <v>453</v>
      </c>
      <c r="E1162" t="s">
        <v>134</v>
      </c>
      <c r="F1162" s="51">
        <v>45777</v>
      </c>
      <c r="G1162" t="s">
        <v>1</v>
      </c>
    </row>
    <row r="1163" spans="1:7" x14ac:dyDescent="0.3">
      <c r="A1163" t="s">
        <v>2702</v>
      </c>
      <c r="B1163">
        <v>44092</v>
      </c>
      <c r="C1163" t="s">
        <v>498</v>
      </c>
      <c r="D1163" t="s">
        <v>32</v>
      </c>
      <c r="E1163" t="s">
        <v>159</v>
      </c>
      <c r="F1163" s="51">
        <v>45812</v>
      </c>
      <c r="G1163" t="s">
        <v>1</v>
      </c>
    </row>
    <row r="1164" spans="1:7" x14ac:dyDescent="0.3">
      <c r="A1164" t="s">
        <v>2702</v>
      </c>
      <c r="B1164">
        <v>44093</v>
      </c>
      <c r="C1164" t="s">
        <v>1135</v>
      </c>
      <c r="D1164" t="s">
        <v>63</v>
      </c>
      <c r="E1164" t="s">
        <v>172</v>
      </c>
      <c r="F1164" s="51">
        <v>45790</v>
      </c>
      <c r="G1164" t="s">
        <v>1</v>
      </c>
    </row>
    <row r="1165" spans="1:7" x14ac:dyDescent="0.3">
      <c r="A1165" t="s">
        <v>2702</v>
      </c>
      <c r="B1165">
        <v>44094</v>
      </c>
      <c r="C1165" t="s">
        <v>2159</v>
      </c>
      <c r="D1165" t="s">
        <v>2160</v>
      </c>
      <c r="E1165" t="s">
        <v>615</v>
      </c>
      <c r="F1165" s="51">
        <v>45790</v>
      </c>
      <c r="G1165" t="s">
        <v>1</v>
      </c>
    </row>
    <row r="1166" spans="1:7" x14ac:dyDescent="0.3">
      <c r="A1166" t="s">
        <v>2702</v>
      </c>
      <c r="B1166">
        <v>44096</v>
      </c>
      <c r="C1166" t="s">
        <v>2533</v>
      </c>
      <c r="D1166" t="s">
        <v>148</v>
      </c>
      <c r="E1166" t="s">
        <v>98</v>
      </c>
      <c r="F1166" s="51">
        <v>45835</v>
      </c>
      <c r="G1166" t="s">
        <v>4</v>
      </c>
    </row>
    <row r="1167" spans="1:7" x14ac:dyDescent="0.3">
      <c r="A1167" t="s">
        <v>2702</v>
      </c>
      <c r="B1167">
        <v>44097</v>
      </c>
      <c r="C1167" t="s">
        <v>1247</v>
      </c>
      <c r="D1167" t="s">
        <v>227</v>
      </c>
      <c r="E1167" t="s">
        <v>2092</v>
      </c>
      <c r="F1167" s="51">
        <v>45769</v>
      </c>
      <c r="G1167" t="s">
        <v>4</v>
      </c>
    </row>
    <row r="1168" spans="1:7" x14ac:dyDescent="0.3">
      <c r="A1168" t="s">
        <v>2702</v>
      </c>
      <c r="B1168">
        <v>44098</v>
      </c>
      <c r="C1168" t="s">
        <v>523</v>
      </c>
      <c r="D1168" t="s">
        <v>524</v>
      </c>
      <c r="E1168" t="s">
        <v>2161</v>
      </c>
      <c r="F1168" s="51">
        <v>45790</v>
      </c>
      <c r="G1168" t="s">
        <v>1</v>
      </c>
    </row>
    <row r="1169" spans="1:7" x14ac:dyDescent="0.3">
      <c r="A1169" t="s">
        <v>2702</v>
      </c>
      <c r="B1169">
        <v>44099</v>
      </c>
      <c r="C1169" t="s">
        <v>276</v>
      </c>
      <c r="D1169" t="s">
        <v>277</v>
      </c>
      <c r="E1169" t="s">
        <v>153</v>
      </c>
      <c r="F1169" s="51">
        <v>45790</v>
      </c>
      <c r="G1169" t="s">
        <v>1</v>
      </c>
    </row>
    <row r="1170" spans="1:7" x14ac:dyDescent="0.3">
      <c r="A1170" t="s">
        <v>2702</v>
      </c>
      <c r="B1170">
        <v>44100</v>
      </c>
      <c r="C1170" t="s">
        <v>2147</v>
      </c>
      <c r="D1170" t="s">
        <v>252</v>
      </c>
      <c r="E1170" t="s">
        <v>1001</v>
      </c>
      <c r="F1170" s="51">
        <v>45784</v>
      </c>
      <c r="G1170" t="s">
        <v>1</v>
      </c>
    </row>
    <row r="1171" spans="1:7" x14ac:dyDescent="0.3">
      <c r="A1171" t="s">
        <v>2702</v>
      </c>
      <c r="B1171">
        <v>44101</v>
      </c>
      <c r="C1171" t="s">
        <v>34</v>
      </c>
      <c r="D1171" t="s">
        <v>1054</v>
      </c>
      <c r="E1171" t="s">
        <v>1831</v>
      </c>
      <c r="F1171" s="51">
        <v>45777</v>
      </c>
      <c r="G1171" t="s">
        <v>1</v>
      </c>
    </row>
    <row r="1172" spans="1:7" x14ac:dyDescent="0.3">
      <c r="A1172" t="s">
        <v>2702</v>
      </c>
      <c r="B1172">
        <v>44102</v>
      </c>
      <c r="C1172" t="s">
        <v>62</v>
      </c>
      <c r="D1172" t="s">
        <v>63</v>
      </c>
      <c r="E1172" t="s">
        <v>2144</v>
      </c>
      <c r="F1172" s="51">
        <v>45784</v>
      </c>
      <c r="G1172" t="s">
        <v>1</v>
      </c>
    </row>
    <row r="1173" spans="1:7" x14ac:dyDescent="0.3">
      <c r="A1173" t="s">
        <v>2702</v>
      </c>
      <c r="B1173">
        <v>44103</v>
      </c>
      <c r="C1173" t="s">
        <v>1009</v>
      </c>
      <c r="D1173" t="s">
        <v>227</v>
      </c>
      <c r="E1173" t="s">
        <v>201</v>
      </c>
      <c r="F1173" s="51">
        <v>45790</v>
      </c>
      <c r="G1173" t="s">
        <v>1</v>
      </c>
    </row>
    <row r="1174" spans="1:7" x14ac:dyDescent="0.3">
      <c r="A1174" t="s">
        <v>2702</v>
      </c>
      <c r="B1174">
        <v>44104</v>
      </c>
      <c r="C1174" t="s">
        <v>1716</v>
      </c>
      <c r="D1174" t="s">
        <v>1123</v>
      </c>
      <c r="E1174" t="s">
        <v>2517</v>
      </c>
      <c r="F1174" s="51">
        <v>45854</v>
      </c>
      <c r="G1174" t="s">
        <v>2</v>
      </c>
    </row>
    <row r="1175" spans="1:7" x14ac:dyDescent="0.3">
      <c r="A1175" t="s">
        <v>2702</v>
      </c>
      <c r="B1175">
        <v>44105</v>
      </c>
      <c r="C1175" t="s">
        <v>2374</v>
      </c>
      <c r="D1175" t="s">
        <v>263</v>
      </c>
      <c r="E1175" t="s">
        <v>98</v>
      </c>
      <c r="F1175" s="51">
        <v>45807</v>
      </c>
      <c r="G1175" t="s">
        <v>4</v>
      </c>
    </row>
    <row r="1176" spans="1:7" x14ac:dyDescent="0.3">
      <c r="A1176" t="s">
        <v>2702</v>
      </c>
      <c r="B1176">
        <v>44107</v>
      </c>
      <c r="C1176" t="s">
        <v>328</v>
      </c>
      <c r="D1176" t="s">
        <v>487</v>
      </c>
      <c r="E1176" t="s">
        <v>1049</v>
      </c>
      <c r="F1176" s="51">
        <v>45784</v>
      </c>
      <c r="G1176" t="s">
        <v>1</v>
      </c>
    </row>
    <row r="1177" spans="1:7" x14ac:dyDescent="0.3">
      <c r="A1177" t="s">
        <v>2702</v>
      </c>
      <c r="B1177">
        <v>44108</v>
      </c>
      <c r="C1177" t="s">
        <v>2108</v>
      </c>
      <c r="D1177" t="s">
        <v>658</v>
      </c>
      <c r="E1177" t="s">
        <v>2059</v>
      </c>
      <c r="F1177" s="51">
        <v>45776</v>
      </c>
      <c r="G1177" t="s">
        <v>1</v>
      </c>
    </row>
    <row r="1178" spans="1:7" x14ac:dyDescent="0.3">
      <c r="A1178" t="s">
        <v>2702</v>
      </c>
      <c r="B1178">
        <v>44109</v>
      </c>
      <c r="C1178" t="s">
        <v>79</v>
      </c>
      <c r="D1178" t="s">
        <v>75</v>
      </c>
      <c r="E1178" t="s">
        <v>297</v>
      </c>
      <c r="F1178" s="51">
        <v>45790</v>
      </c>
      <c r="G1178" t="s">
        <v>1</v>
      </c>
    </row>
    <row r="1179" spans="1:7" x14ac:dyDescent="0.3">
      <c r="A1179" t="s">
        <v>2702</v>
      </c>
      <c r="B1179">
        <v>44110</v>
      </c>
      <c r="C1179" t="s">
        <v>79</v>
      </c>
      <c r="D1179" t="s">
        <v>32</v>
      </c>
      <c r="E1179" t="s">
        <v>1049</v>
      </c>
      <c r="F1179" s="51">
        <v>45790</v>
      </c>
      <c r="G1179" t="s">
        <v>1</v>
      </c>
    </row>
    <row r="1180" spans="1:7" x14ac:dyDescent="0.3">
      <c r="A1180" t="s">
        <v>2702</v>
      </c>
      <c r="B1180">
        <v>44111</v>
      </c>
      <c r="C1180" t="s">
        <v>794</v>
      </c>
      <c r="D1180" t="s">
        <v>2109</v>
      </c>
      <c r="E1180" t="s">
        <v>121</v>
      </c>
      <c r="F1180" s="51">
        <v>45776</v>
      </c>
      <c r="G1180" t="s">
        <v>4</v>
      </c>
    </row>
    <row r="1181" spans="1:7" x14ac:dyDescent="0.3">
      <c r="A1181" t="s">
        <v>2702</v>
      </c>
      <c r="B1181">
        <v>44112</v>
      </c>
      <c r="C1181" t="s">
        <v>434</v>
      </c>
      <c r="D1181" t="s">
        <v>232</v>
      </c>
      <c r="E1181" t="s">
        <v>2206</v>
      </c>
      <c r="F1181" s="51">
        <v>45798</v>
      </c>
      <c r="G1181" t="s">
        <v>2</v>
      </c>
    </row>
    <row r="1182" spans="1:7" x14ac:dyDescent="0.3">
      <c r="A1182" t="s">
        <v>2702</v>
      </c>
      <c r="B1182">
        <v>44113</v>
      </c>
      <c r="C1182" t="s">
        <v>213</v>
      </c>
      <c r="E1182" t="s">
        <v>116</v>
      </c>
      <c r="F1182" s="51">
        <v>45750</v>
      </c>
      <c r="G1182" t="s">
        <v>1</v>
      </c>
    </row>
    <row r="1183" spans="1:7" x14ac:dyDescent="0.3">
      <c r="A1183" t="s">
        <v>2702</v>
      </c>
      <c r="B1183">
        <v>44114</v>
      </c>
      <c r="C1183" t="s">
        <v>2124</v>
      </c>
      <c r="D1183" t="s">
        <v>2125</v>
      </c>
      <c r="E1183" t="s">
        <v>121</v>
      </c>
      <c r="F1183" s="51">
        <v>45777</v>
      </c>
      <c r="G1183" t="s">
        <v>4</v>
      </c>
    </row>
    <row r="1184" spans="1:7" x14ac:dyDescent="0.3">
      <c r="A1184" t="s">
        <v>2702</v>
      </c>
      <c r="B1184">
        <v>44115</v>
      </c>
      <c r="C1184" t="s">
        <v>674</v>
      </c>
      <c r="D1184" t="s">
        <v>675</v>
      </c>
      <c r="E1184" t="s">
        <v>2110</v>
      </c>
      <c r="F1184" s="51">
        <v>45776</v>
      </c>
      <c r="G1184" t="s">
        <v>1</v>
      </c>
    </row>
    <row r="1185" spans="1:7" x14ac:dyDescent="0.3">
      <c r="A1185" t="s">
        <v>2702</v>
      </c>
      <c r="B1185">
        <v>44116</v>
      </c>
      <c r="C1185" t="s">
        <v>2063</v>
      </c>
      <c r="D1185" t="s">
        <v>252</v>
      </c>
      <c r="E1185" t="s">
        <v>255</v>
      </c>
      <c r="F1185" s="51">
        <v>45748</v>
      </c>
      <c r="G1185" t="s">
        <v>1</v>
      </c>
    </row>
    <row r="1186" spans="1:7" x14ac:dyDescent="0.3">
      <c r="A1186" t="s">
        <v>2702</v>
      </c>
      <c r="B1186">
        <v>44118</v>
      </c>
      <c r="C1186" t="s">
        <v>292</v>
      </c>
      <c r="D1186" t="s">
        <v>2091</v>
      </c>
      <c r="E1186" t="s">
        <v>85</v>
      </c>
      <c r="F1186" s="51">
        <v>45777</v>
      </c>
      <c r="G1186" t="s">
        <v>1</v>
      </c>
    </row>
    <row r="1187" spans="1:7" x14ac:dyDescent="0.3">
      <c r="A1187" t="s">
        <v>2702</v>
      </c>
      <c r="B1187">
        <v>44119</v>
      </c>
      <c r="C1187" t="s">
        <v>73</v>
      </c>
      <c r="D1187" t="s">
        <v>227</v>
      </c>
      <c r="E1187" t="s">
        <v>505</v>
      </c>
      <c r="F1187" s="51">
        <v>45777</v>
      </c>
      <c r="G1187" t="s">
        <v>1</v>
      </c>
    </row>
    <row r="1188" spans="1:7" x14ac:dyDescent="0.3">
      <c r="A1188" t="s">
        <v>2702</v>
      </c>
      <c r="B1188">
        <v>44120</v>
      </c>
      <c r="C1188" t="s">
        <v>342</v>
      </c>
      <c r="D1188" t="s">
        <v>2091</v>
      </c>
      <c r="E1188" t="s">
        <v>2025</v>
      </c>
      <c r="F1188" s="51">
        <v>45769</v>
      </c>
      <c r="G1188" t="s">
        <v>1</v>
      </c>
    </row>
    <row r="1189" spans="1:7" x14ac:dyDescent="0.3">
      <c r="A1189" t="s">
        <v>2702</v>
      </c>
      <c r="B1189">
        <v>44121</v>
      </c>
      <c r="C1189" t="s">
        <v>951</v>
      </c>
      <c r="D1189" t="s">
        <v>688</v>
      </c>
      <c r="E1189" t="s">
        <v>145</v>
      </c>
      <c r="F1189" s="51">
        <v>45845</v>
      </c>
      <c r="G1189" t="s">
        <v>1</v>
      </c>
    </row>
    <row r="1190" spans="1:7" x14ac:dyDescent="0.3">
      <c r="A1190" t="s">
        <v>2702</v>
      </c>
      <c r="B1190">
        <v>44122</v>
      </c>
      <c r="C1190" t="s">
        <v>486</v>
      </c>
      <c r="D1190" t="s">
        <v>223</v>
      </c>
      <c r="E1190" t="s">
        <v>615</v>
      </c>
      <c r="F1190" s="51">
        <v>45831</v>
      </c>
      <c r="G1190" t="s">
        <v>1</v>
      </c>
    </row>
    <row r="1191" spans="1:7" x14ac:dyDescent="0.3">
      <c r="A1191" t="s">
        <v>2702</v>
      </c>
      <c r="B1191">
        <v>44123</v>
      </c>
      <c r="C1191" t="s">
        <v>450</v>
      </c>
      <c r="D1191" t="s">
        <v>379</v>
      </c>
      <c r="E1191" t="s">
        <v>145</v>
      </c>
      <c r="F1191" s="51">
        <v>45777</v>
      </c>
      <c r="G1191" t="s">
        <v>1</v>
      </c>
    </row>
    <row r="1192" spans="1:7" x14ac:dyDescent="0.3">
      <c r="A1192" t="s">
        <v>2702</v>
      </c>
      <c r="B1192">
        <v>44124</v>
      </c>
      <c r="C1192" t="s">
        <v>325</v>
      </c>
      <c r="D1192" t="s">
        <v>367</v>
      </c>
      <c r="E1192" t="s">
        <v>2094</v>
      </c>
      <c r="F1192" s="51">
        <v>45769</v>
      </c>
      <c r="G1192" t="s">
        <v>3</v>
      </c>
    </row>
    <row r="1193" spans="1:7" x14ac:dyDescent="0.3">
      <c r="A1193" t="s">
        <v>2702</v>
      </c>
      <c r="B1193">
        <v>44125</v>
      </c>
      <c r="C1193" t="s">
        <v>71</v>
      </c>
      <c r="D1193" t="s">
        <v>106</v>
      </c>
      <c r="E1193" t="s">
        <v>1074</v>
      </c>
      <c r="F1193" s="51">
        <v>45755</v>
      </c>
      <c r="G1193" t="s">
        <v>3</v>
      </c>
    </row>
    <row r="1194" spans="1:7" x14ac:dyDescent="0.3">
      <c r="A1194" t="s">
        <v>2702</v>
      </c>
      <c r="B1194">
        <v>44128</v>
      </c>
      <c r="C1194" t="s">
        <v>1009</v>
      </c>
      <c r="D1194" t="s">
        <v>227</v>
      </c>
      <c r="E1194" t="s">
        <v>145</v>
      </c>
      <c r="F1194" s="51">
        <v>45777</v>
      </c>
      <c r="G1194" t="s">
        <v>1</v>
      </c>
    </row>
    <row r="1195" spans="1:7" x14ac:dyDescent="0.3">
      <c r="A1195" t="s">
        <v>2702</v>
      </c>
      <c r="B1195">
        <v>44129</v>
      </c>
      <c r="C1195" t="s">
        <v>321</v>
      </c>
      <c r="E1195" t="s">
        <v>116</v>
      </c>
      <c r="F1195" s="51">
        <v>45750</v>
      </c>
      <c r="G1195" t="s">
        <v>1</v>
      </c>
    </row>
    <row r="1196" spans="1:7" x14ac:dyDescent="0.3">
      <c r="A1196" t="s">
        <v>2702</v>
      </c>
      <c r="B1196">
        <v>44130</v>
      </c>
      <c r="C1196" t="s">
        <v>676</v>
      </c>
      <c r="D1196" t="s">
        <v>677</v>
      </c>
      <c r="E1196" t="s">
        <v>1085</v>
      </c>
      <c r="F1196" s="51">
        <v>45790</v>
      </c>
      <c r="G1196" t="s">
        <v>1</v>
      </c>
    </row>
    <row r="1197" spans="1:7" x14ac:dyDescent="0.3">
      <c r="A1197" t="s">
        <v>2702</v>
      </c>
      <c r="B1197">
        <v>44131</v>
      </c>
      <c r="C1197" t="s">
        <v>434</v>
      </c>
      <c r="D1197" t="s">
        <v>232</v>
      </c>
      <c r="E1197" t="s">
        <v>121</v>
      </c>
      <c r="F1197" s="51">
        <v>45814</v>
      </c>
      <c r="G1197" t="s">
        <v>4</v>
      </c>
    </row>
    <row r="1198" spans="1:7" x14ac:dyDescent="0.3">
      <c r="A1198" t="s">
        <v>2702</v>
      </c>
      <c r="B1198">
        <v>44133</v>
      </c>
      <c r="C1198" t="s">
        <v>375</v>
      </c>
      <c r="D1198" t="s">
        <v>75</v>
      </c>
      <c r="E1198" t="s">
        <v>816</v>
      </c>
      <c r="F1198" s="51">
        <v>45777</v>
      </c>
      <c r="G1198" t="s">
        <v>8</v>
      </c>
    </row>
    <row r="1199" spans="1:7" x14ac:dyDescent="0.3">
      <c r="A1199" t="s">
        <v>2702</v>
      </c>
      <c r="B1199">
        <v>44134</v>
      </c>
      <c r="C1199" t="s">
        <v>90</v>
      </c>
      <c r="D1199" t="s">
        <v>431</v>
      </c>
      <c r="E1199" t="s">
        <v>85</v>
      </c>
      <c r="F1199" s="51">
        <v>45779</v>
      </c>
      <c r="G1199" t="s">
        <v>1</v>
      </c>
    </row>
    <row r="1200" spans="1:7" x14ac:dyDescent="0.3">
      <c r="A1200" t="s">
        <v>2702</v>
      </c>
      <c r="B1200">
        <v>44135</v>
      </c>
      <c r="C1200" t="s">
        <v>570</v>
      </c>
      <c r="D1200" t="s">
        <v>453</v>
      </c>
      <c r="E1200" t="s">
        <v>2127</v>
      </c>
      <c r="F1200" s="51">
        <v>45779</v>
      </c>
      <c r="G1200" t="s">
        <v>1</v>
      </c>
    </row>
    <row r="1201" spans="1:7" x14ac:dyDescent="0.3">
      <c r="A1201" t="s">
        <v>2702</v>
      </c>
      <c r="B1201">
        <v>44136</v>
      </c>
      <c r="C1201" t="s">
        <v>2227</v>
      </c>
      <c r="D1201" t="s">
        <v>2228</v>
      </c>
      <c r="E1201" t="s">
        <v>126</v>
      </c>
      <c r="F1201" s="51">
        <v>45800</v>
      </c>
      <c r="G1201" t="s">
        <v>2077</v>
      </c>
    </row>
    <row r="1202" spans="1:7" x14ac:dyDescent="0.3">
      <c r="A1202" t="s">
        <v>2702</v>
      </c>
      <c r="B1202">
        <v>44137</v>
      </c>
      <c r="C1202" t="s">
        <v>523</v>
      </c>
      <c r="D1202" t="s">
        <v>75</v>
      </c>
      <c r="E1202" t="s">
        <v>2128</v>
      </c>
      <c r="F1202" s="51">
        <v>45779</v>
      </c>
      <c r="G1202" t="s">
        <v>4</v>
      </c>
    </row>
    <row r="1203" spans="1:7" x14ac:dyDescent="0.3">
      <c r="A1203" t="s">
        <v>2702</v>
      </c>
      <c r="B1203">
        <v>44138</v>
      </c>
      <c r="C1203" t="s">
        <v>474</v>
      </c>
      <c r="D1203" t="s">
        <v>2068</v>
      </c>
      <c r="E1203" t="s">
        <v>2151</v>
      </c>
      <c r="F1203" s="51">
        <v>45784</v>
      </c>
      <c r="G1203" t="s">
        <v>8</v>
      </c>
    </row>
    <row r="1204" spans="1:7" x14ac:dyDescent="0.3">
      <c r="A1204" t="s">
        <v>2702</v>
      </c>
      <c r="B1204">
        <v>44140</v>
      </c>
      <c r="C1204" t="s">
        <v>74</v>
      </c>
      <c r="D1204" t="s">
        <v>367</v>
      </c>
      <c r="E1204" t="s">
        <v>1406</v>
      </c>
      <c r="F1204" s="51">
        <v>45776</v>
      </c>
      <c r="G1204" t="s">
        <v>2</v>
      </c>
    </row>
    <row r="1205" spans="1:7" x14ac:dyDescent="0.3">
      <c r="A1205" t="s">
        <v>2702</v>
      </c>
      <c r="B1205">
        <v>44142</v>
      </c>
      <c r="C1205" t="s">
        <v>1536</v>
      </c>
      <c r="D1205" t="s">
        <v>75</v>
      </c>
      <c r="E1205" t="s">
        <v>424</v>
      </c>
      <c r="F1205" s="51">
        <v>45782</v>
      </c>
      <c r="G1205" t="s">
        <v>1</v>
      </c>
    </row>
    <row r="1206" spans="1:7" x14ac:dyDescent="0.3">
      <c r="A1206" t="s">
        <v>2702</v>
      </c>
      <c r="B1206">
        <v>44143</v>
      </c>
      <c r="C1206" t="s">
        <v>122</v>
      </c>
      <c r="D1206" t="s">
        <v>123</v>
      </c>
      <c r="E1206" t="s">
        <v>958</v>
      </c>
      <c r="F1206" s="51">
        <v>45776</v>
      </c>
      <c r="G1206" t="s">
        <v>1</v>
      </c>
    </row>
    <row r="1207" spans="1:7" x14ac:dyDescent="0.3">
      <c r="A1207" t="s">
        <v>2702</v>
      </c>
      <c r="B1207">
        <v>44144</v>
      </c>
      <c r="C1207" t="s">
        <v>895</v>
      </c>
      <c r="D1207" t="s">
        <v>714</v>
      </c>
      <c r="E1207" t="s">
        <v>401</v>
      </c>
      <c r="F1207" s="51">
        <v>45790</v>
      </c>
      <c r="G1207" t="s">
        <v>1</v>
      </c>
    </row>
    <row r="1208" spans="1:7" x14ac:dyDescent="0.3">
      <c r="A1208" t="s">
        <v>2702</v>
      </c>
      <c r="B1208">
        <v>44145</v>
      </c>
      <c r="C1208" t="s">
        <v>74</v>
      </c>
      <c r="D1208" t="s">
        <v>179</v>
      </c>
      <c r="E1208" t="s">
        <v>2066</v>
      </c>
      <c r="F1208" s="51">
        <v>45755</v>
      </c>
      <c r="G1208" t="s">
        <v>1</v>
      </c>
    </row>
    <row r="1209" spans="1:7" x14ac:dyDescent="0.3">
      <c r="A1209" t="s">
        <v>2702</v>
      </c>
      <c r="B1209">
        <v>44146</v>
      </c>
      <c r="C1209" t="s">
        <v>36</v>
      </c>
      <c r="D1209" t="s">
        <v>263</v>
      </c>
      <c r="E1209" t="s">
        <v>2222</v>
      </c>
      <c r="F1209" s="51">
        <v>45799</v>
      </c>
      <c r="G1209" t="s">
        <v>2</v>
      </c>
    </row>
    <row r="1210" spans="1:7" x14ac:dyDescent="0.3">
      <c r="A1210" t="s">
        <v>2702</v>
      </c>
      <c r="B1210">
        <v>44147</v>
      </c>
      <c r="C1210" t="s">
        <v>630</v>
      </c>
      <c r="D1210" t="s">
        <v>287</v>
      </c>
      <c r="E1210" t="s">
        <v>255</v>
      </c>
      <c r="F1210" s="51">
        <v>45874</v>
      </c>
      <c r="G1210" t="s">
        <v>1</v>
      </c>
    </row>
    <row r="1211" spans="1:7" x14ac:dyDescent="0.3">
      <c r="A1211" t="s">
        <v>2702</v>
      </c>
      <c r="B1211">
        <v>44148</v>
      </c>
      <c r="C1211" t="s">
        <v>375</v>
      </c>
      <c r="D1211" t="s">
        <v>133</v>
      </c>
      <c r="E1211" t="s">
        <v>1049</v>
      </c>
      <c r="F1211" s="51">
        <v>45819</v>
      </c>
      <c r="G1211" t="s">
        <v>4</v>
      </c>
    </row>
    <row r="1212" spans="1:7" x14ac:dyDescent="0.3">
      <c r="A1212" t="s">
        <v>2702</v>
      </c>
      <c r="B1212">
        <v>44151</v>
      </c>
      <c r="C1212" t="s">
        <v>2112</v>
      </c>
      <c r="D1212" t="s">
        <v>1999</v>
      </c>
      <c r="E1212" t="s">
        <v>121</v>
      </c>
      <c r="F1212" s="51">
        <v>45776</v>
      </c>
      <c r="G1212" t="s">
        <v>4</v>
      </c>
    </row>
    <row r="1213" spans="1:7" x14ac:dyDescent="0.3">
      <c r="A1213" t="s">
        <v>2702</v>
      </c>
      <c r="B1213">
        <v>44152</v>
      </c>
      <c r="C1213" t="s">
        <v>457</v>
      </c>
      <c r="E1213" t="s">
        <v>27</v>
      </c>
      <c r="F1213" s="51">
        <v>45755</v>
      </c>
      <c r="G1213" t="s">
        <v>1</v>
      </c>
    </row>
    <row r="1214" spans="1:7" x14ac:dyDescent="0.3">
      <c r="A1214" t="s">
        <v>2702</v>
      </c>
      <c r="B1214">
        <v>44153</v>
      </c>
      <c r="C1214" t="s">
        <v>292</v>
      </c>
      <c r="D1214" t="s">
        <v>75</v>
      </c>
      <c r="E1214" t="s">
        <v>2116</v>
      </c>
      <c r="F1214" s="51">
        <v>45776</v>
      </c>
      <c r="G1214" t="s">
        <v>3</v>
      </c>
    </row>
    <row r="1215" spans="1:7" x14ac:dyDescent="0.3">
      <c r="A1215" t="s">
        <v>2702</v>
      </c>
      <c r="B1215">
        <v>44155</v>
      </c>
      <c r="C1215" t="s">
        <v>239</v>
      </c>
      <c r="D1215" t="s">
        <v>2490</v>
      </c>
      <c r="E1215" t="s">
        <v>27</v>
      </c>
      <c r="F1215" s="51">
        <v>45831</v>
      </c>
      <c r="G1215" t="s">
        <v>1</v>
      </c>
    </row>
    <row r="1216" spans="1:7" x14ac:dyDescent="0.3">
      <c r="A1216" t="s">
        <v>2702</v>
      </c>
      <c r="B1216">
        <v>44156</v>
      </c>
      <c r="C1216" t="s">
        <v>482</v>
      </c>
      <c r="D1216" t="s">
        <v>179</v>
      </c>
      <c r="E1216" t="s">
        <v>1049</v>
      </c>
      <c r="F1216" s="51">
        <v>45779</v>
      </c>
      <c r="G1216" t="s">
        <v>1</v>
      </c>
    </row>
    <row r="1217" spans="1:7" x14ac:dyDescent="0.3">
      <c r="A1217" t="s">
        <v>2702</v>
      </c>
      <c r="B1217">
        <v>44157</v>
      </c>
      <c r="C1217" t="s">
        <v>2172</v>
      </c>
      <c r="D1217" t="s">
        <v>91</v>
      </c>
      <c r="E1217" t="s">
        <v>1834</v>
      </c>
      <c r="F1217" s="51">
        <v>45832</v>
      </c>
      <c r="G1217" t="s">
        <v>2</v>
      </c>
    </row>
    <row r="1218" spans="1:7" x14ac:dyDescent="0.3">
      <c r="A1218" t="s">
        <v>2702</v>
      </c>
      <c r="B1218">
        <v>44158</v>
      </c>
      <c r="C1218" t="s">
        <v>1701</v>
      </c>
      <c r="F1218" s="51">
        <v>45755</v>
      </c>
      <c r="G1218" t="s">
        <v>1</v>
      </c>
    </row>
    <row r="1219" spans="1:7" x14ac:dyDescent="0.3">
      <c r="A1219" t="s">
        <v>2702</v>
      </c>
      <c r="B1219">
        <v>44159</v>
      </c>
      <c r="C1219" t="s">
        <v>2129</v>
      </c>
      <c r="D1219" t="s">
        <v>227</v>
      </c>
      <c r="E1219" t="s">
        <v>2130</v>
      </c>
      <c r="F1219" s="51">
        <v>45779</v>
      </c>
      <c r="G1219" t="s">
        <v>1</v>
      </c>
    </row>
    <row r="1220" spans="1:7" x14ac:dyDescent="0.3">
      <c r="A1220" t="s">
        <v>2702</v>
      </c>
      <c r="B1220">
        <v>44160</v>
      </c>
      <c r="C1220" t="s">
        <v>65</v>
      </c>
      <c r="D1220" t="s">
        <v>66</v>
      </c>
      <c r="E1220" t="s">
        <v>519</v>
      </c>
      <c r="F1220" s="51">
        <v>45779</v>
      </c>
      <c r="G1220" t="s">
        <v>1</v>
      </c>
    </row>
    <row r="1221" spans="1:7" x14ac:dyDescent="0.3">
      <c r="A1221" t="s">
        <v>2702</v>
      </c>
      <c r="B1221">
        <v>44161</v>
      </c>
      <c r="C1221" t="s">
        <v>756</v>
      </c>
      <c r="D1221" t="s">
        <v>2068</v>
      </c>
      <c r="E1221" t="s">
        <v>2069</v>
      </c>
      <c r="F1221" s="51">
        <v>45756</v>
      </c>
      <c r="G1221" t="s">
        <v>1</v>
      </c>
    </row>
    <row r="1222" spans="1:7" x14ac:dyDescent="0.3">
      <c r="A1222" t="s">
        <v>2702</v>
      </c>
      <c r="B1222">
        <v>44162</v>
      </c>
      <c r="C1222" t="s">
        <v>2131</v>
      </c>
      <c r="D1222" t="s">
        <v>249</v>
      </c>
      <c r="E1222" t="s">
        <v>2132</v>
      </c>
      <c r="F1222" s="51">
        <v>45779</v>
      </c>
      <c r="G1222" t="s">
        <v>1</v>
      </c>
    </row>
    <row r="1223" spans="1:7" x14ac:dyDescent="0.3">
      <c r="A1223" t="s">
        <v>2702</v>
      </c>
      <c r="B1223">
        <v>44164</v>
      </c>
      <c r="C1223" t="s">
        <v>470</v>
      </c>
      <c r="D1223" t="s">
        <v>179</v>
      </c>
      <c r="E1223" t="s">
        <v>615</v>
      </c>
      <c r="F1223" s="51">
        <v>45779</v>
      </c>
      <c r="G1223" t="s">
        <v>1</v>
      </c>
    </row>
    <row r="1224" spans="1:7" x14ac:dyDescent="0.3">
      <c r="A1224" t="s">
        <v>2702</v>
      </c>
      <c r="B1224">
        <v>44166</v>
      </c>
      <c r="C1224" t="s">
        <v>399</v>
      </c>
      <c r="D1224" t="s">
        <v>408</v>
      </c>
      <c r="F1224" s="51">
        <v>45771</v>
      </c>
      <c r="G1224" t="s">
        <v>1</v>
      </c>
    </row>
    <row r="1225" spans="1:7" x14ac:dyDescent="0.3">
      <c r="A1225" t="s">
        <v>2702</v>
      </c>
      <c r="B1225">
        <v>44167</v>
      </c>
      <c r="C1225" t="s">
        <v>187</v>
      </c>
      <c r="D1225" t="s">
        <v>148</v>
      </c>
      <c r="E1225" t="s">
        <v>615</v>
      </c>
      <c r="F1225" s="51">
        <v>45831</v>
      </c>
      <c r="G1225" t="s">
        <v>1</v>
      </c>
    </row>
    <row r="1226" spans="1:7" x14ac:dyDescent="0.3">
      <c r="A1226" t="s">
        <v>2702</v>
      </c>
      <c r="B1226">
        <v>44169</v>
      </c>
      <c r="C1226" t="s">
        <v>251</v>
      </c>
      <c r="D1226" t="s">
        <v>1429</v>
      </c>
      <c r="E1226" t="s">
        <v>2070</v>
      </c>
      <c r="F1226" s="51">
        <v>45758</v>
      </c>
      <c r="G1226" t="s">
        <v>1</v>
      </c>
    </row>
    <row r="1227" spans="1:7" x14ac:dyDescent="0.3">
      <c r="A1227" t="s">
        <v>2702</v>
      </c>
      <c r="B1227">
        <v>44170</v>
      </c>
      <c r="C1227" t="s">
        <v>90</v>
      </c>
      <c r="D1227" t="s">
        <v>1999</v>
      </c>
      <c r="E1227" t="s">
        <v>2025</v>
      </c>
      <c r="F1227" s="51">
        <v>45776</v>
      </c>
      <c r="G1227" t="s">
        <v>1</v>
      </c>
    </row>
    <row r="1228" spans="1:7" x14ac:dyDescent="0.3">
      <c r="A1228" t="s">
        <v>2702</v>
      </c>
      <c r="B1228">
        <v>44172</v>
      </c>
      <c r="C1228" t="s">
        <v>1040</v>
      </c>
      <c r="D1228" t="s">
        <v>158</v>
      </c>
      <c r="E1228" t="s">
        <v>615</v>
      </c>
      <c r="F1228" s="51">
        <v>45776</v>
      </c>
      <c r="G1228" t="s">
        <v>1</v>
      </c>
    </row>
    <row r="1229" spans="1:7" x14ac:dyDescent="0.3">
      <c r="A1229" t="s">
        <v>2702</v>
      </c>
      <c r="B1229">
        <v>44173</v>
      </c>
      <c r="C1229" t="s">
        <v>799</v>
      </c>
      <c r="D1229" t="s">
        <v>112</v>
      </c>
      <c r="E1229" t="s">
        <v>615</v>
      </c>
      <c r="F1229" s="51">
        <v>45776</v>
      </c>
      <c r="G1229" t="s">
        <v>1</v>
      </c>
    </row>
    <row r="1230" spans="1:7" x14ac:dyDescent="0.3">
      <c r="A1230" t="s">
        <v>2702</v>
      </c>
      <c r="B1230">
        <v>44174</v>
      </c>
      <c r="C1230" t="s">
        <v>1339</v>
      </c>
      <c r="E1230" t="s">
        <v>27</v>
      </c>
      <c r="F1230" s="51">
        <v>45779</v>
      </c>
      <c r="G1230" t="s">
        <v>1</v>
      </c>
    </row>
    <row r="1231" spans="1:7" x14ac:dyDescent="0.3">
      <c r="A1231" t="s">
        <v>2702</v>
      </c>
      <c r="B1231">
        <v>44175</v>
      </c>
      <c r="C1231" t="s">
        <v>262</v>
      </c>
      <c r="D1231" t="s">
        <v>466</v>
      </c>
      <c r="E1231" t="s">
        <v>1757</v>
      </c>
      <c r="F1231" s="51">
        <v>45798</v>
      </c>
      <c r="G1231" t="s">
        <v>2</v>
      </c>
    </row>
    <row r="1232" spans="1:7" x14ac:dyDescent="0.3">
      <c r="A1232" t="s">
        <v>2702</v>
      </c>
      <c r="B1232">
        <v>44176</v>
      </c>
      <c r="C1232" t="s">
        <v>102</v>
      </c>
      <c r="D1232" t="s">
        <v>2674</v>
      </c>
      <c r="E1232" t="s">
        <v>121</v>
      </c>
      <c r="F1232" s="51">
        <v>45874</v>
      </c>
      <c r="G1232" t="s">
        <v>4</v>
      </c>
    </row>
    <row r="1233" spans="1:7" x14ac:dyDescent="0.3">
      <c r="A1233" t="s">
        <v>2702</v>
      </c>
      <c r="B1233">
        <v>44177</v>
      </c>
      <c r="C1233" t="s">
        <v>1535</v>
      </c>
      <c r="D1233" t="s">
        <v>444</v>
      </c>
      <c r="E1233" t="s">
        <v>176</v>
      </c>
      <c r="F1233" s="51">
        <v>45776</v>
      </c>
      <c r="G1233" t="s">
        <v>1</v>
      </c>
    </row>
    <row r="1234" spans="1:7" x14ac:dyDescent="0.3">
      <c r="A1234" t="s">
        <v>2702</v>
      </c>
      <c r="B1234">
        <v>44178</v>
      </c>
      <c r="C1234" t="s">
        <v>56</v>
      </c>
      <c r="D1234" t="s">
        <v>94</v>
      </c>
      <c r="E1234" t="s">
        <v>146</v>
      </c>
      <c r="F1234" s="51">
        <v>45800</v>
      </c>
      <c r="G1234" t="s">
        <v>1</v>
      </c>
    </row>
    <row r="1235" spans="1:7" x14ac:dyDescent="0.3">
      <c r="A1235" t="s">
        <v>2702</v>
      </c>
      <c r="B1235">
        <v>44182</v>
      </c>
      <c r="C1235" t="s">
        <v>406</v>
      </c>
      <c r="D1235" t="s">
        <v>232</v>
      </c>
      <c r="E1235" t="s">
        <v>2211</v>
      </c>
      <c r="F1235" s="51">
        <v>45798</v>
      </c>
      <c r="G1235" t="s">
        <v>2077</v>
      </c>
    </row>
    <row r="1236" spans="1:7" x14ac:dyDescent="0.3">
      <c r="A1236" t="s">
        <v>2702</v>
      </c>
      <c r="B1236">
        <v>44183</v>
      </c>
      <c r="C1236" t="s">
        <v>584</v>
      </c>
      <c r="D1236" t="s">
        <v>63</v>
      </c>
      <c r="E1236" t="s">
        <v>2133</v>
      </c>
      <c r="F1236" s="51">
        <v>45779</v>
      </c>
      <c r="G1236" t="s">
        <v>1</v>
      </c>
    </row>
    <row r="1237" spans="1:7" x14ac:dyDescent="0.3">
      <c r="A1237" t="s">
        <v>2702</v>
      </c>
      <c r="B1237">
        <v>44187</v>
      </c>
      <c r="C1237" t="s">
        <v>2134</v>
      </c>
      <c r="D1237" t="s">
        <v>718</v>
      </c>
      <c r="E1237" t="s">
        <v>58</v>
      </c>
      <c r="F1237" s="51">
        <v>45779</v>
      </c>
      <c r="G1237" t="s">
        <v>12</v>
      </c>
    </row>
    <row r="1238" spans="1:7" x14ac:dyDescent="0.3">
      <c r="A1238" t="s">
        <v>2702</v>
      </c>
      <c r="B1238">
        <v>44189</v>
      </c>
      <c r="C1238" t="s">
        <v>210</v>
      </c>
      <c r="D1238" t="s">
        <v>2109</v>
      </c>
      <c r="E1238" t="s">
        <v>27</v>
      </c>
      <c r="F1238" s="51">
        <v>45777</v>
      </c>
      <c r="G1238" t="s">
        <v>1</v>
      </c>
    </row>
    <row r="1239" spans="1:7" x14ac:dyDescent="0.3">
      <c r="A1239" t="s">
        <v>2702</v>
      </c>
      <c r="B1239">
        <v>44190</v>
      </c>
      <c r="C1239" t="s">
        <v>2113</v>
      </c>
      <c r="E1239" t="s">
        <v>27</v>
      </c>
      <c r="F1239" s="51">
        <v>45776</v>
      </c>
      <c r="G1239" t="s">
        <v>1</v>
      </c>
    </row>
    <row r="1240" spans="1:7" x14ac:dyDescent="0.3">
      <c r="A1240" t="s">
        <v>2702</v>
      </c>
      <c r="B1240">
        <v>44191</v>
      </c>
      <c r="C1240" t="s">
        <v>653</v>
      </c>
      <c r="D1240" t="s">
        <v>2119</v>
      </c>
      <c r="E1240" t="s">
        <v>85</v>
      </c>
      <c r="F1240" s="51">
        <v>45790</v>
      </c>
      <c r="G1240" t="s">
        <v>1</v>
      </c>
    </row>
    <row r="1241" spans="1:7" x14ac:dyDescent="0.3">
      <c r="A1241" t="s">
        <v>2702</v>
      </c>
      <c r="B1241">
        <v>44192</v>
      </c>
      <c r="C1241" t="s">
        <v>2114</v>
      </c>
      <c r="E1241" t="s">
        <v>27</v>
      </c>
      <c r="F1241" s="51">
        <v>45776</v>
      </c>
      <c r="G1241" t="s">
        <v>1</v>
      </c>
    </row>
    <row r="1242" spans="1:7" x14ac:dyDescent="0.3">
      <c r="A1242" t="s">
        <v>2702</v>
      </c>
      <c r="B1242">
        <v>44194</v>
      </c>
      <c r="C1242" t="s">
        <v>90</v>
      </c>
      <c r="D1242" t="s">
        <v>254</v>
      </c>
      <c r="E1242" t="s">
        <v>2115</v>
      </c>
      <c r="F1242" s="51">
        <v>45776</v>
      </c>
      <c r="G1242" t="s">
        <v>1</v>
      </c>
    </row>
    <row r="1243" spans="1:7" x14ac:dyDescent="0.3">
      <c r="A1243" t="s">
        <v>2702</v>
      </c>
      <c r="B1243">
        <v>44195</v>
      </c>
      <c r="C1243" t="s">
        <v>808</v>
      </c>
      <c r="D1243" t="s">
        <v>2534</v>
      </c>
      <c r="E1243" t="s">
        <v>2535</v>
      </c>
      <c r="F1243" s="51">
        <v>45835</v>
      </c>
      <c r="G1243" t="s">
        <v>1</v>
      </c>
    </row>
    <row r="1244" spans="1:7" x14ac:dyDescent="0.3">
      <c r="A1244" t="s">
        <v>2702</v>
      </c>
      <c r="B1244">
        <v>44196</v>
      </c>
      <c r="C1244" t="s">
        <v>164</v>
      </c>
      <c r="E1244" t="s">
        <v>27</v>
      </c>
      <c r="F1244" s="51">
        <v>45776</v>
      </c>
      <c r="G1244" t="s">
        <v>1</v>
      </c>
    </row>
    <row r="1245" spans="1:7" x14ac:dyDescent="0.3">
      <c r="A1245" t="s">
        <v>2702</v>
      </c>
      <c r="B1245">
        <v>44197</v>
      </c>
      <c r="C1245" t="s">
        <v>434</v>
      </c>
      <c r="D1245" t="s">
        <v>232</v>
      </c>
      <c r="E1245" t="s">
        <v>2206</v>
      </c>
      <c r="F1245" s="51">
        <v>45819</v>
      </c>
      <c r="G1245" t="s">
        <v>2</v>
      </c>
    </row>
    <row r="1246" spans="1:7" x14ac:dyDescent="0.3">
      <c r="A1246" t="s">
        <v>2702</v>
      </c>
      <c r="B1246">
        <v>44198</v>
      </c>
      <c r="C1246" t="s">
        <v>74</v>
      </c>
      <c r="E1246" t="s">
        <v>27</v>
      </c>
      <c r="F1246" s="51">
        <v>45776</v>
      </c>
      <c r="G1246" t="s">
        <v>1</v>
      </c>
    </row>
    <row r="1247" spans="1:7" x14ac:dyDescent="0.3">
      <c r="A1247" t="s">
        <v>2702</v>
      </c>
      <c r="B1247">
        <v>44199</v>
      </c>
      <c r="C1247" t="s">
        <v>639</v>
      </c>
      <c r="D1247" t="s">
        <v>32</v>
      </c>
      <c r="E1247" t="s">
        <v>1045</v>
      </c>
      <c r="F1247" s="51">
        <v>45776</v>
      </c>
      <c r="G1247" t="s">
        <v>2</v>
      </c>
    </row>
    <row r="1248" spans="1:7" x14ac:dyDescent="0.3">
      <c r="A1248" t="s">
        <v>2702</v>
      </c>
      <c r="B1248">
        <v>44202</v>
      </c>
      <c r="C1248" t="s">
        <v>62</v>
      </c>
      <c r="D1248" t="s">
        <v>2167</v>
      </c>
      <c r="E1248" t="s">
        <v>403</v>
      </c>
      <c r="F1248" s="51">
        <v>45793</v>
      </c>
      <c r="G1248" t="s">
        <v>2</v>
      </c>
    </row>
    <row r="1249" spans="1:7" x14ac:dyDescent="0.3">
      <c r="A1249" t="s">
        <v>2702</v>
      </c>
      <c r="B1249">
        <v>44203</v>
      </c>
      <c r="C1249" t="s">
        <v>1535</v>
      </c>
      <c r="D1249" t="s">
        <v>287</v>
      </c>
      <c r="E1249" t="s">
        <v>1531</v>
      </c>
      <c r="F1249" s="51">
        <v>45789</v>
      </c>
      <c r="G1249" t="s">
        <v>2</v>
      </c>
    </row>
    <row r="1250" spans="1:7" x14ac:dyDescent="0.3">
      <c r="A1250" t="s">
        <v>2702</v>
      </c>
      <c r="B1250">
        <v>44204</v>
      </c>
      <c r="C1250" t="s">
        <v>1793</v>
      </c>
      <c r="D1250" t="s">
        <v>106</v>
      </c>
      <c r="E1250" t="s">
        <v>2117</v>
      </c>
      <c r="F1250" s="51">
        <v>45776</v>
      </c>
      <c r="G1250" t="s">
        <v>2</v>
      </c>
    </row>
    <row r="1251" spans="1:7" x14ac:dyDescent="0.3">
      <c r="A1251" t="s">
        <v>2702</v>
      </c>
      <c r="B1251">
        <v>44205</v>
      </c>
      <c r="C1251" t="s">
        <v>2148</v>
      </c>
      <c r="D1251" t="s">
        <v>1131</v>
      </c>
      <c r="E1251" t="s">
        <v>1370</v>
      </c>
      <c r="F1251" s="51">
        <v>45784</v>
      </c>
      <c r="G1251" t="s">
        <v>1</v>
      </c>
    </row>
    <row r="1252" spans="1:7" x14ac:dyDescent="0.3">
      <c r="A1252" t="s">
        <v>2702</v>
      </c>
      <c r="B1252">
        <v>44206</v>
      </c>
      <c r="C1252" t="s">
        <v>724</v>
      </c>
      <c r="D1252" t="s">
        <v>118</v>
      </c>
      <c r="E1252" t="s">
        <v>2162</v>
      </c>
      <c r="F1252" s="51">
        <v>45790</v>
      </c>
      <c r="G1252" t="s">
        <v>1</v>
      </c>
    </row>
    <row r="1253" spans="1:7" x14ac:dyDescent="0.3">
      <c r="A1253" t="s">
        <v>2702</v>
      </c>
      <c r="B1253">
        <v>44207</v>
      </c>
      <c r="C1253" t="s">
        <v>446</v>
      </c>
      <c r="D1253" t="s">
        <v>75</v>
      </c>
      <c r="E1253" t="s">
        <v>2115</v>
      </c>
      <c r="F1253" s="51">
        <v>45835</v>
      </c>
      <c r="G1253" t="s">
        <v>4</v>
      </c>
    </row>
    <row r="1254" spans="1:7" x14ac:dyDescent="0.3">
      <c r="A1254" t="s">
        <v>2702</v>
      </c>
      <c r="B1254">
        <v>44208</v>
      </c>
      <c r="C1254" t="s">
        <v>2149</v>
      </c>
      <c r="D1254" t="s">
        <v>140</v>
      </c>
      <c r="E1254" t="s">
        <v>662</v>
      </c>
      <c r="F1254" s="51">
        <v>45784</v>
      </c>
      <c r="G1254" t="s">
        <v>1</v>
      </c>
    </row>
    <row r="1255" spans="1:7" x14ac:dyDescent="0.3">
      <c r="A1255" t="s">
        <v>2702</v>
      </c>
      <c r="B1255">
        <v>44209</v>
      </c>
      <c r="C1255" t="s">
        <v>868</v>
      </c>
      <c r="D1255" t="s">
        <v>2229</v>
      </c>
      <c r="E1255" t="s">
        <v>2230</v>
      </c>
      <c r="F1255" s="51">
        <v>45800</v>
      </c>
      <c r="G1255" t="s">
        <v>1</v>
      </c>
    </row>
    <row r="1256" spans="1:7" x14ac:dyDescent="0.3">
      <c r="A1256" t="s">
        <v>2702</v>
      </c>
      <c r="B1256">
        <v>44210</v>
      </c>
      <c r="C1256" t="s">
        <v>639</v>
      </c>
      <c r="D1256" t="s">
        <v>32</v>
      </c>
      <c r="E1256" t="s">
        <v>1088</v>
      </c>
      <c r="F1256" s="51">
        <v>45776</v>
      </c>
      <c r="G1256" t="s">
        <v>2</v>
      </c>
    </row>
    <row r="1257" spans="1:7" x14ac:dyDescent="0.3">
      <c r="A1257" t="s">
        <v>2702</v>
      </c>
      <c r="B1257">
        <v>44211</v>
      </c>
      <c r="C1257" t="s">
        <v>672</v>
      </c>
      <c r="D1257" t="s">
        <v>1203</v>
      </c>
      <c r="E1257" t="s">
        <v>922</v>
      </c>
      <c r="F1257" s="51">
        <v>45799</v>
      </c>
      <c r="G1257" t="s">
        <v>15</v>
      </c>
    </row>
    <row r="1258" spans="1:7" x14ac:dyDescent="0.3">
      <c r="A1258" t="s">
        <v>2702</v>
      </c>
      <c r="B1258">
        <v>44212</v>
      </c>
      <c r="C1258" t="s">
        <v>426</v>
      </c>
      <c r="D1258" t="s">
        <v>232</v>
      </c>
      <c r="E1258" t="s">
        <v>2025</v>
      </c>
      <c r="F1258" s="51">
        <v>45819</v>
      </c>
      <c r="G1258" t="s">
        <v>1</v>
      </c>
    </row>
    <row r="1259" spans="1:7" x14ac:dyDescent="0.3">
      <c r="A1259" t="s">
        <v>2702</v>
      </c>
      <c r="B1259">
        <v>44214</v>
      </c>
      <c r="C1259" t="s">
        <v>222</v>
      </c>
      <c r="D1259" t="s">
        <v>40</v>
      </c>
      <c r="E1259" t="s">
        <v>2135</v>
      </c>
      <c r="F1259" s="51">
        <v>45779</v>
      </c>
      <c r="G1259" t="s">
        <v>1</v>
      </c>
    </row>
    <row r="1260" spans="1:7" x14ac:dyDescent="0.3">
      <c r="A1260" t="s">
        <v>2702</v>
      </c>
      <c r="B1260">
        <v>44215</v>
      </c>
      <c r="C1260" t="s">
        <v>482</v>
      </c>
      <c r="D1260" t="s">
        <v>2416</v>
      </c>
      <c r="E1260" t="s">
        <v>121</v>
      </c>
      <c r="F1260" s="51">
        <v>45819</v>
      </c>
      <c r="G1260" t="s">
        <v>4</v>
      </c>
    </row>
    <row r="1261" spans="1:7" x14ac:dyDescent="0.3">
      <c r="A1261" t="s">
        <v>2702</v>
      </c>
      <c r="B1261">
        <v>44217</v>
      </c>
      <c r="C1261" t="s">
        <v>465</v>
      </c>
      <c r="D1261" t="s">
        <v>232</v>
      </c>
      <c r="E1261" t="s">
        <v>2417</v>
      </c>
      <c r="F1261" s="51">
        <v>45819</v>
      </c>
      <c r="G1261" t="s">
        <v>1</v>
      </c>
    </row>
    <row r="1262" spans="1:7" x14ac:dyDescent="0.3">
      <c r="A1262" t="s">
        <v>2702</v>
      </c>
      <c r="B1262">
        <v>44218</v>
      </c>
      <c r="C1262" t="s">
        <v>2450</v>
      </c>
      <c r="D1262" t="s">
        <v>2451</v>
      </c>
      <c r="E1262" t="s">
        <v>2453</v>
      </c>
      <c r="F1262" s="51">
        <v>45824</v>
      </c>
      <c r="G1262" t="s">
        <v>18</v>
      </c>
    </row>
    <row r="1263" spans="1:7" x14ac:dyDescent="0.3">
      <c r="A1263" t="s">
        <v>2702</v>
      </c>
      <c r="B1263">
        <v>44220</v>
      </c>
      <c r="C1263" t="s">
        <v>262</v>
      </c>
      <c r="D1263" t="s">
        <v>263</v>
      </c>
      <c r="E1263" t="s">
        <v>1741</v>
      </c>
      <c r="F1263" s="51">
        <v>45798</v>
      </c>
      <c r="G1263" t="s">
        <v>2</v>
      </c>
    </row>
    <row r="1264" spans="1:7" x14ac:dyDescent="0.3">
      <c r="A1264" t="s">
        <v>2702</v>
      </c>
      <c r="B1264">
        <v>44221</v>
      </c>
      <c r="C1264" t="s">
        <v>71</v>
      </c>
      <c r="D1264" t="s">
        <v>106</v>
      </c>
      <c r="E1264" t="s">
        <v>1467</v>
      </c>
      <c r="F1264" s="51">
        <v>45855</v>
      </c>
      <c r="G1264" t="s">
        <v>8</v>
      </c>
    </row>
    <row r="1265" spans="1:7" x14ac:dyDescent="0.3">
      <c r="A1265" t="s">
        <v>2702</v>
      </c>
      <c r="B1265">
        <v>44222</v>
      </c>
      <c r="C1265" t="s">
        <v>875</v>
      </c>
      <c r="D1265" t="s">
        <v>106</v>
      </c>
      <c r="E1265" t="s">
        <v>1049</v>
      </c>
      <c r="F1265" s="51">
        <v>45784</v>
      </c>
      <c r="G1265" t="s">
        <v>1</v>
      </c>
    </row>
    <row r="1266" spans="1:7" x14ac:dyDescent="0.3">
      <c r="A1266" t="s">
        <v>2702</v>
      </c>
      <c r="B1266">
        <v>44223</v>
      </c>
      <c r="C1266" t="s">
        <v>2150</v>
      </c>
      <c r="D1266" t="s">
        <v>32</v>
      </c>
      <c r="E1266" t="s">
        <v>1049</v>
      </c>
      <c r="F1266" s="51">
        <v>45784</v>
      </c>
      <c r="G1266" t="s">
        <v>1</v>
      </c>
    </row>
    <row r="1267" spans="1:7" x14ac:dyDescent="0.3">
      <c r="A1267" t="s">
        <v>2702</v>
      </c>
      <c r="B1267">
        <v>44224</v>
      </c>
      <c r="C1267" t="s">
        <v>2150</v>
      </c>
      <c r="D1267" t="s">
        <v>148</v>
      </c>
      <c r="E1267" t="s">
        <v>1049</v>
      </c>
      <c r="F1267" s="51">
        <v>45784</v>
      </c>
      <c r="G1267" t="s">
        <v>1</v>
      </c>
    </row>
    <row r="1268" spans="1:7" x14ac:dyDescent="0.3">
      <c r="A1268" t="s">
        <v>2702</v>
      </c>
      <c r="B1268">
        <v>44226</v>
      </c>
      <c r="C1268" t="s">
        <v>1059</v>
      </c>
      <c r="D1268" t="s">
        <v>32</v>
      </c>
      <c r="E1268" t="s">
        <v>615</v>
      </c>
      <c r="F1268" s="51">
        <v>45800</v>
      </c>
      <c r="G1268" t="s">
        <v>1</v>
      </c>
    </row>
    <row r="1269" spans="1:7" x14ac:dyDescent="0.3">
      <c r="A1269" t="s">
        <v>2702</v>
      </c>
      <c r="B1269">
        <v>44227</v>
      </c>
      <c r="C1269" t="s">
        <v>567</v>
      </c>
      <c r="E1269" t="s">
        <v>27</v>
      </c>
      <c r="F1269" s="51">
        <v>45790</v>
      </c>
      <c r="G1269" t="s">
        <v>1</v>
      </c>
    </row>
    <row r="1270" spans="1:7" x14ac:dyDescent="0.3">
      <c r="A1270" t="s">
        <v>2702</v>
      </c>
      <c r="B1270">
        <v>44228</v>
      </c>
      <c r="C1270" t="s">
        <v>1090</v>
      </c>
      <c r="D1270" t="s">
        <v>133</v>
      </c>
      <c r="E1270" t="s">
        <v>2163</v>
      </c>
      <c r="F1270" s="51">
        <v>45790</v>
      </c>
      <c r="G1270" t="s">
        <v>1</v>
      </c>
    </row>
    <row r="1271" spans="1:7" x14ac:dyDescent="0.3">
      <c r="A1271" t="s">
        <v>2702</v>
      </c>
      <c r="B1271">
        <v>44229</v>
      </c>
      <c r="C1271" t="s">
        <v>1059</v>
      </c>
      <c r="D1271" t="s">
        <v>106</v>
      </c>
      <c r="E1271" t="s">
        <v>2045</v>
      </c>
      <c r="F1271" s="51">
        <v>45784</v>
      </c>
      <c r="G1271" t="s">
        <v>1</v>
      </c>
    </row>
    <row r="1272" spans="1:7" x14ac:dyDescent="0.3">
      <c r="A1272" t="s">
        <v>2702</v>
      </c>
      <c r="B1272">
        <v>44232</v>
      </c>
      <c r="C1272" t="s">
        <v>41</v>
      </c>
      <c r="D1272" t="s">
        <v>75</v>
      </c>
      <c r="E1272" t="s">
        <v>940</v>
      </c>
      <c r="F1272" s="51">
        <v>45832</v>
      </c>
      <c r="G1272" t="s">
        <v>4</v>
      </c>
    </row>
    <row r="1273" spans="1:7" x14ac:dyDescent="0.3">
      <c r="A1273" t="s">
        <v>2702</v>
      </c>
      <c r="B1273">
        <v>44233</v>
      </c>
      <c r="C1273" t="s">
        <v>2169</v>
      </c>
      <c r="D1273" t="s">
        <v>2170</v>
      </c>
      <c r="E1273" t="s">
        <v>615</v>
      </c>
      <c r="F1273" s="51">
        <v>45793</v>
      </c>
      <c r="G1273" t="s">
        <v>1</v>
      </c>
    </row>
    <row r="1274" spans="1:7" x14ac:dyDescent="0.3">
      <c r="A1274" t="s">
        <v>2702</v>
      </c>
      <c r="B1274">
        <v>44234</v>
      </c>
      <c r="C1274" t="s">
        <v>2118</v>
      </c>
      <c r="E1274" t="s">
        <v>880</v>
      </c>
      <c r="F1274" s="51">
        <v>45776</v>
      </c>
      <c r="G1274" t="s">
        <v>1</v>
      </c>
    </row>
    <row r="1275" spans="1:7" x14ac:dyDescent="0.3">
      <c r="A1275" t="s">
        <v>2702</v>
      </c>
      <c r="B1275">
        <v>44237</v>
      </c>
      <c r="C1275" t="s">
        <v>262</v>
      </c>
      <c r="D1275" t="s">
        <v>263</v>
      </c>
      <c r="E1275" t="s">
        <v>1741</v>
      </c>
      <c r="F1275" s="51">
        <v>45798</v>
      </c>
      <c r="G1275" t="s">
        <v>2</v>
      </c>
    </row>
    <row r="1276" spans="1:7" x14ac:dyDescent="0.3">
      <c r="A1276" t="s">
        <v>2702</v>
      </c>
      <c r="B1276">
        <v>44238</v>
      </c>
      <c r="C1276" t="s">
        <v>475</v>
      </c>
      <c r="D1276" t="s">
        <v>106</v>
      </c>
      <c r="E1276" t="s">
        <v>168</v>
      </c>
      <c r="F1276" s="51">
        <v>45800</v>
      </c>
      <c r="G1276" t="s">
        <v>1</v>
      </c>
    </row>
    <row r="1277" spans="1:7" x14ac:dyDescent="0.3">
      <c r="A1277" t="s">
        <v>2702</v>
      </c>
      <c r="B1277">
        <v>44240</v>
      </c>
      <c r="C1277" t="s">
        <v>2231</v>
      </c>
      <c r="D1277" t="s">
        <v>287</v>
      </c>
      <c r="E1277" t="s">
        <v>2232</v>
      </c>
      <c r="F1277" s="51">
        <v>45800</v>
      </c>
      <c r="G1277" t="s">
        <v>1</v>
      </c>
    </row>
    <row r="1278" spans="1:7" x14ac:dyDescent="0.3">
      <c r="A1278" t="s">
        <v>2702</v>
      </c>
      <c r="B1278">
        <v>44241</v>
      </c>
      <c r="C1278" t="s">
        <v>681</v>
      </c>
      <c r="D1278" t="s">
        <v>232</v>
      </c>
      <c r="E1278" t="s">
        <v>2208</v>
      </c>
      <c r="F1278" s="51">
        <v>45798</v>
      </c>
      <c r="G1278" t="s">
        <v>2</v>
      </c>
    </row>
    <row r="1279" spans="1:7" x14ac:dyDescent="0.3">
      <c r="A1279" t="s">
        <v>2702</v>
      </c>
      <c r="B1279">
        <v>44242</v>
      </c>
      <c r="C1279" t="s">
        <v>439</v>
      </c>
      <c r="D1279" t="s">
        <v>440</v>
      </c>
      <c r="E1279" t="s">
        <v>1049</v>
      </c>
      <c r="F1279" s="51">
        <v>45790</v>
      </c>
      <c r="G1279" t="s">
        <v>1</v>
      </c>
    </row>
    <row r="1280" spans="1:7" x14ac:dyDescent="0.3">
      <c r="A1280" t="s">
        <v>2702</v>
      </c>
      <c r="B1280">
        <v>44243</v>
      </c>
      <c r="C1280" t="s">
        <v>439</v>
      </c>
      <c r="D1280" t="s">
        <v>148</v>
      </c>
      <c r="E1280" t="s">
        <v>1049</v>
      </c>
      <c r="F1280" s="51">
        <v>45789</v>
      </c>
      <c r="G1280" t="s">
        <v>1</v>
      </c>
    </row>
    <row r="1281" spans="1:7" x14ac:dyDescent="0.3">
      <c r="A1281" t="s">
        <v>2702</v>
      </c>
      <c r="B1281">
        <v>44244</v>
      </c>
      <c r="C1281" t="s">
        <v>439</v>
      </c>
      <c r="D1281" t="s">
        <v>1646</v>
      </c>
      <c r="E1281" t="s">
        <v>40</v>
      </c>
      <c r="F1281" s="51">
        <v>45813</v>
      </c>
      <c r="G1281" t="s">
        <v>2</v>
      </c>
    </row>
    <row r="1282" spans="1:7" x14ac:dyDescent="0.3">
      <c r="A1282" t="s">
        <v>2702</v>
      </c>
      <c r="B1282">
        <v>44245</v>
      </c>
      <c r="C1282" t="s">
        <v>394</v>
      </c>
      <c r="D1282" t="s">
        <v>379</v>
      </c>
      <c r="E1282" t="s">
        <v>159</v>
      </c>
      <c r="F1282" s="51">
        <v>45789</v>
      </c>
      <c r="G1282" t="s">
        <v>1</v>
      </c>
    </row>
    <row r="1283" spans="1:7" x14ac:dyDescent="0.3">
      <c r="A1283" t="s">
        <v>2702</v>
      </c>
      <c r="B1283">
        <v>44246</v>
      </c>
      <c r="C1283" t="s">
        <v>86</v>
      </c>
      <c r="D1283" t="s">
        <v>45</v>
      </c>
      <c r="E1283" t="s">
        <v>1547</v>
      </c>
      <c r="F1283" s="51">
        <v>45798</v>
      </c>
      <c r="G1283" t="s">
        <v>3</v>
      </c>
    </row>
    <row r="1284" spans="1:7" x14ac:dyDescent="0.3">
      <c r="A1284" t="s">
        <v>2702</v>
      </c>
      <c r="B1284">
        <v>44247</v>
      </c>
      <c r="C1284" t="s">
        <v>551</v>
      </c>
      <c r="D1284" t="s">
        <v>1950</v>
      </c>
      <c r="E1284" t="s">
        <v>776</v>
      </c>
      <c r="F1284" s="51">
        <v>45807</v>
      </c>
      <c r="G1284" t="s">
        <v>1</v>
      </c>
    </row>
    <row r="1285" spans="1:7" x14ac:dyDescent="0.3">
      <c r="A1285" t="s">
        <v>2702</v>
      </c>
      <c r="B1285">
        <v>44248</v>
      </c>
      <c r="C1285" t="s">
        <v>1971</v>
      </c>
      <c r="D1285" t="s">
        <v>544</v>
      </c>
      <c r="E1285" t="s">
        <v>283</v>
      </c>
      <c r="F1285" s="51">
        <v>45791</v>
      </c>
      <c r="G1285" t="s">
        <v>1</v>
      </c>
    </row>
    <row r="1286" spans="1:7" x14ac:dyDescent="0.3">
      <c r="A1286" t="s">
        <v>2702</v>
      </c>
      <c r="B1286">
        <v>44249</v>
      </c>
      <c r="C1286" t="s">
        <v>321</v>
      </c>
      <c r="D1286" t="s">
        <v>249</v>
      </c>
      <c r="E1286" t="s">
        <v>146</v>
      </c>
      <c r="F1286" s="51">
        <v>45791</v>
      </c>
      <c r="G1286" t="s">
        <v>1</v>
      </c>
    </row>
    <row r="1287" spans="1:7" x14ac:dyDescent="0.3">
      <c r="A1287" t="s">
        <v>2702</v>
      </c>
      <c r="B1287">
        <v>44250</v>
      </c>
      <c r="C1287" t="s">
        <v>1081</v>
      </c>
      <c r="D1287" t="s">
        <v>2152</v>
      </c>
      <c r="E1287" t="s">
        <v>2153</v>
      </c>
      <c r="F1287" s="51">
        <v>45789</v>
      </c>
      <c r="G1287" t="s">
        <v>1</v>
      </c>
    </row>
    <row r="1288" spans="1:7" x14ac:dyDescent="0.3">
      <c r="A1288" t="s">
        <v>2702</v>
      </c>
      <c r="B1288">
        <v>44254</v>
      </c>
      <c r="C1288" t="s">
        <v>808</v>
      </c>
      <c r="D1288" t="s">
        <v>179</v>
      </c>
      <c r="E1288" t="s">
        <v>146</v>
      </c>
      <c r="F1288" s="51">
        <v>45831</v>
      </c>
      <c r="G1288" t="s">
        <v>1</v>
      </c>
    </row>
    <row r="1289" spans="1:7" x14ac:dyDescent="0.3">
      <c r="A1289" t="s">
        <v>2702</v>
      </c>
      <c r="B1289">
        <v>44255</v>
      </c>
      <c r="C1289" t="s">
        <v>516</v>
      </c>
      <c r="D1289" t="s">
        <v>63</v>
      </c>
      <c r="E1289" t="s">
        <v>1049</v>
      </c>
      <c r="F1289" s="51">
        <v>45789</v>
      </c>
      <c r="G1289" t="s">
        <v>2</v>
      </c>
    </row>
    <row r="1290" spans="1:7" x14ac:dyDescent="0.3">
      <c r="A1290" t="s">
        <v>2702</v>
      </c>
      <c r="B1290">
        <v>44256</v>
      </c>
      <c r="C1290" t="s">
        <v>2484</v>
      </c>
      <c r="D1290" t="s">
        <v>718</v>
      </c>
      <c r="E1290" t="s">
        <v>2485</v>
      </c>
      <c r="F1290" s="51">
        <v>45831</v>
      </c>
      <c r="G1290" t="s">
        <v>1</v>
      </c>
    </row>
    <row r="1291" spans="1:7" x14ac:dyDescent="0.3">
      <c r="A1291" t="s">
        <v>2702</v>
      </c>
      <c r="B1291">
        <v>44258</v>
      </c>
      <c r="C1291" t="s">
        <v>41</v>
      </c>
      <c r="D1291" t="s">
        <v>812</v>
      </c>
      <c r="E1291" t="s">
        <v>121</v>
      </c>
      <c r="F1291" s="51">
        <v>45874</v>
      </c>
      <c r="G1291" t="s">
        <v>4</v>
      </c>
    </row>
    <row r="1292" spans="1:7" x14ac:dyDescent="0.3">
      <c r="A1292" t="s">
        <v>2702</v>
      </c>
      <c r="B1292">
        <v>44259</v>
      </c>
      <c r="C1292" t="s">
        <v>674</v>
      </c>
      <c r="D1292" t="s">
        <v>2171</v>
      </c>
      <c r="E1292" t="s">
        <v>1049</v>
      </c>
      <c r="F1292" s="51">
        <v>45793</v>
      </c>
      <c r="G1292" t="s">
        <v>1</v>
      </c>
    </row>
    <row r="1293" spans="1:7" x14ac:dyDescent="0.3">
      <c r="A1293" t="s">
        <v>2702</v>
      </c>
      <c r="B1293">
        <v>44260</v>
      </c>
      <c r="C1293" t="s">
        <v>160</v>
      </c>
      <c r="D1293" t="s">
        <v>2375</v>
      </c>
      <c r="E1293" t="s">
        <v>2376</v>
      </c>
      <c r="F1293" s="51">
        <v>45807</v>
      </c>
      <c r="G1293" t="s">
        <v>1</v>
      </c>
    </row>
    <row r="1294" spans="1:7" x14ac:dyDescent="0.3">
      <c r="A1294" t="s">
        <v>2702</v>
      </c>
      <c r="B1294">
        <v>44261</v>
      </c>
      <c r="C1294" t="s">
        <v>256</v>
      </c>
      <c r="D1294" t="s">
        <v>154</v>
      </c>
      <c r="E1294" t="s">
        <v>1547</v>
      </c>
      <c r="F1294" s="51">
        <v>45819</v>
      </c>
      <c r="G1294" t="s">
        <v>1</v>
      </c>
    </row>
    <row r="1295" spans="1:7" x14ac:dyDescent="0.3">
      <c r="A1295" t="s">
        <v>2702</v>
      </c>
      <c r="B1295">
        <v>44263</v>
      </c>
      <c r="C1295" t="s">
        <v>2172</v>
      </c>
      <c r="D1295" t="s">
        <v>135</v>
      </c>
      <c r="E1295" t="s">
        <v>2173</v>
      </c>
      <c r="F1295" s="51">
        <v>45793</v>
      </c>
      <c r="G1295" t="s">
        <v>4</v>
      </c>
    </row>
    <row r="1296" spans="1:7" x14ac:dyDescent="0.3">
      <c r="A1296" t="s">
        <v>2702</v>
      </c>
      <c r="B1296">
        <v>44268</v>
      </c>
      <c r="C1296" t="s">
        <v>1099</v>
      </c>
      <c r="D1296" t="s">
        <v>2174</v>
      </c>
      <c r="E1296" t="s">
        <v>788</v>
      </c>
      <c r="F1296" s="51">
        <v>45793</v>
      </c>
      <c r="G1296" t="s">
        <v>1</v>
      </c>
    </row>
    <row r="1297" spans="1:7" x14ac:dyDescent="0.3">
      <c r="A1297" t="s">
        <v>2702</v>
      </c>
      <c r="B1297">
        <v>44269</v>
      </c>
      <c r="C1297" t="s">
        <v>672</v>
      </c>
      <c r="D1297" t="s">
        <v>2491</v>
      </c>
      <c r="E1297" t="s">
        <v>2070</v>
      </c>
      <c r="F1297" s="51">
        <v>45832</v>
      </c>
      <c r="G1297" t="s">
        <v>1</v>
      </c>
    </row>
    <row r="1298" spans="1:7" x14ac:dyDescent="0.3">
      <c r="A1298" t="s">
        <v>2702</v>
      </c>
      <c r="B1298">
        <v>44271</v>
      </c>
      <c r="C1298" t="s">
        <v>36</v>
      </c>
      <c r="D1298" t="s">
        <v>263</v>
      </c>
      <c r="E1298" t="s">
        <v>2233</v>
      </c>
      <c r="F1298" s="51">
        <v>45800</v>
      </c>
      <c r="G1298" t="s">
        <v>1</v>
      </c>
    </row>
    <row r="1299" spans="1:7" x14ac:dyDescent="0.3">
      <c r="A1299" t="s">
        <v>2702</v>
      </c>
      <c r="B1299">
        <v>44272</v>
      </c>
      <c r="C1299" t="s">
        <v>2172</v>
      </c>
      <c r="E1299" t="s">
        <v>27</v>
      </c>
      <c r="F1299" s="51">
        <v>45798</v>
      </c>
      <c r="G1299" t="s">
        <v>1</v>
      </c>
    </row>
    <row r="1300" spans="1:7" x14ac:dyDescent="0.3">
      <c r="A1300" t="s">
        <v>2702</v>
      </c>
      <c r="B1300">
        <v>44274</v>
      </c>
      <c r="C1300" t="s">
        <v>394</v>
      </c>
      <c r="D1300" t="s">
        <v>379</v>
      </c>
      <c r="E1300" t="s">
        <v>2175</v>
      </c>
      <c r="F1300" s="51">
        <v>45793</v>
      </c>
      <c r="G1300" t="s">
        <v>1</v>
      </c>
    </row>
    <row r="1301" spans="1:7" x14ac:dyDescent="0.3">
      <c r="A1301" t="s">
        <v>2702</v>
      </c>
      <c r="B1301">
        <v>44275</v>
      </c>
      <c r="C1301" t="s">
        <v>375</v>
      </c>
      <c r="D1301" t="s">
        <v>75</v>
      </c>
      <c r="E1301" t="s">
        <v>1049</v>
      </c>
      <c r="F1301" s="51">
        <v>45820</v>
      </c>
      <c r="G1301" t="s">
        <v>1</v>
      </c>
    </row>
    <row r="1302" spans="1:7" x14ac:dyDescent="0.3">
      <c r="A1302" t="s">
        <v>2702</v>
      </c>
      <c r="B1302">
        <v>44276</v>
      </c>
      <c r="C1302" t="s">
        <v>309</v>
      </c>
      <c r="E1302" t="s">
        <v>2234</v>
      </c>
      <c r="F1302" s="51">
        <v>45800</v>
      </c>
      <c r="G1302" t="s">
        <v>1</v>
      </c>
    </row>
    <row r="1303" spans="1:7" x14ac:dyDescent="0.3">
      <c r="A1303" t="s">
        <v>2702</v>
      </c>
      <c r="B1303">
        <v>44277</v>
      </c>
      <c r="C1303" t="s">
        <v>518</v>
      </c>
      <c r="D1303" t="s">
        <v>211</v>
      </c>
      <c r="E1303" t="s">
        <v>119</v>
      </c>
      <c r="F1303" s="51">
        <v>45800</v>
      </c>
      <c r="G1303" t="s">
        <v>1</v>
      </c>
    </row>
    <row r="1304" spans="1:7" x14ac:dyDescent="0.3">
      <c r="A1304" t="s">
        <v>2702</v>
      </c>
      <c r="B1304">
        <v>44278</v>
      </c>
      <c r="C1304" t="s">
        <v>672</v>
      </c>
      <c r="D1304" t="s">
        <v>240</v>
      </c>
      <c r="E1304" t="s">
        <v>1354</v>
      </c>
      <c r="F1304" s="51">
        <v>45856</v>
      </c>
      <c r="G1304" t="s">
        <v>1</v>
      </c>
    </row>
    <row r="1305" spans="1:7" x14ac:dyDescent="0.3">
      <c r="A1305" t="s">
        <v>2702</v>
      </c>
      <c r="B1305">
        <v>44279</v>
      </c>
      <c r="C1305" t="s">
        <v>99</v>
      </c>
      <c r="D1305" t="s">
        <v>120</v>
      </c>
      <c r="E1305" t="s">
        <v>121</v>
      </c>
      <c r="F1305" s="51">
        <v>45855</v>
      </c>
      <c r="G1305" t="s">
        <v>4</v>
      </c>
    </row>
    <row r="1306" spans="1:7" x14ac:dyDescent="0.3">
      <c r="A1306" t="s">
        <v>2702</v>
      </c>
      <c r="B1306">
        <v>44280</v>
      </c>
      <c r="C1306" t="s">
        <v>128</v>
      </c>
      <c r="D1306" t="s">
        <v>82</v>
      </c>
      <c r="E1306" t="s">
        <v>121</v>
      </c>
      <c r="F1306" s="51">
        <v>45832</v>
      </c>
      <c r="G1306" t="s">
        <v>4</v>
      </c>
    </row>
    <row r="1307" spans="1:7" x14ac:dyDescent="0.3">
      <c r="A1307" t="s">
        <v>2702</v>
      </c>
      <c r="B1307">
        <v>44282</v>
      </c>
      <c r="C1307" t="s">
        <v>2567</v>
      </c>
      <c r="D1307" t="s">
        <v>2568</v>
      </c>
      <c r="E1307" t="s">
        <v>403</v>
      </c>
      <c r="F1307" s="51">
        <v>45840</v>
      </c>
      <c r="G1307" t="s">
        <v>1</v>
      </c>
    </row>
    <row r="1308" spans="1:7" x14ac:dyDescent="0.3">
      <c r="A1308" t="s">
        <v>2702</v>
      </c>
      <c r="B1308">
        <v>44283</v>
      </c>
      <c r="C1308" t="s">
        <v>184</v>
      </c>
      <c r="D1308" t="s">
        <v>63</v>
      </c>
      <c r="E1308" t="s">
        <v>64</v>
      </c>
      <c r="F1308" s="51">
        <v>45812</v>
      </c>
      <c r="G1308" t="s">
        <v>1</v>
      </c>
    </row>
    <row r="1309" spans="1:7" x14ac:dyDescent="0.3">
      <c r="A1309" t="s">
        <v>2702</v>
      </c>
      <c r="B1309">
        <v>44284</v>
      </c>
      <c r="C1309" t="s">
        <v>2394</v>
      </c>
      <c r="D1309" t="s">
        <v>226</v>
      </c>
      <c r="E1309" t="s">
        <v>121</v>
      </c>
      <c r="F1309" s="51">
        <v>45832</v>
      </c>
      <c r="G1309" t="s">
        <v>4</v>
      </c>
    </row>
    <row r="1310" spans="1:7" x14ac:dyDescent="0.3">
      <c r="A1310" t="s">
        <v>2702</v>
      </c>
      <c r="B1310">
        <v>44285</v>
      </c>
      <c r="C1310" t="s">
        <v>62</v>
      </c>
      <c r="D1310" t="s">
        <v>148</v>
      </c>
      <c r="E1310" t="s">
        <v>777</v>
      </c>
      <c r="F1310" s="51">
        <v>45800</v>
      </c>
      <c r="G1310" t="s">
        <v>1</v>
      </c>
    </row>
    <row r="1311" spans="1:7" x14ac:dyDescent="0.3">
      <c r="A1311" t="s">
        <v>2702</v>
      </c>
      <c r="B1311">
        <v>44289</v>
      </c>
      <c r="C1311" t="s">
        <v>36</v>
      </c>
      <c r="D1311" t="s">
        <v>37</v>
      </c>
      <c r="E1311" t="s">
        <v>2215</v>
      </c>
      <c r="F1311" s="51">
        <v>45798</v>
      </c>
      <c r="G1311" t="s">
        <v>2</v>
      </c>
    </row>
    <row r="1312" spans="1:7" x14ac:dyDescent="0.3">
      <c r="A1312" t="s">
        <v>2702</v>
      </c>
      <c r="B1312">
        <v>44290</v>
      </c>
      <c r="C1312" t="s">
        <v>2381</v>
      </c>
      <c r="E1312" t="s">
        <v>2382</v>
      </c>
      <c r="F1312" s="51">
        <v>45810</v>
      </c>
      <c r="G1312" t="s">
        <v>1</v>
      </c>
    </row>
    <row r="1313" spans="1:7" x14ac:dyDescent="0.3">
      <c r="A1313" t="s">
        <v>2702</v>
      </c>
      <c r="B1313">
        <v>44293</v>
      </c>
      <c r="C1313" t="s">
        <v>2499</v>
      </c>
      <c r="D1313" t="s">
        <v>1167</v>
      </c>
      <c r="E1313" t="s">
        <v>64</v>
      </c>
      <c r="F1313" s="51">
        <v>45832</v>
      </c>
      <c r="G1313" t="s">
        <v>1</v>
      </c>
    </row>
    <row r="1314" spans="1:7" x14ac:dyDescent="0.3">
      <c r="A1314" t="s">
        <v>2702</v>
      </c>
      <c r="B1314">
        <v>44294</v>
      </c>
      <c r="C1314" t="s">
        <v>951</v>
      </c>
      <c r="D1314" t="s">
        <v>688</v>
      </c>
      <c r="E1314" t="s">
        <v>1049</v>
      </c>
      <c r="F1314" s="51">
        <v>45800</v>
      </c>
      <c r="G1314" t="s">
        <v>1</v>
      </c>
    </row>
    <row r="1315" spans="1:7" x14ac:dyDescent="0.3">
      <c r="A1315" t="s">
        <v>2702</v>
      </c>
      <c r="B1315">
        <v>44297</v>
      </c>
      <c r="C1315" t="s">
        <v>1082</v>
      </c>
      <c r="E1315" t="s">
        <v>480</v>
      </c>
      <c r="F1315" s="51">
        <v>45832</v>
      </c>
      <c r="G1315" t="s">
        <v>1</v>
      </c>
    </row>
    <row r="1316" spans="1:7" x14ac:dyDescent="0.3">
      <c r="A1316" t="s">
        <v>2702</v>
      </c>
      <c r="B1316">
        <v>44298</v>
      </c>
      <c r="C1316" t="s">
        <v>2500</v>
      </c>
      <c r="E1316" t="s">
        <v>319</v>
      </c>
      <c r="F1316" s="51">
        <v>45832</v>
      </c>
      <c r="G1316" t="s">
        <v>1</v>
      </c>
    </row>
    <row r="1317" spans="1:7" x14ac:dyDescent="0.3">
      <c r="A1317" t="s">
        <v>2702</v>
      </c>
      <c r="B1317">
        <v>44299</v>
      </c>
      <c r="C1317" t="s">
        <v>2646</v>
      </c>
      <c r="D1317" t="s">
        <v>45</v>
      </c>
      <c r="E1317" t="s">
        <v>2211</v>
      </c>
      <c r="F1317" s="51">
        <v>45867</v>
      </c>
      <c r="G1317" t="s">
        <v>4</v>
      </c>
    </row>
    <row r="1318" spans="1:7" x14ac:dyDescent="0.3">
      <c r="A1318" t="s">
        <v>2702</v>
      </c>
      <c r="B1318">
        <v>44300</v>
      </c>
      <c r="C1318" t="s">
        <v>868</v>
      </c>
      <c r="D1318" t="s">
        <v>2229</v>
      </c>
      <c r="E1318" t="s">
        <v>2400</v>
      </c>
      <c r="F1318" s="51">
        <v>45812</v>
      </c>
      <c r="G1318" t="s">
        <v>2</v>
      </c>
    </row>
    <row r="1319" spans="1:7" x14ac:dyDescent="0.3">
      <c r="A1319" t="s">
        <v>2702</v>
      </c>
      <c r="B1319">
        <v>44302</v>
      </c>
      <c r="C1319" t="s">
        <v>446</v>
      </c>
      <c r="D1319" t="s">
        <v>2410</v>
      </c>
      <c r="E1319" t="s">
        <v>64</v>
      </c>
      <c r="F1319" s="51">
        <v>45813</v>
      </c>
      <c r="G1319" t="s">
        <v>8</v>
      </c>
    </row>
    <row r="1320" spans="1:7" x14ac:dyDescent="0.3">
      <c r="A1320" t="s">
        <v>2702</v>
      </c>
      <c r="B1320">
        <v>44303</v>
      </c>
      <c r="C1320" t="s">
        <v>36</v>
      </c>
      <c r="D1320" t="s">
        <v>37</v>
      </c>
      <c r="E1320" t="s">
        <v>2219</v>
      </c>
      <c r="F1320" s="51">
        <v>45799</v>
      </c>
      <c r="G1320" t="s">
        <v>2</v>
      </c>
    </row>
    <row r="1321" spans="1:7" x14ac:dyDescent="0.3">
      <c r="A1321" t="s">
        <v>2702</v>
      </c>
      <c r="B1321">
        <v>44304</v>
      </c>
      <c r="C1321" t="s">
        <v>450</v>
      </c>
      <c r="D1321" t="s">
        <v>2418</v>
      </c>
      <c r="E1321" t="s">
        <v>98</v>
      </c>
      <c r="F1321" s="51">
        <v>45819</v>
      </c>
      <c r="G1321" t="s">
        <v>4</v>
      </c>
    </row>
    <row r="1322" spans="1:7" x14ac:dyDescent="0.3">
      <c r="A1322" t="s">
        <v>2702</v>
      </c>
      <c r="B1322">
        <v>44305</v>
      </c>
      <c r="C1322" t="s">
        <v>41</v>
      </c>
      <c r="D1322" t="s">
        <v>287</v>
      </c>
      <c r="E1322" t="s">
        <v>98</v>
      </c>
      <c r="F1322" s="51">
        <v>45874</v>
      </c>
      <c r="G1322" t="s">
        <v>4</v>
      </c>
    </row>
    <row r="1323" spans="1:7" x14ac:dyDescent="0.3">
      <c r="A1323" t="s">
        <v>2702</v>
      </c>
      <c r="B1323">
        <v>44307</v>
      </c>
      <c r="C1323" t="s">
        <v>74</v>
      </c>
      <c r="D1323" t="s">
        <v>367</v>
      </c>
      <c r="E1323" t="s">
        <v>1706</v>
      </c>
      <c r="F1323" s="51">
        <v>45796</v>
      </c>
      <c r="G1323" t="s">
        <v>2</v>
      </c>
    </row>
    <row r="1324" spans="1:7" x14ac:dyDescent="0.3">
      <c r="A1324" t="s">
        <v>2702</v>
      </c>
      <c r="B1324">
        <v>44309</v>
      </c>
      <c r="C1324" t="s">
        <v>1097</v>
      </c>
      <c r="D1324" t="s">
        <v>106</v>
      </c>
      <c r="E1324" t="s">
        <v>2413</v>
      </c>
      <c r="F1324" s="51">
        <v>45819</v>
      </c>
      <c r="G1324" t="s">
        <v>2</v>
      </c>
    </row>
    <row r="1325" spans="1:7" x14ac:dyDescent="0.3">
      <c r="A1325" t="s">
        <v>2702</v>
      </c>
      <c r="B1325">
        <v>44310</v>
      </c>
      <c r="C1325" t="s">
        <v>71</v>
      </c>
      <c r="D1325" t="s">
        <v>106</v>
      </c>
      <c r="E1325" t="s">
        <v>569</v>
      </c>
      <c r="F1325" s="51">
        <v>45855</v>
      </c>
      <c r="G1325" t="s">
        <v>1</v>
      </c>
    </row>
    <row r="1326" spans="1:7" x14ac:dyDescent="0.3">
      <c r="A1326" t="s">
        <v>2702</v>
      </c>
      <c r="B1326">
        <v>44311</v>
      </c>
      <c r="C1326" t="s">
        <v>570</v>
      </c>
      <c r="D1326" t="s">
        <v>1054</v>
      </c>
      <c r="E1326" t="s">
        <v>2411</v>
      </c>
      <c r="F1326" s="51">
        <v>45813</v>
      </c>
      <c r="G1326" t="s">
        <v>1</v>
      </c>
    </row>
    <row r="1327" spans="1:7" x14ac:dyDescent="0.3">
      <c r="A1327" t="s">
        <v>2702</v>
      </c>
      <c r="B1327">
        <v>44312</v>
      </c>
      <c r="C1327" t="s">
        <v>639</v>
      </c>
      <c r="D1327" t="s">
        <v>440</v>
      </c>
      <c r="E1327" t="s">
        <v>58</v>
      </c>
      <c r="F1327" s="51">
        <v>45812</v>
      </c>
      <c r="G1327" t="s">
        <v>1</v>
      </c>
    </row>
    <row r="1328" spans="1:7" x14ac:dyDescent="0.3">
      <c r="A1328" t="s">
        <v>2702</v>
      </c>
      <c r="B1328">
        <v>44313</v>
      </c>
      <c r="C1328" t="s">
        <v>41</v>
      </c>
      <c r="D1328" t="s">
        <v>367</v>
      </c>
      <c r="E1328" t="s">
        <v>784</v>
      </c>
      <c r="F1328" s="51">
        <v>45812</v>
      </c>
      <c r="G1328" t="s">
        <v>4</v>
      </c>
    </row>
    <row r="1329" spans="1:7" x14ac:dyDescent="0.3">
      <c r="A1329" t="s">
        <v>2702</v>
      </c>
      <c r="B1329">
        <v>44315</v>
      </c>
      <c r="C1329" t="s">
        <v>482</v>
      </c>
      <c r="D1329" t="s">
        <v>181</v>
      </c>
      <c r="E1329" t="s">
        <v>2428</v>
      </c>
      <c r="F1329" s="51">
        <v>45820</v>
      </c>
      <c r="G1329" t="s">
        <v>3</v>
      </c>
    </row>
    <row r="1330" spans="1:7" x14ac:dyDescent="0.3">
      <c r="A1330" t="s">
        <v>2702</v>
      </c>
      <c r="B1330">
        <v>44316</v>
      </c>
      <c r="C1330" t="s">
        <v>321</v>
      </c>
      <c r="D1330" t="s">
        <v>211</v>
      </c>
      <c r="E1330" t="s">
        <v>1354</v>
      </c>
      <c r="F1330" s="51">
        <v>45827</v>
      </c>
      <c r="G1330" t="s">
        <v>1</v>
      </c>
    </row>
    <row r="1331" spans="1:7" x14ac:dyDescent="0.3">
      <c r="A1331" t="s">
        <v>2702</v>
      </c>
      <c r="B1331">
        <v>44318</v>
      </c>
      <c r="C1331" t="s">
        <v>851</v>
      </c>
      <c r="D1331" t="s">
        <v>2369</v>
      </c>
      <c r="E1331" t="s">
        <v>27</v>
      </c>
      <c r="F1331" s="51">
        <v>45807</v>
      </c>
      <c r="G1331" t="s">
        <v>1</v>
      </c>
    </row>
    <row r="1332" spans="1:7" x14ac:dyDescent="0.3">
      <c r="A1332" t="s">
        <v>2702</v>
      </c>
      <c r="B1332">
        <v>44319</v>
      </c>
      <c r="C1332" t="s">
        <v>573</v>
      </c>
      <c r="D1332" t="s">
        <v>249</v>
      </c>
      <c r="E1332" t="s">
        <v>215</v>
      </c>
      <c r="F1332" s="51">
        <v>45810</v>
      </c>
      <c r="G1332" t="s">
        <v>1</v>
      </c>
    </row>
    <row r="1333" spans="1:7" x14ac:dyDescent="0.3">
      <c r="A1333" t="s">
        <v>2702</v>
      </c>
      <c r="B1333">
        <v>44326</v>
      </c>
      <c r="C1333" t="s">
        <v>773</v>
      </c>
      <c r="D1333" t="s">
        <v>181</v>
      </c>
      <c r="E1333" t="s">
        <v>121</v>
      </c>
      <c r="F1333" s="51">
        <v>45832</v>
      </c>
      <c r="G1333" t="s">
        <v>4</v>
      </c>
    </row>
    <row r="1334" spans="1:7" x14ac:dyDescent="0.3">
      <c r="A1334" t="s">
        <v>2702</v>
      </c>
      <c r="B1334">
        <v>44327</v>
      </c>
      <c r="C1334" t="s">
        <v>389</v>
      </c>
      <c r="D1334" t="s">
        <v>2529</v>
      </c>
      <c r="E1334" t="s">
        <v>992</v>
      </c>
      <c r="F1334" s="51">
        <v>45835</v>
      </c>
      <c r="G1334" t="s">
        <v>1</v>
      </c>
    </row>
    <row r="1335" spans="1:7" x14ac:dyDescent="0.3">
      <c r="A1335" t="s">
        <v>2702</v>
      </c>
      <c r="B1335">
        <v>44330</v>
      </c>
      <c r="C1335" t="s">
        <v>309</v>
      </c>
      <c r="D1335" t="s">
        <v>181</v>
      </c>
      <c r="E1335" t="s">
        <v>425</v>
      </c>
      <c r="F1335" s="51">
        <v>45832</v>
      </c>
      <c r="G1335" t="s">
        <v>4</v>
      </c>
    </row>
    <row r="1336" spans="1:7" x14ac:dyDescent="0.3">
      <c r="A1336" t="s">
        <v>2702</v>
      </c>
      <c r="B1336">
        <v>44331</v>
      </c>
      <c r="C1336" t="s">
        <v>573</v>
      </c>
      <c r="D1336" t="s">
        <v>277</v>
      </c>
      <c r="E1336" t="s">
        <v>1049</v>
      </c>
      <c r="F1336" s="51">
        <v>45811</v>
      </c>
      <c r="G1336" t="s">
        <v>1</v>
      </c>
    </row>
    <row r="1337" spans="1:7" x14ac:dyDescent="0.3">
      <c r="A1337" t="s">
        <v>2702</v>
      </c>
      <c r="B1337">
        <v>44332</v>
      </c>
      <c r="C1337" t="s">
        <v>155</v>
      </c>
      <c r="D1337" t="s">
        <v>2494</v>
      </c>
      <c r="E1337" t="s">
        <v>469</v>
      </c>
      <c r="F1337" s="51">
        <v>45832</v>
      </c>
      <c r="G1337" t="s">
        <v>2</v>
      </c>
    </row>
    <row r="1338" spans="1:7" x14ac:dyDescent="0.3">
      <c r="A1338" t="s">
        <v>2702</v>
      </c>
      <c r="B1338">
        <v>44333</v>
      </c>
      <c r="C1338" t="s">
        <v>246</v>
      </c>
      <c r="D1338" t="s">
        <v>247</v>
      </c>
      <c r="E1338" t="s">
        <v>1049</v>
      </c>
      <c r="F1338" s="51">
        <v>45832</v>
      </c>
      <c r="G1338" t="s">
        <v>1</v>
      </c>
    </row>
    <row r="1339" spans="1:7" x14ac:dyDescent="0.3">
      <c r="A1339" t="s">
        <v>2702</v>
      </c>
      <c r="B1339">
        <v>44336</v>
      </c>
      <c r="C1339" t="s">
        <v>1654</v>
      </c>
      <c r="D1339" t="s">
        <v>1712</v>
      </c>
      <c r="E1339" t="s">
        <v>78</v>
      </c>
      <c r="F1339" s="51">
        <v>45811</v>
      </c>
      <c r="G1339" t="s">
        <v>2</v>
      </c>
    </row>
    <row r="1340" spans="1:7" x14ac:dyDescent="0.3">
      <c r="A1340" t="s">
        <v>2702</v>
      </c>
      <c r="B1340">
        <v>44337</v>
      </c>
      <c r="C1340" t="s">
        <v>941</v>
      </c>
      <c r="D1340" t="s">
        <v>942</v>
      </c>
      <c r="E1340" t="s">
        <v>146</v>
      </c>
      <c r="F1340" s="51">
        <v>45811</v>
      </c>
      <c r="G1340" t="s">
        <v>1</v>
      </c>
    </row>
    <row r="1341" spans="1:7" x14ac:dyDescent="0.3">
      <c r="A1341" t="s">
        <v>2702</v>
      </c>
      <c r="B1341">
        <v>44338</v>
      </c>
      <c r="C1341" t="s">
        <v>681</v>
      </c>
      <c r="D1341" t="s">
        <v>32</v>
      </c>
      <c r="E1341" t="s">
        <v>2387</v>
      </c>
      <c r="F1341" s="51">
        <v>45811</v>
      </c>
      <c r="G1341" t="s">
        <v>1</v>
      </c>
    </row>
    <row r="1342" spans="1:7" x14ac:dyDescent="0.3">
      <c r="A1342" t="s">
        <v>2702</v>
      </c>
      <c r="B1342">
        <v>44341</v>
      </c>
      <c r="C1342" t="s">
        <v>309</v>
      </c>
      <c r="D1342" t="s">
        <v>66</v>
      </c>
      <c r="E1342" t="s">
        <v>1132</v>
      </c>
      <c r="F1342" s="51">
        <v>45827</v>
      </c>
      <c r="G1342" t="s">
        <v>1</v>
      </c>
    </row>
    <row r="1343" spans="1:7" x14ac:dyDescent="0.3">
      <c r="A1343" t="s">
        <v>2702</v>
      </c>
      <c r="B1343">
        <v>44343</v>
      </c>
      <c r="C1343" t="s">
        <v>328</v>
      </c>
      <c r="D1343" t="s">
        <v>487</v>
      </c>
      <c r="E1343" t="s">
        <v>1074</v>
      </c>
      <c r="F1343" s="51">
        <v>45819</v>
      </c>
      <c r="G1343" t="s">
        <v>1</v>
      </c>
    </row>
    <row r="1344" spans="1:7" x14ac:dyDescent="0.3">
      <c r="A1344" t="s">
        <v>2702</v>
      </c>
      <c r="B1344">
        <v>44346</v>
      </c>
      <c r="C1344" t="s">
        <v>2406</v>
      </c>
      <c r="D1344" t="s">
        <v>232</v>
      </c>
      <c r="E1344" t="s">
        <v>2407</v>
      </c>
      <c r="F1344" s="51">
        <v>45813</v>
      </c>
      <c r="G1344" t="s">
        <v>1</v>
      </c>
    </row>
    <row r="1345" spans="1:7" x14ac:dyDescent="0.3">
      <c r="A1345" t="s">
        <v>2702</v>
      </c>
      <c r="B1345">
        <v>44347</v>
      </c>
      <c r="C1345" t="s">
        <v>567</v>
      </c>
      <c r="D1345" t="s">
        <v>2618</v>
      </c>
      <c r="E1345" t="s">
        <v>2619</v>
      </c>
      <c r="F1345" s="51">
        <v>45853</v>
      </c>
      <c r="G1345" t="s">
        <v>6</v>
      </c>
    </row>
    <row r="1346" spans="1:7" x14ac:dyDescent="0.3">
      <c r="A1346" t="s">
        <v>2702</v>
      </c>
      <c r="B1346">
        <v>44350</v>
      </c>
      <c r="C1346" t="s">
        <v>2408</v>
      </c>
      <c r="D1346" t="s">
        <v>148</v>
      </c>
      <c r="E1346" t="s">
        <v>2409</v>
      </c>
      <c r="F1346" s="51">
        <v>45813</v>
      </c>
      <c r="G1346" t="s">
        <v>1</v>
      </c>
    </row>
    <row r="1347" spans="1:7" x14ac:dyDescent="0.3">
      <c r="A1347" t="s">
        <v>2702</v>
      </c>
      <c r="B1347">
        <v>44351</v>
      </c>
      <c r="C1347" t="s">
        <v>729</v>
      </c>
      <c r="D1347" t="s">
        <v>249</v>
      </c>
      <c r="E1347" t="s">
        <v>2419</v>
      </c>
      <c r="F1347" s="51">
        <v>45819</v>
      </c>
      <c r="G1347" t="s">
        <v>1</v>
      </c>
    </row>
    <row r="1348" spans="1:7" x14ac:dyDescent="0.3">
      <c r="A1348" t="s">
        <v>2702</v>
      </c>
      <c r="B1348">
        <v>44352</v>
      </c>
      <c r="C1348" t="s">
        <v>474</v>
      </c>
      <c r="D1348" t="s">
        <v>45</v>
      </c>
      <c r="E1348" t="s">
        <v>172</v>
      </c>
      <c r="F1348" s="51">
        <v>45813</v>
      </c>
      <c r="G1348" t="s">
        <v>1</v>
      </c>
    </row>
    <row r="1349" spans="1:7" x14ac:dyDescent="0.3">
      <c r="A1349" t="s">
        <v>2702</v>
      </c>
      <c r="B1349">
        <v>44353</v>
      </c>
      <c r="C1349" t="s">
        <v>86</v>
      </c>
      <c r="D1349" t="s">
        <v>45</v>
      </c>
      <c r="E1349" t="s">
        <v>801</v>
      </c>
      <c r="F1349" s="51">
        <v>45819</v>
      </c>
      <c r="G1349" t="s">
        <v>3</v>
      </c>
    </row>
    <row r="1350" spans="1:7" x14ac:dyDescent="0.3">
      <c r="A1350" t="s">
        <v>2702</v>
      </c>
      <c r="B1350">
        <v>44354</v>
      </c>
      <c r="C1350" t="s">
        <v>516</v>
      </c>
      <c r="D1350" t="s">
        <v>63</v>
      </c>
      <c r="E1350" t="s">
        <v>207</v>
      </c>
      <c r="F1350" s="51">
        <v>45833</v>
      </c>
      <c r="G1350" t="s">
        <v>1</v>
      </c>
    </row>
    <row r="1351" spans="1:7" x14ac:dyDescent="0.3">
      <c r="A1351" t="s">
        <v>2702</v>
      </c>
      <c r="B1351">
        <v>44355</v>
      </c>
      <c r="C1351" t="s">
        <v>79</v>
      </c>
      <c r="D1351" t="s">
        <v>75</v>
      </c>
      <c r="E1351" t="s">
        <v>146</v>
      </c>
      <c r="F1351" s="51">
        <v>45833</v>
      </c>
      <c r="G1351" t="s">
        <v>1</v>
      </c>
    </row>
    <row r="1352" spans="1:7" x14ac:dyDescent="0.3">
      <c r="A1352" t="s">
        <v>2702</v>
      </c>
      <c r="B1352">
        <v>44356</v>
      </c>
      <c r="C1352" t="s">
        <v>399</v>
      </c>
      <c r="D1352" t="s">
        <v>66</v>
      </c>
      <c r="E1352" t="s">
        <v>2412</v>
      </c>
      <c r="F1352" s="51">
        <v>45813</v>
      </c>
      <c r="G1352" t="s">
        <v>1</v>
      </c>
    </row>
    <row r="1353" spans="1:7" x14ac:dyDescent="0.3">
      <c r="A1353" t="s">
        <v>2702</v>
      </c>
      <c r="B1353">
        <v>44357</v>
      </c>
      <c r="C1353" t="s">
        <v>2459</v>
      </c>
      <c r="D1353" t="s">
        <v>706</v>
      </c>
      <c r="E1353" t="s">
        <v>2461</v>
      </c>
      <c r="F1353" s="51">
        <v>45832</v>
      </c>
      <c r="G1353" t="s">
        <v>2</v>
      </c>
    </row>
    <row r="1354" spans="1:7" x14ac:dyDescent="0.3">
      <c r="A1354" t="s">
        <v>2702</v>
      </c>
      <c r="B1354">
        <v>44358</v>
      </c>
      <c r="C1354" t="s">
        <v>482</v>
      </c>
      <c r="D1354" t="s">
        <v>181</v>
      </c>
      <c r="E1354" t="s">
        <v>98</v>
      </c>
      <c r="F1354" s="51">
        <v>45874</v>
      </c>
      <c r="G1354" t="s">
        <v>4</v>
      </c>
    </row>
    <row r="1355" spans="1:7" x14ac:dyDescent="0.3">
      <c r="A1355" t="s">
        <v>2702</v>
      </c>
      <c r="B1355">
        <v>44359</v>
      </c>
      <c r="C1355" t="s">
        <v>256</v>
      </c>
      <c r="D1355" t="s">
        <v>697</v>
      </c>
      <c r="E1355" t="s">
        <v>27</v>
      </c>
      <c r="F1355" s="51">
        <v>45819</v>
      </c>
      <c r="G1355" t="s">
        <v>8</v>
      </c>
    </row>
    <row r="1356" spans="1:7" x14ac:dyDescent="0.3">
      <c r="A1356" t="s">
        <v>2702</v>
      </c>
      <c r="B1356">
        <v>44360</v>
      </c>
      <c r="C1356" t="s">
        <v>178</v>
      </c>
      <c r="D1356" t="s">
        <v>179</v>
      </c>
      <c r="E1356" t="s">
        <v>64</v>
      </c>
      <c r="F1356" s="51">
        <v>45835</v>
      </c>
      <c r="G1356" t="s">
        <v>1</v>
      </c>
    </row>
    <row r="1357" spans="1:7" x14ac:dyDescent="0.3">
      <c r="A1357" t="s">
        <v>2702</v>
      </c>
      <c r="B1357">
        <v>44361</v>
      </c>
      <c r="C1357" t="s">
        <v>1162</v>
      </c>
      <c r="D1357" t="s">
        <v>706</v>
      </c>
      <c r="E1357" t="s">
        <v>27</v>
      </c>
      <c r="F1357" s="51">
        <v>45819</v>
      </c>
      <c r="G1357" t="s">
        <v>1</v>
      </c>
    </row>
    <row r="1358" spans="1:7" x14ac:dyDescent="0.3">
      <c r="A1358" t="s">
        <v>2702</v>
      </c>
      <c r="B1358">
        <v>44364</v>
      </c>
      <c r="C1358" t="s">
        <v>2261</v>
      </c>
      <c r="D1358" t="s">
        <v>1999</v>
      </c>
      <c r="E1358" t="s">
        <v>1656</v>
      </c>
      <c r="F1358" s="51">
        <v>45819</v>
      </c>
      <c r="G1358" t="s">
        <v>2</v>
      </c>
    </row>
    <row r="1359" spans="1:7" x14ac:dyDescent="0.3">
      <c r="A1359" t="s">
        <v>2702</v>
      </c>
      <c r="B1359">
        <v>44365</v>
      </c>
      <c r="C1359" t="s">
        <v>2423</v>
      </c>
      <c r="D1359" t="s">
        <v>444</v>
      </c>
      <c r="E1359" t="s">
        <v>2162</v>
      </c>
      <c r="F1359" s="51">
        <v>45820</v>
      </c>
      <c r="G1359" t="s">
        <v>1</v>
      </c>
    </row>
    <row r="1360" spans="1:7" x14ac:dyDescent="0.3">
      <c r="A1360" t="s">
        <v>2702</v>
      </c>
      <c r="B1360">
        <v>44366</v>
      </c>
      <c r="C1360" t="s">
        <v>150</v>
      </c>
      <c r="D1360" t="s">
        <v>1712</v>
      </c>
      <c r="E1360" t="s">
        <v>39</v>
      </c>
      <c r="F1360" s="51">
        <v>45820</v>
      </c>
      <c r="G1360" t="s">
        <v>1</v>
      </c>
    </row>
    <row r="1361" spans="1:7" x14ac:dyDescent="0.3">
      <c r="A1361" t="s">
        <v>2702</v>
      </c>
      <c r="B1361">
        <v>44368</v>
      </c>
      <c r="C1361" t="s">
        <v>65</v>
      </c>
      <c r="E1361" t="s">
        <v>27</v>
      </c>
      <c r="F1361" s="51">
        <v>45820</v>
      </c>
      <c r="G1361" t="s">
        <v>1</v>
      </c>
    </row>
    <row r="1362" spans="1:7" x14ac:dyDescent="0.3">
      <c r="A1362" t="s">
        <v>2702</v>
      </c>
      <c r="B1362">
        <v>44369</v>
      </c>
      <c r="C1362" t="s">
        <v>256</v>
      </c>
      <c r="D1362" t="s">
        <v>301</v>
      </c>
      <c r="E1362" t="s">
        <v>2424</v>
      </c>
      <c r="F1362" s="51">
        <v>45820</v>
      </c>
      <c r="G1362" t="s">
        <v>1</v>
      </c>
    </row>
    <row r="1363" spans="1:7" x14ac:dyDescent="0.3">
      <c r="A1363" t="s">
        <v>2702</v>
      </c>
      <c r="B1363">
        <v>44370</v>
      </c>
      <c r="C1363" t="s">
        <v>835</v>
      </c>
      <c r="D1363" t="s">
        <v>2536</v>
      </c>
      <c r="E1363" t="s">
        <v>1001</v>
      </c>
      <c r="F1363" s="51">
        <v>45835</v>
      </c>
      <c r="G1363" t="s">
        <v>1</v>
      </c>
    </row>
    <row r="1364" spans="1:7" x14ac:dyDescent="0.3">
      <c r="A1364" t="s">
        <v>2702</v>
      </c>
      <c r="B1364">
        <v>44371</v>
      </c>
      <c r="C1364" t="s">
        <v>676</v>
      </c>
      <c r="D1364" t="s">
        <v>1000</v>
      </c>
      <c r="E1364" t="s">
        <v>1085</v>
      </c>
      <c r="F1364" s="51">
        <v>45820</v>
      </c>
      <c r="G1364" t="s">
        <v>1</v>
      </c>
    </row>
    <row r="1365" spans="1:7" x14ac:dyDescent="0.3">
      <c r="A1365" t="s">
        <v>2702</v>
      </c>
      <c r="B1365">
        <v>44372</v>
      </c>
      <c r="C1365" t="s">
        <v>2102</v>
      </c>
      <c r="D1365" t="s">
        <v>2426</v>
      </c>
      <c r="E1365" t="s">
        <v>2146</v>
      </c>
      <c r="F1365" s="51">
        <v>45820</v>
      </c>
      <c r="G1365" t="s">
        <v>4</v>
      </c>
    </row>
    <row r="1366" spans="1:7" x14ac:dyDescent="0.3">
      <c r="A1366" t="s">
        <v>2702</v>
      </c>
      <c r="B1366">
        <v>44373</v>
      </c>
      <c r="C1366" t="s">
        <v>394</v>
      </c>
      <c r="D1366" t="s">
        <v>379</v>
      </c>
      <c r="E1366" t="s">
        <v>2393</v>
      </c>
      <c r="F1366" s="51">
        <v>45820</v>
      </c>
      <c r="G1366" t="s">
        <v>1</v>
      </c>
    </row>
    <row r="1367" spans="1:7" x14ac:dyDescent="0.3">
      <c r="A1367" t="s">
        <v>2702</v>
      </c>
      <c r="B1367">
        <v>44374</v>
      </c>
      <c r="C1367" t="s">
        <v>676</v>
      </c>
      <c r="D1367" t="s">
        <v>1000</v>
      </c>
      <c r="E1367" t="s">
        <v>1049</v>
      </c>
      <c r="F1367" s="51">
        <v>45820</v>
      </c>
      <c r="G1367" t="s">
        <v>1</v>
      </c>
    </row>
    <row r="1368" spans="1:7" x14ac:dyDescent="0.3">
      <c r="A1368" t="s">
        <v>2702</v>
      </c>
      <c r="B1368">
        <v>44375</v>
      </c>
      <c r="C1368" t="s">
        <v>1339</v>
      </c>
      <c r="E1368" t="s">
        <v>27</v>
      </c>
      <c r="F1368" s="51">
        <v>45820</v>
      </c>
      <c r="G1368" t="s">
        <v>1</v>
      </c>
    </row>
    <row r="1369" spans="1:7" x14ac:dyDescent="0.3">
      <c r="A1369" t="s">
        <v>2702</v>
      </c>
      <c r="B1369">
        <v>44376</v>
      </c>
      <c r="C1369" t="s">
        <v>551</v>
      </c>
      <c r="D1369" t="s">
        <v>75</v>
      </c>
      <c r="E1369" t="s">
        <v>1049</v>
      </c>
      <c r="F1369" s="51">
        <v>45820</v>
      </c>
      <c r="G1369" t="s">
        <v>1</v>
      </c>
    </row>
    <row r="1370" spans="1:7" x14ac:dyDescent="0.3">
      <c r="A1370" t="s">
        <v>2702</v>
      </c>
      <c r="B1370">
        <v>44377</v>
      </c>
      <c r="C1370" t="s">
        <v>294</v>
      </c>
      <c r="D1370" t="s">
        <v>2426</v>
      </c>
      <c r="E1370" t="s">
        <v>319</v>
      </c>
      <c r="F1370" s="51">
        <v>45820</v>
      </c>
      <c r="G1370" t="s">
        <v>1</v>
      </c>
    </row>
    <row r="1371" spans="1:7" x14ac:dyDescent="0.3">
      <c r="A1371" t="s">
        <v>2702</v>
      </c>
      <c r="B1371">
        <v>44378</v>
      </c>
      <c r="C1371" t="s">
        <v>890</v>
      </c>
      <c r="E1371" t="s">
        <v>27</v>
      </c>
      <c r="F1371" s="51">
        <v>45849</v>
      </c>
      <c r="G1371" t="s">
        <v>1</v>
      </c>
    </row>
    <row r="1372" spans="1:7" x14ac:dyDescent="0.3">
      <c r="A1372" t="s">
        <v>2702</v>
      </c>
      <c r="B1372">
        <v>44379</v>
      </c>
      <c r="C1372" t="s">
        <v>2427</v>
      </c>
      <c r="D1372" t="s">
        <v>675</v>
      </c>
      <c r="E1372" t="s">
        <v>878</v>
      </c>
      <c r="F1372" s="51">
        <v>45820</v>
      </c>
      <c r="G1372" t="s">
        <v>1</v>
      </c>
    </row>
    <row r="1373" spans="1:7" x14ac:dyDescent="0.3">
      <c r="A1373" t="s">
        <v>2702</v>
      </c>
      <c r="B1373">
        <v>44381</v>
      </c>
      <c r="C1373" t="s">
        <v>150</v>
      </c>
      <c r="D1373" t="s">
        <v>856</v>
      </c>
      <c r="E1373" t="s">
        <v>2429</v>
      </c>
      <c r="F1373" s="51">
        <v>45820</v>
      </c>
      <c r="G1373" t="s">
        <v>1</v>
      </c>
    </row>
    <row r="1374" spans="1:7" x14ac:dyDescent="0.3">
      <c r="A1374" t="s">
        <v>2702</v>
      </c>
      <c r="B1374">
        <v>44382</v>
      </c>
      <c r="C1374" t="s">
        <v>150</v>
      </c>
      <c r="D1374" t="s">
        <v>263</v>
      </c>
      <c r="E1374" t="s">
        <v>2430</v>
      </c>
      <c r="F1374" s="51">
        <v>45820</v>
      </c>
      <c r="G1374" t="s">
        <v>2</v>
      </c>
    </row>
    <row r="1375" spans="1:7" x14ac:dyDescent="0.3">
      <c r="A1375" t="s">
        <v>2702</v>
      </c>
      <c r="B1375">
        <v>44383</v>
      </c>
      <c r="C1375" t="s">
        <v>426</v>
      </c>
      <c r="D1375" t="s">
        <v>232</v>
      </c>
      <c r="E1375" t="s">
        <v>2434</v>
      </c>
      <c r="F1375" s="51">
        <v>45821</v>
      </c>
      <c r="G1375" t="s">
        <v>1</v>
      </c>
    </row>
    <row r="1376" spans="1:7" x14ac:dyDescent="0.3">
      <c r="A1376" t="s">
        <v>2702</v>
      </c>
      <c r="B1376">
        <v>44384</v>
      </c>
      <c r="C1376" t="s">
        <v>2435</v>
      </c>
      <c r="D1376" t="s">
        <v>263</v>
      </c>
      <c r="E1376" t="s">
        <v>2437</v>
      </c>
      <c r="F1376" s="51">
        <v>45833</v>
      </c>
      <c r="G1376" t="s">
        <v>2</v>
      </c>
    </row>
    <row r="1377" spans="1:7" x14ac:dyDescent="0.3">
      <c r="A1377" t="s">
        <v>2702</v>
      </c>
      <c r="B1377">
        <v>44385</v>
      </c>
      <c r="C1377" t="s">
        <v>2435</v>
      </c>
      <c r="D1377" t="s">
        <v>263</v>
      </c>
      <c r="E1377" t="s">
        <v>2438</v>
      </c>
      <c r="F1377" s="51">
        <v>45821</v>
      </c>
      <c r="G1377" t="s">
        <v>2</v>
      </c>
    </row>
    <row r="1378" spans="1:7" x14ac:dyDescent="0.3">
      <c r="A1378" t="s">
        <v>2702</v>
      </c>
      <c r="B1378">
        <v>44386</v>
      </c>
      <c r="C1378" t="s">
        <v>262</v>
      </c>
      <c r="D1378" t="s">
        <v>263</v>
      </c>
      <c r="E1378" t="s">
        <v>2439</v>
      </c>
      <c r="F1378" s="51">
        <v>45821</v>
      </c>
      <c r="G1378" t="s">
        <v>2</v>
      </c>
    </row>
    <row r="1379" spans="1:7" x14ac:dyDescent="0.3">
      <c r="A1379" t="s">
        <v>2702</v>
      </c>
      <c r="B1379">
        <v>44387</v>
      </c>
      <c r="C1379" t="s">
        <v>41</v>
      </c>
      <c r="E1379" t="s">
        <v>2377</v>
      </c>
      <c r="F1379" s="51">
        <v>45810</v>
      </c>
      <c r="G1379" t="s">
        <v>2</v>
      </c>
    </row>
    <row r="1380" spans="1:7" x14ac:dyDescent="0.3">
      <c r="A1380" t="s">
        <v>2702</v>
      </c>
      <c r="B1380">
        <v>44388</v>
      </c>
      <c r="C1380" t="s">
        <v>681</v>
      </c>
      <c r="D1380" t="s">
        <v>232</v>
      </c>
      <c r="E1380" t="s">
        <v>2440</v>
      </c>
      <c r="F1380" s="51">
        <v>45821</v>
      </c>
      <c r="G1380" t="s">
        <v>2</v>
      </c>
    </row>
    <row r="1381" spans="1:7" x14ac:dyDescent="0.3">
      <c r="A1381" t="s">
        <v>2702</v>
      </c>
      <c r="B1381">
        <v>44389</v>
      </c>
      <c r="C1381" t="s">
        <v>2441</v>
      </c>
      <c r="D1381" t="s">
        <v>106</v>
      </c>
      <c r="E1381" t="s">
        <v>401</v>
      </c>
      <c r="F1381" s="51">
        <v>45821</v>
      </c>
      <c r="G1381" t="s">
        <v>1</v>
      </c>
    </row>
    <row r="1382" spans="1:7" x14ac:dyDescent="0.3">
      <c r="A1382" t="s">
        <v>2702</v>
      </c>
      <c r="B1382">
        <v>44390</v>
      </c>
      <c r="C1382" t="s">
        <v>1081</v>
      </c>
      <c r="D1382" t="s">
        <v>254</v>
      </c>
      <c r="E1382" t="s">
        <v>2597</v>
      </c>
      <c r="F1382" s="51">
        <v>45846</v>
      </c>
      <c r="G1382" t="s">
        <v>1</v>
      </c>
    </row>
    <row r="1383" spans="1:7" x14ac:dyDescent="0.3">
      <c r="A1383" t="s">
        <v>2702</v>
      </c>
      <c r="B1383">
        <v>44391</v>
      </c>
      <c r="C1383" t="s">
        <v>83</v>
      </c>
      <c r="D1383" t="s">
        <v>240</v>
      </c>
      <c r="E1383" t="s">
        <v>673</v>
      </c>
      <c r="F1383" s="51">
        <v>45821</v>
      </c>
      <c r="G1383" t="s">
        <v>1</v>
      </c>
    </row>
    <row r="1384" spans="1:7" x14ac:dyDescent="0.3">
      <c r="A1384" t="s">
        <v>2702</v>
      </c>
      <c r="B1384">
        <v>44393</v>
      </c>
      <c r="C1384" t="s">
        <v>25</v>
      </c>
      <c r="D1384" t="s">
        <v>2442</v>
      </c>
      <c r="E1384" t="s">
        <v>772</v>
      </c>
      <c r="F1384" s="51">
        <v>45821</v>
      </c>
      <c r="G1384" t="s">
        <v>1</v>
      </c>
    </row>
    <row r="1385" spans="1:7" x14ac:dyDescent="0.3">
      <c r="A1385" t="s">
        <v>2702</v>
      </c>
      <c r="B1385">
        <v>44394</v>
      </c>
      <c r="C1385" t="s">
        <v>687</v>
      </c>
      <c r="D1385" t="s">
        <v>688</v>
      </c>
      <c r="E1385" t="s">
        <v>1221</v>
      </c>
      <c r="F1385" s="51">
        <v>45835</v>
      </c>
      <c r="G1385" t="s">
        <v>1</v>
      </c>
    </row>
    <row r="1386" spans="1:7" x14ac:dyDescent="0.3">
      <c r="A1386" t="s">
        <v>2702</v>
      </c>
      <c r="B1386">
        <v>44395</v>
      </c>
      <c r="C1386" t="s">
        <v>41</v>
      </c>
      <c r="D1386" t="s">
        <v>529</v>
      </c>
      <c r="E1386" t="s">
        <v>2679</v>
      </c>
      <c r="F1386" s="51">
        <v>45874</v>
      </c>
      <c r="G1386" t="s">
        <v>4</v>
      </c>
    </row>
    <row r="1387" spans="1:7" x14ac:dyDescent="0.3">
      <c r="A1387" t="s">
        <v>2702</v>
      </c>
      <c r="B1387">
        <v>44396</v>
      </c>
      <c r="C1387" t="s">
        <v>325</v>
      </c>
      <c r="D1387" t="s">
        <v>367</v>
      </c>
      <c r="E1387" t="s">
        <v>2520</v>
      </c>
      <c r="F1387" s="51">
        <v>45845</v>
      </c>
      <c r="G1387" t="s">
        <v>2</v>
      </c>
    </row>
    <row r="1388" spans="1:7" x14ac:dyDescent="0.3">
      <c r="A1388" t="s">
        <v>2702</v>
      </c>
      <c r="B1388">
        <v>44397</v>
      </c>
      <c r="C1388" t="s">
        <v>292</v>
      </c>
      <c r="D1388" t="s">
        <v>718</v>
      </c>
      <c r="E1388" t="s">
        <v>58</v>
      </c>
      <c r="F1388" s="51">
        <v>45833</v>
      </c>
      <c r="G1388" t="s">
        <v>1</v>
      </c>
    </row>
    <row r="1389" spans="1:7" x14ac:dyDescent="0.3">
      <c r="A1389" t="s">
        <v>2702</v>
      </c>
      <c r="B1389">
        <v>44399</v>
      </c>
      <c r="C1389" t="s">
        <v>2443</v>
      </c>
      <c r="D1389" t="s">
        <v>718</v>
      </c>
      <c r="E1389" t="s">
        <v>2444</v>
      </c>
      <c r="F1389" s="51">
        <v>45821</v>
      </c>
      <c r="G1389" t="s">
        <v>1</v>
      </c>
    </row>
    <row r="1390" spans="1:7" x14ac:dyDescent="0.3">
      <c r="A1390" t="s">
        <v>2702</v>
      </c>
      <c r="B1390">
        <v>44400</v>
      </c>
      <c r="C1390" t="s">
        <v>2622</v>
      </c>
      <c r="D1390" t="s">
        <v>1343</v>
      </c>
      <c r="E1390" t="s">
        <v>801</v>
      </c>
      <c r="F1390" s="51">
        <v>45853</v>
      </c>
      <c r="G1390" t="s">
        <v>1</v>
      </c>
    </row>
    <row r="1391" spans="1:7" x14ac:dyDescent="0.3">
      <c r="A1391" t="s">
        <v>2702</v>
      </c>
      <c r="B1391">
        <v>44401</v>
      </c>
      <c r="C1391" t="s">
        <v>292</v>
      </c>
      <c r="D1391" t="s">
        <v>718</v>
      </c>
      <c r="E1391" t="s">
        <v>532</v>
      </c>
      <c r="F1391" s="51">
        <v>45821</v>
      </c>
      <c r="G1391" t="s">
        <v>2</v>
      </c>
    </row>
    <row r="1392" spans="1:7" x14ac:dyDescent="0.3">
      <c r="A1392" t="s">
        <v>2702</v>
      </c>
      <c r="B1392">
        <v>44402</v>
      </c>
      <c r="C1392" t="s">
        <v>180</v>
      </c>
      <c r="D1392" t="s">
        <v>181</v>
      </c>
      <c r="E1392" t="s">
        <v>2581</v>
      </c>
      <c r="F1392" s="51">
        <v>45842</v>
      </c>
      <c r="G1392" t="s">
        <v>1</v>
      </c>
    </row>
    <row r="1393" spans="1:7" x14ac:dyDescent="0.3">
      <c r="A1393" t="s">
        <v>2702</v>
      </c>
      <c r="B1393">
        <v>44403</v>
      </c>
      <c r="C1393" t="s">
        <v>262</v>
      </c>
      <c r="D1393" t="s">
        <v>263</v>
      </c>
      <c r="E1393" t="s">
        <v>2448</v>
      </c>
      <c r="F1393" s="51">
        <v>45854</v>
      </c>
      <c r="G1393" t="s">
        <v>2</v>
      </c>
    </row>
    <row r="1394" spans="1:7" x14ac:dyDescent="0.3">
      <c r="A1394" t="s">
        <v>2702</v>
      </c>
      <c r="B1394">
        <v>44404</v>
      </c>
      <c r="C1394" t="s">
        <v>1135</v>
      </c>
      <c r="D1394" t="s">
        <v>440</v>
      </c>
      <c r="E1394" t="s">
        <v>212</v>
      </c>
      <c r="F1394" s="51">
        <v>45824</v>
      </c>
      <c r="G1394" t="s">
        <v>1</v>
      </c>
    </row>
    <row r="1395" spans="1:7" x14ac:dyDescent="0.3">
      <c r="A1395" t="s">
        <v>2702</v>
      </c>
      <c r="B1395">
        <v>44408</v>
      </c>
      <c r="C1395" t="s">
        <v>486</v>
      </c>
      <c r="D1395" t="s">
        <v>179</v>
      </c>
      <c r="E1395" t="s">
        <v>207</v>
      </c>
      <c r="F1395" s="51">
        <v>45832</v>
      </c>
      <c r="G1395" t="s">
        <v>1</v>
      </c>
    </row>
    <row r="1396" spans="1:7" x14ac:dyDescent="0.3">
      <c r="A1396" t="s">
        <v>2702</v>
      </c>
      <c r="B1396">
        <v>44409</v>
      </c>
      <c r="C1396" t="s">
        <v>486</v>
      </c>
      <c r="D1396" t="s">
        <v>2566</v>
      </c>
      <c r="E1396" t="s">
        <v>2025</v>
      </c>
      <c r="F1396" s="51">
        <v>45840</v>
      </c>
      <c r="G1396" t="s">
        <v>1</v>
      </c>
    </row>
    <row r="1397" spans="1:7" x14ac:dyDescent="0.3">
      <c r="A1397" t="s">
        <v>2702</v>
      </c>
      <c r="B1397">
        <v>44410</v>
      </c>
      <c r="C1397" t="s">
        <v>36</v>
      </c>
      <c r="D1397" t="s">
        <v>37</v>
      </c>
      <c r="E1397" t="s">
        <v>5</v>
      </c>
      <c r="F1397" s="51">
        <v>45838</v>
      </c>
      <c r="G1397" t="s">
        <v>2</v>
      </c>
    </row>
    <row r="1398" spans="1:7" x14ac:dyDescent="0.3">
      <c r="A1398" t="s">
        <v>2702</v>
      </c>
      <c r="B1398">
        <v>44412</v>
      </c>
      <c r="C1398" t="s">
        <v>292</v>
      </c>
      <c r="D1398" t="s">
        <v>2455</v>
      </c>
      <c r="E1398" t="s">
        <v>121</v>
      </c>
      <c r="F1398" s="51">
        <v>45825</v>
      </c>
      <c r="G1398" t="s">
        <v>4</v>
      </c>
    </row>
    <row r="1399" spans="1:7" x14ac:dyDescent="0.3">
      <c r="A1399" t="s">
        <v>2702</v>
      </c>
      <c r="B1399">
        <v>44413</v>
      </c>
      <c r="C1399" t="s">
        <v>292</v>
      </c>
      <c r="D1399" t="s">
        <v>2109</v>
      </c>
      <c r="E1399" t="s">
        <v>121</v>
      </c>
      <c r="F1399" s="51">
        <v>45825</v>
      </c>
      <c r="G1399" t="s">
        <v>4</v>
      </c>
    </row>
    <row r="1400" spans="1:7" x14ac:dyDescent="0.3">
      <c r="A1400" t="s">
        <v>2702</v>
      </c>
      <c r="B1400">
        <v>44414</v>
      </c>
      <c r="C1400" t="s">
        <v>2457</v>
      </c>
      <c r="E1400" t="s">
        <v>27</v>
      </c>
      <c r="F1400" s="51">
        <v>45825</v>
      </c>
      <c r="G1400" t="s">
        <v>1</v>
      </c>
    </row>
    <row r="1401" spans="1:7" x14ac:dyDescent="0.3">
      <c r="A1401" t="s">
        <v>2702</v>
      </c>
      <c r="B1401">
        <v>44415</v>
      </c>
      <c r="C1401" t="s">
        <v>2692</v>
      </c>
      <c r="E1401" t="s">
        <v>2025</v>
      </c>
      <c r="F1401" s="51">
        <v>45875</v>
      </c>
      <c r="G1401" t="s">
        <v>1</v>
      </c>
    </row>
    <row r="1402" spans="1:7" x14ac:dyDescent="0.3">
      <c r="A1402" t="s">
        <v>2702</v>
      </c>
      <c r="B1402">
        <v>44417</v>
      </c>
      <c r="C1402" t="s">
        <v>2582</v>
      </c>
      <c r="E1402" t="s">
        <v>27</v>
      </c>
      <c r="F1402" s="51">
        <v>45842</v>
      </c>
      <c r="G1402" t="s">
        <v>1</v>
      </c>
    </row>
    <row r="1403" spans="1:7" x14ac:dyDescent="0.3">
      <c r="A1403" t="s">
        <v>2702</v>
      </c>
      <c r="B1403">
        <v>44418</v>
      </c>
      <c r="C1403" t="s">
        <v>325</v>
      </c>
      <c r="D1403" t="s">
        <v>2530</v>
      </c>
      <c r="E1403" t="s">
        <v>121</v>
      </c>
      <c r="F1403" s="51">
        <v>45835</v>
      </c>
      <c r="G1403" t="s">
        <v>4</v>
      </c>
    </row>
    <row r="1404" spans="1:7" x14ac:dyDescent="0.3">
      <c r="A1404" t="s">
        <v>2702</v>
      </c>
      <c r="B1404">
        <v>44419</v>
      </c>
      <c r="C1404" t="s">
        <v>36</v>
      </c>
      <c r="D1404" t="s">
        <v>2458</v>
      </c>
      <c r="E1404" t="s">
        <v>633</v>
      </c>
      <c r="F1404" s="51">
        <v>45825</v>
      </c>
      <c r="G1404" t="s">
        <v>1</v>
      </c>
    </row>
    <row r="1405" spans="1:7" x14ac:dyDescent="0.3">
      <c r="A1405" t="s">
        <v>2702</v>
      </c>
      <c r="B1405">
        <v>44421</v>
      </c>
      <c r="C1405" t="s">
        <v>1462</v>
      </c>
      <c r="D1405" t="s">
        <v>2583</v>
      </c>
      <c r="E1405" t="s">
        <v>469</v>
      </c>
      <c r="F1405" s="51">
        <v>45842</v>
      </c>
      <c r="G1405" t="s">
        <v>1</v>
      </c>
    </row>
    <row r="1406" spans="1:7" x14ac:dyDescent="0.3">
      <c r="A1406" t="s">
        <v>2702</v>
      </c>
      <c r="B1406">
        <v>44422</v>
      </c>
      <c r="C1406" t="s">
        <v>482</v>
      </c>
      <c r="D1406" t="s">
        <v>63</v>
      </c>
      <c r="E1406" t="s">
        <v>2352</v>
      </c>
      <c r="F1406" s="51">
        <v>45825</v>
      </c>
      <c r="G1406" t="s">
        <v>5</v>
      </c>
    </row>
    <row r="1407" spans="1:7" x14ac:dyDescent="0.3">
      <c r="A1407" t="s">
        <v>2702</v>
      </c>
      <c r="B1407">
        <v>44424</v>
      </c>
      <c r="C1407" t="s">
        <v>482</v>
      </c>
      <c r="D1407" t="s">
        <v>179</v>
      </c>
      <c r="E1407" t="s">
        <v>2548</v>
      </c>
      <c r="F1407" s="51">
        <v>45838</v>
      </c>
      <c r="G1407" t="s">
        <v>1</v>
      </c>
    </row>
    <row r="1408" spans="1:7" x14ac:dyDescent="0.3">
      <c r="A1408" t="s">
        <v>2702</v>
      </c>
      <c r="B1408">
        <v>44425</v>
      </c>
      <c r="C1408" t="s">
        <v>2041</v>
      </c>
      <c r="D1408" t="s">
        <v>2501</v>
      </c>
      <c r="E1408" t="s">
        <v>2502</v>
      </c>
      <c r="F1408" s="51">
        <v>45833</v>
      </c>
      <c r="G1408" t="s">
        <v>1</v>
      </c>
    </row>
    <row r="1409" spans="1:7" x14ac:dyDescent="0.3">
      <c r="A1409" t="s">
        <v>2702</v>
      </c>
      <c r="B1409">
        <v>44426</v>
      </c>
      <c r="C1409" t="s">
        <v>482</v>
      </c>
      <c r="D1409" t="s">
        <v>63</v>
      </c>
      <c r="E1409" t="s">
        <v>2117</v>
      </c>
      <c r="F1409" s="51">
        <v>45835</v>
      </c>
      <c r="G1409" t="s">
        <v>1</v>
      </c>
    </row>
    <row r="1410" spans="1:7" x14ac:dyDescent="0.3">
      <c r="A1410" t="s">
        <v>2702</v>
      </c>
      <c r="B1410">
        <v>44427</v>
      </c>
      <c r="C1410" t="s">
        <v>306</v>
      </c>
      <c r="D1410" t="s">
        <v>63</v>
      </c>
      <c r="E1410" t="s">
        <v>186</v>
      </c>
      <c r="F1410" s="51">
        <v>45835</v>
      </c>
      <c r="G1410" t="s">
        <v>1</v>
      </c>
    </row>
    <row r="1411" spans="1:7" x14ac:dyDescent="0.3">
      <c r="A1411" t="s">
        <v>2702</v>
      </c>
      <c r="B1411">
        <v>44428</v>
      </c>
      <c r="C1411" t="s">
        <v>375</v>
      </c>
      <c r="D1411" t="s">
        <v>75</v>
      </c>
      <c r="E1411" t="s">
        <v>777</v>
      </c>
      <c r="F1411" s="51">
        <v>45833</v>
      </c>
      <c r="G1411" t="s">
        <v>4</v>
      </c>
    </row>
    <row r="1412" spans="1:7" x14ac:dyDescent="0.3">
      <c r="A1412" t="s">
        <v>2702</v>
      </c>
      <c r="B1412">
        <v>44429</v>
      </c>
      <c r="C1412" t="s">
        <v>434</v>
      </c>
      <c r="D1412" t="s">
        <v>151</v>
      </c>
      <c r="E1412" t="s">
        <v>2208</v>
      </c>
      <c r="F1412" s="51">
        <v>45833</v>
      </c>
      <c r="G1412" t="s">
        <v>2</v>
      </c>
    </row>
    <row r="1413" spans="1:7" x14ac:dyDescent="0.3">
      <c r="A1413" t="s">
        <v>2702</v>
      </c>
      <c r="B1413">
        <v>44430</v>
      </c>
      <c r="C1413" t="s">
        <v>2537</v>
      </c>
      <c r="D1413" t="s">
        <v>408</v>
      </c>
      <c r="E1413" t="s">
        <v>146</v>
      </c>
      <c r="F1413" s="51">
        <v>45835</v>
      </c>
      <c r="G1413" t="s">
        <v>1</v>
      </c>
    </row>
    <row r="1414" spans="1:7" x14ac:dyDescent="0.3">
      <c r="A1414" t="s">
        <v>2702</v>
      </c>
      <c r="B1414">
        <v>44431</v>
      </c>
      <c r="C1414" t="s">
        <v>1090</v>
      </c>
      <c r="D1414" t="s">
        <v>151</v>
      </c>
      <c r="E1414" t="s">
        <v>1261</v>
      </c>
      <c r="F1414" s="51">
        <v>45833</v>
      </c>
      <c r="G1414" t="s">
        <v>2</v>
      </c>
    </row>
    <row r="1415" spans="1:7" x14ac:dyDescent="0.3">
      <c r="A1415" t="s">
        <v>2702</v>
      </c>
      <c r="B1415">
        <v>44435</v>
      </c>
      <c r="C1415" t="s">
        <v>1069</v>
      </c>
      <c r="D1415" t="s">
        <v>179</v>
      </c>
      <c r="E1415" t="s">
        <v>255</v>
      </c>
      <c r="F1415" s="51">
        <v>45868</v>
      </c>
      <c r="G1415" t="s">
        <v>1</v>
      </c>
    </row>
    <row r="1416" spans="1:7" x14ac:dyDescent="0.3">
      <c r="A1416" t="s">
        <v>2702</v>
      </c>
      <c r="B1416">
        <v>44436</v>
      </c>
      <c r="C1416" t="s">
        <v>917</v>
      </c>
      <c r="D1416" t="s">
        <v>718</v>
      </c>
      <c r="E1416" t="s">
        <v>1049</v>
      </c>
      <c r="F1416" s="51">
        <v>45835</v>
      </c>
      <c r="G1416" t="s">
        <v>1</v>
      </c>
    </row>
    <row r="1417" spans="1:7" x14ac:dyDescent="0.3">
      <c r="A1417" t="s">
        <v>2702</v>
      </c>
      <c r="B1417">
        <v>44438</v>
      </c>
      <c r="C1417" t="s">
        <v>1462</v>
      </c>
      <c r="D1417" t="s">
        <v>242</v>
      </c>
      <c r="E1417" t="s">
        <v>979</v>
      </c>
      <c r="F1417" s="51">
        <v>45842</v>
      </c>
      <c r="G1417" t="s">
        <v>1</v>
      </c>
    </row>
    <row r="1418" spans="1:7" x14ac:dyDescent="0.3">
      <c r="A1418" t="s">
        <v>2702</v>
      </c>
      <c r="B1418">
        <v>44440</v>
      </c>
      <c r="C1418" t="s">
        <v>1081</v>
      </c>
      <c r="D1418" t="s">
        <v>2539</v>
      </c>
      <c r="E1418" t="s">
        <v>532</v>
      </c>
      <c r="F1418" s="51">
        <v>45835</v>
      </c>
      <c r="G1418" t="s">
        <v>1</v>
      </c>
    </row>
    <row r="1419" spans="1:7" x14ac:dyDescent="0.3">
      <c r="A1419" t="s">
        <v>2702</v>
      </c>
      <c r="B1419">
        <v>44441</v>
      </c>
      <c r="C1419" t="s">
        <v>2538</v>
      </c>
      <c r="D1419" t="s">
        <v>125</v>
      </c>
      <c r="E1419" t="s">
        <v>1049</v>
      </c>
      <c r="F1419" s="51">
        <v>45835</v>
      </c>
      <c r="G1419" t="s">
        <v>1</v>
      </c>
    </row>
    <row r="1420" spans="1:7" x14ac:dyDescent="0.3">
      <c r="A1420" t="s">
        <v>2702</v>
      </c>
      <c r="B1420">
        <v>44442</v>
      </c>
      <c r="C1420" t="s">
        <v>2521</v>
      </c>
      <c r="D1420" t="s">
        <v>706</v>
      </c>
      <c r="E1420" t="s">
        <v>1547</v>
      </c>
      <c r="F1420" s="51">
        <v>45868</v>
      </c>
      <c r="G1420" t="s">
        <v>2</v>
      </c>
    </row>
    <row r="1421" spans="1:7" x14ac:dyDescent="0.3">
      <c r="A1421" t="s">
        <v>2702</v>
      </c>
      <c r="B1421">
        <v>44443</v>
      </c>
      <c r="C1421" t="s">
        <v>1135</v>
      </c>
      <c r="D1421" t="s">
        <v>63</v>
      </c>
      <c r="E1421" t="s">
        <v>2540</v>
      </c>
      <c r="F1421" s="51">
        <v>45835</v>
      </c>
      <c r="G1421" t="s">
        <v>1</v>
      </c>
    </row>
    <row r="1422" spans="1:7" x14ac:dyDescent="0.3">
      <c r="A1422" t="s">
        <v>2702</v>
      </c>
      <c r="B1422">
        <v>44444</v>
      </c>
      <c r="C1422" t="s">
        <v>237</v>
      </c>
      <c r="D1422" t="s">
        <v>2541</v>
      </c>
      <c r="E1422" t="s">
        <v>2542</v>
      </c>
      <c r="F1422" s="51">
        <v>45835</v>
      </c>
      <c r="G1422" t="s">
        <v>1</v>
      </c>
    </row>
    <row r="1423" spans="1:7" x14ac:dyDescent="0.3">
      <c r="A1423" t="s">
        <v>2702</v>
      </c>
      <c r="B1423">
        <v>44445</v>
      </c>
      <c r="C1423" t="s">
        <v>365</v>
      </c>
      <c r="D1423" t="s">
        <v>148</v>
      </c>
      <c r="E1423" t="s">
        <v>1074</v>
      </c>
      <c r="F1423" s="51">
        <v>45835</v>
      </c>
      <c r="G1423" t="s">
        <v>1</v>
      </c>
    </row>
    <row r="1424" spans="1:7" x14ac:dyDescent="0.3">
      <c r="A1424" t="s">
        <v>2702</v>
      </c>
      <c r="B1424">
        <v>44446</v>
      </c>
      <c r="C1424" t="s">
        <v>65</v>
      </c>
      <c r="D1424" t="s">
        <v>66</v>
      </c>
      <c r="E1424" t="s">
        <v>126</v>
      </c>
      <c r="F1424" s="51">
        <v>45838</v>
      </c>
      <c r="G1424" t="s">
        <v>2077</v>
      </c>
    </row>
    <row r="1425" spans="1:7" x14ac:dyDescent="0.3">
      <c r="A1425" t="s">
        <v>2702</v>
      </c>
      <c r="B1425">
        <v>44447</v>
      </c>
      <c r="C1425" t="s">
        <v>2543</v>
      </c>
      <c r="D1425" t="s">
        <v>2544</v>
      </c>
      <c r="E1425" t="s">
        <v>121</v>
      </c>
      <c r="F1425" s="51">
        <v>45835</v>
      </c>
      <c r="G1425" t="s">
        <v>4</v>
      </c>
    </row>
    <row r="1426" spans="1:7" x14ac:dyDescent="0.3">
      <c r="A1426" t="s">
        <v>2702</v>
      </c>
      <c r="B1426">
        <v>44448</v>
      </c>
      <c r="C1426" t="s">
        <v>834</v>
      </c>
      <c r="D1426" t="s">
        <v>244</v>
      </c>
      <c r="E1426" t="s">
        <v>2133</v>
      </c>
      <c r="F1426" s="51">
        <v>45835</v>
      </c>
      <c r="G1426" t="s">
        <v>1</v>
      </c>
    </row>
    <row r="1427" spans="1:7" x14ac:dyDescent="0.3">
      <c r="A1427" t="s">
        <v>2702</v>
      </c>
      <c r="B1427">
        <v>44449</v>
      </c>
      <c r="C1427" t="s">
        <v>2545</v>
      </c>
      <c r="E1427" t="s">
        <v>2025</v>
      </c>
      <c r="F1427" s="51">
        <v>45835</v>
      </c>
      <c r="G1427" t="s">
        <v>1</v>
      </c>
    </row>
    <row r="1428" spans="1:7" x14ac:dyDescent="0.3">
      <c r="A1428" t="s">
        <v>2702</v>
      </c>
      <c r="B1428">
        <v>44450</v>
      </c>
      <c r="C1428" t="s">
        <v>773</v>
      </c>
      <c r="D1428" t="s">
        <v>94</v>
      </c>
      <c r="E1428" t="s">
        <v>113</v>
      </c>
      <c r="F1428" s="51">
        <v>45838</v>
      </c>
      <c r="G1428" t="s">
        <v>1</v>
      </c>
    </row>
    <row r="1429" spans="1:7" x14ac:dyDescent="0.3">
      <c r="A1429" t="s">
        <v>2702</v>
      </c>
      <c r="B1429">
        <v>44451</v>
      </c>
      <c r="C1429" t="s">
        <v>2549</v>
      </c>
      <c r="D1429" t="s">
        <v>444</v>
      </c>
      <c r="E1429" t="s">
        <v>2550</v>
      </c>
      <c r="F1429" s="51">
        <v>45838</v>
      </c>
      <c r="G1429" t="s">
        <v>1</v>
      </c>
    </row>
    <row r="1430" spans="1:7" x14ac:dyDescent="0.3">
      <c r="A1430" t="s">
        <v>2702</v>
      </c>
      <c r="B1430">
        <v>44452</v>
      </c>
      <c r="C1430" t="s">
        <v>475</v>
      </c>
      <c r="D1430" t="s">
        <v>106</v>
      </c>
      <c r="E1430" t="s">
        <v>1049</v>
      </c>
      <c r="F1430" s="51">
        <v>45838</v>
      </c>
      <c r="G1430" t="s">
        <v>1</v>
      </c>
    </row>
    <row r="1431" spans="1:7" x14ac:dyDescent="0.3">
      <c r="A1431" t="s">
        <v>2702</v>
      </c>
      <c r="B1431">
        <v>44453</v>
      </c>
      <c r="C1431" t="s">
        <v>150</v>
      </c>
      <c r="D1431" t="s">
        <v>151</v>
      </c>
      <c r="E1431" t="s">
        <v>2551</v>
      </c>
      <c r="F1431" s="51">
        <v>45838</v>
      </c>
      <c r="G1431" t="s">
        <v>1</v>
      </c>
    </row>
    <row r="1432" spans="1:7" x14ac:dyDescent="0.3">
      <c r="A1432" t="s">
        <v>2702</v>
      </c>
      <c r="B1432">
        <v>44454</v>
      </c>
      <c r="C1432" t="s">
        <v>25</v>
      </c>
      <c r="D1432" t="s">
        <v>2552</v>
      </c>
      <c r="E1432" t="s">
        <v>121</v>
      </c>
      <c r="F1432" s="51">
        <v>45838</v>
      </c>
      <c r="G1432" t="s">
        <v>4</v>
      </c>
    </row>
    <row r="1433" spans="1:7" x14ac:dyDescent="0.3">
      <c r="A1433" t="s">
        <v>2702</v>
      </c>
      <c r="B1433">
        <v>44455</v>
      </c>
      <c r="C1433" t="s">
        <v>2486</v>
      </c>
      <c r="D1433" t="s">
        <v>2487</v>
      </c>
      <c r="E1433" t="s">
        <v>2488</v>
      </c>
      <c r="F1433" s="51">
        <v>45831</v>
      </c>
      <c r="G1433" t="s">
        <v>1</v>
      </c>
    </row>
    <row r="1434" spans="1:7" x14ac:dyDescent="0.3">
      <c r="A1434" t="s">
        <v>2702</v>
      </c>
      <c r="B1434">
        <v>44456</v>
      </c>
      <c r="C1434" t="s">
        <v>2553</v>
      </c>
      <c r="D1434" t="s">
        <v>2554</v>
      </c>
      <c r="E1434" t="s">
        <v>1713</v>
      </c>
      <c r="F1434" s="51">
        <v>45838</v>
      </c>
      <c r="G1434" t="s">
        <v>1</v>
      </c>
    </row>
    <row r="1435" spans="1:7" x14ac:dyDescent="0.3">
      <c r="A1435" t="s">
        <v>2702</v>
      </c>
      <c r="B1435">
        <v>44457</v>
      </c>
      <c r="C1435" t="s">
        <v>450</v>
      </c>
      <c r="D1435" t="s">
        <v>133</v>
      </c>
      <c r="E1435" t="s">
        <v>1049</v>
      </c>
      <c r="F1435" s="51">
        <v>45838</v>
      </c>
      <c r="G1435" t="s">
        <v>1</v>
      </c>
    </row>
    <row r="1436" spans="1:7" x14ac:dyDescent="0.3">
      <c r="A1436" t="s">
        <v>2702</v>
      </c>
      <c r="B1436">
        <v>44458</v>
      </c>
      <c r="C1436" t="s">
        <v>576</v>
      </c>
      <c r="D1436" t="s">
        <v>2025</v>
      </c>
      <c r="E1436" t="s">
        <v>641</v>
      </c>
      <c r="F1436" s="51">
        <v>45838</v>
      </c>
      <c r="G1436" t="s">
        <v>1</v>
      </c>
    </row>
    <row r="1437" spans="1:7" x14ac:dyDescent="0.3">
      <c r="A1437" t="s">
        <v>2702</v>
      </c>
      <c r="B1437">
        <v>44461</v>
      </c>
      <c r="C1437" t="s">
        <v>41</v>
      </c>
      <c r="D1437" t="s">
        <v>181</v>
      </c>
      <c r="E1437" t="s">
        <v>58</v>
      </c>
      <c r="F1437" s="51">
        <v>45869</v>
      </c>
      <c r="G1437" t="s">
        <v>18</v>
      </c>
    </row>
    <row r="1438" spans="1:7" x14ac:dyDescent="0.3">
      <c r="A1438" t="s">
        <v>2702</v>
      </c>
      <c r="B1438">
        <v>44476</v>
      </c>
      <c r="C1438" t="s">
        <v>2565</v>
      </c>
      <c r="D1438" t="s">
        <v>138</v>
      </c>
      <c r="E1438" t="s">
        <v>1028</v>
      </c>
      <c r="F1438" s="51">
        <v>45840</v>
      </c>
      <c r="G1438" t="s">
        <v>1</v>
      </c>
    </row>
    <row r="1439" spans="1:7" x14ac:dyDescent="0.3">
      <c r="A1439" t="s">
        <v>2702</v>
      </c>
      <c r="B1439">
        <v>44477</v>
      </c>
      <c r="C1439" t="s">
        <v>74</v>
      </c>
      <c r="D1439" t="s">
        <v>249</v>
      </c>
      <c r="E1439" t="s">
        <v>1049</v>
      </c>
      <c r="F1439" s="51">
        <v>45838</v>
      </c>
      <c r="G1439" t="s">
        <v>1</v>
      </c>
    </row>
    <row r="1440" spans="1:7" x14ac:dyDescent="0.3">
      <c r="A1440" t="s">
        <v>2702</v>
      </c>
      <c r="B1440">
        <v>44478</v>
      </c>
      <c r="C1440" t="s">
        <v>36</v>
      </c>
      <c r="D1440" t="s">
        <v>37</v>
      </c>
      <c r="E1440" t="s">
        <v>2025</v>
      </c>
      <c r="F1440" s="51">
        <v>45838</v>
      </c>
      <c r="G1440" t="s">
        <v>1</v>
      </c>
    </row>
    <row r="1441" spans="1:7" x14ac:dyDescent="0.3">
      <c r="A1441" t="s">
        <v>2702</v>
      </c>
      <c r="B1441">
        <v>44479</v>
      </c>
      <c r="C1441" t="s">
        <v>189</v>
      </c>
      <c r="D1441" t="s">
        <v>512</v>
      </c>
      <c r="E1441" t="s">
        <v>2376</v>
      </c>
      <c r="F1441" s="51">
        <v>45838</v>
      </c>
      <c r="G1441" t="s">
        <v>1</v>
      </c>
    </row>
    <row r="1442" spans="1:7" x14ac:dyDescent="0.3">
      <c r="A1442" t="s">
        <v>2702</v>
      </c>
      <c r="B1442">
        <v>44480</v>
      </c>
      <c r="C1442" t="s">
        <v>365</v>
      </c>
      <c r="E1442" t="s">
        <v>933</v>
      </c>
      <c r="F1442" s="51">
        <v>45838</v>
      </c>
      <c r="G1442" t="s">
        <v>1</v>
      </c>
    </row>
    <row r="1443" spans="1:7" x14ac:dyDescent="0.3">
      <c r="A1443" t="s">
        <v>2702</v>
      </c>
      <c r="B1443">
        <v>44484</v>
      </c>
      <c r="C1443" t="s">
        <v>328</v>
      </c>
      <c r="D1443" t="s">
        <v>487</v>
      </c>
      <c r="E1443" t="s">
        <v>1311</v>
      </c>
      <c r="F1443" s="51">
        <v>45838</v>
      </c>
      <c r="G1443" t="s">
        <v>1</v>
      </c>
    </row>
    <row r="1444" spans="1:7" x14ac:dyDescent="0.3">
      <c r="A1444" t="s">
        <v>2702</v>
      </c>
      <c r="B1444">
        <v>44485</v>
      </c>
      <c r="C1444" t="s">
        <v>262</v>
      </c>
      <c r="D1444" t="s">
        <v>263</v>
      </c>
      <c r="E1444" t="s">
        <v>1759</v>
      </c>
      <c r="F1444" s="51">
        <v>45848</v>
      </c>
      <c r="G1444" t="s">
        <v>2</v>
      </c>
    </row>
    <row r="1445" spans="1:7" x14ac:dyDescent="0.3">
      <c r="A1445" t="s">
        <v>2702</v>
      </c>
      <c r="B1445">
        <v>44486</v>
      </c>
      <c r="C1445" t="s">
        <v>2555</v>
      </c>
      <c r="E1445" t="s">
        <v>27</v>
      </c>
      <c r="F1445" s="51">
        <v>45838</v>
      </c>
      <c r="G1445" t="s">
        <v>1</v>
      </c>
    </row>
    <row r="1446" spans="1:7" x14ac:dyDescent="0.3">
      <c r="A1446" t="s">
        <v>2702</v>
      </c>
      <c r="B1446">
        <v>44488</v>
      </c>
      <c r="C1446" t="s">
        <v>2556</v>
      </c>
      <c r="D1446" t="s">
        <v>305</v>
      </c>
      <c r="E1446" t="s">
        <v>98</v>
      </c>
      <c r="F1446" s="51">
        <v>45838</v>
      </c>
      <c r="G1446" t="s">
        <v>4</v>
      </c>
    </row>
    <row r="1447" spans="1:7" x14ac:dyDescent="0.3">
      <c r="A1447" t="s">
        <v>2702</v>
      </c>
      <c r="B1447">
        <v>44489</v>
      </c>
      <c r="C1447" t="s">
        <v>105</v>
      </c>
      <c r="D1447" t="s">
        <v>106</v>
      </c>
      <c r="E1447" t="s">
        <v>1467</v>
      </c>
      <c r="F1447" s="51">
        <v>45838</v>
      </c>
      <c r="G1447" t="s">
        <v>1</v>
      </c>
    </row>
    <row r="1448" spans="1:7" x14ac:dyDescent="0.3">
      <c r="A1448" t="s">
        <v>2702</v>
      </c>
      <c r="B1448">
        <v>44490</v>
      </c>
      <c r="C1448" t="s">
        <v>256</v>
      </c>
      <c r="D1448" t="s">
        <v>524</v>
      </c>
      <c r="E1448" t="s">
        <v>159</v>
      </c>
      <c r="F1448" s="51">
        <v>45846</v>
      </c>
      <c r="G1448" t="s">
        <v>1</v>
      </c>
    </row>
    <row r="1449" spans="1:7" x14ac:dyDescent="0.3">
      <c r="A1449" t="s">
        <v>2702</v>
      </c>
      <c r="B1449">
        <v>44491</v>
      </c>
      <c r="C1449" t="s">
        <v>321</v>
      </c>
      <c r="D1449" t="s">
        <v>249</v>
      </c>
      <c r="E1449" t="s">
        <v>815</v>
      </c>
      <c r="F1449" s="51">
        <v>45838</v>
      </c>
      <c r="G1449" t="s">
        <v>1</v>
      </c>
    </row>
    <row r="1450" spans="1:7" x14ac:dyDescent="0.3">
      <c r="A1450" t="s">
        <v>2702</v>
      </c>
      <c r="B1450">
        <v>44492</v>
      </c>
      <c r="C1450" t="s">
        <v>853</v>
      </c>
      <c r="D1450" t="s">
        <v>2559</v>
      </c>
      <c r="E1450" t="s">
        <v>1049</v>
      </c>
      <c r="F1450" s="51">
        <v>45839</v>
      </c>
      <c r="G1450" t="s">
        <v>1</v>
      </c>
    </row>
    <row r="1451" spans="1:7" x14ac:dyDescent="0.3">
      <c r="A1451" t="s">
        <v>2702</v>
      </c>
      <c r="B1451">
        <v>44493</v>
      </c>
      <c r="C1451" t="s">
        <v>2041</v>
      </c>
      <c r="D1451" t="s">
        <v>2584</v>
      </c>
      <c r="E1451" t="s">
        <v>787</v>
      </c>
      <c r="F1451" s="51">
        <v>45842</v>
      </c>
      <c r="G1451" t="s">
        <v>1</v>
      </c>
    </row>
    <row r="1452" spans="1:7" x14ac:dyDescent="0.3">
      <c r="A1452" t="s">
        <v>2702</v>
      </c>
      <c r="B1452">
        <v>44495</v>
      </c>
      <c r="C1452" t="s">
        <v>210</v>
      </c>
      <c r="D1452" t="s">
        <v>408</v>
      </c>
      <c r="E1452" t="s">
        <v>245</v>
      </c>
      <c r="F1452" s="51">
        <v>45839</v>
      </c>
      <c r="G1452" t="s">
        <v>1</v>
      </c>
    </row>
    <row r="1453" spans="1:7" x14ac:dyDescent="0.3">
      <c r="A1453" t="s">
        <v>2702</v>
      </c>
      <c r="B1453">
        <v>44497</v>
      </c>
      <c r="C1453" t="s">
        <v>309</v>
      </c>
      <c r="D1453" t="s">
        <v>2558</v>
      </c>
      <c r="E1453" t="s">
        <v>933</v>
      </c>
      <c r="F1453" s="51">
        <v>45839</v>
      </c>
      <c r="G1453" t="s">
        <v>1</v>
      </c>
    </row>
    <row r="1454" spans="1:7" x14ac:dyDescent="0.3">
      <c r="A1454" t="s">
        <v>2702</v>
      </c>
      <c r="B1454">
        <v>44499</v>
      </c>
      <c r="C1454" t="s">
        <v>56</v>
      </c>
      <c r="D1454" t="s">
        <v>106</v>
      </c>
      <c r="E1454" t="s">
        <v>134</v>
      </c>
      <c r="F1454" s="51">
        <v>45868</v>
      </c>
      <c r="G1454" t="s">
        <v>1</v>
      </c>
    </row>
    <row r="1455" spans="1:7" x14ac:dyDescent="0.3">
      <c r="A1455" t="s">
        <v>2702</v>
      </c>
      <c r="B1455">
        <v>44500</v>
      </c>
      <c r="C1455" t="s">
        <v>56</v>
      </c>
      <c r="D1455" t="s">
        <v>106</v>
      </c>
      <c r="E1455" t="s">
        <v>2352</v>
      </c>
      <c r="F1455" s="51">
        <v>45847</v>
      </c>
      <c r="G1455" t="s">
        <v>5</v>
      </c>
    </row>
    <row r="1456" spans="1:7" x14ac:dyDescent="0.3">
      <c r="A1456" t="s">
        <v>2702</v>
      </c>
      <c r="B1456">
        <v>44501</v>
      </c>
      <c r="C1456" t="s">
        <v>292</v>
      </c>
      <c r="D1456" t="s">
        <v>75</v>
      </c>
      <c r="E1456" t="s">
        <v>2352</v>
      </c>
      <c r="F1456" s="51">
        <v>45847</v>
      </c>
      <c r="G1456" t="s">
        <v>5</v>
      </c>
    </row>
    <row r="1457" spans="1:7" x14ac:dyDescent="0.3">
      <c r="A1457" t="s">
        <v>2702</v>
      </c>
      <c r="B1457">
        <v>44502</v>
      </c>
      <c r="C1457" t="s">
        <v>105</v>
      </c>
      <c r="D1457" t="s">
        <v>106</v>
      </c>
      <c r="E1457" t="s">
        <v>2352</v>
      </c>
      <c r="F1457" s="51">
        <v>45847</v>
      </c>
      <c r="G1457" t="s">
        <v>5</v>
      </c>
    </row>
    <row r="1458" spans="1:7" x14ac:dyDescent="0.3">
      <c r="A1458" t="s">
        <v>2702</v>
      </c>
      <c r="B1458">
        <v>44503</v>
      </c>
      <c r="C1458" t="s">
        <v>309</v>
      </c>
      <c r="E1458" t="s">
        <v>2612</v>
      </c>
      <c r="F1458" s="51">
        <v>45849</v>
      </c>
      <c r="G1458" t="s">
        <v>1</v>
      </c>
    </row>
    <row r="1459" spans="1:7" x14ac:dyDescent="0.3">
      <c r="A1459" t="s">
        <v>2702</v>
      </c>
      <c r="B1459">
        <v>44505</v>
      </c>
      <c r="C1459" t="s">
        <v>2557</v>
      </c>
      <c r="E1459" t="s">
        <v>891</v>
      </c>
      <c r="F1459" s="51">
        <v>45839</v>
      </c>
      <c r="G1459" t="s">
        <v>1</v>
      </c>
    </row>
    <row r="1460" spans="1:7" x14ac:dyDescent="0.3">
      <c r="A1460" t="s">
        <v>2702</v>
      </c>
      <c r="B1460">
        <v>44507</v>
      </c>
      <c r="C1460" t="s">
        <v>2560</v>
      </c>
      <c r="D1460" t="s">
        <v>106</v>
      </c>
      <c r="E1460" t="s">
        <v>1467</v>
      </c>
      <c r="F1460" s="51">
        <v>45839</v>
      </c>
      <c r="G1460" t="s">
        <v>1</v>
      </c>
    </row>
    <row r="1461" spans="1:7" x14ac:dyDescent="0.3">
      <c r="A1461" t="s">
        <v>2702</v>
      </c>
      <c r="B1461">
        <v>44508</v>
      </c>
      <c r="C1461" t="s">
        <v>256</v>
      </c>
      <c r="D1461" t="s">
        <v>154</v>
      </c>
      <c r="E1461" t="s">
        <v>2585</v>
      </c>
      <c r="F1461" s="51">
        <v>45842</v>
      </c>
      <c r="G1461" t="s">
        <v>1</v>
      </c>
    </row>
    <row r="1462" spans="1:7" x14ac:dyDescent="0.3">
      <c r="A1462" t="s">
        <v>2702</v>
      </c>
      <c r="B1462">
        <v>44509</v>
      </c>
      <c r="C1462" t="s">
        <v>1135</v>
      </c>
      <c r="D1462" t="s">
        <v>440</v>
      </c>
      <c r="E1462" t="s">
        <v>1049</v>
      </c>
      <c r="F1462" s="51">
        <v>45839</v>
      </c>
      <c r="G1462" t="s">
        <v>1</v>
      </c>
    </row>
    <row r="1463" spans="1:7" x14ac:dyDescent="0.3">
      <c r="A1463" t="s">
        <v>2702</v>
      </c>
      <c r="B1463">
        <v>44510</v>
      </c>
      <c r="C1463" t="s">
        <v>294</v>
      </c>
      <c r="D1463" t="s">
        <v>94</v>
      </c>
      <c r="E1463" t="s">
        <v>168</v>
      </c>
      <c r="F1463" s="51">
        <v>45840</v>
      </c>
      <c r="G1463" t="s">
        <v>1</v>
      </c>
    </row>
    <row r="1464" spans="1:7" x14ac:dyDescent="0.3">
      <c r="A1464" t="s">
        <v>2702</v>
      </c>
      <c r="B1464">
        <v>44511</v>
      </c>
      <c r="C1464" t="s">
        <v>2560</v>
      </c>
      <c r="D1464" t="s">
        <v>106</v>
      </c>
      <c r="E1464" t="s">
        <v>2586</v>
      </c>
      <c r="F1464" s="51">
        <v>45842</v>
      </c>
      <c r="G1464" t="s">
        <v>1</v>
      </c>
    </row>
    <row r="1465" spans="1:7" x14ac:dyDescent="0.3">
      <c r="A1465" t="s">
        <v>2702</v>
      </c>
      <c r="B1465">
        <v>44512</v>
      </c>
      <c r="C1465" t="s">
        <v>1339</v>
      </c>
      <c r="E1465" t="s">
        <v>27</v>
      </c>
      <c r="F1465" s="51">
        <v>45842</v>
      </c>
      <c r="G1465" t="s">
        <v>1</v>
      </c>
    </row>
    <row r="1466" spans="1:7" x14ac:dyDescent="0.3">
      <c r="A1466" t="s">
        <v>2702</v>
      </c>
      <c r="B1466">
        <v>44513</v>
      </c>
      <c r="C1466" t="s">
        <v>616</v>
      </c>
      <c r="D1466" t="s">
        <v>179</v>
      </c>
      <c r="E1466" t="s">
        <v>2561</v>
      </c>
      <c r="F1466" s="51">
        <v>45839</v>
      </c>
      <c r="G1466" t="s">
        <v>1</v>
      </c>
    </row>
    <row r="1467" spans="1:7" x14ac:dyDescent="0.3">
      <c r="A1467" t="s">
        <v>2702</v>
      </c>
      <c r="B1467">
        <v>44517</v>
      </c>
      <c r="C1467" t="s">
        <v>325</v>
      </c>
      <c r="D1467" t="s">
        <v>2569</v>
      </c>
      <c r="E1467" t="s">
        <v>168</v>
      </c>
      <c r="F1467" s="51">
        <v>45840</v>
      </c>
      <c r="G1467" t="s">
        <v>1</v>
      </c>
    </row>
    <row r="1468" spans="1:7" x14ac:dyDescent="0.3">
      <c r="A1468" t="s">
        <v>2702</v>
      </c>
      <c r="B1468">
        <v>44519</v>
      </c>
      <c r="C1468" t="s">
        <v>743</v>
      </c>
      <c r="E1468" t="s">
        <v>933</v>
      </c>
      <c r="F1468" s="51">
        <v>45840</v>
      </c>
      <c r="G1468" t="s">
        <v>1</v>
      </c>
    </row>
    <row r="1469" spans="1:7" x14ac:dyDescent="0.3">
      <c r="A1469" t="s">
        <v>2702</v>
      </c>
      <c r="B1469">
        <v>44522</v>
      </c>
      <c r="C1469" t="s">
        <v>1040</v>
      </c>
      <c r="D1469" t="s">
        <v>2570</v>
      </c>
      <c r="E1469" t="s">
        <v>615</v>
      </c>
      <c r="F1469" s="51">
        <v>45840</v>
      </c>
      <c r="G1469" t="s">
        <v>1</v>
      </c>
    </row>
    <row r="1470" spans="1:7" x14ac:dyDescent="0.3">
      <c r="A1470" t="s">
        <v>2702</v>
      </c>
      <c r="B1470">
        <v>44523</v>
      </c>
      <c r="C1470" t="s">
        <v>511</v>
      </c>
      <c r="D1470" t="s">
        <v>106</v>
      </c>
      <c r="E1470" t="s">
        <v>2571</v>
      </c>
      <c r="F1470" s="51">
        <v>45840</v>
      </c>
      <c r="G1470" t="s">
        <v>1</v>
      </c>
    </row>
    <row r="1471" spans="1:7" x14ac:dyDescent="0.3">
      <c r="A1471" t="s">
        <v>2702</v>
      </c>
      <c r="B1471">
        <v>44525</v>
      </c>
      <c r="C1471" t="s">
        <v>306</v>
      </c>
      <c r="D1471" t="s">
        <v>63</v>
      </c>
      <c r="E1471" t="s">
        <v>126</v>
      </c>
      <c r="F1471" s="51">
        <v>45842</v>
      </c>
      <c r="G1471" t="s">
        <v>1</v>
      </c>
    </row>
    <row r="1472" spans="1:7" x14ac:dyDescent="0.3">
      <c r="A1472" t="s">
        <v>2702</v>
      </c>
      <c r="B1472">
        <v>44528</v>
      </c>
      <c r="C1472" t="s">
        <v>86</v>
      </c>
      <c r="D1472" t="s">
        <v>45</v>
      </c>
      <c r="E1472" t="s">
        <v>159</v>
      </c>
      <c r="G1472" t="s">
        <v>3</v>
      </c>
    </row>
    <row r="1473" spans="1:7" x14ac:dyDescent="0.3">
      <c r="A1473" t="s">
        <v>2702</v>
      </c>
      <c r="B1473">
        <v>44530</v>
      </c>
      <c r="C1473" t="s">
        <v>86</v>
      </c>
      <c r="D1473" t="s">
        <v>45</v>
      </c>
      <c r="E1473" t="s">
        <v>2352</v>
      </c>
      <c r="F1473" s="51">
        <v>45847</v>
      </c>
      <c r="G1473" t="s">
        <v>5</v>
      </c>
    </row>
    <row r="1474" spans="1:7" x14ac:dyDescent="0.3">
      <c r="A1474" t="s">
        <v>2702</v>
      </c>
      <c r="B1474">
        <v>44533</v>
      </c>
      <c r="C1474" t="s">
        <v>482</v>
      </c>
      <c r="D1474" t="s">
        <v>63</v>
      </c>
      <c r="E1474" t="s">
        <v>172</v>
      </c>
      <c r="F1474" s="51">
        <v>45840</v>
      </c>
      <c r="G1474" t="s">
        <v>1</v>
      </c>
    </row>
    <row r="1475" spans="1:7" x14ac:dyDescent="0.3">
      <c r="A1475" t="s">
        <v>2702</v>
      </c>
      <c r="B1475">
        <v>44534</v>
      </c>
      <c r="C1475" t="s">
        <v>600</v>
      </c>
      <c r="D1475" t="s">
        <v>151</v>
      </c>
      <c r="E1475" t="s">
        <v>2572</v>
      </c>
      <c r="F1475" s="51">
        <v>45840</v>
      </c>
      <c r="G1475" t="s">
        <v>1</v>
      </c>
    </row>
    <row r="1476" spans="1:7" x14ac:dyDescent="0.3">
      <c r="A1476" t="s">
        <v>2702</v>
      </c>
      <c r="B1476">
        <v>44535</v>
      </c>
      <c r="C1476" t="s">
        <v>1654</v>
      </c>
      <c r="D1476" t="s">
        <v>151</v>
      </c>
      <c r="E1476" t="s">
        <v>2551</v>
      </c>
      <c r="F1476" s="51">
        <v>45841</v>
      </c>
      <c r="G1476" t="s">
        <v>2</v>
      </c>
    </row>
    <row r="1477" spans="1:7" x14ac:dyDescent="0.3">
      <c r="A1477" t="s">
        <v>2702</v>
      </c>
      <c r="B1477">
        <v>44539</v>
      </c>
      <c r="C1477" t="s">
        <v>54</v>
      </c>
      <c r="D1477" t="s">
        <v>140</v>
      </c>
      <c r="E1477" t="s">
        <v>380</v>
      </c>
      <c r="F1477" s="51">
        <v>45841</v>
      </c>
      <c r="G1477" t="s">
        <v>1</v>
      </c>
    </row>
    <row r="1478" spans="1:7" x14ac:dyDescent="0.3">
      <c r="A1478" t="s">
        <v>2702</v>
      </c>
      <c r="B1478">
        <v>44540</v>
      </c>
      <c r="C1478" t="s">
        <v>758</v>
      </c>
      <c r="D1478" t="s">
        <v>2579</v>
      </c>
      <c r="E1478" t="s">
        <v>757</v>
      </c>
      <c r="F1478" s="51">
        <v>45842</v>
      </c>
      <c r="G1478" t="s">
        <v>1</v>
      </c>
    </row>
    <row r="1479" spans="1:7" x14ac:dyDescent="0.3">
      <c r="A1479" t="s">
        <v>2702</v>
      </c>
      <c r="B1479">
        <v>44545</v>
      </c>
      <c r="C1479" t="s">
        <v>2588</v>
      </c>
      <c r="D1479" t="s">
        <v>400</v>
      </c>
      <c r="E1479" t="s">
        <v>153</v>
      </c>
      <c r="F1479" s="51">
        <v>45845</v>
      </c>
      <c r="G1479" t="s">
        <v>1</v>
      </c>
    </row>
    <row r="1480" spans="1:7" x14ac:dyDescent="0.3">
      <c r="A1480" t="s">
        <v>2702</v>
      </c>
      <c r="B1480">
        <v>44546</v>
      </c>
      <c r="C1480" t="s">
        <v>2580</v>
      </c>
      <c r="D1480" t="s">
        <v>252</v>
      </c>
      <c r="E1480" t="s">
        <v>933</v>
      </c>
      <c r="F1480" s="51">
        <v>45842</v>
      </c>
      <c r="G1480" t="s">
        <v>1</v>
      </c>
    </row>
    <row r="1481" spans="1:7" x14ac:dyDescent="0.3">
      <c r="A1481" t="s">
        <v>2702</v>
      </c>
      <c r="B1481">
        <v>44547</v>
      </c>
      <c r="C1481" t="s">
        <v>1536</v>
      </c>
      <c r="D1481" t="s">
        <v>75</v>
      </c>
      <c r="E1481" t="s">
        <v>2634</v>
      </c>
      <c r="F1481" s="51">
        <v>45866</v>
      </c>
      <c r="G1481" t="s">
        <v>3</v>
      </c>
    </row>
    <row r="1482" spans="1:7" x14ac:dyDescent="0.3">
      <c r="A1482" t="s">
        <v>2702</v>
      </c>
      <c r="B1482">
        <v>44551</v>
      </c>
      <c r="C1482" t="s">
        <v>1536</v>
      </c>
      <c r="D1482" t="s">
        <v>367</v>
      </c>
      <c r="E1482" t="s">
        <v>2633</v>
      </c>
      <c r="F1482" s="51">
        <v>45867</v>
      </c>
      <c r="G1482" t="s">
        <v>3</v>
      </c>
    </row>
    <row r="1483" spans="1:7" x14ac:dyDescent="0.3">
      <c r="A1483" t="s">
        <v>2702</v>
      </c>
      <c r="B1483">
        <v>44552</v>
      </c>
      <c r="C1483" t="s">
        <v>559</v>
      </c>
      <c r="D1483" t="s">
        <v>1017</v>
      </c>
      <c r="E1483" t="s">
        <v>1148</v>
      </c>
      <c r="F1483" s="51">
        <v>45846</v>
      </c>
      <c r="G1483" t="s">
        <v>1</v>
      </c>
    </row>
    <row r="1484" spans="1:7" x14ac:dyDescent="0.3">
      <c r="A1484" t="s">
        <v>2702</v>
      </c>
      <c r="B1484">
        <v>44554</v>
      </c>
      <c r="C1484" t="s">
        <v>773</v>
      </c>
      <c r="D1484" t="s">
        <v>181</v>
      </c>
      <c r="E1484" t="s">
        <v>1096</v>
      </c>
      <c r="F1484" s="51">
        <v>45846</v>
      </c>
      <c r="G1484" t="s">
        <v>4</v>
      </c>
    </row>
    <row r="1485" spans="1:7" x14ac:dyDescent="0.3">
      <c r="A1485" t="s">
        <v>2702</v>
      </c>
      <c r="B1485">
        <v>44556</v>
      </c>
      <c r="C1485" t="s">
        <v>41</v>
      </c>
      <c r="D1485" t="s">
        <v>472</v>
      </c>
      <c r="E1485" t="s">
        <v>2686</v>
      </c>
      <c r="F1485" s="51">
        <v>45874</v>
      </c>
      <c r="G1485" t="s">
        <v>4</v>
      </c>
    </row>
    <row r="1486" spans="1:7" x14ac:dyDescent="0.3">
      <c r="A1486" t="s">
        <v>2702</v>
      </c>
      <c r="B1486">
        <v>44557</v>
      </c>
      <c r="C1486" t="s">
        <v>2596</v>
      </c>
      <c r="E1486" t="s">
        <v>27</v>
      </c>
      <c r="F1486" s="51">
        <v>45846</v>
      </c>
      <c r="G1486" t="s">
        <v>1</v>
      </c>
    </row>
    <row r="1487" spans="1:7" x14ac:dyDescent="0.3">
      <c r="A1487" t="s">
        <v>2702</v>
      </c>
      <c r="B1487">
        <v>44558</v>
      </c>
      <c r="C1487" t="s">
        <v>1081</v>
      </c>
      <c r="D1487" t="s">
        <v>718</v>
      </c>
      <c r="E1487" t="s">
        <v>671</v>
      </c>
      <c r="F1487" s="51">
        <v>45846</v>
      </c>
      <c r="G1487" t="s">
        <v>12</v>
      </c>
    </row>
    <row r="1488" spans="1:7" x14ac:dyDescent="0.3">
      <c r="A1488" t="s">
        <v>2702</v>
      </c>
      <c r="B1488">
        <v>44561</v>
      </c>
      <c r="C1488" t="s">
        <v>256</v>
      </c>
      <c r="D1488" t="s">
        <v>1129</v>
      </c>
      <c r="E1488" t="s">
        <v>2598</v>
      </c>
      <c r="F1488" s="51">
        <v>45846</v>
      </c>
      <c r="G1488" t="s">
        <v>1</v>
      </c>
    </row>
    <row r="1489" spans="1:7" x14ac:dyDescent="0.3">
      <c r="A1489" t="s">
        <v>2702</v>
      </c>
      <c r="B1489">
        <v>44562</v>
      </c>
      <c r="C1489" t="s">
        <v>2599</v>
      </c>
      <c r="D1489" t="s">
        <v>106</v>
      </c>
      <c r="E1489" t="s">
        <v>126</v>
      </c>
      <c r="F1489" s="51">
        <v>45846</v>
      </c>
      <c r="G1489" t="s">
        <v>1</v>
      </c>
    </row>
    <row r="1490" spans="1:7" x14ac:dyDescent="0.3">
      <c r="A1490" t="s">
        <v>2702</v>
      </c>
      <c r="B1490">
        <v>44563</v>
      </c>
      <c r="C1490" t="s">
        <v>41</v>
      </c>
      <c r="D1490" t="s">
        <v>32</v>
      </c>
      <c r="E1490" t="s">
        <v>58</v>
      </c>
      <c r="F1490" s="51">
        <v>45846</v>
      </c>
      <c r="G1490" t="s">
        <v>4</v>
      </c>
    </row>
    <row r="1491" spans="1:7" x14ac:dyDescent="0.3">
      <c r="A1491" t="s">
        <v>2702</v>
      </c>
      <c r="B1491">
        <v>44566</v>
      </c>
      <c r="C1491" t="s">
        <v>1097</v>
      </c>
      <c r="D1491" t="s">
        <v>106</v>
      </c>
      <c r="E1491" t="s">
        <v>2635</v>
      </c>
      <c r="F1491" s="51">
        <v>45867</v>
      </c>
      <c r="G1491" t="s">
        <v>2</v>
      </c>
    </row>
    <row r="1492" spans="1:7" x14ac:dyDescent="0.3">
      <c r="A1492" t="s">
        <v>2702</v>
      </c>
      <c r="B1492">
        <v>44573</v>
      </c>
      <c r="C1492" t="s">
        <v>251</v>
      </c>
      <c r="D1492" t="s">
        <v>252</v>
      </c>
      <c r="E1492" t="s">
        <v>2657</v>
      </c>
      <c r="F1492" s="51">
        <v>45869</v>
      </c>
      <c r="G1492" t="s">
        <v>1</v>
      </c>
    </row>
    <row r="1493" spans="1:7" x14ac:dyDescent="0.3">
      <c r="A1493" t="s">
        <v>2702</v>
      </c>
      <c r="B1493">
        <v>44575</v>
      </c>
      <c r="C1493" t="s">
        <v>41</v>
      </c>
      <c r="D1493" t="s">
        <v>45</v>
      </c>
      <c r="E1493" t="s">
        <v>2352</v>
      </c>
      <c r="F1493" s="51">
        <v>45869</v>
      </c>
      <c r="G1493" t="s">
        <v>5</v>
      </c>
    </row>
    <row r="1494" spans="1:7" x14ac:dyDescent="0.3">
      <c r="A1494" t="s">
        <v>2702</v>
      </c>
      <c r="B1494">
        <v>44577</v>
      </c>
      <c r="C1494" t="s">
        <v>567</v>
      </c>
      <c r="D1494" t="s">
        <v>568</v>
      </c>
      <c r="E1494" t="s">
        <v>2625</v>
      </c>
      <c r="F1494" s="51">
        <v>45854</v>
      </c>
      <c r="G1494" t="s">
        <v>1</v>
      </c>
    </row>
    <row r="1495" spans="1:7" x14ac:dyDescent="0.3">
      <c r="A1495" t="s">
        <v>2702</v>
      </c>
      <c r="B1495">
        <v>44581</v>
      </c>
      <c r="C1495" t="s">
        <v>309</v>
      </c>
      <c r="D1495" t="s">
        <v>2607</v>
      </c>
      <c r="E1495" t="s">
        <v>2608</v>
      </c>
      <c r="F1495" s="51">
        <v>45848</v>
      </c>
      <c r="G1495" t="s">
        <v>2</v>
      </c>
    </row>
    <row r="1496" spans="1:7" x14ac:dyDescent="0.3">
      <c r="A1496" t="s">
        <v>2702</v>
      </c>
      <c r="B1496">
        <v>44582</v>
      </c>
      <c r="C1496" t="s">
        <v>1574</v>
      </c>
      <c r="D1496" t="s">
        <v>1287</v>
      </c>
      <c r="E1496" t="s">
        <v>592</v>
      </c>
      <c r="F1496" s="51">
        <v>45854</v>
      </c>
      <c r="G1496" t="s">
        <v>2077</v>
      </c>
    </row>
    <row r="1497" spans="1:7" x14ac:dyDescent="0.3">
      <c r="A1497" t="s">
        <v>2702</v>
      </c>
      <c r="B1497">
        <v>44583</v>
      </c>
      <c r="C1497" t="s">
        <v>705</v>
      </c>
      <c r="D1497" t="s">
        <v>82</v>
      </c>
      <c r="E1497" t="s">
        <v>2667</v>
      </c>
      <c r="F1497" s="51">
        <v>45873</v>
      </c>
      <c r="G1497" t="s">
        <v>1</v>
      </c>
    </row>
    <row r="1498" spans="1:7" x14ac:dyDescent="0.3">
      <c r="A1498" t="s">
        <v>2702</v>
      </c>
      <c r="B1498">
        <v>44586</v>
      </c>
      <c r="C1498" t="s">
        <v>1027</v>
      </c>
      <c r="E1498" t="s">
        <v>27</v>
      </c>
      <c r="F1498" s="51">
        <v>45854</v>
      </c>
      <c r="G1498" t="s">
        <v>1</v>
      </c>
    </row>
    <row r="1499" spans="1:7" x14ac:dyDescent="0.3">
      <c r="A1499" t="s">
        <v>2702</v>
      </c>
      <c r="B1499">
        <v>44587</v>
      </c>
      <c r="C1499" t="s">
        <v>180</v>
      </c>
      <c r="D1499" t="s">
        <v>181</v>
      </c>
      <c r="E1499" t="s">
        <v>2658</v>
      </c>
      <c r="F1499" s="51">
        <v>45869</v>
      </c>
      <c r="G1499" t="s">
        <v>1</v>
      </c>
    </row>
    <row r="1500" spans="1:7" x14ac:dyDescent="0.3">
      <c r="A1500" t="s">
        <v>2702</v>
      </c>
      <c r="B1500">
        <v>44588</v>
      </c>
      <c r="C1500" t="s">
        <v>262</v>
      </c>
      <c r="D1500" t="s">
        <v>263</v>
      </c>
      <c r="E1500" t="s">
        <v>2620</v>
      </c>
      <c r="F1500" s="51">
        <v>45853</v>
      </c>
      <c r="G1500" t="s">
        <v>2</v>
      </c>
    </row>
    <row r="1501" spans="1:7" x14ac:dyDescent="0.3">
      <c r="A1501" t="s">
        <v>2702</v>
      </c>
      <c r="B1501">
        <v>44589</v>
      </c>
      <c r="C1501" t="s">
        <v>262</v>
      </c>
      <c r="D1501" t="s">
        <v>596</v>
      </c>
      <c r="E1501" t="s">
        <v>2655</v>
      </c>
      <c r="F1501" s="51">
        <v>45868</v>
      </c>
      <c r="G1501" t="s">
        <v>2</v>
      </c>
    </row>
    <row r="1502" spans="1:7" x14ac:dyDescent="0.3">
      <c r="A1502" t="s">
        <v>2702</v>
      </c>
      <c r="B1502">
        <v>44590</v>
      </c>
      <c r="C1502" t="s">
        <v>74</v>
      </c>
      <c r="D1502" t="s">
        <v>75</v>
      </c>
      <c r="E1502" t="s">
        <v>683</v>
      </c>
      <c r="F1502" s="51">
        <v>45849</v>
      </c>
      <c r="G1502" t="s">
        <v>1</v>
      </c>
    </row>
    <row r="1503" spans="1:7" x14ac:dyDescent="0.3">
      <c r="A1503" t="s">
        <v>2702</v>
      </c>
      <c r="B1503">
        <v>44592</v>
      </c>
      <c r="C1503" t="s">
        <v>74</v>
      </c>
      <c r="D1503" t="s">
        <v>367</v>
      </c>
      <c r="E1503" t="s">
        <v>2626</v>
      </c>
      <c r="F1503" s="51">
        <v>45854</v>
      </c>
      <c r="G1503" t="s">
        <v>2</v>
      </c>
    </row>
    <row r="1504" spans="1:7" x14ac:dyDescent="0.3">
      <c r="A1504" t="s">
        <v>2702</v>
      </c>
      <c r="B1504">
        <v>44594</v>
      </c>
      <c r="C1504" t="s">
        <v>834</v>
      </c>
      <c r="D1504" t="s">
        <v>2659</v>
      </c>
      <c r="E1504" t="s">
        <v>403</v>
      </c>
      <c r="F1504" s="51">
        <v>45869</v>
      </c>
      <c r="G1504" t="s">
        <v>1</v>
      </c>
    </row>
    <row r="1505" spans="1:7" x14ac:dyDescent="0.3">
      <c r="A1505" t="s">
        <v>2702</v>
      </c>
      <c r="B1505">
        <v>44599</v>
      </c>
      <c r="C1505" t="s">
        <v>74</v>
      </c>
      <c r="D1505" t="s">
        <v>75</v>
      </c>
      <c r="E1505" t="s">
        <v>1049</v>
      </c>
      <c r="F1505" s="51">
        <v>45855</v>
      </c>
      <c r="G1505" t="s">
        <v>1</v>
      </c>
    </row>
    <row r="1506" spans="1:7" x14ac:dyDescent="0.3">
      <c r="A1506" t="s">
        <v>2702</v>
      </c>
      <c r="B1506">
        <v>44600</v>
      </c>
      <c r="C1506" t="s">
        <v>2697</v>
      </c>
      <c r="D1506" t="s">
        <v>727</v>
      </c>
      <c r="E1506" t="s">
        <v>85</v>
      </c>
      <c r="F1506" s="51">
        <v>45875</v>
      </c>
      <c r="G1506" t="s">
        <v>1</v>
      </c>
    </row>
    <row r="1507" spans="1:7" x14ac:dyDescent="0.3">
      <c r="A1507" t="s">
        <v>2702</v>
      </c>
      <c r="B1507">
        <v>44604</v>
      </c>
      <c r="C1507" t="s">
        <v>2660</v>
      </c>
      <c r="D1507" t="s">
        <v>154</v>
      </c>
      <c r="E1507" t="s">
        <v>615</v>
      </c>
      <c r="F1507" s="51">
        <v>45869</v>
      </c>
      <c r="G1507" t="s">
        <v>1</v>
      </c>
    </row>
    <row r="1508" spans="1:7" x14ac:dyDescent="0.3">
      <c r="A1508" t="s">
        <v>2702</v>
      </c>
      <c r="B1508">
        <v>44605</v>
      </c>
      <c r="C1508" t="s">
        <v>474</v>
      </c>
      <c r="D1508" t="s">
        <v>2698</v>
      </c>
      <c r="E1508" t="s">
        <v>662</v>
      </c>
      <c r="F1508" s="51">
        <v>45875</v>
      </c>
      <c r="G1508" t="s">
        <v>1</v>
      </c>
    </row>
    <row r="1509" spans="1:7" x14ac:dyDescent="0.3">
      <c r="A1509" t="s">
        <v>2702</v>
      </c>
      <c r="B1509">
        <v>44607</v>
      </c>
      <c r="C1509" t="s">
        <v>1535</v>
      </c>
      <c r="D1509" t="s">
        <v>45</v>
      </c>
      <c r="E1509" t="s">
        <v>2352</v>
      </c>
      <c r="F1509" s="51">
        <v>45867</v>
      </c>
      <c r="G1509" t="s">
        <v>5</v>
      </c>
    </row>
    <row r="1510" spans="1:7" x14ac:dyDescent="0.3">
      <c r="A1510" t="s">
        <v>2702</v>
      </c>
      <c r="B1510">
        <v>44608</v>
      </c>
      <c r="C1510" t="s">
        <v>328</v>
      </c>
      <c r="D1510" t="s">
        <v>148</v>
      </c>
      <c r="E1510" t="s">
        <v>2352</v>
      </c>
      <c r="F1510" s="51">
        <v>45867</v>
      </c>
      <c r="G1510" t="s">
        <v>5</v>
      </c>
    </row>
    <row r="1511" spans="1:7" x14ac:dyDescent="0.3">
      <c r="A1511" t="s">
        <v>2702</v>
      </c>
      <c r="B1511">
        <v>44609</v>
      </c>
      <c r="C1511" t="s">
        <v>325</v>
      </c>
      <c r="D1511" t="s">
        <v>367</v>
      </c>
      <c r="E1511" t="s">
        <v>2352</v>
      </c>
      <c r="F1511" s="51">
        <v>45867</v>
      </c>
      <c r="G1511" t="s">
        <v>5</v>
      </c>
    </row>
    <row r="1512" spans="1:7" x14ac:dyDescent="0.3">
      <c r="A1512" t="s">
        <v>2702</v>
      </c>
      <c r="B1512">
        <v>44610</v>
      </c>
      <c r="C1512" t="s">
        <v>486</v>
      </c>
      <c r="D1512" t="s">
        <v>487</v>
      </c>
      <c r="E1512" t="s">
        <v>2352</v>
      </c>
      <c r="F1512" s="51">
        <v>45867</v>
      </c>
      <c r="G1512" t="s">
        <v>5</v>
      </c>
    </row>
    <row r="1513" spans="1:7" x14ac:dyDescent="0.3">
      <c r="A1513" t="s">
        <v>2702</v>
      </c>
      <c r="B1513">
        <v>44612</v>
      </c>
      <c r="C1513" t="s">
        <v>41</v>
      </c>
      <c r="D1513" t="s">
        <v>2351</v>
      </c>
      <c r="E1513" t="s">
        <v>2352</v>
      </c>
      <c r="F1513" s="51">
        <v>45869</v>
      </c>
      <c r="G1513" t="s">
        <v>5</v>
      </c>
    </row>
    <row r="1514" spans="1:7" x14ac:dyDescent="0.3">
      <c r="A1514" t="s">
        <v>2702</v>
      </c>
      <c r="B1514">
        <v>44614</v>
      </c>
      <c r="C1514" t="s">
        <v>2567</v>
      </c>
      <c r="D1514" t="s">
        <v>2568</v>
      </c>
      <c r="E1514" t="s">
        <v>168</v>
      </c>
      <c r="F1514" s="51">
        <v>45856</v>
      </c>
      <c r="G1514" t="s">
        <v>1</v>
      </c>
    </row>
    <row r="1515" spans="1:7" x14ac:dyDescent="0.3">
      <c r="A1515" t="s">
        <v>2702</v>
      </c>
      <c r="B1515">
        <v>44620</v>
      </c>
      <c r="C1515" t="s">
        <v>2661</v>
      </c>
      <c r="D1515" t="s">
        <v>267</v>
      </c>
      <c r="E1515" t="s">
        <v>1028</v>
      </c>
      <c r="F1515" s="51">
        <v>45869</v>
      </c>
      <c r="G1515" t="s">
        <v>1</v>
      </c>
    </row>
    <row r="1516" spans="1:7" x14ac:dyDescent="0.3">
      <c r="A1516" t="s">
        <v>2702</v>
      </c>
      <c r="B1516">
        <v>44623</v>
      </c>
      <c r="C1516" t="s">
        <v>56</v>
      </c>
      <c r="D1516" t="s">
        <v>106</v>
      </c>
      <c r="E1516" t="s">
        <v>2665</v>
      </c>
      <c r="F1516" s="51">
        <v>45870</v>
      </c>
      <c r="G1516" t="s">
        <v>5</v>
      </c>
    </row>
    <row r="1517" spans="1:7" x14ac:dyDescent="0.3">
      <c r="A1517" t="s">
        <v>2702</v>
      </c>
      <c r="B1517">
        <v>44624</v>
      </c>
      <c r="C1517" t="s">
        <v>2588</v>
      </c>
      <c r="D1517" t="s">
        <v>2662</v>
      </c>
      <c r="E1517" t="s">
        <v>519</v>
      </c>
      <c r="F1517" s="51">
        <v>45870</v>
      </c>
      <c r="G1517" t="s">
        <v>1</v>
      </c>
    </row>
    <row r="1518" spans="1:7" x14ac:dyDescent="0.3">
      <c r="A1518" t="s">
        <v>2702</v>
      </c>
      <c r="B1518">
        <v>44625</v>
      </c>
      <c r="C1518" t="s">
        <v>2663</v>
      </c>
      <c r="D1518" t="s">
        <v>167</v>
      </c>
      <c r="E1518" t="s">
        <v>403</v>
      </c>
      <c r="F1518" s="51">
        <v>45870</v>
      </c>
      <c r="G1518" t="s">
        <v>1</v>
      </c>
    </row>
    <row r="1519" spans="1:7" x14ac:dyDescent="0.3">
      <c r="A1519" t="s">
        <v>2702</v>
      </c>
      <c r="B1519">
        <v>44627</v>
      </c>
      <c r="C1519" t="s">
        <v>2653</v>
      </c>
      <c r="D1519" t="s">
        <v>82</v>
      </c>
      <c r="E1519" t="s">
        <v>98</v>
      </c>
      <c r="F1519" s="51">
        <v>45868</v>
      </c>
      <c r="G1519" t="s">
        <v>4</v>
      </c>
    </row>
    <row r="1520" spans="1:7" x14ac:dyDescent="0.3">
      <c r="A1520" t="s">
        <v>2702</v>
      </c>
      <c r="B1520">
        <v>44633</v>
      </c>
      <c r="C1520" t="s">
        <v>205</v>
      </c>
      <c r="D1520" t="s">
        <v>2642</v>
      </c>
      <c r="E1520" t="s">
        <v>2643</v>
      </c>
      <c r="F1520" s="51">
        <v>45866</v>
      </c>
      <c r="G1520" t="s">
        <v>1</v>
      </c>
    </row>
    <row r="1521" spans="1:7" x14ac:dyDescent="0.3">
      <c r="A1521" t="s">
        <v>2702</v>
      </c>
      <c r="B1521">
        <v>44639</v>
      </c>
      <c r="C1521" t="s">
        <v>325</v>
      </c>
      <c r="D1521" t="s">
        <v>367</v>
      </c>
      <c r="E1521" t="s">
        <v>397</v>
      </c>
      <c r="F1521" s="51">
        <v>45867</v>
      </c>
      <c r="G1521" t="s">
        <v>3</v>
      </c>
    </row>
    <row r="1522" spans="1:7" x14ac:dyDescent="0.3">
      <c r="A1522" t="s">
        <v>2702</v>
      </c>
      <c r="B1522">
        <v>44643</v>
      </c>
      <c r="C1522" t="s">
        <v>2699</v>
      </c>
      <c r="D1522" t="s">
        <v>118</v>
      </c>
      <c r="E1522" t="s">
        <v>283</v>
      </c>
      <c r="F1522" s="51">
        <v>45875</v>
      </c>
      <c r="G1522" t="s">
        <v>1</v>
      </c>
    </row>
    <row r="1523" spans="1:7" x14ac:dyDescent="0.3">
      <c r="A1523" t="s">
        <v>2702</v>
      </c>
      <c r="B1523">
        <v>44645</v>
      </c>
      <c r="C1523" t="s">
        <v>2682</v>
      </c>
      <c r="D1523" t="s">
        <v>2683</v>
      </c>
      <c r="E1523" t="s">
        <v>121</v>
      </c>
      <c r="F1523" s="51">
        <v>45874</v>
      </c>
      <c r="G1523" t="s">
        <v>4</v>
      </c>
    </row>
    <row r="1524" spans="1:7" x14ac:dyDescent="0.3">
      <c r="A1524" t="s">
        <v>2702</v>
      </c>
      <c r="B1524">
        <v>44649</v>
      </c>
      <c r="C1524" t="s">
        <v>2695</v>
      </c>
      <c r="D1524" t="s">
        <v>2696</v>
      </c>
      <c r="E1524" t="s">
        <v>728</v>
      </c>
      <c r="F1524" s="51">
        <v>45875</v>
      </c>
      <c r="G1524" t="s">
        <v>1</v>
      </c>
    </row>
    <row r="1525" spans="1:7" x14ac:dyDescent="0.3">
      <c r="A1525" t="s">
        <v>2702</v>
      </c>
      <c r="B1525">
        <v>44650</v>
      </c>
      <c r="C1525" t="s">
        <v>1073</v>
      </c>
      <c r="D1525" t="s">
        <v>305</v>
      </c>
      <c r="E1525" t="s">
        <v>2694</v>
      </c>
      <c r="F1525" s="51">
        <v>45875</v>
      </c>
      <c r="G1525" t="s">
        <v>8</v>
      </c>
    </row>
    <row r="1526" spans="1:7" x14ac:dyDescent="0.3">
      <c r="A1526" t="s">
        <v>2702</v>
      </c>
      <c r="B1526">
        <v>44656</v>
      </c>
      <c r="C1526" t="s">
        <v>2693</v>
      </c>
      <c r="E1526" t="s">
        <v>1093</v>
      </c>
      <c r="F1526" s="51">
        <v>45875</v>
      </c>
      <c r="G1526" t="s">
        <v>15</v>
      </c>
    </row>
    <row r="1527" spans="1:7" x14ac:dyDescent="0.3">
      <c r="A1527" t="s">
        <v>2702</v>
      </c>
      <c r="B1527">
        <v>44675</v>
      </c>
      <c r="C1527" t="s">
        <v>2687</v>
      </c>
      <c r="D1527" t="s">
        <v>2688</v>
      </c>
      <c r="E1527" t="s">
        <v>27</v>
      </c>
      <c r="F1527" s="51">
        <v>45875</v>
      </c>
      <c r="G1527" t="s">
        <v>1</v>
      </c>
    </row>
    <row r="1528" spans="1:7" x14ac:dyDescent="0.3">
      <c r="A1528" t="s">
        <v>2703</v>
      </c>
      <c r="B1528">
        <v>5500</v>
      </c>
      <c r="C1528" t="s">
        <v>1160</v>
      </c>
      <c r="D1528">
        <v>640</v>
      </c>
      <c r="E1528" t="s">
        <v>1161</v>
      </c>
      <c r="F1528" s="51">
        <v>45040</v>
      </c>
      <c r="G1528" t="s">
        <v>1</v>
      </c>
    </row>
    <row r="1529" spans="1:7" x14ac:dyDescent="0.3">
      <c r="A1529" t="s">
        <v>2703</v>
      </c>
      <c r="B1529">
        <v>5501</v>
      </c>
      <c r="C1529" t="s">
        <v>1162</v>
      </c>
      <c r="D1529" t="s">
        <v>217</v>
      </c>
      <c r="E1529" t="s">
        <v>1163</v>
      </c>
      <c r="F1529" s="51">
        <v>45189</v>
      </c>
      <c r="G1529" t="s">
        <v>1</v>
      </c>
    </row>
    <row r="1530" spans="1:7" x14ac:dyDescent="0.3">
      <c r="A1530" t="s">
        <v>2703</v>
      </c>
      <c r="B1530">
        <v>5502</v>
      </c>
      <c r="C1530" t="s">
        <v>195</v>
      </c>
      <c r="D1530" t="s">
        <v>133</v>
      </c>
      <c r="E1530" t="s">
        <v>615</v>
      </c>
      <c r="F1530" s="51">
        <v>45138</v>
      </c>
      <c r="G1530" t="s">
        <v>1</v>
      </c>
    </row>
    <row r="1531" spans="1:7" x14ac:dyDescent="0.3">
      <c r="A1531" t="s">
        <v>2703</v>
      </c>
      <c r="B1531">
        <v>5503</v>
      </c>
      <c r="C1531" t="s">
        <v>195</v>
      </c>
      <c r="D1531" t="s">
        <v>1164</v>
      </c>
      <c r="E1531" t="s">
        <v>1165</v>
      </c>
      <c r="F1531" s="51">
        <v>45126</v>
      </c>
      <c r="G1531" t="s">
        <v>1</v>
      </c>
    </row>
    <row r="1532" spans="1:7" x14ac:dyDescent="0.3">
      <c r="A1532" t="s">
        <v>2703</v>
      </c>
      <c r="B1532">
        <v>5504</v>
      </c>
      <c r="C1532" t="s">
        <v>333</v>
      </c>
      <c r="D1532" t="s">
        <v>334</v>
      </c>
      <c r="E1532" t="s">
        <v>335</v>
      </c>
      <c r="F1532" s="51">
        <v>45134</v>
      </c>
      <c r="G1532" t="s">
        <v>3</v>
      </c>
    </row>
    <row r="1533" spans="1:7" x14ac:dyDescent="0.3">
      <c r="A1533" t="s">
        <v>2703</v>
      </c>
      <c r="B1533">
        <v>5505</v>
      </c>
      <c r="C1533" t="s">
        <v>1166</v>
      </c>
      <c r="D1533" t="s">
        <v>782</v>
      </c>
      <c r="E1533" t="s">
        <v>85</v>
      </c>
      <c r="F1533" s="51">
        <v>45128</v>
      </c>
      <c r="G1533" t="s">
        <v>1</v>
      </c>
    </row>
    <row r="1534" spans="1:7" x14ac:dyDescent="0.3">
      <c r="A1534" t="s">
        <v>2703</v>
      </c>
      <c r="B1534">
        <v>5506</v>
      </c>
      <c r="C1534" t="s">
        <v>264</v>
      </c>
      <c r="D1534" t="s">
        <v>63</v>
      </c>
      <c r="E1534" t="s">
        <v>1163</v>
      </c>
      <c r="F1534" s="51">
        <v>45127</v>
      </c>
      <c r="G1534" t="s">
        <v>1</v>
      </c>
    </row>
    <row r="1535" spans="1:7" x14ac:dyDescent="0.3">
      <c r="A1535" t="s">
        <v>2703</v>
      </c>
      <c r="B1535">
        <v>5507</v>
      </c>
      <c r="C1535" t="s">
        <v>333</v>
      </c>
      <c r="D1535" t="s">
        <v>1167</v>
      </c>
      <c r="E1535" t="s">
        <v>1168</v>
      </c>
      <c r="F1535" s="51">
        <v>45137</v>
      </c>
      <c r="G1535" t="s">
        <v>1</v>
      </c>
    </row>
    <row r="1536" spans="1:7" x14ac:dyDescent="0.3">
      <c r="A1536" t="s">
        <v>2703</v>
      </c>
      <c r="B1536">
        <v>5508</v>
      </c>
      <c r="C1536" t="s">
        <v>509</v>
      </c>
      <c r="D1536" t="s">
        <v>440</v>
      </c>
      <c r="E1536" t="s">
        <v>1170</v>
      </c>
      <c r="F1536" s="51">
        <v>45137</v>
      </c>
      <c r="G1536" t="s">
        <v>2</v>
      </c>
    </row>
    <row r="1537" spans="1:7" x14ac:dyDescent="0.3">
      <c r="A1537" t="s">
        <v>2703</v>
      </c>
      <c r="B1537">
        <v>5509</v>
      </c>
      <c r="C1537" t="s">
        <v>509</v>
      </c>
      <c r="D1537" t="s">
        <v>440</v>
      </c>
      <c r="E1537" t="s">
        <v>503</v>
      </c>
      <c r="F1537" s="51">
        <v>45137</v>
      </c>
      <c r="G1537" t="s">
        <v>2</v>
      </c>
    </row>
    <row r="1538" spans="1:7" x14ac:dyDescent="0.3">
      <c r="A1538" t="s">
        <v>2703</v>
      </c>
      <c r="B1538">
        <v>5510</v>
      </c>
      <c r="C1538" t="s">
        <v>1171</v>
      </c>
      <c r="E1538" t="s">
        <v>1172</v>
      </c>
      <c r="F1538" s="51">
        <v>45138</v>
      </c>
      <c r="G1538" t="s">
        <v>1</v>
      </c>
    </row>
    <row r="1539" spans="1:7" x14ac:dyDescent="0.3">
      <c r="A1539" t="s">
        <v>2703</v>
      </c>
      <c r="B1539">
        <v>5511</v>
      </c>
      <c r="C1539" t="s">
        <v>83</v>
      </c>
      <c r="D1539" t="s">
        <v>240</v>
      </c>
      <c r="E1539" t="s">
        <v>1173</v>
      </c>
      <c r="F1539" s="51">
        <v>45146</v>
      </c>
      <c r="G1539" t="s">
        <v>5</v>
      </c>
    </row>
    <row r="1540" spans="1:7" x14ac:dyDescent="0.3">
      <c r="A1540" t="s">
        <v>2703</v>
      </c>
      <c r="B1540">
        <v>5512</v>
      </c>
      <c r="C1540" t="s">
        <v>96</v>
      </c>
      <c r="D1540" t="s">
        <v>179</v>
      </c>
      <c r="E1540" t="s">
        <v>1174</v>
      </c>
      <c r="F1540" s="51">
        <v>45137</v>
      </c>
      <c r="G1540" t="s">
        <v>1</v>
      </c>
    </row>
    <row r="1541" spans="1:7" x14ac:dyDescent="0.3">
      <c r="A1541" t="s">
        <v>2703</v>
      </c>
      <c r="B1541">
        <v>5513</v>
      </c>
      <c r="C1541" t="s">
        <v>1175</v>
      </c>
      <c r="D1541" t="s">
        <v>26</v>
      </c>
      <c r="E1541" t="s">
        <v>27</v>
      </c>
      <c r="F1541" s="51">
        <v>45137</v>
      </c>
      <c r="G1541" t="s">
        <v>1</v>
      </c>
    </row>
    <row r="1542" spans="1:7" x14ac:dyDescent="0.3">
      <c r="A1542" t="s">
        <v>2703</v>
      </c>
      <c r="B1542">
        <v>5514</v>
      </c>
      <c r="C1542" t="s">
        <v>353</v>
      </c>
      <c r="D1542" t="s">
        <v>32</v>
      </c>
      <c r="E1542" t="s">
        <v>423</v>
      </c>
      <c r="F1542" s="51">
        <v>45137</v>
      </c>
      <c r="G1542" t="s">
        <v>5</v>
      </c>
    </row>
    <row r="1543" spans="1:7" x14ac:dyDescent="0.3">
      <c r="A1543" t="s">
        <v>2703</v>
      </c>
      <c r="B1543">
        <v>5515</v>
      </c>
      <c r="C1543" t="s">
        <v>333</v>
      </c>
      <c r="D1543" t="s">
        <v>334</v>
      </c>
      <c r="E1543" t="s">
        <v>176</v>
      </c>
      <c r="F1543" s="51">
        <v>45500</v>
      </c>
      <c r="G1543" t="s">
        <v>3</v>
      </c>
    </row>
    <row r="1544" spans="1:7" x14ac:dyDescent="0.3">
      <c r="A1544" t="s">
        <v>2703</v>
      </c>
      <c r="B1544">
        <v>5516</v>
      </c>
      <c r="C1544" t="s">
        <v>333</v>
      </c>
      <c r="D1544" t="s">
        <v>334</v>
      </c>
      <c r="E1544" t="s">
        <v>255</v>
      </c>
      <c r="F1544" s="51">
        <v>45134</v>
      </c>
      <c r="G1544" t="s">
        <v>3</v>
      </c>
    </row>
    <row r="1545" spans="1:7" x14ac:dyDescent="0.3">
      <c r="A1545" t="s">
        <v>2703</v>
      </c>
      <c r="B1545">
        <v>5517</v>
      </c>
      <c r="C1545" t="s">
        <v>83</v>
      </c>
      <c r="D1545" t="s">
        <v>240</v>
      </c>
      <c r="E1545" t="s">
        <v>1176</v>
      </c>
      <c r="F1545" s="51">
        <v>45137</v>
      </c>
      <c r="G1545" t="s">
        <v>2</v>
      </c>
    </row>
    <row r="1546" spans="1:7" x14ac:dyDescent="0.3">
      <c r="A1546" t="s">
        <v>2703</v>
      </c>
      <c r="B1546">
        <v>5518</v>
      </c>
      <c r="C1546" t="s">
        <v>1117</v>
      </c>
      <c r="D1546" t="s">
        <v>1177</v>
      </c>
      <c r="E1546" t="s">
        <v>1178</v>
      </c>
      <c r="F1546" s="51">
        <v>45134</v>
      </c>
      <c r="G1546" t="s">
        <v>1</v>
      </c>
    </row>
    <row r="1547" spans="1:7" x14ac:dyDescent="0.3">
      <c r="A1547" t="s">
        <v>2703</v>
      </c>
      <c r="B1547">
        <v>5519</v>
      </c>
      <c r="C1547" t="s">
        <v>1179</v>
      </c>
      <c r="D1547" t="s">
        <v>1180</v>
      </c>
      <c r="E1547" t="s">
        <v>1181</v>
      </c>
      <c r="F1547" s="51">
        <v>45128</v>
      </c>
      <c r="G1547" t="s">
        <v>1</v>
      </c>
    </row>
    <row r="1548" spans="1:7" x14ac:dyDescent="0.3">
      <c r="A1548" t="s">
        <v>2703</v>
      </c>
      <c r="B1548">
        <v>5520</v>
      </c>
      <c r="C1548" t="s">
        <v>333</v>
      </c>
      <c r="D1548" t="s">
        <v>32</v>
      </c>
      <c r="E1548" t="s">
        <v>126</v>
      </c>
      <c r="F1548" s="51">
        <v>45127</v>
      </c>
      <c r="G1548" t="s">
        <v>1</v>
      </c>
    </row>
    <row r="1549" spans="1:7" x14ac:dyDescent="0.3">
      <c r="A1549" t="s">
        <v>2703</v>
      </c>
      <c r="B1549">
        <v>5521</v>
      </c>
      <c r="C1549" t="s">
        <v>1106</v>
      </c>
      <c r="D1549" t="s">
        <v>1107</v>
      </c>
      <c r="E1549" t="s">
        <v>1182</v>
      </c>
      <c r="F1549" s="51">
        <v>45128</v>
      </c>
      <c r="G1549" t="s">
        <v>1</v>
      </c>
    </row>
    <row r="1550" spans="1:7" x14ac:dyDescent="0.3">
      <c r="A1550" t="s">
        <v>2703</v>
      </c>
      <c r="B1550">
        <v>5522</v>
      </c>
      <c r="C1550" t="s">
        <v>509</v>
      </c>
      <c r="D1550" t="s">
        <v>440</v>
      </c>
      <c r="E1550" t="s">
        <v>423</v>
      </c>
      <c r="F1550" s="51">
        <v>45137</v>
      </c>
      <c r="G1550" t="s">
        <v>5</v>
      </c>
    </row>
    <row r="1551" spans="1:7" x14ac:dyDescent="0.3">
      <c r="A1551" t="s">
        <v>2703</v>
      </c>
      <c r="B1551">
        <v>5523</v>
      </c>
      <c r="C1551" t="s">
        <v>1183</v>
      </c>
      <c r="D1551" t="s">
        <v>1184</v>
      </c>
      <c r="E1551" t="s">
        <v>1185</v>
      </c>
      <c r="F1551" s="51">
        <v>45169</v>
      </c>
      <c r="G1551" t="s">
        <v>1</v>
      </c>
    </row>
    <row r="1552" spans="1:7" x14ac:dyDescent="0.3">
      <c r="A1552" t="s">
        <v>2703</v>
      </c>
      <c r="B1552">
        <v>5524</v>
      </c>
      <c r="C1552" t="s">
        <v>1186</v>
      </c>
      <c r="D1552" t="s">
        <v>1187</v>
      </c>
      <c r="E1552" t="s">
        <v>1188</v>
      </c>
      <c r="F1552" s="51">
        <v>45137</v>
      </c>
      <c r="G1552" t="s">
        <v>1</v>
      </c>
    </row>
    <row r="1553" spans="1:7" x14ac:dyDescent="0.3">
      <c r="A1553" t="s">
        <v>2703</v>
      </c>
      <c r="B1553">
        <v>5526</v>
      </c>
      <c r="C1553" t="s">
        <v>1189</v>
      </c>
      <c r="D1553" t="s">
        <v>26</v>
      </c>
      <c r="E1553" t="s">
        <v>1190</v>
      </c>
      <c r="F1553" s="51">
        <v>45141</v>
      </c>
      <c r="G1553" t="s">
        <v>1</v>
      </c>
    </row>
    <row r="1554" spans="1:7" x14ac:dyDescent="0.3">
      <c r="A1554" t="s">
        <v>2703</v>
      </c>
      <c r="B1554">
        <v>5527</v>
      </c>
      <c r="C1554" t="s">
        <v>1179</v>
      </c>
      <c r="D1554" t="s">
        <v>1191</v>
      </c>
      <c r="E1554" t="s">
        <v>1192</v>
      </c>
      <c r="F1554" s="51">
        <v>45137</v>
      </c>
      <c r="G1554" t="s">
        <v>1</v>
      </c>
    </row>
    <row r="1555" spans="1:7" x14ac:dyDescent="0.3">
      <c r="A1555" t="s">
        <v>2703</v>
      </c>
      <c r="B1555">
        <v>5528</v>
      </c>
      <c r="C1555" t="s">
        <v>74</v>
      </c>
      <c r="D1555" t="s">
        <v>75</v>
      </c>
      <c r="E1555" t="s">
        <v>383</v>
      </c>
      <c r="F1555" s="51">
        <v>45137</v>
      </c>
      <c r="G1555" t="s">
        <v>1</v>
      </c>
    </row>
    <row r="1556" spans="1:7" x14ac:dyDescent="0.3">
      <c r="A1556" t="s">
        <v>2703</v>
      </c>
      <c r="B1556">
        <v>5529</v>
      </c>
      <c r="C1556" t="s">
        <v>1193</v>
      </c>
      <c r="D1556" t="s">
        <v>1194</v>
      </c>
      <c r="E1556" t="s">
        <v>1195</v>
      </c>
      <c r="F1556" s="51">
        <v>45134</v>
      </c>
      <c r="G1556" t="s">
        <v>1</v>
      </c>
    </row>
    <row r="1557" spans="1:7" x14ac:dyDescent="0.3">
      <c r="A1557" t="s">
        <v>2703</v>
      </c>
      <c r="B1557">
        <v>5530</v>
      </c>
      <c r="C1557" t="s">
        <v>41</v>
      </c>
      <c r="D1557" t="s">
        <v>254</v>
      </c>
      <c r="E1557" t="s">
        <v>98</v>
      </c>
      <c r="F1557" s="51">
        <v>45137</v>
      </c>
      <c r="G1557" t="s">
        <v>4</v>
      </c>
    </row>
    <row r="1558" spans="1:7" x14ac:dyDescent="0.3">
      <c r="A1558" t="s">
        <v>2703</v>
      </c>
      <c r="B1558">
        <v>5531</v>
      </c>
      <c r="C1558" t="s">
        <v>454</v>
      </c>
      <c r="D1558" t="s">
        <v>133</v>
      </c>
      <c r="E1558" t="s">
        <v>403</v>
      </c>
      <c r="F1558" s="51">
        <v>45137</v>
      </c>
      <c r="G1558" t="s">
        <v>1</v>
      </c>
    </row>
    <row r="1559" spans="1:7" x14ac:dyDescent="0.3">
      <c r="A1559" t="s">
        <v>2703</v>
      </c>
      <c r="B1559">
        <v>5532</v>
      </c>
      <c r="C1559" t="s">
        <v>74</v>
      </c>
      <c r="D1559" t="s">
        <v>75</v>
      </c>
      <c r="E1559" t="s">
        <v>145</v>
      </c>
      <c r="F1559" s="51">
        <v>45137</v>
      </c>
      <c r="G1559" t="s">
        <v>3</v>
      </c>
    </row>
    <row r="1560" spans="1:7" x14ac:dyDescent="0.3">
      <c r="A1560" t="s">
        <v>2703</v>
      </c>
      <c r="B1560">
        <v>5533</v>
      </c>
      <c r="C1560" t="s">
        <v>74</v>
      </c>
      <c r="D1560" t="s">
        <v>179</v>
      </c>
      <c r="E1560" t="s">
        <v>85</v>
      </c>
      <c r="F1560" s="51">
        <v>45137</v>
      </c>
      <c r="G1560" t="s">
        <v>3</v>
      </c>
    </row>
    <row r="1561" spans="1:7" x14ac:dyDescent="0.3">
      <c r="A1561" t="s">
        <v>2703</v>
      </c>
      <c r="B1561">
        <v>5534</v>
      </c>
      <c r="C1561" t="s">
        <v>41</v>
      </c>
      <c r="D1561" t="s">
        <v>63</v>
      </c>
      <c r="E1561" t="s">
        <v>495</v>
      </c>
      <c r="F1561" s="51">
        <v>45179</v>
      </c>
      <c r="G1561" t="s">
        <v>4</v>
      </c>
    </row>
    <row r="1562" spans="1:7" x14ac:dyDescent="0.3">
      <c r="A1562" t="s">
        <v>2703</v>
      </c>
      <c r="B1562">
        <v>5535</v>
      </c>
      <c r="C1562" t="s">
        <v>41</v>
      </c>
      <c r="D1562" t="s">
        <v>1196</v>
      </c>
      <c r="E1562" t="s">
        <v>1197</v>
      </c>
      <c r="F1562" s="51">
        <v>45138</v>
      </c>
      <c r="G1562" t="s">
        <v>4</v>
      </c>
    </row>
    <row r="1563" spans="1:7" x14ac:dyDescent="0.3">
      <c r="A1563" t="s">
        <v>2703</v>
      </c>
      <c r="B1563">
        <v>5536</v>
      </c>
      <c r="C1563" t="s">
        <v>1198</v>
      </c>
      <c r="E1563" t="s">
        <v>1100</v>
      </c>
      <c r="F1563" s="51">
        <v>45137</v>
      </c>
      <c r="G1563" t="s">
        <v>1</v>
      </c>
    </row>
    <row r="1564" spans="1:7" x14ac:dyDescent="0.3">
      <c r="A1564" t="s">
        <v>2703</v>
      </c>
      <c r="B1564">
        <v>5537</v>
      </c>
      <c r="C1564" t="s">
        <v>220</v>
      </c>
      <c r="D1564" t="s">
        <v>1199</v>
      </c>
      <c r="E1564" t="s">
        <v>85</v>
      </c>
      <c r="F1564" s="51">
        <v>45166</v>
      </c>
      <c r="G1564" t="s">
        <v>1</v>
      </c>
    </row>
    <row r="1565" spans="1:7" x14ac:dyDescent="0.3">
      <c r="A1565" t="s">
        <v>2703</v>
      </c>
      <c r="B1565">
        <v>5538</v>
      </c>
      <c r="C1565" t="s">
        <v>220</v>
      </c>
      <c r="D1565" t="s">
        <v>1200</v>
      </c>
      <c r="E1565" t="s">
        <v>85</v>
      </c>
      <c r="F1565" s="51">
        <v>45169</v>
      </c>
      <c r="G1565" t="s">
        <v>1</v>
      </c>
    </row>
    <row r="1566" spans="1:7" x14ac:dyDescent="0.3">
      <c r="A1566" t="s">
        <v>2703</v>
      </c>
      <c r="B1566">
        <v>5539</v>
      </c>
      <c r="C1566" t="s">
        <v>1201</v>
      </c>
      <c r="D1566" t="s">
        <v>1202</v>
      </c>
      <c r="E1566" t="s">
        <v>159</v>
      </c>
      <c r="F1566" s="51">
        <v>45169</v>
      </c>
      <c r="G1566" t="s">
        <v>1</v>
      </c>
    </row>
    <row r="1567" spans="1:7" x14ac:dyDescent="0.3">
      <c r="A1567" t="s">
        <v>2703</v>
      </c>
      <c r="B1567">
        <v>5540</v>
      </c>
      <c r="C1567" t="s">
        <v>1162</v>
      </c>
      <c r="D1567" t="s">
        <v>217</v>
      </c>
      <c r="E1567" t="s">
        <v>159</v>
      </c>
      <c r="F1567" s="51">
        <v>45137</v>
      </c>
      <c r="G1567" t="s">
        <v>3</v>
      </c>
    </row>
    <row r="1568" spans="1:7" x14ac:dyDescent="0.3">
      <c r="A1568" t="s">
        <v>2703</v>
      </c>
      <c r="B1568">
        <v>5541</v>
      </c>
      <c r="C1568" t="s">
        <v>239</v>
      </c>
      <c r="D1568" t="s">
        <v>1203</v>
      </c>
      <c r="E1568" t="s">
        <v>1204</v>
      </c>
      <c r="F1568" s="51">
        <v>45280</v>
      </c>
      <c r="G1568" t="s">
        <v>1</v>
      </c>
    </row>
    <row r="1569" spans="1:7" x14ac:dyDescent="0.3">
      <c r="A1569" t="s">
        <v>2703</v>
      </c>
      <c r="B1569">
        <v>5658</v>
      </c>
      <c r="C1569" t="s">
        <v>1205</v>
      </c>
      <c r="D1569" t="s">
        <v>1206</v>
      </c>
      <c r="E1569" t="s">
        <v>1207</v>
      </c>
      <c r="F1569" s="51">
        <v>45579</v>
      </c>
      <c r="G1569" t="s">
        <v>1</v>
      </c>
    </row>
    <row r="1570" spans="1:7" x14ac:dyDescent="0.3">
      <c r="A1570" t="s">
        <v>2703</v>
      </c>
      <c r="B1570">
        <v>5665</v>
      </c>
      <c r="C1570" t="s">
        <v>1208</v>
      </c>
      <c r="D1570" t="s">
        <v>1209</v>
      </c>
      <c r="E1570" t="s">
        <v>1210</v>
      </c>
      <c r="F1570" s="99">
        <v>45510.521817129629</v>
      </c>
      <c r="G1570" t="s">
        <v>1</v>
      </c>
    </row>
    <row r="1571" spans="1:7" x14ac:dyDescent="0.3">
      <c r="A1571" t="s">
        <v>2703</v>
      </c>
      <c r="B1571">
        <v>5675</v>
      </c>
      <c r="C1571" t="s">
        <v>1071</v>
      </c>
      <c r="D1571" t="s">
        <v>277</v>
      </c>
      <c r="E1571" t="s">
        <v>172</v>
      </c>
      <c r="F1571" s="51">
        <v>45576</v>
      </c>
      <c r="G1571" t="s">
        <v>1</v>
      </c>
    </row>
    <row r="1572" spans="1:7" x14ac:dyDescent="0.3">
      <c r="A1572" t="s">
        <v>2703</v>
      </c>
      <c r="B1572">
        <v>5681</v>
      </c>
      <c r="C1572" t="s">
        <v>1186</v>
      </c>
      <c r="D1572" t="s">
        <v>1211</v>
      </c>
      <c r="E1572" t="s">
        <v>1197</v>
      </c>
      <c r="F1572" s="51">
        <v>45579</v>
      </c>
      <c r="G1572" t="s">
        <v>1</v>
      </c>
    </row>
    <row r="1573" spans="1:7" x14ac:dyDescent="0.3">
      <c r="A1573" t="s">
        <v>2703</v>
      </c>
      <c r="B1573">
        <v>5711</v>
      </c>
      <c r="C1573" t="s">
        <v>1212</v>
      </c>
      <c r="D1573" t="s">
        <v>1213</v>
      </c>
      <c r="E1573" t="s">
        <v>98</v>
      </c>
      <c r="F1573" s="51">
        <v>45475</v>
      </c>
      <c r="G1573" t="s">
        <v>4</v>
      </c>
    </row>
    <row r="1574" spans="1:7" x14ac:dyDescent="0.3">
      <c r="A1574" t="s">
        <v>2703</v>
      </c>
      <c r="B1574">
        <v>5717</v>
      </c>
      <c r="C1574" t="s">
        <v>1106</v>
      </c>
      <c r="D1574" t="s">
        <v>1214</v>
      </c>
      <c r="E1574" t="s">
        <v>801</v>
      </c>
      <c r="F1574" s="51">
        <v>45454</v>
      </c>
      <c r="G1574" t="s">
        <v>1</v>
      </c>
    </row>
    <row r="1575" spans="1:7" x14ac:dyDescent="0.3">
      <c r="A1575" t="s">
        <v>2703</v>
      </c>
      <c r="B1575">
        <v>5722</v>
      </c>
      <c r="C1575" t="s">
        <v>1212</v>
      </c>
      <c r="D1575" t="s">
        <v>1215</v>
      </c>
      <c r="E1575" t="s">
        <v>415</v>
      </c>
      <c r="F1575" s="51">
        <v>45498</v>
      </c>
      <c r="G1575" t="s">
        <v>1</v>
      </c>
    </row>
    <row r="1576" spans="1:7" x14ac:dyDescent="0.3">
      <c r="A1576" t="s">
        <v>2703</v>
      </c>
      <c r="B1576">
        <v>5744</v>
      </c>
      <c r="C1576" t="s">
        <v>220</v>
      </c>
      <c r="D1576" t="s">
        <v>1216</v>
      </c>
      <c r="E1576" t="s">
        <v>731</v>
      </c>
      <c r="F1576" s="51">
        <v>45551</v>
      </c>
      <c r="G1576" t="s">
        <v>1</v>
      </c>
    </row>
    <row r="1577" spans="1:7" x14ac:dyDescent="0.3">
      <c r="A1577" t="s">
        <v>2703</v>
      </c>
      <c r="B1577">
        <v>5745</v>
      </c>
      <c r="C1577" t="s">
        <v>1217</v>
      </c>
      <c r="E1577" t="s">
        <v>1218</v>
      </c>
      <c r="F1577" s="51">
        <v>45454</v>
      </c>
    </row>
    <row r="1578" spans="1:7" x14ac:dyDescent="0.3">
      <c r="A1578" t="s">
        <v>2703</v>
      </c>
      <c r="B1578">
        <v>5747</v>
      </c>
      <c r="C1578" t="s">
        <v>1219</v>
      </c>
      <c r="D1578" t="s">
        <v>140</v>
      </c>
      <c r="E1578" t="s">
        <v>55</v>
      </c>
      <c r="F1578" s="51">
        <v>45454</v>
      </c>
    </row>
    <row r="1579" spans="1:7" x14ac:dyDescent="0.3">
      <c r="A1579" t="s">
        <v>2703</v>
      </c>
      <c r="B1579">
        <v>5754</v>
      </c>
      <c r="C1579" t="s">
        <v>509</v>
      </c>
      <c r="D1579" t="s">
        <v>568</v>
      </c>
      <c r="E1579" t="s">
        <v>145</v>
      </c>
      <c r="F1579" s="51">
        <v>45391</v>
      </c>
      <c r="G1579" t="s">
        <v>1</v>
      </c>
    </row>
    <row r="1580" spans="1:7" x14ac:dyDescent="0.3">
      <c r="A1580" t="s">
        <v>2703</v>
      </c>
      <c r="B1580">
        <v>5755</v>
      </c>
      <c r="C1580" t="s">
        <v>919</v>
      </c>
      <c r="D1580" t="s">
        <v>179</v>
      </c>
    </row>
    <row r="1581" spans="1:7" x14ac:dyDescent="0.3">
      <c r="A1581" t="s">
        <v>2703</v>
      </c>
      <c r="B1581">
        <v>5756</v>
      </c>
      <c r="C1581" t="s">
        <v>509</v>
      </c>
      <c r="D1581" t="s">
        <v>227</v>
      </c>
      <c r="E1581" t="s">
        <v>1220</v>
      </c>
      <c r="F1581" s="51">
        <v>45476</v>
      </c>
      <c r="G1581" t="s">
        <v>2</v>
      </c>
    </row>
    <row r="1582" spans="1:7" x14ac:dyDescent="0.3">
      <c r="A1582" t="s">
        <v>2703</v>
      </c>
      <c r="B1582">
        <v>5757</v>
      </c>
      <c r="C1582" t="s">
        <v>333</v>
      </c>
      <c r="D1582" t="s">
        <v>1164</v>
      </c>
      <c r="E1582" t="s">
        <v>1221</v>
      </c>
      <c r="F1582" s="51">
        <v>45392</v>
      </c>
      <c r="G1582" t="s">
        <v>2</v>
      </c>
    </row>
    <row r="1583" spans="1:7" x14ac:dyDescent="0.3">
      <c r="A1583" t="s">
        <v>2703</v>
      </c>
      <c r="B1583">
        <v>5758</v>
      </c>
      <c r="C1583" t="s">
        <v>1222</v>
      </c>
      <c r="D1583" t="s">
        <v>133</v>
      </c>
      <c r="E1583" t="s">
        <v>1223</v>
      </c>
      <c r="F1583" s="51">
        <v>45390</v>
      </c>
      <c r="G1583" t="s">
        <v>2</v>
      </c>
    </row>
    <row r="1584" spans="1:7" x14ac:dyDescent="0.3">
      <c r="A1584" t="s">
        <v>2703</v>
      </c>
      <c r="B1584">
        <v>5759</v>
      </c>
      <c r="C1584" t="s">
        <v>1224</v>
      </c>
      <c r="E1584" t="s">
        <v>738</v>
      </c>
      <c r="F1584" s="51">
        <v>45390</v>
      </c>
      <c r="G1584" t="s">
        <v>1</v>
      </c>
    </row>
    <row r="1585" spans="1:7" x14ac:dyDescent="0.3">
      <c r="A1585" t="s">
        <v>2703</v>
      </c>
      <c r="B1585">
        <v>5760</v>
      </c>
      <c r="C1585" t="s">
        <v>1225</v>
      </c>
      <c r="D1585" t="s">
        <v>1226</v>
      </c>
      <c r="E1585" t="s">
        <v>615</v>
      </c>
      <c r="F1585" s="51">
        <v>45390</v>
      </c>
      <c r="G1585" t="s">
        <v>1</v>
      </c>
    </row>
    <row r="1586" spans="1:7" x14ac:dyDescent="0.3">
      <c r="A1586" t="s">
        <v>2703</v>
      </c>
      <c r="B1586">
        <v>5761</v>
      </c>
      <c r="C1586" t="s">
        <v>1227</v>
      </c>
      <c r="D1586" t="s">
        <v>1228</v>
      </c>
      <c r="E1586" t="s">
        <v>401</v>
      </c>
      <c r="F1586" s="51">
        <v>45390</v>
      </c>
      <c r="G1586" t="s">
        <v>1</v>
      </c>
    </row>
    <row r="1587" spans="1:7" x14ac:dyDescent="0.3">
      <c r="A1587" t="s">
        <v>2703</v>
      </c>
      <c r="B1587">
        <v>5762</v>
      </c>
      <c r="C1587" t="s">
        <v>1229</v>
      </c>
      <c r="D1587" t="s">
        <v>1230</v>
      </c>
      <c r="E1587" t="s">
        <v>145</v>
      </c>
      <c r="F1587" s="51">
        <v>45398</v>
      </c>
      <c r="G1587" t="s">
        <v>1</v>
      </c>
    </row>
    <row r="1588" spans="1:7" x14ac:dyDescent="0.3">
      <c r="A1588" t="s">
        <v>2703</v>
      </c>
      <c r="B1588">
        <v>5763</v>
      </c>
      <c r="C1588" t="s">
        <v>1171</v>
      </c>
      <c r="E1588" t="s">
        <v>1231</v>
      </c>
      <c r="F1588" s="51">
        <v>45397</v>
      </c>
      <c r="G1588" t="s">
        <v>1</v>
      </c>
    </row>
    <row r="1589" spans="1:7" x14ac:dyDescent="0.3">
      <c r="A1589" t="s">
        <v>2703</v>
      </c>
      <c r="B1589">
        <v>5764</v>
      </c>
      <c r="C1589" t="s">
        <v>1232</v>
      </c>
      <c r="D1589" t="s">
        <v>1233</v>
      </c>
      <c r="F1589" s="51">
        <v>45397</v>
      </c>
      <c r="G1589" t="s">
        <v>1</v>
      </c>
    </row>
    <row r="1590" spans="1:7" x14ac:dyDescent="0.3">
      <c r="A1590" t="s">
        <v>2703</v>
      </c>
      <c r="B1590">
        <v>5765</v>
      </c>
      <c r="C1590" t="s">
        <v>1234</v>
      </c>
      <c r="D1590" t="s">
        <v>1235</v>
      </c>
      <c r="F1590" s="51">
        <v>45398</v>
      </c>
      <c r="G1590" t="s">
        <v>1</v>
      </c>
    </row>
    <row r="1591" spans="1:7" x14ac:dyDescent="0.3">
      <c r="A1591" t="s">
        <v>2703</v>
      </c>
      <c r="B1591">
        <v>5766</v>
      </c>
      <c r="C1591" t="s">
        <v>1236</v>
      </c>
      <c r="D1591" t="s">
        <v>125</v>
      </c>
      <c r="E1591" t="s">
        <v>1237</v>
      </c>
      <c r="F1591" s="51">
        <v>45408</v>
      </c>
      <c r="G1591" t="s">
        <v>1</v>
      </c>
    </row>
    <row r="1592" spans="1:7" x14ac:dyDescent="0.3">
      <c r="A1592" t="s">
        <v>2703</v>
      </c>
      <c r="B1592">
        <v>5767</v>
      </c>
      <c r="C1592" t="s">
        <v>702</v>
      </c>
      <c r="D1592" t="s">
        <v>1238</v>
      </c>
      <c r="E1592" t="s">
        <v>1239</v>
      </c>
      <c r="F1592" s="51">
        <v>45446</v>
      </c>
      <c r="G1592" t="s">
        <v>2</v>
      </c>
    </row>
    <row r="1593" spans="1:7" x14ac:dyDescent="0.3">
      <c r="A1593" t="s">
        <v>2703</v>
      </c>
      <c r="B1593">
        <v>5768</v>
      </c>
      <c r="C1593" t="s">
        <v>1240</v>
      </c>
      <c r="D1593" t="s">
        <v>1180</v>
      </c>
      <c r="E1593" t="s">
        <v>72</v>
      </c>
      <c r="F1593" s="51">
        <v>45441</v>
      </c>
      <c r="G1593" t="s">
        <v>1</v>
      </c>
    </row>
    <row r="1594" spans="1:7" x14ac:dyDescent="0.3">
      <c r="A1594" t="s">
        <v>2703</v>
      </c>
      <c r="B1594">
        <v>5769</v>
      </c>
      <c r="C1594" t="s">
        <v>333</v>
      </c>
      <c r="D1594" t="s">
        <v>1167</v>
      </c>
      <c r="E1594" t="s">
        <v>662</v>
      </c>
      <c r="F1594" s="51">
        <v>45408</v>
      </c>
      <c r="G1594" t="s">
        <v>1</v>
      </c>
    </row>
    <row r="1595" spans="1:7" x14ac:dyDescent="0.3">
      <c r="A1595" t="s">
        <v>2703</v>
      </c>
      <c r="B1595">
        <v>5770</v>
      </c>
      <c r="C1595" t="s">
        <v>1241</v>
      </c>
      <c r="D1595" t="s">
        <v>249</v>
      </c>
      <c r="E1595" t="s">
        <v>1242</v>
      </c>
      <c r="F1595" s="51">
        <v>45397</v>
      </c>
      <c r="G1595" t="s">
        <v>1</v>
      </c>
    </row>
    <row r="1596" spans="1:7" x14ac:dyDescent="0.3">
      <c r="A1596" t="s">
        <v>2703</v>
      </c>
      <c r="B1596">
        <v>5771</v>
      </c>
      <c r="C1596" t="s">
        <v>1243</v>
      </c>
      <c r="D1596" t="s">
        <v>293</v>
      </c>
      <c r="E1596" t="s">
        <v>1244</v>
      </c>
      <c r="F1596" s="51">
        <v>45397</v>
      </c>
      <c r="G1596" t="s">
        <v>1</v>
      </c>
    </row>
    <row r="1597" spans="1:7" x14ac:dyDescent="0.3">
      <c r="A1597" t="s">
        <v>2703</v>
      </c>
      <c r="B1597">
        <v>5772</v>
      </c>
      <c r="C1597" t="s">
        <v>1245</v>
      </c>
      <c r="D1597" t="s">
        <v>299</v>
      </c>
      <c r="E1597" t="s">
        <v>1246</v>
      </c>
      <c r="F1597" s="51">
        <v>45398</v>
      </c>
      <c r="G1597" t="s">
        <v>1</v>
      </c>
    </row>
    <row r="1598" spans="1:7" x14ac:dyDescent="0.3">
      <c r="A1598" t="s">
        <v>2703</v>
      </c>
      <c r="B1598">
        <v>5773</v>
      </c>
      <c r="C1598" t="s">
        <v>1247</v>
      </c>
      <c r="D1598" t="s">
        <v>287</v>
      </c>
      <c r="E1598" t="s">
        <v>1248</v>
      </c>
      <c r="F1598" s="51">
        <v>45398</v>
      </c>
      <c r="G1598" t="s">
        <v>1</v>
      </c>
    </row>
    <row r="1599" spans="1:7" x14ac:dyDescent="0.3">
      <c r="A1599" t="s">
        <v>2703</v>
      </c>
      <c r="B1599">
        <v>5774</v>
      </c>
      <c r="C1599" t="s">
        <v>205</v>
      </c>
      <c r="D1599" t="s">
        <v>106</v>
      </c>
      <c r="E1599" t="s">
        <v>80</v>
      </c>
      <c r="F1599" s="51">
        <v>45405</v>
      </c>
      <c r="G1599" t="s">
        <v>1</v>
      </c>
    </row>
    <row r="1600" spans="1:7" x14ac:dyDescent="0.3">
      <c r="A1600" t="s">
        <v>2703</v>
      </c>
      <c r="B1600">
        <v>5775</v>
      </c>
      <c r="C1600" t="s">
        <v>36</v>
      </c>
      <c r="D1600" t="s">
        <v>240</v>
      </c>
      <c r="E1600" t="s">
        <v>1249</v>
      </c>
      <c r="F1600" s="51">
        <v>45455</v>
      </c>
      <c r="G1600" t="s">
        <v>2</v>
      </c>
    </row>
    <row r="1601" spans="1:7" x14ac:dyDescent="0.3">
      <c r="A1601" t="s">
        <v>2703</v>
      </c>
      <c r="B1601">
        <v>5776</v>
      </c>
      <c r="C1601" t="s">
        <v>220</v>
      </c>
      <c r="D1601" t="s">
        <v>1233</v>
      </c>
      <c r="E1601" t="s">
        <v>461</v>
      </c>
      <c r="F1601" s="51">
        <v>45429</v>
      </c>
      <c r="G1601" t="s">
        <v>1</v>
      </c>
    </row>
    <row r="1602" spans="1:7" x14ac:dyDescent="0.3">
      <c r="A1602" t="s">
        <v>2703</v>
      </c>
      <c r="B1602">
        <v>5777</v>
      </c>
      <c r="C1602" t="s">
        <v>1250</v>
      </c>
      <c r="D1602" t="s">
        <v>1251</v>
      </c>
      <c r="E1602" t="s">
        <v>1252</v>
      </c>
      <c r="F1602" s="51">
        <v>45408</v>
      </c>
      <c r="G1602" t="s">
        <v>4</v>
      </c>
    </row>
    <row r="1603" spans="1:7" x14ac:dyDescent="0.3">
      <c r="A1603" t="s">
        <v>2703</v>
      </c>
      <c r="B1603">
        <v>5778</v>
      </c>
      <c r="C1603" t="s">
        <v>1243</v>
      </c>
      <c r="D1603" t="s">
        <v>148</v>
      </c>
      <c r="E1603" t="s">
        <v>1253</v>
      </c>
      <c r="F1603" s="51">
        <v>45419</v>
      </c>
      <c r="G1603" t="s">
        <v>1</v>
      </c>
    </row>
    <row r="1604" spans="1:7" x14ac:dyDescent="0.3">
      <c r="A1604" t="s">
        <v>2703</v>
      </c>
      <c r="B1604">
        <v>5779</v>
      </c>
      <c r="C1604" t="s">
        <v>195</v>
      </c>
      <c r="D1604" t="s">
        <v>133</v>
      </c>
      <c r="E1604" t="s">
        <v>1254</v>
      </c>
      <c r="F1604" s="51">
        <v>45411</v>
      </c>
      <c r="G1604" t="s">
        <v>1</v>
      </c>
    </row>
    <row r="1605" spans="1:7" x14ac:dyDescent="0.3">
      <c r="A1605" t="s">
        <v>2703</v>
      </c>
      <c r="B1605">
        <v>5780</v>
      </c>
      <c r="C1605" t="s">
        <v>1234</v>
      </c>
      <c r="D1605" t="s">
        <v>94</v>
      </c>
      <c r="E1605" t="s">
        <v>1255</v>
      </c>
      <c r="F1605" s="51">
        <v>45425</v>
      </c>
      <c r="G1605" t="s">
        <v>1</v>
      </c>
    </row>
    <row r="1606" spans="1:7" x14ac:dyDescent="0.3">
      <c r="A1606" t="s">
        <v>2703</v>
      </c>
      <c r="B1606">
        <v>5781</v>
      </c>
      <c r="C1606" t="s">
        <v>74</v>
      </c>
      <c r="D1606" t="s">
        <v>367</v>
      </c>
      <c r="E1606" t="s">
        <v>1256</v>
      </c>
      <c r="F1606" s="51">
        <v>45408</v>
      </c>
      <c r="G1606" t="s">
        <v>2</v>
      </c>
    </row>
    <row r="1607" spans="1:7" x14ac:dyDescent="0.3">
      <c r="A1607" t="s">
        <v>2703</v>
      </c>
      <c r="B1607">
        <v>5782</v>
      </c>
      <c r="C1607" t="s">
        <v>1257</v>
      </c>
      <c r="D1607" t="s">
        <v>453</v>
      </c>
      <c r="E1607" t="s">
        <v>1258</v>
      </c>
      <c r="F1607" s="51">
        <v>45411</v>
      </c>
      <c r="G1607" t="s">
        <v>1</v>
      </c>
    </row>
    <row r="1608" spans="1:7" x14ac:dyDescent="0.3">
      <c r="A1608" t="s">
        <v>2703</v>
      </c>
      <c r="B1608">
        <v>5783</v>
      </c>
      <c r="C1608" t="s">
        <v>1229</v>
      </c>
      <c r="D1608" t="s">
        <v>200</v>
      </c>
      <c r="E1608" t="s">
        <v>145</v>
      </c>
      <c r="F1608" s="51">
        <v>45411</v>
      </c>
      <c r="G1608" t="s">
        <v>1</v>
      </c>
    </row>
    <row r="1609" spans="1:7" x14ac:dyDescent="0.3">
      <c r="A1609" t="s">
        <v>2703</v>
      </c>
      <c r="B1609">
        <v>5784</v>
      </c>
      <c r="C1609" t="s">
        <v>96</v>
      </c>
      <c r="D1609" t="s">
        <v>1259</v>
      </c>
      <c r="E1609" t="s">
        <v>121</v>
      </c>
      <c r="F1609" s="51">
        <v>45411</v>
      </c>
      <c r="G1609" t="s">
        <v>4</v>
      </c>
    </row>
    <row r="1610" spans="1:7" x14ac:dyDescent="0.3">
      <c r="A1610" t="s">
        <v>2703</v>
      </c>
      <c r="B1610">
        <v>5785</v>
      </c>
      <c r="C1610" t="s">
        <v>96</v>
      </c>
      <c r="D1610" t="s">
        <v>94</v>
      </c>
      <c r="E1610" t="s">
        <v>1260</v>
      </c>
      <c r="F1610" s="51">
        <v>45411</v>
      </c>
      <c r="G1610" t="s">
        <v>1</v>
      </c>
    </row>
    <row r="1611" spans="1:7" x14ac:dyDescent="0.3">
      <c r="A1611" t="s">
        <v>2703</v>
      </c>
      <c r="B1611">
        <v>5786</v>
      </c>
      <c r="C1611" t="s">
        <v>1106</v>
      </c>
      <c r="D1611" t="s">
        <v>453</v>
      </c>
      <c r="E1611" t="s">
        <v>1261</v>
      </c>
      <c r="F1611" s="51">
        <v>45411</v>
      </c>
      <c r="G1611" t="s">
        <v>1</v>
      </c>
    </row>
    <row r="1612" spans="1:7" x14ac:dyDescent="0.3">
      <c r="A1612" t="s">
        <v>2703</v>
      </c>
      <c r="B1612">
        <v>5787</v>
      </c>
      <c r="C1612" t="s">
        <v>1212</v>
      </c>
      <c r="D1612" t="s">
        <v>1213</v>
      </c>
      <c r="E1612" t="s">
        <v>1262</v>
      </c>
      <c r="F1612" s="51">
        <v>45443</v>
      </c>
      <c r="G1612" t="s">
        <v>2</v>
      </c>
    </row>
    <row r="1613" spans="1:7" x14ac:dyDescent="0.3">
      <c r="A1613" t="s">
        <v>2703</v>
      </c>
      <c r="B1613">
        <v>5788</v>
      </c>
      <c r="C1613" t="s">
        <v>1234</v>
      </c>
      <c r="E1613" t="s">
        <v>185</v>
      </c>
      <c r="F1613" s="51">
        <v>45411</v>
      </c>
      <c r="G1613" t="s">
        <v>1</v>
      </c>
    </row>
    <row r="1614" spans="1:7" x14ac:dyDescent="0.3">
      <c r="A1614" t="s">
        <v>2703</v>
      </c>
      <c r="B1614">
        <v>5789</v>
      </c>
      <c r="C1614" t="s">
        <v>1263</v>
      </c>
      <c r="D1614" t="s">
        <v>50</v>
      </c>
      <c r="E1614" t="s">
        <v>1264</v>
      </c>
      <c r="F1614" s="51">
        <v>45419</v>
      </c>
      <c r="G1614" t="s">
        <v>1</v>
      </c>
    </row>
    <row r="1615" spans="1:7" x14ac:dyDescent="0.3">
      <c r="A1615" t="s">
        <v>2703</v>
      </c>
      <c r="B1615">
        <v>5790</v>
      </c>
      <c r="C1615" t="s">
        <v>1265</v>
      </c>
      <c r="D1615" t="s">
        <v>1266</v>
      </c>
      <c r="E1615" t="s">
        <v>1267</v>
      </c>
      <c r="F1615" s="51">
        <v>45419</v>
      </c>
      <c r="G1615" t="s">
        <v>1</v>
      </c>
    </row>
    <row r="1616" spans="1:7" x14ac:dyDescent="0.3">
      <c r="A1616" t="s">
        <v>2703</v>
      </c>
      <c r="B1616">
        <v>5791</v>
      </c>
      <c r="C1616" t="s">
        <v>1268</v>
      </c>
      <c r="D1616" t="s">
        <v>540</v>
      </c>
      <c r="E1616" t="s">
        <v>1269</v>
      </c>
      <c r="F1616" s="51">
        <v>45419</v>
      </c>
      <c r="G1616" t="s">
        <v>1</v>
      </c>
    </row>
    <row r="1617" spans="1:7" x14ac:dyDescent="0.3">
      <c r="A1617" t="s">
        <v>2703</v>
      </c>
      <c r="B1617">
        <v>5792</v>
      </c>
      <c r="C1617" t="s">
        <v>1270</v>
      </c>
      <c r="D1617" t="s">
        <v>1228</v>
      </c>
      <c r="E1617" t="s">
        <v>1271</v>
      </c>
      <c r="F1617" s="99">
        <v>45511.448240740741</v>
      </c>
      <c r="G1617" t="s">
        <v>1</v>
      </c>
    </row>
    <row r="1618" spans="1:7" x14ac:dyDescent="0.3">
      <c r="A1618" t="s">
        <v>2703</v>
      </c>
      <c r="B1618">
        <v>5793</v>
      </c>
      <c r="C1618" t="s">
        <v>1272</v>
      </c>
      <c r="E1618" t="s">
        <v>1273</v>
      </c>
      <c r="F1618" s="51">
        <v>45467</v>
      </c>
      <c r="G1618" t="s">
        <v>1</v>
      </c>
    </row>
    <row r="1619" spans="1:7" x14ac:dyDescent="0.3">
      <c r="A1619" t="s">
        <v>2703</v>
      </c>
      <c r="B1619">
        <v>5794</v>
      </c>
      <c r="C1619" t="s">
        <v>1274</v>
      </c>
      <c r="D1619" t="s">
        <v>442</v>
      </c>
      <c r="E1619" t="s">
        <v>30</v>
      </c>
      <c r="F1619" s="51">
        <v>45419</v>
      </c>
      <c r="G1619" t="s">
        <v>1</v>
      </c>
    </row>
    <row r="1620" spans="1:7" x14ac:dyDescent="0.3">
      <c r="A1620" t="s">
        <v>2703</v>
      </c>
      <c r="B1620">
        <v>5795</v>
      </c>
      <c r="C1620" t="s">
        <v>1275</v>
      </c>
      <c r="E1620" t="s">
        <v>27</v>
      </c>
      <c r="F1620" s="51">
        <v>45419</v>
      </c>
      <c r="G1620" t="s">
        <v>1</v>
      </c>
    </row>
    <row r="1621" spans="1:7" x14ac:dyDescent="0.3">
      <c r="A1621" t="s">
        <v>2703</v>
      </c>
      <c r="B1621">
        <v>5796</v>
      </c>
      <c r="C1621" t="s">
        <v>1276</v>
      </c>
      <c r="D1621" t="s">
        <v>1277</v>
      </c>
      <c r="E1621" t="s">
        <v>1278</v>
      </c>
      <c r="F1621" s="51">
        <v>45419</v>
      </c>
      <c r="G1621" t="s">
        <v>1</v>
      </c>
    </row>
    <row r="1622" spans="1:7" x14ac:dyDescent="0.3">
      <c r="A1622" t="s">
        <v>2703</v>
      </c>
      <c r="B1622">
        <v>5798</v>
      </c>
      <c r="C1622" t="s">
        <v>1040</v>
      </c>
      <c r="D1622" t="s">
        <v>1279</v>
      </c>
      <c r="E1622" t="s">
        <v>1280</v>
      </c>
      <c r="F1622" s="51">
        <v>45419</v>
      </c>
      <c r="G1622" t="s">
        <v>1</v>
      </c>
    </row>
    <row r="1623" spans="1:7" x14ac:dyDescent="0.3">
      <c r="A1623" t="s">
        <v>2703</v>
      </c>
      <c r="B1623">
        <v>5799</v>
      </c>
      <c r="C1623" t="s">
        <v>1281</v>
      </c>
      <c r="D1623" t="s">
        <v>1282</v>
      </c>
      <c r="F1623" s="51">
        <v>45434</v>
      </c>
      <c r="G1623" t="s">
        <v>1</v>
      </c>
    </row>
    <row r="1624" spans="1:7" x14ac:dyDescent="0.3">
      <c r="A1624" t="s">
        <v>2703</v>
      </c>
      <c r="B1624">
        <v>5802</v>
      </c>
      <c r="C1624" t="s">
        <v>1283</v>
      </c>
      <c r="E1624" t="s">
        <v>1284</v>
      </c>
      <c r="F1624" s="51">
        <v>45433</v>
      </c>
      <c r="G1624" t="s">
        <v>1</v>
      </c>
    </row>
    <row r="1625" spans="1:7" x14ac:dyDescent="0.3">
      <c r="A1625" t="s">
        <v>2703</v>
      </c>
      <c r="B1625">
        <v>5803</v>
      </c>
      <c r="C1625" t="s">
        <v>1247</v>
      </c>
      <c r="D1625" t="s">
        <v>249</v>
      </c>
      <c r="E1625" t="s">
        <v>1285</v>
      </c>
      <c r="F1625" s="51">
        <v>45454</v>
      </c>
      <c r="G1625" t="s">
        <v>1</v>
      </c>
    </row>
    <row r="1626" spans="1:7" x14ac:dyDescent="0.3">
      <c r="A1626" t="s">
        <v>2703</v>
      </c>
      <c r="B1626">
        <v>5804</v>
      </c>
      <c r="C1626" t="s">
        <v>1286</v>
      </c>
      <c r="D1626" t="s">
        <v>240</v>
      </c>
      <c r="E1626" t="s">
        <v>98</v>
      </c>
      <c r="F1626" s="51">
        <v>45446</v>
      </c>
      <c r="G1626" t="s">
        <v>4</v>
      </c>
    </row>
    <row r="1627" spans="1:7" x14ac:dyDescent="0.3">
      <c r="A1627" t="s">
        <v>2703</v>
      </c>
      <c r="B1627">
        <v>5805</v>
      </c>
      <c r="C1627" t="s">
        <v>274</v>
      </c>
      <c r="D1627" t="s">
        <v>1287</v>
      </c>
      <c r="E1627" t="s">
        <v>403</v>
      </c>
      <c r="F1627" s="51">
        <v>45404</v>
      </c>
      <c r="G1627" t="s">
        <v>1</v>
      </c>
    </row>
    <row r="1628" spans="1:7" x14ac:dyDescent="0.3">
      <c r="A1628" t="s">
        <v>2703</v>
      </c>
      <c r="B1628">
        <v>5806</v>
      </c>
      <c r="C1628" t="s">
        <v>1288</v>
      </c>
      <c r="D1628" t="s">
        <v>179</v>
      </c>
      <c r="F1628" s="51">
        <v>45404</v>
      </c>
      <c r="G1628" t="s">
        <v>1</v>
      </c>
    </row>
    <row r="1629" spans="1:7" x14ac:dyDescent="0.3">
      <c r="A1629" t="s">
        <v>2703</v>
      </c>
      <c r="B1629">
        <v>5807</v>
      </c>
      <c r="C1629" t="s">
        <v>1225</v>
      </c>
      <c r="D1629" t="s">
        <v>1226</v>
      </c>
      <c r="E1629" t="s">
        <v>176</v>
      </c>
      <c r="F1629" s="51">
        <v>45558</v>
      </c>
      <c r="G1629" t="s">
        <v>1</v>
      </c>
    </row>
    <row r="1630" spans="1:7" x14ac:dyDescent="0.3">
      <c r="A1630" t="s">
        <v>2703</v>
      </c>
      <c r="B1630">
        <v>5809</v>
      </c>
      <c r="C1630" t="s">
        <v>1162</v>
      </c>
      <c r="D1630" t="s">
        <v>1233</v>
      </c>
      <c r="F1630" s="51">
        <v>45504</v>
      </c>
      <c r="G1630" t="s">
        <v>1</v>
      </c>
    </row>
    <row r="1631" spans="1:7" x14ac:dyDescent="0.3">
      <c r="A1631" t="s">
        <v>2703</v>
      </c>
      <c r="B1631">
        <v>5810</v>
      </c>
      <c r="C1631" t="s">
        <v>1175</v>
      </c>
      <c r="D1631" t="s">
        <v>512</v>
      </c>
      <c r="F1631" s="51">
        <v>45434</v>
      </c>
      <c r="G1631" t="s">
        <v>1</v>
      </c>
    </row>
    <row r="1632" spans="1:7" x14ac:dyDescent="0.3">
      <c r="A1632" t="s">
        <v>2703</v>
      </c>
      <c r="B1632">
        <v>5811</v>
      </c>
      <c r="C1632" t="s">
        <v>1106</v>
      </c>
      <c r="D1632" t="s">
        <v>1289</v>
      </c>
      <c r="F1632" s="51">
        <v>45434</v>
      </c>
      <c r="G1632" t="s">
        <v>1</v>
      </c>
    </row>
    <row r="1633" spans="1:7" x14ac:dyDescent="0.3">
      <c r="A1633" t="s">
        <v>2703</v>
      </c>
      <c r="B1633">
        <v>5812</v>
      </c>
      <c r="C1633" t="s">
        <v>1106</v>
      </c>
      <c r="D1633" t="s">
        <v>1290</v>
      </c>
      <c r="F1633" s="51">
        <v>45434</v>
      </c>
      <c r="G1633" t="s">
        <v>1</v>
      </c>
    </row>
    <row r="1634" spans="1:7" x14ac:dyDescent="0.3">
      <c r="A1634" t="s">
        <v>2703</v>
      </c>
      <c r="B1634">
        <v>5813</v>
      </c>
      <c r="C1634" t="s">
        <v>195</v>
      </c>
      <c r="E1634" t="s">
        <v>27</v>
      </c>
      <c r="F1634" s="51">
        <v>45434</v>
      </c>
      <c r="G1634" t="s">
        <v>1</v>
      </c>
    </row>
    <row r="1635" spans="1:7" x14ac:dyDescent="0.3">
      <c r="A1635" t="s">
        <v>2703</v>
      </c>
      <c r="B1635">
        <v>5814</v>
      </c>
      <c r="C1635" t="s">
        <v>333</v>
      </c>
      <c r="E1635" t="s">
        <v>1291</v>
      </c>
      <c r="F1635" s="51">
        <v>45441</v>
      </c>
      <c r="G1635" t="s">
        <v>1</v>
      </c>
    </row>
    <row r="1636" spans="1:7" x14ac:dyDescent="0.3">
      <c r="A1636" t="s">
        <v>2703</v>
      </c>
      <c r="B1636">
        <v>5816</v>
      </c>
      <c r="C1636" t="s">
        <v>1243</v>
      </c>
      <c r="D1636" t="s">
        <v>1292</v>
      </c>
      <c r="E1636" t="s">
        <v>1293</v>
      </c>
      <c r="F1636" s="51">
        <v>45434</v>
      </c>
      <c r="G1636" t="s">
        <v>1</v>
      </c>
    </row>
    <row r="1637" spans="1:7" x14ac:dyDescent="0.3">
      <c r="A1637" t="s">
        <v>2703</v>
      </c>
      <c r="B1637">
        <v>5817</v>
      </c>
      <c r="C1637" t="s">
        <v>1106</v>
      </c>
      <c r="D1637" t="s">
        <v>763</v>
      </c>
      <c r="E1637" t="s">
        <v>801</v>
      </c>
      <c r="F1637" s="51">
        <v>45446</v>
      </c>
      <c r="G1637" t="s">
        <v>1</v>
      </c>
    </row>
    <row r="1638" spans="1:7" x14ac:dyDescent="0.3">
      <c r="A1638" t="s">
        <v>2703</v>
      </c>
      <c r="B1638">
        <v>5818</v>
      </c>
      <c r="C1638" t="s">
        <v>1234</v>
      </c>
      <c r="E1638" t="s">
        <v>1233</v>
      </c>
      <c r="F1638" s="51">
        <v>45434</v>
      </c>
      <c r="G1638" t="s">
        <v>1</v>
      </c>
    </row>
    <row r="1639" spans="1:7" x14ac:dyDescent="0.3">
      <c r="A1639" t="s">
        <v>2703</v>
      </c>
      <c r="B1639">
        <v>5819</v>
      </c>
      <c r="C1639" t="s">
        <v>1217</v>
      </c>
      <c r="E1639" t="s">
        <v>818</v>
      </c>
      <c r="F1639" s="51">
        <v>45434</v>
      </c>
      <c r="G1639" t="s">
        <v>1</v>
      </c>
    </row>
    <row r="1640" spans="1:7" x14ac:dyDescent="0.3">
      <c r="A1640" t="s">
        <v>2703</v>
      </c>
      <c r="B1640">
        <v>5820</v>
      </c>
      <c r="C1640" t="s">
        <v>1245</v>
      </c>
      <c r="D1640" t="s">
        <v>299</v>
      </c>
      <c r="E1640" t="s">
        <v>1294</v>
      </c>
      <c r="F1640" s="51">
        <v>45468</v>
      </c>
      <c r="G1640" t="s">
        <v>1</v>
      </c>
    </row>
    <row r="1641" spans="1:7" x14ac:dyDescent="0.3">
      <c r="A1641" t="s">
        <v>2703</v>
      </c>
      <c r="B1641">
        <v>5821</v>
      </c>
      <c r="C1641" t="s">
        <v>41</v>
      </c>
      <c r="D1641" t="s">
        <v>1295</v>
      </c>
      <c r="E1641" t="s">
        <v>1296</v>
      </c>
      <c r="F1641" s="99">
        <v>45511.489756944444</v>
      </c>
      <c r="G1641" t="s">
        <v>4</v>
      </c>
    </row>
    <row r="1642" spans="1:7" x14ac:dyDescent="0.3">
      <c r="A1642" t="s">
        <v>2703</v>
      </c>
      <c r="B1642">
        <v>5822</v>
      </c>
      <c r="C1642" t="s">
        <v>220</v>
      </c>
      <c r="D1642" t="s">
        <v>1209</v>
      </c>
      <c r="E1642" t="s">
        <v>85</v>
      </c>
      <c r="F1642" s="51">
        <v>45510</v>
      </c>
      <c r="G1642" t="s">
        <v>1</v>
      </c>
    </row>
    <row r="1643" spans="1:7" x14ac:dyDescent="0.3">
      <c r="A1643" t="s">
        <v>2703</v>
      </c>
      <c r="B1643">
        <v>5823</v>
      </c>
      <c r="C1643" t="s">
        <v>74</v>
      </c>
      <c r="D1643" t="s">
        <v>367</v>
      </c>
      <c r="E1643" t="s">
        <v>1297</v>
      </c>
      <c r="F1643" s="51">
        <v>45446</v>
      </c>
      <c r="G1643" t="s">
        <v>2</v>
      </c>
    </row>
    <row r="1644" spans="1:7" x14ac:dyDescent="0.3">
      <c r="A1644" t="s">
        <v>2703</v>
      </c>
      <c r="B1644">
        <v>5825</v>
      </c>
      <c r="C1644" t="s">
        <v>36</v>
      </c>
      <c r="D1644" t="s">
        <v>240</v>
      </c>
      <c r="E1644" t="s">
        <v>784</v>
      </c>
      <c r="F1644" s="51">
        <v>45455</v>
      </c>
      <c r="G1644" t="s">
        <v>1</v>
      </c>
    </row>
    <row r="1645" spans="1:7" x14ac:dyDescent="0.3">
      <c r="A1645" t="s">
        <v>2703</v>
      </c>
      <c r="B1645">
        <v>5826</v>
      </c>
      <c r="C1645" t="s">
        <v>333</v>
      </c>
      <c r="D1645" t="s">
        <v>412</v>
      </c>
      <c r="E1645" t="s">
        <v>598</v>
      </c>
      <c r="F1645" s="51">
        <v>45441</v>
      </c>
      <c r="G1645" t="s">
        <v>1</v>
      </c>
    </row>
    <row r="1646" spans="1:7" x14ac:dyDescent="0.3">
      <c r="A1646" t="s">
        <v>2703</v>
      </c>
      <c r="B1646">
        <v>5827</v>
      </c>
      <c r="C1646" t="s">
        <v>1272</v>
      </c>
      <c r="D1646" t="s">
        <v>26</v>
      </c>
      <c r="F1646" s="51">
        <v>45484</v>
      </c>
      <c r="G1646" t="s">
        <v>1</v>
      </c>
    </row>
    <row r="1647" spans="1:7" x14ac:dyDescent="0.3">
      <c r="A1647" t="s">
        <v>2703</v>
      </c>
      <c r="B1647">
        <v>5829</v>
      </c>
      <c r="C1647" t="s">
        <v>1298</v>
      </c>
      <c r="D1647" t="s">
        <v>1282</v>
      </c>
      <c r="E1647" t="s">
        <v>1299</v>
      </c>
      <c r="F1647" s="51">
        <v>45446</v>
      </c>
      <c r="G1647" t="s">
        <v>1</v>
      </c>
    </row>
    <row r="1648" spans="1:7" x14ac:dyDescent="0.3">
      <c r="A1648" t="s">
        <v>2703</v>
      </c>
      <c r="B1648">
        <v>5830</v>
      </c>
      <c r="C1648" t="s">
        <v>74</v>
      </c>
      <c r="D1648" t="s">
        <v>367</v>
      </c>
      <c r="E1648" t="s">
        <v>1300</v>
      </c>
      <c r="F1648" s="99">
        <v>45617.35659722222</v>
      </c>
      <c r="G1648" t="s">
        <v>2</v>
      </c>
    </row>
    <row r="1649" spans="1:7" x14ac:dyDescent="0.3">
      <c r="A1649" t="s">
        <v>2703</v>
      </c>
      <c r="B1649">
        <v>5831</v>
      </c>
      <c r="C1649" t="s">
        <v>1217</v>
      </c>
      <c r="E1649" t="s">
        <v>1301</v>
      </c>
      <c r="F1649" s="51">
        <v>45441</v>
      </c>
      <c r="G1649" t="s">
        <v>1</v>
      </c>
    </row>
    <row r="1650" spans="1:7" x14ac:dyDescent="0.3">
      <c r="A1650" t="s">
        <v>2703</v>
      </c>
      <c r="B1650">
        <v>5832</v>
      </c>
      <c r="C1650" t="s">
        <v>1302</v>
      </c>
      <c r="D1650" t="s">
        <v>217</v>
      </c>
      <c r="E1650" t="s">
        <v>1303</v>
      </c>
      <c r="F1650" s="51">
        <v>45468</v>
      </c>
      <c r="G1650" t="s">
        <v>2</v>
      </c>
    </row>
    <row r="1651" spans="1:7" x14ac:dyDescent="0.3">
      <c r="A1651" t="s">
        <v>2703</v>
      </c>
      <c r="B1651">
        <v>5833</v>
      </c>
      <c r="C1651" t="s">
        <v>468</v>
      </c>
      <c r="D1651" t="s">
        <v>45</v>
      </c>
      <c r="F1651" s="51">
        <v>45446</v>
      </c>
      <c r="G1651" t="s">
        <v>3</v>
      </c>
    </row>
    <row r="1652" spans="1:7" x14ac:dyDescent="0.3">
      <c r="A1652" t="s">
        <v>2703</v>
      </c>
      <c r="B1652">
        <v>5834</v>
      </c>
      <c r="C1652" t="s">
        <v>1304</v>
      </c>
      <c r="D1652" t="s">
        <v>1021</v>
      </c>
      <c r="E1652" t="s">
        <v>1305</v>
      </c>
      <c r="F1652" s="51">
        <v>45454</v>
      </c>
      <c r="G1652" t="s">
        <v>1</v>
      </c>
    </row>
    <row r="1653" spans="1:7" x14ac:dyDescent="0.3">
      <c r="A1653" t="s">
        <v>2703</v>
      </c>
      <c r="B1653">
        <v>5836</v>
      </c>
      <c r="C1653" t="s">
        <v>309</v>
      </c>
      <c r="D1653" t="s">
        <v>133</v>
      </c>
      <c r="E1653" t="s">
        <v>1306</v>
      </c>
      <c r="F1653" s="51">
        <v>45530</v>
      </c>
      <c r="G1653" t="s">
        <v>4</v>
      </c>
    </row>
    <row r="1654" spans="1:7" x14ac:dyDescent="0.3">
      <c r="A1654" t="s">
        <v>2703</v>
      </c>
      <c r="B1654">
        <v>5837</v>
      </c>
      <c r="C1654" t="s">
        <v>1307</v>
      </c>
      <c r="D1654" t="s">
        <v>84</v>
      </c>
      <c r="E1654" t="s">
        <v>377</v>
      </c>
      <c r="F1654" s="99">
        <v>45511.480347222219</v>
      </c>
      <c r="G1654" t="s">
        <v>1</v>
      </c>
    </row>
    <row r="1655" spans="1:7" x14ac:dyDescent="0.3">
      <c r="A1655" t="s">
        <v>2703</v>
      </c>
      <c r="B1655">
        <v>5838</v>
      </c>
      <c r="C1655" t="s">
        <v>1166</v>
      </c>
      <c r="D1655" t="s">
        <v>453</v>
      </c>
      <c r="E1655" t="s">
        <v>1308</v>
      </c>
      <c r="F1655" s="51">
        <v>45446</v>
      </c>
      <c r="G1655" t="s">
        <v>1</v>
      </c>
    </row>
    <row r="1656" spans="1:7" x14ac:dyDescent="0.3">
      <c r="A1656" t="s">
        <v>2703</v>
      </c>
      <c r="B1656">
        <v>5839</v>
      </c>
      <c r="C1656" t="s">
        <v>333</v>
      </c>
      <c r="D1656" t="s">
        <v>1164</v>
      </c>
      <c r="E1656" t="s">
        <v>1309</v>
      </c>
      <c r="F1656" s="51">
        <v>45446</v>
      </c>
      <c r="G1656" t="s">
        <v>2</v>
      </c>
    </row>
    <row r="1657" spans="1:7" x14ac:dyDescent="0.3">
      <c r="A1657" t="s">
        <v>2703</v>
      </c>
      <c r="B1657">
        <v>5840</v>
      </c>
      <c r="C1657" t="s">
        <v>333</v>
      </c>
      <c r="D1657" t="s">
        <v>1164</v>
      </c>
      <c r="F1657" s="51">
        <v>45446</v>
      </c>
      <c r="G1657" t="s">
        <v>2</v>
      </c>
    </row>
    <row r="1658" spans="1:7" x14ac:dyDescent="0.3">
      <c r="A1658" t="s">
        <v>2703</v>
      </c>
      <c r="B1658">
        <v>5841</v>
      </c>
      <c r="C1658" t="s">
        <v>83</v>
      </c>
      <c r="D1658" t="s">
        <v>240</v>
      </c>
      <c r="E1658" t="s">
        <v>415</v>
      </c>
      <c r="F1658" s="51">
        <v>45446</v>
      </c>
      <c r="G1658" t="s">
        <v>1</v>
      </c>
    </row>
    <row r="1659" spans="1:7" x14ac:dyDescent="0.3">
      <c r="A1659" t="s">
        <v>2703</v>
      </c>
      <c r="B1659">
        <v>5842</v>
      </c>
      <c r="C1659" t="s">
        <v>1234</v>
      </c>
      <c r="D1659" t="s">
        <v>94</v>
      </c>
      <c r="E1659" t="s">
        <v>1310</v>
      </c>
      <c r="F1659" s="51">
        <v>45565</v>
      </c>
      <c r="G1659" t="s">
        <v>1</v>
      </c>
    </row>
    <row r="1660" spans="1:7" x14ac:dyDescent="0.3">
      <c r="A1660" t="s">
        <v>2703</v>
      </c>
      <c r="B1660">
        <v>5843</v>
      </c>
      <c r="C1660" t="s">
        <v>1245</v>
      </c>
      <c r="D1660" t="s">
        <v>299</v>
      </c>
      <c r="E1660" t="s">
        <v>1311</v>
      </c>
      <c r="F1660" s="51">
        <v>45565</v>
      </c>
      <c r="G1660" t="s">
        <v>1</v>
      </c>
    </row>
    <row r="1661" spans="1:7" x14ac:dyDescent="0.3">
      <c r="A1661" t="s">
        <v>2703</v>
      </c>
      <c r="B1661">
        <v>5844</v>
      </c>
      <c r="C1661" t="s">
        <v>1312</v>
      </c>
      <c r="E1661" t="s">
        <v>495</v>
      </c>
      <c r="F1661" s="51">
        <v>45446</v>
      </c>
      <c r="G1661" t="s">
        <v>1</v>
      </c>
    </row>
    <row r="1662" spans="1:7" x14ac:dyDescent="0.3">
      <c r="A1662" t="s">
        <v>2703</v>
      </c>
      <c r="B1662">
        <v>5845</v>
      </c>
      <c r="C1662" t="s">
        <v>1313</v>
      </c>
      <c r="D1662" t="s">
        <v>512</v>
      </c>
      <c r="E1662" t="s">
        <v>1314</v>
      </c>
      <c r="F1662" s="51">
        <v>45454</v>
      </c>
      <c r="G1662" t="s">
        <v>1</v>
      </c>
    </row>
    <row r="1663" spans="1:7" x14ac:dyDescent="0.3">
      <c r="A1663" t="s">
        <v>2703</v>
      </c>
      <c r="B1663">
        <v>5847</v>
      </c>
      <c r="C1663" t="s">
        <v>1219</v>
      </c>
      <c r="D1663" t="s">
        <v>140</v>
      </c>
      <c r="E1663" t="s">
        <v>168</v>
      </c>
      <c r="F1663" s="51">
        <v>45454</v>
      </c>
      <c r="G1663" t="s">
        <v>1</v>
      </c>
    </row>
    <row r="1664" spans="1:7" x14ac:dyDescent="0.3">
      <c r="A1664" t="s">
        <v>2703</v>
      </c>
      <c r="B1664">
        <v>5848</v>
      </c>
      <c r="C1664" t="s">
        <v>41</v>
      </c>
      <c r="D1664" t="s">
        <v>75</v>
      </c>
      <c r="E1664" t="s">
        <v>1315</v>
      </c>
      <c r="F1664" s="51">
        <v>45455</v>
      </c>
      <c r="G1664" t="s">
        <v>3</v>
      </c>
    </row>
    <row r="1665" spans="1:7" x14ac:dyDescent="0.3">
      <c r="A1665" t="s">
        <v>2703</v>
      </c>
      <c r="B1665">
        <v>5849</v>
      </c>
      <c r="C1665" t="s">
        <v>41</v>
      </c>
      <c r="D1665" t="s">
        <v>75</v>
      </c>
      <c r="E1665" t="s">
        <v>1316</v>
      </c>
      <c r="F1665" s="51">
        <v>45455</v>
      </c>
      <c r="G1665" t="s">
        <v>3</v>
      </c>
    </row>
    <row r="1666" spans="1:7" x14ac:dyDescent="0.3">
      <c r="A1666" t="s">
        <v>2703</v>
      </c>
      <c r="B1666">
        <v>5850</v>
      </c>
      <c r="C1666" t="s">
        <v>309</v>
      </c>
      <c r="D1666" t="s">
        <v>487</v>
      </c>
      <c r="E1666" t="s">
        <v>1317</v>
      </c>
      <c r="F1666" s="51">
        <v>45456</v>
      </c>
      <c r="G1666" t="s">
        <v>1</v>
      </c>
    </row>
    <row r="1667" spans="1:7" x14ac:dyDescent="0.3">
      <c r="A1667" t="s">
        <v>2703</v>
      </c>
      <c r="B1667">
        <v>5851</v>
      </c>
      <c r="C1667" t="s">
        <v>360</v>
      </c>
      <c r="D1667" t="s">
        <v>1318</v>
      </c>
      <c r="E1667" t="s">
        <v>1319</v>
      </c>
      <c r="F1667" s="51">
        <v>45468</v>
      </c>
      <c r="G1667" t="s">
        <v>1</v>
      </c>
    </row>
    <row r="1668" spans="1:7" x14ac:dyDescent="0.3">
      <c r="A1668" t="s">
        <v>2703</v>
      </c>
      <c r="B1668">
        <v>5852</v>
      </c>
      <c r="C1668" t="s">
        <v>1286</v>
      </c>
      <c r="D1668" t="s">
        <v>1320</v>
      </c>
      <c r="F1668" s="51">
        <v>45477</v>
      </c>
      <c r="G1668" t="s">
        <v>4</v>
      </c>
    </row>
    <row r="1669" spans="1:7" x14ac:dyDescent="0.3">
      <c r="A1669" t="s">
        <v>2703</v>
      </c>
      <c r="B1669">
        <v>5853</v>
      </c>
      <c r="C1669" t="s">
        <v>1175</v>
      </c>
      <c r="D1669" t="s">
        <v>512</v>
      </c>
      <c r="E1669" t="s">
        <v>1321</v>
      </c>
      <c r="F1669" s="51">
        <v>45468</v>
      </c>
      <c r="G1669" t="s">
        <v>1</v>
      </c>
    </row>
    <row r="1670" spans="1:7" x14ac:dyDescent="0.3">
      <c r="A1670" t="s">
        <v>2703</v>
      </c>
      <c r="B1670">
        <v>5854</v>
      </c>
      <c r="C1670" t="s">
        <v>41</v>
      </c>
      <c r="D1670" t="s">
        <v>529</v>
      </c>
      <c r="E1670" t="s">
        <v>1322</v>
      </c>
      <c r="F1670" s="99">
        <v>45511.483449074076</v>
      </c>
      <c r="G1670" t="s">
        <v>1</v>
      </c>
    </row>
    <row r="1671" spans="1:7" x14ac:dyDescent="0.3">
      <c r="A1671" t="s">
        <v>2703</v>
      </c>
      <c r="B1671">
        <v>5858</v>
      </c>
      <c r="C1671" t="s">
        <v>1276</v>
      </c>
      <c r="D1671" t="s">
        <v>75</v>
      </c>
      <c r="E1671" t="s">
        <v>1323</v>
      </c>
      <c r="F1671" s="51">
        <v>45455</v>
      </c>
      <c r="G1671" t="s">
        <v>3</v>
      </c>
    </row>
    <row r="1672" spans="1:7" x14ac:dyDescent="0.3">
      <c r="A1672" t="s">
        <v>2703</v>
      </c>
      <c r="B1672">
        <v>5859</v>
      </c>
      <c r="C1672" t="s">
        <v>1324</v>
      </c>
      <c r="D1672" t="s">
        <v>440</v>
      </c>
      <c r="E1672" t="s">
        <v>1325</v>
      </c>
      <c r="F1672" s="51">
        <v>45565</v>
      </c>
      <c r="G1672" t="s">
        <v>1</v>
      </c>
    </row>
    <row r="1673" spans="1:7" x14ac:dyDescent="0.3">
      <c r="A1673" t="s">
        <v>2703</v>
      </c>
      <c r="B1673">
        <v>5861</v>
      </c>
      <c r="C1673" t="s">
        <v>195</v>
      </c>
      <c r="D1673" t="s">
        <v>1326</v>
      </c>
      <c r="E1673" t="s">
        <v>1327</v>
      </c>
      <c r="F1673" s="51">
        <v>45468</v>
      </c>
      <c r="G1673" t="s">
        <v>1</v>
      </c>
    </row>
    <row r="1674" spans="1:7" x14ac:dyDescent="0.3">
      <c r="A1674" t="s">
        <v>2703</v>
      </c>
      <c r="B1674">
        <v>5862</v>
      </c>
      <c r="C1674" t="s">
        <v>1229</v>
      </c>
      <c r="D1674" t="s">
        <v>200</v>
      </c>
      <c r="E1674" t="s">
        <v>1328</v>
      </c>
      <c r="F1674" s="51">
        <v>45468</v>
      </c>
      <c r="G1674" t="s">
        <v>1</v>
      </c>
    </row>
    <row r="1675" spans="1:7" x14ac:dyDescent="0.3">
      <c r="A1675" t="s">
        <v>2703</v>
      </c>
      <c r="B1675">
        <v>5864</v>
      </c>
      <c r="C1675" t="s">
        <v>1099</v>
      </c>
      <c r="D1675" t="s">
        <v>272</v>
      </c>
      <c r="E1675" t="s">
        <v>1329</v>
      </c>
      <c r="F1675" s="51">
        <v>45630</v>
      </c>
      <c r="G1675" t="s">
        <v>2</v>
      </c>
    </row>
    <row r="1676" spans="1:7" x14ac:dyDescent="0.3">
      <c r="A1676" t="s">
        <v>2703</v>
      </c>
      <c r="B1676">
        <v>5865</v>
      </c>
      <c r="C1676" t="s">
        <v>1330</v>
      </c>
      <c r="D1676" t="s">
        <v>1331</v>
      </c>
      <c r="E1676" t="s">
        <v>1332</v>
      </c>
      <c r="F1676" s="51">
        <v>45468</v>
      </c>
    </row>
    <row r="1677" spans="1:7" x14ac:dyDescent="0.3">
      <c r="A1677" t="s">
        <v>2703</v>
      </c>
      <c r="B1677">
        <v>5866</v>
      </c>
      <c r="C1677" t="s">
        <v>1212</v>
      </c>
      <c r="D1677" t="s">
        <v>1333</v>
      </c>
      <c r="E1677" t="s">
        <v>121</v>
      </c>
      <c r="F1677" s="51">
        <v>45477</v>
      </c>
      <c r="G1677" t="s">
        <v>4</v>
      </c>
    </row>
    <row r="1678" spans="1:7" x14ac:dyDescent="0.3">
      <c r="A1678" t="s">
        <v>2703</v>
      </c>
      <c r="B1678">
        <v>5867</v>
      </c>
      <c r="C1678" t="s">
        <v>1212</v>
      </c>
      <c r="D1678" t="s">
        <v>1333</v>
      </c>
      <c r="E1678" t="s">
        <v>1334</v>
      </c>
      <c r="F1678" s="51">
        <v>45484</v>
      </c>
      <c r="G1678" t="s">
        <v>4</v>
      </c>
    </row>
    <row r="1679" spans="1:7" x14ac:dyDescent="0.3">
      <c r="A1679" t="s">
        <v>2703</v>
      </c>
      <c r="B1679">
        <v>5868</v>
      </c>
      <c r="C1679" t="s">
        <v>74</v>
      </c>
      <c r="D1679" t="s">
        <v>179</v>
      </c>
      <c r="E1679" t="s">
        <v>1335</v>
      </c>
      <c r="F1679" s="51">
        <v>45468</v>
      </c>
      <c r="G1679" t="s">
        <v>1</v>
      </c>
    </row>
    <row r="1680" spans="1:7" x14ac:dyDescent="0.3">
      <c r="A1680" t="s">
        <v>2703</v>
      </c>
      <c r="B1680">
        <v>5869</v>
      </c>
      <c r="C1680" t="s">
        <v>1026</v>
      </c>
      <c r="F1680" s="99">
        <v>45511.470300925925</v>
      </c>
      <c r="G1680" t="s">
        <v>1</v>
      </c>
    </row>
    <row r="1681" spans="1:7" x14ac:dyDescent="0.3">
      <c r="A1681" t="s">
        <v>2703</v>
      </c>
      <c r="B1681">
        <v>5870</v>
      </c>
      <c r="C1681" t="s">
        <v>333</v>
      </c>
      <c r="D1681" t="s">
        <v>133</v>
      </c>
      <c r="F1681" s="51">
        <v>45477</v>
      </c>
      <c r="G1681" t="s">
        <v>1</v>
      </c>
    </row>
    <row r="1682" spans="1:7" x14ac:dyDescent="0.3">
      <c r="A1682" t="s">
        <v>2703</v>
      </c>
      <c r="B1682">
        <v>5871</v>
      </c>
      <c r="C1682" t="s">
        <v>1217</v>
      </c>
      <c r="D1682" t="s">
        <v>1336</v>
      </c>
      <c r="E1682" t="s">
        <v>1264</v>
      </c>
      <c r="F1682" s="51">
        <v>45477</v>
      </c>
      <c r="G1682" t="s">
        <v>1</v>
      </c>
    </row>
    <row r="1683" spans="1:7" x14ac:dyDescent="0.3">
      <c r="A1683" t="s">
        <v>2703</v>
      </c>
      <c r="B1683">
        <v>5872</v>
      </c>
      <c r="C1683" t="s">
        <v>1324</v>
      </c>
      <c r="E1683" t="s">
        <v>952</v>
      </c>
      <c r="F1683" s="51">
        <v>45477</v>
      </c>
      <c r="G1683" t="s">
        <v>1</v>
      </c>
    </row>
    <row r="1684" spans="1:7" x14ac:dyDescent="0.3">
      <c r="A1684" t="s">
        <v>2703</v>
      </c>
      <c r="B1684">
        <v>5873</v>
      </c>
      <c r="C1684" t="s">
        <v>1337</v>
      </c>
      <c r="D1684" t="s">
        <v>1194</v>
      </c>
      <c r="E1684" t="s">
        <v>733</v>
      </c>
      <c r="F1684" s="51">
        <v>45477</v>
      </c>
      <c r="G1684" t="s">
        <v>1</v>
      </c>
    </row>
    <row r="1685" spans="1:7" x14ac:dyDescent="0.3">
      <c r="A1685" t="s">
        <v>2703</v>
      </c>
      <c r="B1685">
        <v>5874</v>
      </c>
      <c r="C1685" t="s">
        <v>333</v>
      </c>
      <c r="D1685" t="s">
        <v>1167</v>
      </c>
      <c r="E1685" t="s">
        <v>880</v>
      </c>
      <c r="F1685" s="51">
        <v>45477</v>
      </c>
      <c r="G1685" t="s">
        <v>1</v>
      </c>
    </row>
    <row r="1686" spans="1:7" x14ac:dyDescent="0.3">
      <c r="A1686" t="s">
        <v>2703</v>
      </c>
      <c r="B1686">
        <v>5875</v>
      </c>
      <c r="C1686" t="s">
        <v>333</v>
      </c>
      <c r="D1686" t="s">
        <v>1164</v>
      </c>
      <c r="E1686" t="s">
        <v>1338</v>
      </c>
      <c r="F1686" s="51">
        <v>45477</v>
      </c>
      <c r="G1686" t="s">
        <v>1</v>
      </c>
    </row>
    <row r="1687" spans="1:7" x14ac:dyDescent="0.3">
      <c r="A1687" t="s">
        <v>2703</v>
      </c>
      <c r="B1687">
        <v>5876</v>
      </c>
      <c r="C1687" t="s">
        <v>1339</v>
      </c>
      <c r="D1687" t="s">
        <v>453</v>
      </c>
      <c r="E1687" t="s">
        <v>1340</v>
      </c>
      <c r="F1687" s="99">
        <v>45511.487118055556</v>
      </c>
      <c r="G1687" t="s">
        <v>1</v>
      </c>
    </row>
    <row r="1688" spans="1:7" x14ac:dyDescent="0.3">
      <c r="A1688" t="s">
        <v>2703</v>
      </c>
      <c r="B1688">
        <v>5877</v>
      </c>
      <c r="C1688" t="s">
        <v>509</v>
      </c>
      <c r="D1688" t="s">
        <v>26</v>
      </c>
      <c r="E1688" t="s">
        <v>1341</v>
      </c>
      <c r="F1688" s="51">
        <v>45502</v>
      </c>
      <c r="G1688" t="s">
        <v>1</v>
      </c>
    </row>
    <row r="1689" spans="1:7" x14ac:dyDescent="0.3">
      <c r="A1689" t="s">
        <v>2703</v>
      </c>
      <c r="B1689">
        <v>5880</v>
      </c>
      <c r="C1689" t="s">
        <v>1342</v>
      </c>
      <c r="D1689" t="s">
        <v>1343</v>
      </c>
      <c r="E1689" t="s">
        <v>121</v>
      </c>
      <c r="F1689" s="51">
        <v>45502</v>
      </c>
      <c r="G1689" t="s">
        <v>4</v>
      </c>
    </row>
    <row r="1690" spans="1:7" x14ac:dyDescent="0.3">
      <c r="A1690" t="s">
        <v>2703</v>
      </c>
      <c r="B1690">
        <v>5881</v>
      </c>
      <c r="C1690" t="s">
        <v>1298</v>
      </c>
      <c r="D1690" t="s">
        <v>1320</v>
      </c>
      <c r="E1690" t="s">
        <v>1344</v>
      </c>
      <c r="F1690" s="51">
        <v>45498</v>
      </c>
      <c r="G1690" t="s">
        <v>1</v>
      </c>
    </row>
    <row r="1691" spans="1:7" x14ac:dyDescent="0.3">
      <c r="A1691" t="s">
        <v>2703</v>
      </c>
      <c r="B1691">
        <v>5885</v>
      </c>
      <c r="C1691" t="s">
        <v>1247</v>
      </c>
      <c r="D1691" t="s">
        <v>1345</v>
      </c>
      <c r="E1691" t="s">
        <v>1346</v>
      </c>
      <c r="F1691" s="51">
        <v>45477</v>
      </c>
      <c r="G1691" t="s">
        <v>1</v>
      </c>
    </row>
    <row r="1692" spans="1:7" x14ac:dyDescent="0.3">
      <c r="A1692" t="s">
        <v>2703</v>
      </c>
      <c r="B1692">
        <v>5886</v>
      </c>
      <c r="C1692" t="s">
        <v>195</v>
      </c>
      <c r="D1692" t="s">
        <v>227</v>
      </c>
      <c r="E1692" t="s">
        <v>1347</v>
      </c>
      <c r="F1692" s="51">
        <v>45504</v>
      </c>
      <c r="G1692" t="s">
        <v>1</v>
      </c>
    </row>
    <row r="1693" spans="1:7" x14ac:dyDescent="0.3">
      <c r="A1693" t="s">
        <v>2703</v>
      </c>
      <c r="B1693">
        <v>5887</v>
      </c>
      <c r="C1693" t="s">
        <v>1348</v>
      </c>
      <c r="D1693" t="s">
        <v>1349</v>
      </c>
      <c r="E1693" t="s">
        <v>1350</v>
      </c>
      <c r="F1693" s="51">
        <v>45502</v>
      </c>
      <c r="G1693" t="s">
        <v>1</v>
      </c>
    </row>
    <row r="1694" spans="1:7" x14ac:dyDescent="0.3">
      <c r="A1694" t="s">
        <v>2703</v>
      </c>
      <c r="B1694">
        <v>5890</v>
      </c>
      <c r="C1694" t="s">
        <v>1257</v>
      </c>
      <c r="D1694" t="s">
        <v>763</v>
      </c>
      <c r="E1694" t="s">
        <v>145</v>
      </c>
      <c r="F1694" s="51">
        <v>45499</v>
      </c>
      <c r="G1694" t="s">
        <v>1</v>
      </c>
    </row>
    <row r="1695" spans="1:7" x14ac:dyDescent="0.3">
      <c r="A1695" t="s">
        <v>2703</v>
      </c>
      <c r="B1695">
        <v>5894</v>
      </c>
      <c r="C1695" t="s">
        <v>1351</v>
      </c>
      <c r="E1695" t="s">
        <v>283</v>
      </c>
      <c r="F1695" s="51">
        <v>45504</v>
      </c>
      <c r="G1695" t="s">
        <v>1</v>
      </c>
    </row>
    <row r="1696" spans="1:7" x14ac:dyDescent="0.3">
      <c r="A1696" t="s">
        <v>2703</v>
      </c>
      <c r="B1696">
        <v>5895</v>
      </c>
      <c r="C1696" t="s">
        <v>1352</v>
      </c>
      <c r="D1696" t="s">
        <v>1353</v>
      </c>
      <c r="E1696" t="s">
        <v>1354</v>
      </c>
      <c r="F1696" s="51">
        <v>45565</v>
      </c>
      <c r="G1696" t="s">
        <v>1</v>
      </c>
    </row>
    <row r="1697" spans="1:7" x14ac:dyDescent="0.3">
      <c r="A1697" t="s">
        <v>2703</v>
      </c>
      <c r="B1697">
        <v>5896</v>
      </c>
      <c r="C1697" t="s">
        <v>1234</v>
      </c>
      <c r="D1697" t="s">
        <v>1355</v>
      </c>
      <c r="E1697" t="s">
        <v>27</v>
      </c>
      <c r="F1697" s="51">
        <v>45504</v>
      </c>
      <c r="G1697" t="s">
        <v>1</v>
      </c>
    </row>
    <row r="1698" spans="1:7" x14ac:dyDescent="0.3">
      <c r="A1698" t="s">
        <v>2703</v>
      </c>
      <c r="B1698">
        <v>5897</v>
      </c>
      <c r="C1698" t="s">
        <v>1356</v>
      </c>
      <c r="D1698" t="s">
        <v>140</v>
      </c>
      <c r="E1698" t="s">
        <v>1357</v>
      </c>
      <c r="F1698" s="51">
        <v>45502</v>
      </c>
      <c r="G1698" t="s">
        <v>1</v>
      </c>
    </row>
    <row r="1699" spans="1:7" x14ac:dyDescent="0.3">
      <c r="A1699" t="s">
        <v>2703</v>
      </c>
      <c r="B1699">
        <v>5899</v>
      </c>
      <c r="C1699" t="s">
        <v>1175</v>
      </c>
      <c r="E1699" t="s">
        <v>554</v>
      </c>
      <c r="F1699" s="51">
        <v>45504</v>
      </c>
      <c r="G1699" t="s">
        <v>1</v>
      </c>
    </row>
    <row r="1700" spans="1:7" x14ac:dyDescent="0.3">
      <c r="A1700" t="s">
        <v>2703</v>
      </c>
      <c r="B1700">
        <v>5900</v>
      </c>
      <c r="C1700" t="s">
        <v>1324</v>
      </c>
      <c r="D1700" t="s">
        <v>1358</v>
      </c>
      <c r="F1700" s="51">
        <v>45497</v>
      </c>
      <c r="G1700" t="s">
        <v>1</v>
      </c>
    </row>
    <row r="1701" spans="1:7" x14ac:dyDescent="0.3">
      <c r="A1701" t="s">
        <v>2703</v>
      </c>
      <c r="B1701">
        <v>5901</v>
      </c>
      <c r="C1701" t="s">
        <v>1263</v>
      </c>
      <c r="F1701" s="51">
        <v>45502</v>
      </c>
      <c r="G1701" t="s">
        <v>1</v>
      </c>
    </row>
    <row r="1702" spans="1:7" x14ac:dyDescent="0.3">
      <c r="A1702" t="s">
        <v>2703</v>
      </c>
      <c r="B1702">
        <v>5902</v>
      </c>
      <c r="C1702" t="s">
        <v>1359</v>
      </c>
      <c r="E1702" t="s">
        <v>1360</v>
      </c>
      <c r="F1702" s="51">
        <v>45504</v>
      </c>
      <c r="G1702" t="s">
        <v>1</v>
      </c>
    </row>
    <row r="1703" spans="1:7" x14ac:dyDescent="0.3">
      <c r="A1703" t="s">
        <v>2703</v>
      </c>
      <c r="B1703">
        <v>5903</v>
      </c>
      <c r="C1703" t="s">
        <v>1361</v>
      </c>
      <c r="D1703" t="s">
        <v>1226</v>
      </c>
      <c r="F1703" s="51">
        <v>45504</v>
      </c>
      <c r="G1703" t="s">
        <v>1</v>
      </c>
    </row>
    <row r="1704" spans="1:7" x14ac:dyDescent="0.3">
      <c r="A1704" t="s">
        <v>2703</v>
      </c>
      <c r="B1704">
        <v>5904</v>
      </c>
      <c r="C1704" t="s">
        <v>191</v>
      </c>
      <c r="E1704" t="s">
        <v>1362</v>
      </c>
      <c r="F1704" s="51">
        <v>45502</v>
      </c>
      <c r="G1704" t="s">
        <v>1</v>
      </c>
    </row>
    <row r="1705" spans="1:7" x14ac:dyDescent="0.3">
      <c r="A1705" t="s">
        <v>2703</v>
      </c>
      <c r="B1705">
        <v>5905</v>
      </c>
      <c r="C1705" t="s">
        <v>591</v>
      </c>
      <c r="D1705" t="s">
        <v>1363</v>
      </c>
      <c r="E1705" t="s">
        <v>145</v>
      </c>
      <c r="F1705" s="51">
        <v>45502</v>
      </c>
      <c r="G1705" t="s">
        <v>1</v>
      </c>
    </row>
    <row r="1706" spans="1:7" x14ac:dyDescent="0.3">
      <c r="A1706" t="s">
        <v>2703</v>
      </c>
      <c r="B1706">
        <v>5907</v>
      </c>
      <c r="C1706" t="s">
        <v>1364</v>
      </c>
      <c r="D1706" t="s">
        <v>1365</v>
      </c>
      <c r="E1706" t="s">
        <v>1366</v>
      </c>
      <c r="F1706" s="99">
        <v>45511.517453703702</v>
      </c>
      <c r="G1706" t="s">
        <v>1</v>
      </c>
    </row>
    <row r="1707" spans="1:7" x14ac:dyDescent="0.3">
      <c r="A1707" t="s">
        <v>2703</v>
      </c>
      <c r="B1707">
        <v>5908</v>
      </c>
      <c r="C1707" t="s">
        <v>1298</v>
      </c>
      <c r="D1707" t="s">
        <v>1320</v>
      </c>
      <c r="F1707" s="51">
        <v>45502</v>
      </c>
      <c r="G1707" t="s">
        <v>1</v>
      </c>
    </row>
    <row r="1708" spans="1:7" x14ac:dyDescent="0.3">
      <c r="A1708" t="s">
        <v>2703</v>
      </c>
      <c r="B1708">
        <v>5909</v>
      </c>
      <c r="C1708" t="s">
        <v>1189</v>
      </c>
      <c r="E1708" t="s">
        <v>1367</v>
      </c>
      <c r="F1708" s="51">
        <v>45504</v>
      </c>
      <c r="G1708" t="s">
        <v>1</v>
      </c>
    </row>
    <row r="1709" spans="1:7" x14ac:dyDescent="0.3">
      <c r="A1709" t="s">
        <v>2703</v>
      </c>
      <c r="B1709">
        <v>5911</v>
      </c>
      <c r="C1709" t="s">
        <v>1298</v>
      </c>
      <c r="D1709" t="s">
        <v>1282</v>
      </c>
      <c r="E1709" t="s">
        <v>1368</v>
      </c>
      <c r="F1709" s="51">
        <v>45541</v>
      </c>
      <c r="G1709" t="s">
        <v>1</v>
      </c>
    </row>
    <row r="1710" spans="1:7" x14ac:dyDescent="0.3">
      <c r="A1710" t="s">
        <v>2703</v>
      </c>
      <c r="B1710">
        <v>5912</v>
      </c>
      <c r="C1710" t="s">
        <v>274</v>
      </c>
      <c r="D1710" t="s">
        <v>1369</v>
      </c>
      <c r="E1710" t="s">
        <v>1370</v>
      </c>
      <c r="F1710" s="51">
        <v>45504</v>
      </c>
      <c r="G1710" t="s">
        <v>1</v>
      </c>
    </row>
    <row r="1711" spans="1:7" x14ac:dyDescent="0.3">
      <c r="A1711" t="s">
        <v>2703</v>
      </c>
      <c r="B1711">
        <v>5913</v>
      </c>
      <c r="C1711" t="s">
        <v>1117</v>
      </c>
      <c r="D1711" t="s">
        <v>1177</v>
      </c>
      <c r="E1711" t="s">
        <v>1072</v>
      </c>
      <c r="F1711" s="51">
        <v>45551</v>
      </c>
      <c r="G1711" t="s">
        <v>1</v>
      </c>
    </row>
    <row r="1712" spans="1:7" x14ac:dyDescent="0.3">
      <c r="A1712" t="s">
        <v>2703</v>
      </c>
      <c r="B1712">
        <v>5916</v>
      </c>
      <c r="C1712" t="s">
        <v>220</v>
      </c>
      <c r="D1712" t="s">
        <v>1371</v>
      </c>
      <c r="E1712" t="s">
        <v>1372</v>
      </c>
      <c r="F1712" s="99">
        <v>45538.589814814812</v>
      </c>
      <c r="G1712" t="s">
        <v>1</v>
      </c>
    </row>
    <row r="1713" spans="1:7" x14ac:dyDescent="0.3">
      <c r="A1713" t="s">
        <v>2703</v>
      </c>
      <c r="B1713">
        <v>5917</v>
      </c>
      <c r="C1713" t="s">
        <v>220</v>
      </c>
      <c r="D1713" t="s">
        <v>1371</v>
      </c>
      <c r="E1713" t="s">
        <v>1372</v>
      </c>
      <c r="F1713" s="99">
        <v>45538.590451388889</v>
      </c>
      <c r="G1713" t="s">
        <v>1</v>
      </c>
    </row>
    <row r="1714" spans="1:7" x14ac:dyDescent="0.3">
      <c r="A1714" t="s">
        <v>2703</v>
      </c>
      <c r="B1714">
        <v>5918</v>
      </c>
      <c r="C1714" t="s">
        <v>1212</v>
      </c>
      <c r="D1714" t="s">
        <v>161</v>
      </c>
      <c r="E1714" t="s">
        <v>1373</v>
      </c>
      <c r="F1714" s="51">
        <v>45538</v>
      </c>
      <c r="G1714" t="s">
        <v>2</v>
      </c>
    </row>
    <row r="1715" spans="1:7" x14ac:dyDescent="0.3">
      <c r="A1715" t="s">
        <v>2703</v>
      </c>
      <c r="B1715">
        <v>5919</v>
      </c>
      <c r="C1715" t="s">
        <v>1071</v>
      </c>
      <c r="D1715" t="s">
        <v>1206</v>
      </c>
      <c r="E1715" t="s">
        <v>104</v>
      </c>
      <c r="F1715" s="51">
        <v>45565</v>
      </c>
      <c r="G1715" t="s">
        <v>1</v>
      </c>
    </row>
    <row r="1716" spans="1:7" x14ac:dyDescent="0.3">
      <c r="A1716" t="s">
        <v>2703</v>
      </c>
      <c r="B1716">
        <v>5920</v>
      </c>
      <c r="C1716" t="s">
        <v>1374</v>
      </c>
      <c r="D1716" t="s">
        <v>1375</v>
      </c>
      <c r="E1716" t="s">
        <v>145</v>
      </c>
      <c r="F1716" s="99">
        <v>45541.346400462964</v>
      </c>
      <c r="G1716" t="s">
        <v>1</v>
      </c>
    </row>
    <row r="1717" spans="1:7" x14ac:dyDescent="0.3">
      <c r="A1717" t="s">
        <v>2703</v>
      </c>
      <c r="B1717">
        <v>5921</v>
      </c>
      <c r="C1717" t="s">
        <v>1376</v>
      </c>
      <c r="D1717" t="s">
        <v>252</v>
      </c>
      <c r="E1717" t="s">
        <v>1377</v>
      </c>
      <c r="F1717" s="51">
        <v>45541</v>
      </c>
      <c r="G1717" t="s">
        <v>1</v>
      </c>
    </row>
    <row r="1718" spans="1:7" x14ac:dyDescent="0.3">
      <c r="A1718" t="s">
        <v>2703</v>
      </c>
      <c r="B1718">
        <v>5924</v>
      </c>
      <c r="C1718" t="s">
        <v>1339</v>
      </c>
      <c r="D1718" t="s">
        <v>453</v>
      </c>
      <c r="E1718" t="s">
        <v>1378</v>
      </c>
      <c r="F1718" s="99">
        <v>45511.495648148149</v>
      </c>
      <c r="G1718" t="s">
        <v>1</v>
      </c>
    </row>
    <row r="1719" spans="1:7" x14ac:dyDescent="0.3">
      <c r="A1719" t="s">
        <v>2703</v>
      </c>
      <c r="B1719">
        <v>5925</v>
      </c>
      <c r="C1719" t="s">
        <v>220</v>
      </c>
      <c r="D1719" t="s">
        <v>1379</v>
      </c>
      <c r="E1719" t="s">
        <v>1372</v>
      </c>
      <c r="F1719" s="99">
        <v>45538.66097222222</v>
      </c>
      <c r="G1719" t="s">
        <v>1</v>
      </c>
    </row>
    <row r="1720" spans="1:7" x14ac:dyDescent="0.3">
      <c r="A1720" t="s">
        <v>2703</v>
      </c>
      <c r="B1720">
        <v>5928</v>
      </c>
      <c r="C1720" t="s">
        <v>1380</v>
      </c>
      <c r="D1720" t="s">
        <v>677</v>
      </c>
      <c r="E1720" t="s">
        <v>1381</v>
      </c>
      <c r="F1720" s="99">
        <v>45511.632638888892</v>
      </c>
      <c r="G1720" t="s">
        <v>1</v>
      </c>
    </row>
    <row r="1721" spans="1:7" x14ac:dyDescent="0.3">
      <c r="A1721" t="s">
        <v>2703</v>
      </c>
      <c r="B1721">
        <v>5929</v>
      </c>
      <c r="C1721" t="s">
        <v>205</v>
      </c>
      <c r="D1721" t="s">
        <v>924</v>
      </c>
      <c r="E1721" t="s">
        <v>159</v>
      </c>
      <c r="F1721" s="99">
        <v>45511.632013888891</v>
      </c>
      <c r="G1721" t="s">
        <v>1</v>
      </c>
    </row>
    <row r="1722" spans="1:7" x14ac:dyDescent="0.3">
      <c r="A1722" t="s">
        <v>2703</v>
      </c>
      <c r="B1722">
        <v>5930</v>
      </c>
      <c r="C1722" t="s">
        <v>1339</v>
      </c>
      <c r="D1722" t="s">
        <v>453</v>
      </c>
      <c r="E1722" t="s">
        <v>1382</v>
      </c>
      <c r="F1722" s="51">
        <v>45541</v>
      </c>
      <c r="G1722" t="s">
        <v>1</v>
      </c>
    </row>
    <row r="1723" spans="1:7" x14ac:dyDescent="0.3">
      <c r="A1723" t="s">
        <v>2703</v>
      </c>
      <c r="B1723">
        <v>5931</v>
      </c>
      <c r="C1723" t="s">
        <v>1166</v>
      </c>
      <c r="D1723" t="s">
        <v>94</v>
      </c>
      <c r="E1723" t="s">
        <v>1383</v>
      </c>
      <c r="F1723" s="51">
        <v>45551</v>
      </c>
      <c r="G1723" t="s">
        <v>1</v>
      </c>
    </row>
    <row r="1724" spans="1:7" x14ac:dyDescent="0.3">
      <c r="A1724" t="s">
        <v>2703</v>
      </c>
      <c r="B1724">
        <v>5934</v>
      </c>
      <c r="C1724" t="s">
        <v>1380</v>
      </c>
      <c r="D1724" t="s">
        <v>677</v>
      </c>
      <c r="E1724" t="s">
        <v>998</v>
      </c>
      <c r="F1724" s="51">
        <v>45511</v>
      </c>
      <c r="G1724" t="s">
        <v>9</v>
      </c>
    </row>
    <row r="1725" spans="1:7" x14ac:dyDescent="0.3">
      <c r="A1725" t="s">
        <v>2703</v>
      </c>
      <c r="B1725">
        <v>5935</v>
      </c>
      <c r="C1725" t="s">
        <v>1117</v>
      </c>
      <c r="D1725" t="s">
        <v>1384</v>
      </c>
      <c r="E1725" t="s">
        <v>415</v>
      </c>
      <c r="F1725" s="51">
        <v>45551</v>
      </c>
      <c r="G1725" t="s">
        <v>1</v>
      </c>
    </row>
    <row r="1726" spans="1:7" x14ac:dyDescent="0.3">
      <c r="A1726" t="s">
        <v>2703</v>
      </c>
      <c r="B1726">
        <v>5936</v>
      </c>
      <c r="C1726" t="s">
        <v>41</v>
      </c>
      <c r="D1726" t="s">
        <v>240</v>
      </c>
      <c r="E1726" t="s">
        <v>1385</v>
      </c>
      <c r="F1726" s="51">
        <v>45565</v>
      </c>
      <c r="G1726" t="s">
        <v>4</v>
      </c>
    </row>
    <row r="1727" spans="1:7" x14ac:dyDescent="0.3">
      <c r="A1727" t="s">
        <v>2703</v>
      </c>
      <c r="B1727">
        <v>5937</v>
      </c>
      <c r="C1727" t="s">
        <v>160</v>
      </c>
      <c r="D1727" t="s">
        <v>161</v>
      </c>
      <c r="E1727" t="s">
        <v>1386</v>
      </c>
      <c r="F1727" s="99">
        <v>45541.347800925927</v>
      </c>
      <c r="G1727" t="s">
        <v>1</v>
      </c>
    </row>
    <row r="1728" spans="1:7" x14ac:dyDescent="0.3">
      <c r="A1728" t="s">
        <v>2703</v>
      </c>
      <c r="B1728">
        <v>5939</v>
      </c>
      <c r="C1728" t="s">
        <v>1387</v>
      </c>
      <c r="D1728" t="s">
        <v>1388</v>
      </c>
      <c r="E1728" t="s">
        <v>1389</v>
      </c>
      <c r="F1728" s="51">
        <v>45565</v>
      </c>
      <c r="G1728" t="s">
        <v>1</v>
      </c>
    </row>
    <row r="1729" spans="1:7" x14ac:dyDescent="0.3">
      <c r="A1729" t="s">
        <v>2703</v>
      </c>
      <c r="B1729">
        <v>5940</v>
      </c>
      <c r="C1729" t="s">
        <v>1212</v>
      </c>
      <c r="D1729" t="s">
        <v>161</v>
      </c>
      <c r="E1729" t="s">
        <v>1390</v>
      </c>
      <c r="F1729" s="51">
        <v>45629</v>
      </c>
      <c r="G1729" t="s">
        <v>5</v>
      </c>
    </row>
    <row r="1730" spans="1:7" x14ac:dyDescent="0.3">
      <c r="A1730" t="s">
        <v>2703</v>
      </c>
      <c r="B1730">
        <v>5941</v>
      </c>
      <c r="C1730" t="s">
        <v>1240</v>
      </c>
      <c r="D1730" t="s">
        <v>1391</v>
      </c>
      <c r="F1730" s="51">
        <v>45551</v>
      </c>
      <c r="G1730" t="s">
        <v>1</v>
      </c>
    </row>
    <row r="1731" spans="1:7" x14ac:dyDescent="0.3">
      <c r="A1731" t="s">
        <v>2703</v>
      </c>
      <c r="B1731">
        <v>5942</v>
      </c>
      <c r="C1731" t="s">
        <v>333</v>
      </c>
      <c r="D1731" t="s">
        <v>1167</v>
      </c>
      <c r="E1731" t="s">
        <v>1151</v>
      </c>
      <c r="F1731" s="51">
        <v>45721</v>
      </c>
      <c r="G1731" t="s">
        <v>1</v>
      </c>
    </row>
    <row r="1732" spans="1:7" x14ac:dyDescent="0.3">
      <c r="A1732" t="s">
        <v>2703</v>
      </c>
      <c r="B1732">
        <v>5944</v>
      </c>
      <c r="C1732" t="s">
        <v>509</v>
      </c>
      <c r="D1732" t="s">
        <v>1392</v>
      </c>
      <c r="E1732" t="s">
        <v>670</v>
      </c>
      <c r="F1732" s="51">
        <v>45558</v>
      </c>
      <c r="G1732" t="s">
        <v>1</v>
      </c>
    </row>
    <row r="1733" spans="1:7" x14ac:dyDescent="0.3">
      <c r="A1733" t="s">
        <v>2703</v>
      </c>
      <c r="B1733">
        <v>5945</v>
      </c>
      <c r="C1733" t="s">
        <v>1234</v>
      </c>
      <c r="D1733" t="s">
        <v>1393</v>
      </c>
      <c r="E1733" t="s">
        <v>186</v>
      </c>
      <c r="F1733" s="51">
        <v>45541</v>
      </c>
      <c r="G1733" t="s">
        <v>1</v>
      </c>
    </row>
    <row r="1734" spans="1:7" x14ac:dyDescent="0.3">
      <c r="A1734" t="s">
        <v>2703</v>
      </c>
      <c r="B1734">
        <v>5946</v>
      </c>
      <c r="C1734" t="s">
        <v>83</v>
      </c>
      <c r="D1734" t="s">
        <v>84</v>
      </c>
      <c r="E1734" t="s">
        <v>1394</v>
      </c>
      <c r="F1734" s="51">
        <v>45551</v>
      </c>
      <c r="G1734" t="s">
        <v>1</v>
      </c>
    </row>
    <row r="1735" spans="1:7" x14ac:dyDescent="0.3">
      <c r="A1735" t="s">
        <v>2703</v>
      </c>
      <c r="B1735">
        <v>5947</v>
      </c>
      <c r="C1735" t="s">
        <v>1395</v>
      </c>
      <c r="D1735" t="s">
        <v>1396</v>
      </c>
      <c r="E1735" t="s">
        <v>1397</v>
      </c>
      <c r="F1735" s="51">
        <v>45459</v>
      </c>
      <c r="G1735" t="s">
        <v>1</v>
      </c>
    </row>
    <row r="1736" spans="1:7" x14ac:dyDescent="0.3">
      <c r="A1736" t="s">
        <v>2703</v>
      </c>
      <c r="B1736">
        <v>5948</v>
      </c>
      <c r="C1736" t="s">
        <v>41</v>
      </c>
      <c r="D1736" t="s">
        <v>1107</v>
      </c>
      <c r="E1736" t="s">
        <v>1398</v>
      </c>
      <c r="F1736" s="51">
        <v>45611</v>
      </c>
      <c r="G1736" t="s">
        <v>4</v>
      </c>
    </row>
    <row r="1737" spans="1:7" x14ac:dyDescent="0.3">
      <c r="A1737" t="s">
        <v>2703</v>
      </c>
      <c r="B1737">
        <v>5949</v>
      </c>
      <c r="C1737" t="s">
        <v>1399</v>
      </c>
      <c r="D1737" t="s">
        <v>1400</v>
      </c>
      <c r="E1737" t="s">
        <v>1401</v>
      </c>
      <c r="F1737" s="51">
        <v>45565</v>
      </c>
      <c r="G1737" t="s">
        <v>1</v>
      </c>
    </row>
    <row r="1738" spans="1:7" x14ac:dyDescent="0.3">
      <c r="A1738" t="s">
        <v>2703</v>
      </c>
      <c r="B1738">
        <v>5950</v>
      </c>
      <c r="C1738" t="s">
        <v>1166</v>
      </c>
      <c r="D1738" t="s">
        <v>453</v>
      </c>
      <c r="E1738" t="s">
        <v>163</v>
      </c>
      <c r="F1738" s="51">
        <v>45551</v>
      </c>
      <c r="G1738" t="s">
        <v>1</v>
      </c>
    </row>
    <row r="1739" spans="1:7" x14ac:dyDescent="0.3">
      <c r="A1739" t="s">
        <v>2703</v>
      </c>
      <c r="B1739">
        <v>5951</v>
      </c>
      <c r="C1739" t="s">
        <v>1402</v>
      </c>
      <c r="D1739" t="s">
        <v>1349</v>
      </c>
      <c r="E1739" t="s">
        <v>1403</v>
      </c>
      <c r="F1739" s="51">
        <v>45551</v>
      </c>
      <c r="G1739" t="s">
        <v>1</v>
      </c>
    </row>
    <row r="1740" spans="1:7" x14ac:dyDescent="0.3">
      <c r="A1740" t="s">
        <v>2703</v>
      </c>
      <c r="B1740">
        <v>5952</v>
      </c>
      <c r="C1740" t="s">
        <v>239</v>
      </c>
      <c r="D1740" t="s">
        <v>546</v>
      </c>
      <c r="E1740" t="s">
        <v>1404</v>
      </c>
      <c r="F1740" s="51">
        <v>45555</v>
      </c>
      <c r="G1740" t="s">
        <v>2</v>
      </c>
    </row>
    <row r="1741" spans="1:7" x14ac:dyDescent="0.3">
      <c r="A1741" t="s">
        <v>2703</v>
      </c>
      <c r="B1741">
        <v>5953</v>
      </c>
      <c r="C1741" t="s">
        <v>1380</v>
      </c>
      <c r="D1741" t="s">
        <v>718</v>
      </c>
      <c r="E1741" t="s">
        <v>145</v>
      </c>
      <c r="F1741" s="51">
        <v>45558</v>
      </c>
      <c r="G1741" t="s">
        <v>1</v>
      </c>
    </row>
    <row r="1742" spans="1:7" x14ac:dyDescent="0.3">
      <c r="A1742" t="s">
        <v>2703</v>
      </c>
      <c r="B1742">
        <v>5954</v>
      </c>
      <c r="C1742" t="s">
        <v>239</v>
      </c>
      <c r="D1742" t="s">
        <v>546</v>
      </c>
      <c r="E1742" t="s">
        <v>777</v>
      </c>
      <c r="F1742" s="51">
        <v>45555</v>
      </c>
      <c r="G1742" t="s">
        <v>2</v>
      </c>
    </row>
    <row r="1743" spans="1:7" x14ac:dyDescent="0.3">
      <c r="A1743" t="s">
        <v>2703</v>
      </c>
      <c r="B1743">
        <v>5955</v>
      </c>
      <c r="C1743" t="s">
        <v>239</v>
      </c>
      <c r="D1743" t="s">
        <v>546</v>
      </c>
      <c r="E1743" t="s">
        <v>1405</v>
      </c>
      <c r="F1743" s="51">
        <v>45555</v>
      </c>
      <c r="G1743" t="s">
        <v>2</v>
      </c>
    </row>
    <row r="1744" spans="1:7" x14ac:dyDescent="0.3">
      <c r="A1744" t="s">
        <v>2703</v>
      </c>
      <c r="B1744">
        <v>5956</v>
      </c>
      <c r="C1744" t="s">
        <v>239</v>
      </c>
      <c r="D1744" t="s">
        <v>546</v>
      </c>
      <c r="E1744" t="s">
        <v>1406</v>
      </c>
      <c r="F1744" s="51">
        <v>45583</v>
      </c>
      <c r="G1744" t="s">
        <v>2</v>
      </c>
    </row>
    <row r="1745" spans="1:7" x14ac:dyDescent="0.3">
      <c r="A1745" t="s">
        <v>2703</v>
      </c>
      <c r="B1745">
        <v>5957</v>
      </c>
      <c r="C1745" t="s">
        <v>1342</v>
      </c>
      <c r="D1745" t="s">
        <v>1407</v>
      </c>
      <c r="E1745" t="s">
        <v>1408</v>
      </c>
      <c r="F1745" s="51">
        <v>45586</v>
      </c>
      <c r="G1745" t="s">
        <v>1</v>
      </c>
    </row>
    <row r="1746" spans="1:7" x14ac:dyDescent="0.3">
      <c r="A1746" t="s">
        <v>2703</v>
      </c>
      <c r="B1746">
        <v>5958</v>
      </c>
      <c r="C1746" t="s">
        <v>1205</v>
      </c>
      <c r="D1746" t="s">
        <v>1206</v>
      </c>
    </row>
    <row r="1747" spans="1:7" x14ac:dyDescent="0.3">
      <c r="A1747" t="s">
        <v>2703</v>
      </c>
      <c r="B1747">
        <v>5959</v>
      </c>
      <c r="C1747" t="s">
        <v>1307</v>
      </c>
      <c r="D1747" t="s">
        <v>84</v>
      </c>
      <c r="E1747" t="s">
        <v>1409</v>
      </c>
      <c r="F1747" s="51">
        <v>45611</v>
      </c>
      <c r="G1747" t="s">
        <v>1</v>
      </c>
    </row>
    <row r="1748" spans="1:7" x14ac:dyDescent="0.3">
      <c r="A1748" t="s">
        <v>2703</v>
      </c>
      <c r="B1748">
        <v>5960</v>
      </c>
      <c r="C1748" t="s">
        <v>220</v>
      </c>
      <c r="D1748" t="s">
        <v>1410</v>
      </c>
      <c r="E1748" t="s">
        <v>1411</v>
      </c>
      <c r="F1748" s="51">
        <v>45629</v>
      </c>
      <c r="G1748" t="s">
        <v>1</v>
      </c>
    </row>
    <row r="1749" spans="1:7" x14ac:dyDescent="0.3">
      <c r="A1749" t="s">
        <v>2703</v>
      </c>
      <c r="B1749">
        <v>5962</v>
      </c>
      <c r="C1749" t="s">
        <v>1106</v>
      </c>
      <c r="D1749" t="s">
        <v>1412</v>
      </c>
      <c r="E1749" t="s">
        <v>1413</v>
      </c>
      <c r="F1749" s="51">
        <v>45565</v>
      </c>
      <c r="G1749" t="s">
        <v>1</v>
      </c>
    </row>
    <row r="1750" spans="1:7" x14ac:dyDescent="0.3">
      <c r="A1750" t="s">
        <v>2703</v>
      </c>
      <c r="B1750">
        <v>5964</v>
      </c>
      <c r="C1750" t="s">
        <v>1414</v>
      </c>
      <c r="D1750" t="s">
        <v>305</v>
      </c>
      <c r="E1750" t="s">
        <v>1415</v>
      </c>
      <c r="F1750" s="51">
        <v>45586</v>
      </c>
      <c r="G1750" t="s">
        <v>1</v>
      </c>
    </row>
    <row r="1751" spans="1:7" x14ac:dyDescent="0.3">
      <c r="A1751" t="s">
        <v>2703</v>
      </c>
      <c r="B1751">
        <v>5965</v>
      </c>
      <c r="C1751" t="s">
        <v>309</v>
      </c>
      <c r="D1751" t="s">
        <v>1416</v>
      </c>
      <c r="E1751" t="s">
        <v>1417</v>
      </c>
      <c r="F1751" s="51">
        <v>45565</v>
      </c>
      <c r="G1751" t="s">
        <v>4</v>
      </c>
    </row>
    <row r="1752" spans="1:7" x14ac:dyDescent="0.3">
      <c r="A1752" t="s">
        <v>2703</v>
      </c>
      <c r="B1752">
        <v>5966</v>
      </c>
      <c r="C1752" t="s">
        <v>1376</v>
      </c>
      <c r="E1752" t="s">
        <v>1418</v>
      </c>
      <c r="F1752" s="51">
        <v>45565</v>
      </c>
      <c r="G1752" t="s">
        <v>1</v>
      </c>
    </row>
    <row r="1753" spans="1:7" x14ac:dyDescent="0.3">
      <c r="A1753" t="s">
        <v>2703</v>
      </c>
      <c r="B1753">
        <v>5967</v>
      </c>
      <c r="C1753" t="s">
        <v>1419</v>
      </c>
      <c r="D1753" t="s">
        <v>1420</v>
      </c>
      <c r="E1753" t="s">
        <v>1421</v>
      </c>
      <c r="F1753" s="51">
        <v>45586</v>
      </c>
      <c r="G1753" t="s">
        <v>1</v>
      </c>
    </row>
    <row r="1754" spans="1:7" x14ac:dyDescent="0.3">
      <c r="A1754" t="s">
        <v>2703</v>
      </c>
      <c r="B1754">
        <v>5968</v>
      </c>
      <c r="C1754" t="s">
        <v>1402</v>
      </c>
      <c r="D1754" t="s">
        <v>1349</v>
      </c>
      <c r="E1754" t="s">
        <v>1422</v>
      </c>
      <c r="F1754" s="51">
        <v>45565</v>
      </c>
      <c r="G1754" t="s">
        <v>1</v>
      </c>
    </row>
    <row r="1755" spans="1:7" x14ac:dyDescent="0.3">
      <c r="A1755" t="s">
        <v>2703</v>
      </c>
      <c r="B1755">
        <v>5969</v>
      </c>
      <c r="C1755" t="s">
        <v>1423</v>
      </c>
      <c r="D1755" t="s">
        <v>334</v>
      </c>
      <c r="E1755" t="s">
        <v>954</v>
      </c>
      <c r="F1755" s="51">
        <v>45565</v>
      </c>
      <c r="G1755" t="s">
        <v>1</v>
      </c>
    </row>
    <row r="1756" spans="1:7" x14ac:dyDescent="0.3">
      <c r="A1756" t="s">
        <v>2703</v>
      </c>
      <c r="B1756">
        <v>5971</v>
      </c>
      <c r="C1756" t="s">
        <v>220</v>
      </c>
      <c r="D1756" t="s">
        <v>1424</v>
      </c>
      <c r="E1756" t="s">
        <v>1425</v>
      </c>
      <c r="F1756" s="51">
        <v>45622</v>
      </c>
      <c r="G1756" t="s">
        <v>4</v>
      </c>
    </row>
    <row r="1757" spans="1:7" x14ac:dyDescent="0.3">
      <c r="A1757" t="s">
        <v>2703</v>
      </c>
      <c r="B1757">
        <v>5972</v>
      </c>
      <c r="C1757" t="s">
        <v>309</v>
      </c>
      <c r="D1757" t="s">
        <v>1107</v>
      </c>
      <c r="E1757" t="s">
        <v>1426</v>
      </c>
      <c r="F1757" s="51">
        <v>45576</v>
      </c>
      <c r="G1757" t="s">
        <v>5</v>
      </c>
    </row>
    <row r="1758" spans="1:7" x14ac:dyDescent="0.3">
      <c r="A1758" t="s">
        <v>2703</v>
      </c>
      <c r="B1758">
        <v>5973</v>
      </c>
      <c r="C1758" t="s">
        <v>1026</v>
      </c>
      <c r="D1758" t="s">
        <v>1209</v>
      </c>
      <c r="E1758" t="s">
        <v>1427</v>
      </c>
      <c r="F1758" s="51">
        <v>45616</v>
      </c>
      <c r="G1758" t="s">
        <v>1</v>
      </c>
    </row>
    <row r="1759" spans="1:7" x14ac:dyDescent="0.3">
      <c r="A1759" t="s">
        <v>2703</v>
      </c>
      <c r="B1759">
        <v>5974</v>
      </c>
      <c r="C1759" t="s">
        <v>1208</v>
      </c>
      <c r="D1759" t="s">
        <v>1209</v>
      </c>
      <c r="E1759" t="s">
        <v>1428</v>
      </c>
      <c r="F1759" s="51">
        <v>45637</v>
      </c>
      <c r="G1759" t="s">
        <v>1</v>
      </c>
    </row>
    <row r="1760" spans="1:7" x14ac:dyDescent="0.3">
      <c r="A1760" t="s">
        <v>2703</v>
      </c>
      <c r="B1760">
        <v>5975</v>
      </c>
      <c r="C1760" t="s">
        <v>195</v>
      </c>
      <c r="D1760" t="s">
        <v>1429</v>
      </c>
      <c r="E1760" t="s">
        <v>1430</v>
      </c>
      <c r="F1760" s="51">
        <v>45684</v>
      </c>
      <c r="G1760" t="s">
        <v>1</v>
      </c>
    </row>
    <row r="1761" spans="1:7" x14ac:dyDescent="0.3">
      <c r="A1761" t="s">
        <v>2703</v>
      </c>
      <c r="B1761">
        <v>5977</v>
      </c>
      <c r="C1761" t="s">
        <v>1208</v>
      </c>
      <c r="D1761" t="s">
        <v>1431</v>
      </c>
      <c r="E1761" t="s">
        <v>779</v>
      </c>
      <c r="F1761" s="51">
        <v>45637</v>
      </c>
      <c r="G1761" t="s">
        <v>1</v>
      </c>
    </row>
    <row r="1762" spans="1:7" x14ac:dyDescent="0.3">
      <c r="A1762" t="s">
        <v>2703</v>
      </c>
      <c r="B1762">
        <v>5978</v>
      </c>
      <c r="C1762" t="s">
        <v>1432</v>
      </c>
      <c r="D1762" t="s">
        <v>179</v>
      </c>
      <c r="E1762" t="s">
        <v>1433</v>
      </c>
      <c r="F1762" s="51">
        <v>45580</v>
      </c>
      <c r="G1762" t="s">
        <v>1</v>
      </c>
    </row>
    <row r="1763" spans="1:7" x14ac:dyDescent="0.3">
      <c r="A1763" t="s">
        <v>2703</v>
      </c>
      <c r="B1763">
        <v>5979</v>
      </c>
      <c r="C1763" t="s">
        <v>333</v>
      </c>
      <c r="D1763" t="s">
        <v>334</v>
      </c>
      <c r="E1763" t="s">
        <v>927</v>
      </c>
      <c r="F1763" s="51">
        <v>45587</v>
      </c>
      <c r="G1763" t="s">
        <v>2</v>
      </c>
    </row>
    <row r="1764" spans="1:7" x14ac:dyDescent="0.3">
      <c r="A1764" t="s">
        <v>2703</v>
      </c>
      <c r="B1764">
        <v>5980</v>
      </c>
      <c r="C1764" t="s">
        <v>1208</v>
      </c>
      <c r="D1764" t="s">
        <v>1434</v>
      </c>
      <c r="E1764" t="s">
        <v>341</v>
      </c>
      <c r="F1764" s="51">
        <v>45637</v>
      </c>
      <c r="G1764" t="s">
        <v>1</v>
      </c>
    </row>
    <row r="1765" spans="1:7" x14ac:dyDescent="0.3">
      <c r="A1765" t="s">
        <v>2703</v>
      </c>
      <c r="B1765">
        <v>5981</v>
      </c>
      <c r="C1765" t="s">
        <v>1186</v>
      </c>
      <c r="D1765" t="s">
        <v>1211</v>
      </c>
      <c r="E1765" t="s">
        <v>1435</v>
      </c>
      <c r="F1765" s="51">
        <v>45579</v>
      </c>
      <c r="G1765" t="s">
        <v>1</v>
      </c>
    </row>
    <row r="1766" spans="1:7" x14ac:dyDescent="0.3">
      <c r="A1766" t="s">
        <v>2703</v>
      </c>
      <c r="B1766">
        <v>5982</v>
      </c>
      <c r="C1766" t="s">
        <v>1342</v>
      </c>
      <c r="D1766" t="s">
        <v>1407</v>
      </c>
      <c r="E1766" t="s">
        <v>1377</v>
      </c>
      <c r="F1766" s="51">
        <v>45586</v>
      </c>
      <c r="G1766" t="s">
        <v>1</v>
      </c>
    </row>
    <row r="1767" spans="1:7" x14ac:dyDescent="0.3">
      <c r="A1767" t="s">
        <v>2703</v>
      </c>
      <c r="B1767">
        <v>5983</v>
      </c>
      <c r="C1767" t="s">
        <v>1117</v>
      </c>
      <c r="D1767" t="s">
        <v>45</v>
      </c>
      <c r="E1767" t="s">
        <v>589</v>
      </c>
      <c r="F1767" s="51">
        <v>45579</v>
      </c>
      <c r="G1767" t="s">
        <v>2</v>
      </c>
    </row>
    <row r="1768" spans="1:7" x14ac:dyDescent="0.3">
      <c r="A1768" t="s">
        <v>2703</v>
      </c>
      <c r="B1768">
        <v>5984</v>
      </c>
      <c r="C1768" t="s">
        <v>1117</v>
      </c>
      <c r="D1768" t="s">
        <v>45</v>
      </c>
      <c r="E1768" t="s">
        <v>1436</v>
      </c>
      <c r="F1768" s="51">
        <v>45579</v>
      </c>
      <c r="G1768" t="s">
        <v>2</v>
      </c>
    </row>
    <row r="1769" spans="1:7" x14ac:dyDescent="0.3">
      <c r="A1769" t="s">
        <v>2703</v>
      </c>
      <c r="B1769">
        <v>5985</v>
      </c>
      <c r="C1769" t="s">
        <v>1339</v>
      </c>
      <c r="D1769" t="s">
        <v>453</v>
      </c>
      <c r="E1769" t="s">
        <v>1437</v>
      </c>
      <c r="F1769" s="51">
        <v>45579</v>
      </c>
      <c r="G1769" t="s">
        <v>1</v>
      </c>
    </row>
    <row r="1770" spans="1:7" x14ac:dyDescent="0.3">
      <c r="A1770" t="s">
        <v>2703</v>
      </c>
      <c r="B1770">
        <v>5986</v>
      </c>
      <c r="C1770" t="s">
        <v>191</v>
      </c>
      <c r="D1770" t="s">
        <v>252</v>
      </c>
      <c r="E1770" t="s">
        <v>1377</v>
      </c>
      <c r="F1770" s="51">
        <v>45586</v>
      </c>
      <c r="G1770" t="s">
        <v>1</v>
      </c>
    </row>
    <row r="1771" spans="1:7" x14ac:dyDescent="0.3">
      <c r="A1771" t="s">
        <v>2703</v>
      </c>
      <c r="B1771">
        <v>5988</v>
      </c>
      <c r="C1771" t="s">
        <v>1438</v>
      </c>
      <c r="D1771" t="s">
        <v>334</v>
      </c>
      <c r="E1771" t="s">
        <v>159</v>
      </c>
      <c r="F1771" s="99">
        <v>45622.381631944445</v>
      </c>
      <c r="G1771" t="s">
        <v>13</v>
      </c>
    </row>
    <row r="1772" spans="1:7" x14ac:dyDescent="0.3">
      <c r="A1772" t="s">
        <v>2703</v>
      </c>
      <c r="B1772">
        <v>5989</v>
      </c>
      <c r="C1772" t="s">
        <v>1229</v>
      </c>
      <c r="D1772" t="s">
        <v>1439</v>
      </c>
      <c r="E1772" t="s">
        <v>207</v>
      </c>
      <c r="F1772" s="51">
        <v>45580</v>
      </c>
      <c r="G1772" t="s">
        <v>1</v>
      </c>
    </row>
    <row r="1773" spans="1:7" x14ac:dyDescent="0.3">
      <c r="A1773" t="s">
        <v>2703</v>
      </c>
      <c r="B1773">
        <v>5990</v>
      </c>
      <c r="C1773" t="s">
        <v>41</v>
      </c>
      <c r="D1773" t="s">
        <v>1440</v>
      </c>
      <c r="E1773" t="s">
        <v>1441</v>
      </c>
      <c r="F1773" s="51">
        <v>45580</v>
      </c>
      <c r="G1773" t="s">
        <v>4</v>
      </c>
    </row>
    <row r="1774" spans="1:7" x14ac:dyDescent="0.3">
      <c r="A1774" t="s">
        <v>2703</v>
      </c>
      <c r="B1774">
        <v>5991</v>
      </c>
      <c r="C1774" t="s">
        <v>611</v>
      </c>
      <c r="D1774" t="s">
        <v>240</v>
      </c>
      <c r="E1774" t="s">
        <v>884</v>
      </c>
      <c r="F1774" s="51">
        <v>45586</v>
      </c>
      <c r="G1774" t="s">
        <v>1</v>
      </c>
    </row>
    <row r="1775" spans="1:7" x14ac:dyDescent="0.3">
      <c r="A1775" t="s">
        <v>2703</v>
      </c>
      <c r="B1775">
        <v>5993</v>
      </c>
      <c r="C1775" t="s">
        <v>333</v>
      </c>
      <c r="D1775" t="s">
        <v>334</v>
      </c>
      <c r="E1775" t="s">
        <v>1048</v>
      </c>
      <c r="F1775" s="51">
        <v>45590</v>
      </c>
      <c r="G1775" t="s">
        <v>2</v>
      </c>
    </row>
    <row r="1776" spans="1:7" x14ac:dyDescent="0.3">
      <c r="A1776" t="s">
        <v>2703</v>
      </c>
      <c r="B1776">
        <v>5994</v>
      </c>
      <c r="C1776" t="s">
        <v>333</v>
      </c>
      <c r="D1776" t="s">
        <v>334</v>
      </c>
      <c r="E1776" t="s">
        <v>1005</v>
      </c>
      <c r="F1776" s="51">
        <v>45588</v>
      </c>
      <c r="G1776" t="s">
        <v>2</v>
      </c>
    </row>
    <row r="1777" spans="1:7" x14ac:dyDescent="0.3">
      <c r="A1777" t="s">
        <v>2703</v>
      </c>
      <c r="B1777">
        <v>5995</v>
      </c>
      <c r="C1777" t="s">
        <v>333</v>
      </c>
      <c r="D1777" t="s">
        <v>334</v>
      </c>
      <c r="E1777" t="s">
        <v>1221</v>
      </c>
      <c r="F1777" s="51">
        <v>45588</v>
      </c>
      <c r="G1777" t="s">
        <v>2</v>
      </c>
    </row>
    <row r="1778" spans="1:7" x14ac:dyDescent="0.3">
      <c r="A1778" t="s">
        <v>2703</v>
      </c>
      <c r="B1778">
        <v>5996</v>
      </c>
      <c r="C1778" t="s">
        <v>74</v>
      </c>
      <c r="D1778" t="s">
        <v>1442</v>
      </c>
      <c r="E1778" t="s">
        <v>145</v>
      </c>
      <c r="F1778" s="51">
        <v>45589</v>
      </c>
      <c r="G1778" t="s">
        <v>1</v>
      </c>
    </row>
    <row r="1779" spans="1:7" x14ac:dyDescent="0.3">
      <c r="A1779" t="s">
        <v>2703</v>
      </c>
      <c r="B1779">
        <v>5997</v>
      </c>
      <c r="C1779" t="s">
        <v>1217</v>
      </c>
      <c r="D1779" t="s">
        <v>453</v>
      </c>
      <c r="E1779" t="s">
        <v>1443</v>
      </c>
      <c r="F1779" s="51">
        <v>45589</v>
      </c>
      <c r="G1779" t="s">
        <v>1</v>
      </c>
    </row>
    <row r="1780" spans="1:7" x14ac:dyDescent="0.3">
      <c r="A1780" t="s">
        <v>2703</v>
      </c>
      <c r="B1780">
        <v>5998</v>
      </c>
      <c r="C1780" t="s">
        <v>1026</v>
      </c>
      <c r="D1780" t="s">
        <v>1444</v>
      </c>
      <c r="E1780" t="s">
        <v>788</v>
      </c>
      <c r="F1780" s="51">
        <v>45581</v>
      </c>
      <c r="G1780" t="s">
        <v>1</v>
      </c>
    </row>
    <row r="1781" spans="1:7" x14ac:dyDescent="0.3">
      <c r="A1781" t="s">
        <v>2703</v>
      </c>
      <c r="B1781">
        <v>5999</v>
      </c>
      <c r="C1781" t="s">
        <v>83</v>
      </c>
      <c r="D1781" t="s">
        <v>240</v>
      </c>
      <c r="E1781" t="s">
        <v>1445</v>
      </c>
      <c r="F1781" s="51">
        <v>45614</v>
      </c>
      <c r="G1781" t="s">
        <v>1</v>
      </c>
    </row>
    <row r="1782" spans="1:7" x14ac:dyDescent="0.3">
      <c r="A1782" t="s">
        <v>2703</v>
      </c>
      <c r="B1782">
        <v>6000</v>
      </c>
      <c r="C1782" t="s">
        <v>1446</v>
      </c>
      <c r="D1782" t="s">
        <v>1194</v>
      </c>
      <c r="E1782" t="s">
        <v>255</v>
      </c>
      <c r="F1782" s="51">
        <v>45643</v>
      </c>
      <c r="G1782" t="s">
        <v>1</v>
      </c>
    </row>
    <row r="1783" spans="1:7" x14ac:dyDescent="0.3">
      <c r="A1783" t="s">
        <v>2703</v>
      </c>
      <c r="B1783">
        <v>6001</v>
      </c>
      <c r="C1783" t="s">
        <v>1106</v>
      </c>
      <c r="D1783" t="s">
        <v>1214</v>
      </c>
      <c r="E1783" t="s">
        <v>926</v>
      </c>
      <c r="F1783" s="51">
        <v>45622</v>
      </c>
      <c r="G1783" t="s">
        <v>1</v>
      </c>
    </row>
    <row r="1784" spans="1:7" x14ac:dyDescent="0.3">
      <c r="A1784" t="s">
        <v>2703</v>
      </c>
      <c r="B1784">
        <v>6003</v>
      </c>
      <c r="C1784" t="s">
        <v>353</v>
      </c>
      <c r="D1784" t="s">
        <v>32</v>
      </c>
      <c r="E1784" t="s">
        <v>488</v>
      </c>
      <c r="F1784" s="51">
        <v>45600</v>
      </c>
      <c r="G1784" t="s">
        <v>1</v>
      </c>
    </row>
    <row r="1785" spans="1:7" x14ac:dyDescent="0.3">
      <c r="A1785" t="s">
        <v>2703</v>
      </c>
      <c r="B1785">
        <v>6004</v>
      </c>
      <c r="C1785" t="s">
        <v>1447</v>
      </c>
      <c r="D1785" t="s">
        <v>133</v>
      </c>
      <c r="E1785" t="s">
        <v>1448</v>
      </c>
      <c r="F1785" s="51">
        <v>45622</v>
      </c>
      <c r="G1785" t="s">
        <v>1</v>
      </c>
    </row>
    <row r="1786" spans="1:7" x14ac:dyDescent="0.3">
      <c r="A1786" t="s">
        <v>2703</v>
      </c>
      <c r="B1786">
        <v>6005</v>
      </c>
      <c r="C1786" t="s">
        <v>1449</v>
      </c>
      <c r="D1786" t="s">
        <v>133</v>
      </c>
      <c r="E1786" t="s">
        <v>1450</v>
      </c>
      <c r="F1786" s="51">
        <v>45600</v>
      </c>
      <c r="G1786" t="s">
        <v>1</v>
      </c>
    </row>
    <row r="1787" spans="1:7" x14ac:dyDescent="0.3">
      <c r="A1787" t="s">
        <v>2703</v>
      </c>
      <c r="B1787">
        <v>6006</v>
      </c>
      <c r="C1787" t="s">
        <v>1324</v>
      </c>
      <c r="D1787" t="s">
        <v>1358</v>
      </c>
      <c r="E1787" t="s">
        <v>1451</v>
      </c>
      <c r="F1787" s="51">
        <v>45600</v>
      </c>
      <c r="G1787" t="s">
        <v>1</v>
      </c>
    </row>
    <row r="1788" spans="1:7" x14ac:dyDescent="0.3">
      <c r="A1788" t="s">
        <v>2703</v>
      </c>
      <c r="B1788">
        <v>6008</v>
      </c>
      <c r="C1788" t="s">
        <v>1234</v>
      </c>
      <c r="D1788" t="s">
        <v>1452</v>
      </c>
      <c r="F1788" s="51">
        <v>45600</v>
      </c>
      <c r="G1788" t="s">
        <v>1</v>
      </c>
    </row>
    <row r="1789" spans="1:7" x14ac:dyDescent="0.3">
      <c r="A1789" t="s">
        <v>2703</v>
      </c>
      <c r="B1789">
        <v>6009</v>
      </c>
      <c r="C1789" t="s">
        <v>1453</v>
      </c>
      <c r="D1789" t="s">
        <v>140</v>
      </c>
      <c r="E1789" t="s">
        <v>801</v>
      </c>
      <c r="F1789" s="51">
        <v>45614</v>
      </c>
      <c r="G1789" t="s">
        <v>1</v>
      </c>
    </row>
    <row r="1790" spans="1:7" x14ac:dyDescent="0.3">
      <c r="A1790" t="s">
        <v>2703</v>
      </c>
      <c r="B1790">
        <v>6010</v>
      </c>
      <c r="C1790" t="s">
        <v>1449</v>
      </c>
      <c r="D1790" t="s">
        <v>133</v>
      </c>
      <c r="E1790" t="s">
        <v>168</v>
      </c>
      <c r="F1790" s="51">
        <v>45617</v>
      </c>
      <c r="G1790" t="s">
        <v>1</v>
      </c>
    </row>
    <row r="1791" spans="1:7" x14ac:dyDescent="0.3">
      <c r="A1791" t="s">
        <v>2703</v>
      </c>
      <c r="B1791">
        <v>6011</v>
      </c>
      <c r="C1791" t="s">
        <v>1454</v>
      </c>
      <c r="D1791" t="s">
        <v>179</v>
      </c>
      <c r="E1791" t="s">
        <v>615</v>
      </c>
      <c r="F1791" s="51">
        <v>45614</v>
      </c>
      <c r="G1791" t="s">
        <v>1</v>
      </c>
    </row>
    <row r="1792" spans="1:7" x14ac:dyDescent="0.3">
      <c r="A1792" t="s">
        <v>2703</v>
      </c>
      <c r="B1792">
        <v>6012</v>
      </c>
      <c r="C1792" t="s">
        <v>1117</v>
      </c>
      <c r="D1792" t="s">
        <v>1455</v>
      </c>
      <c r="E1792" t="s">
        <v>615</v>
      </c>
      <c r="F1792" s="51">
        <v>45618</v>
      </c>
      <c r="G1792" t="s">
        <v>1</v>
      </c>
    </row>
    <row r="1793" spans="1:7" x14ac:dyDescent="0.3">
      <c r="A1793" t="s">
        <v>2703</v>
      </c>
      <c r="B1793">
        <v>6013</v>
      </c>
      <c r="C1793" t="s">
        <v>1117</v>
      </c>
      <c r="D1793" t="s">
        <v>1118</v>
      </c>
      <c r="E1793" t="s">
        <v>146</v>
      </c>
      <c r="F1793" s="51">
        <v>45643</v>
      </c>
      <c r="G1793" t="s">
        <v>1</v>
      </c>
    </row>
    <row r="1794" spans="1:7" x14ac:dyDescent="0.3">
      <c r="A1794" t="s">
        <v>2703</v>
      </c>
      <c r="B1794">
        <v>6014</v>
      </c>
      <c r="C1794" t="s">
        <v>36</v>
      </c>
      <c r="D1794" t="s">
        <v>930</v>
      </c>
      <c r="E1794" t="s">
        <v>27</v>
      </c>
      <c r="F1794" s="99">
        <v>45635.587511574071</v>
      </c>
      <c r="G1794" t="s">
        <v>2</v>
      </c>
    </row>
    <row r="1795" spans="1:7" x14ac:dyDescent="0.3">
      <c r="A1795" t="s">
        <v>2703</v>
      </c>
      <c r="B1795">
        <v>6015</v>
      </c>
      <c r="C1795" t="s">
        <v>128</v>
      </c>
      <c r="D1795" t="s">
        <v>1396</v>
      </c>
      <c r="E1795" t="s">
        <v>1456</v>
      </c>
      <c r="F1795" s="51">
        <v>45622</v>
      </c>
      <c r="G1795" t="s">
        <v>1</v>
      </c>
    </row>
    <row r="1796" spans="1:7" x14ac:dyDescent="0.3">
      <c r="A1796" t="s">
        <v>2703</v>
      </c>
      <c r="B1796">
        <v>6016</v>
      </c>
      <c r="C1796" t="s">
        <v>1302</v>
      </c>
      <c r="D1796" t="s">
        <v>217</v>
      </c>
      <c r="E1796" t="s">
        <v>1457</v>
      </c>
      <c r="F1796" s="51">
        <v>45618</v>
      </c>
      <c r="G1796" t="s">
        <v>1</v>
      </c>
    </row>
    <row r="1797" spans="1:7" x14ac:dyDescent="0.3">
      <c r="A1797" t="s">
        <v>2703</v>
      </c>
      <c r="B1797">
        <v>6017</v>
      </c>
      <c r="C1797" t="s">
        <v>205</v>
      </c>
      <c r="D1797" t="s">
        <v>924</v>
      </c>
      <c r="E1797" t="s">
        <v>146</v>
      </c>
      <c r="F1797" s="51">
        <v>45622</v>
      </c>
      <c r="G1797" t="s">
        <v>1</v>
      </c>
    </row>
    <row r="1798" spans="1:7" x14ac:dyDescent="0.3">
      <c r="A1798" t="s">
        <v>2703</v>
      </c>
      <c r="B1798">
        <v>6018</v>
      </c>
      <c r="C1798" t="s">
        <v>509</v>
      </c>
      <c r="D1798" t="s">
        <v>1458</v>
      </c>
      <c r="E1798" t="s">
        <v>1459</v>
      </c>
      <c r="F1798" s="51">
        <v>45637</v>
      </c>
      <c r="G1798" t="s">
        <v>1</v>
      </c>
    </row>
    <row r="1799" spans="1:7" x14ac:dyDescent="0.3">
      <c r="A1799" t="s">
        <v>2703</v>
      </c>
      <c r="B1799">
        <v>6019</v>
      </c>
      <c r="C1799" t="s">
        <v>1460</v>
      </c>
      <c r="E1799" t="s">
        <v>1461</v>
      </c>
      <c r="F1799" s="51">
        <v>45622</v>
      </c>
      <c r="G1799" t="s">
        <v>1</v>
      </c>
    </row>
    <row r="1800" spans="1:7" x14ac:dyDescent="0.3">
      <c r="A1800" t="s">
        <v>2703</v>
      </c>
      <c r="B1800">
        <v>6020</v>
      </c>
      <c r="C1800" t="s">
        <v>1245</v>
      </c>
      <c r="D1800" t="s">
        <v>299</v>
      </c>
      <c r="E1800" t="s">
        <v>255</v>
      </c>
      <c r="F1800" s="51">
        <v>45629</v>
      </c>
      <c r="G1800" t="s">
        <v>1</v>
      </c>
    </row>
    <row r="1801" spans="1:7" x14ac:dyDescent="0.3">
      <c r="A1801" t="s">
        <v>2703</v>
      </c>
      <c r="B1801">
        <v>6021</v>
      </c>
      <c r="C1801" t="s">
        <v>1462</v>
      </c>
      <c r="D1801" t="s">
        <v>362</v>
      </c>
      <c r="E1801" t="s">
        <v>1463</v>
      </c>
      <c r="F1801" s="99">
        <v>45625.637291666666</v>
      </c>
      <c r="G1801" t="s">
        <v>1</v>
      </c>
    </row>
    <row r="1802" spans="1:7" x14ac:dyDescent="0.3">
      <c r="A1802" t="s">
        <v>2703</v>
      </c>
      <c r="B1802">
        <v>6023</v>
      </c>
      <c r="C1802" t="s">
        <v>41</v>
      </c>
      <c r="D1802" t="s">
        <v>240</v>
      </c>
      <c r="E1802" t="s">
        <v>1948</v>
      </c>
      <c r="F1802" s="51">
        <v>45705</v>
      </c>
      <c r="G1802" t="s">
        <v>4</v>
      </c>
    </row>
    <row r="1803" spans="1:7" x14ac:dyDescent="0.3">
      <c r="A1803" t="s">
        <v>2703</v>
      </c>
      <c r="B1803">
        <v>6024</v>
      </c>
      <c r="C1803" t="s">
        <v>1026</v>
      </c>
      <c r="D1803" t="s">
        <v>1464</v>
      </c>
      <c r="E1803" t="s">
        <v>1465</v>
      </c>
      <c r="F1803" s="51">
        <v>45628</v>
      </c>
      <c r="G1803" t="s">
        <v>1</v>
      </c>
    </row>
    <row r="1804" spans="1:7" x14ac:dyDescent="0.3">
      <c r="A1804" t="s">
        <v>2703</v>
      </c>
      <c r="B1804">
        <v>6025</v>
      </c>
      <c r="C1804" t="s">
        <v>1071</v>
      </c>
      <c r="D1804" t="s">
        <v>277</v>
      </c>
      <c r="E1804" t="s">
        <v>926</v>
      </c>
      <c r="F1804" s="51">
        <v>45629</v>
      </c>
      <c r="G1804" t="s">
        <v>1</v>
      </c>
    </row>
    <row r="1805" spans="1:7" x14ac:dyDescent="0.3">
      <c r="A1805" t="s">
        <v>2703</v>
      </c>
      <c r="B1805">
        <v>6026</v>
      </c>
      <c r="C1805" t="s">
        <v>1466</v>
      </c>
      <c r="D1805" t="s">
        <v>986</v>
      </c>
      <c r="E1805" t="s">
        <v>186</v>
      </c>
      <c r="F1805" s="51">
        <v>45643</v>
      </c>
      <c r="G1805" t="s">
        <v>6</v>
      </c>
    </row>
    <row r="1806" spans="1:7" x14ac:dyDescent="0.3">
      <c r="A1806" t="s">
        <v>2703</v>
      </c>
      <c r="B1806">
        <v>6027</v>
      </c>
      <c r="C1806" t="s">
        <v>205</v>
      </c>
      <c r="D1806" t="s">
        <v>106</v>
      </c>
      <c r="E1806" t="s">
        <v>1467</v>
      </c>
      <c r="F1806" s="51">
        <v>45629</v>
      </c>
      <c r="G1806" t="s">
        <v>3</v>
      </c>
    </row>
    <row r="1807" spans="1:7" x14ac:dyDescent="0.3">
      <c r="A1807" t="s">
        <v>2703</v>
      </c>
      <c r="B1807">
        <v>6028</v>
      </c>
      <c r="C1807" t="s">
        <v>74</v>
      </c>
      <c r="D1807" t="s">
        <v>367</v>
      </c>
      <c r="E1807" t="s">
        <v>1088</v>
      </c>
      <c r="F1807" s="51">
        <v>45628</v>
      </c>
      <c r="G1807" t="s">
        <v>3</v>
      </c>
    </row>
    <row r="1808" spans="1:7" x14ac:dyDescent="0.3">
      <c r="A1808" t="s">
        <v>2703</v>
      </c>
      <c r="B1808">
        <v>6029</v>
      </c>
      <c r="C1808" t="s">
        <v>195</v>
      </c>
      <c r="D1808" t="s">
        <v>1468</v>
      </c>
      <c r="E1808" t="s">
        <v>733</v>
      </c>
      <c r="F1808" s="51">
        <v>45629</v>
      </c>
      <c r="G1808" t="s">
        <v>1</v>
      </c>
    </row>
    <row r="1809" spans="1:7" x14ac:dyDescent="0.3">
      <c r="A1809" t="s">
        <v>2703</v>
      </c>
      <c r="B1809">
        <v>6030</v>
      </c>
      <c r="C1809" t="s">
        <v>74</v>
      </c>
      <c r="D1809" t="s">
        <v>367</v>
      </c>
      <c r="E1809" t="s">
        <v>784</v>
      </c>
      <c r="F1809" s="51">
        <v>45635</v>
      </c>
      <c r="G1809" t="s">
        <v>9</v>
      </c>
    </row>
    <row r="1810" spans="1:7" x14ac:dyDescent="0.3">
      <c r="A1810" t="s">
        <v>2703</v>
      </c>
      <c r="B1810">
        <v>6031</v>
      </c>
      <c r="C1810" t="s">
        <v>1454</v>
      </c>
      <c r="D1810" t="s">
        <v>1131</v>
      </c>
      <c r="E1810" t="s">
        <v>615</v>
      </c>
      <c r="F1810" s="51">
        <v>45677</v>
      </c>
      <c r="G1810" t="s">
        <v>1</v>
      </c>
    </row>
    <row r="1811" spans="1:7" x14ac:dyDescent="0.3">
      <c r="A1811" t="s">
        <v>2703</v>
      </c>
      <c r="B1811">
        <v>6032</v>
      </c>
      <c r="C1811" t="s">
        <v>1469</v>
      </c>
      <c r="D1811" t="s">
        <v>685</v>
      </c>
      <c r="E1811" t="s">
        <v>1470</v>
      </c>
      <c r="F1811" s="51">
        <v>45643</v>
      </c>
      <c r="G1811" t="s">
        <v>1</v>
      </c>
    </row>
    <row r="1812" spans="1:7" x14ac:dyDescent="0.3">
      <c r="A1812" t="s">
        <v>2703</v>
      </c>
      <c r="B1812">
        <v>6035</v>
      </c>
      <c r="C1812" t="s">
        <v>1471</v>
      </c>
      <c r="D1812" t="s">
        <v>1472</v>
      </c>
      <c r="E1812" t="s">
        <v>168</v>
      </c>
      <c r="F1812" s="51">
        <v>45643</v>
      </c>
      <c r="G1812" t="s">
        <v>1</v>
      </c>
    </row>
    <row r="1813" spans="1:7" x14ac:dyDescent="0.3">
      <c r="A1813" t="s">
        <v>2703</v>
      </c>
      <c r="B1813">
        <v>6036</v>
      </c>
      <c r="C1813" t="s">
        <v>1949</v>
      </c>
      <c r="D1813" t="s">
        <v>831</v>
      </c>
      <c r="E1813" t="s">
        <v>85</v>
      </c>
      <c r="F1813" s="51">
        <v>45705</v>
      </c>
      <c r="G1813" t="s">
        <v>1</v>
      </c>
    </row>
    <row r="1814" spans="1:7" x14ac:dyDescent="0.3">
      <c r="A1814" t="s">
        <v>2703</v>
      </c>
      <c r="B1814">
        <v>6038</v>
      </c>
      <c r="C1814" t="s">
        <v>1446</v>
      </c>
      <c r="D1814" t="s">
        <v>1194</v>
      </c>
      <c r="E1814" t="s">
        <v>255</v>
      </c>
      <c r="F1814" s="51">
        <v>45712</v>
      </c>
      <c r="G1814" t="s">
        <v>1</v>
      </c>
    </row>
    <row r="1815" spans="1:7" x14ac:dyDescent="0.3">
      <c r="A1815" t="s">
        <v>2703</v>
      </c>
      <c r="B1815">
        <v>6040</v>
      </c>
      <c r="C1815" t="s">
        <v>2009</v>
      </c>
      <c r="D1815" t="s">
        <v>223</v>
      </c>
      <c r="E1815" t="s">
        <v>2010</v>
      </c>
      <c r="F1815" s="51">
        <v>45734</v>
      </c>
      <c r="G1815" t="s">
        <v>1</v>
      </c>
    </row>
    <row r="1816" spans="1:7" x14ac:dyDescent="0.3">
      <c r="A1816" t="s">
        <v>2703</v>
      </c>
      <c r="B1816">
        <v>6041</v>
      </c>
      <c r="C1816" t="s">
        <v>1217</v>
      </c>
      <c r="D1816" t="s">
        <v>453</v>
      </c>
      <c r="E1816" t="s">
        <v>801</v>
      </c>
      <c r="F1816" s="51">
        <v>45712</v>
      </c>
      <c r="G1816" t="s">
        <v>1</v>
      </c>
    </row>
    <row r="1817" spans="1:7" x14ac:dyDescent="0.3">
      <c r="A1817" t="s">
        <v>2703</v>
      </c>
      <c r="B1817">
        <v>6042</v>
      </c>
      <c r="C1817" t="s">
        <v>1473</v>
      </c>
      <c r="D1817" t="s">
        <v>495</v>
      </c>
      <c r="E1817" t="s">
        <v>1377</v>
      </c>
      <c r="F1817" s="51">
        <v>45684</v>
      </c>
      <c r="G1817" t="s">
        <v>1</v>
      </c>
    </row>
    <row r="1818" spans="1:7" x14ac:dyDescent="0.3">
      <c r="A1818" t="s">
        <v>2703</v>
      </c>
      <c r="B1818">
        <v>6044</v>
      </c>
      <c r="C1818" t="s">
        <v>41</v>
      </c>
      <c r="D1818" t="s">
        <v>1607</v>
      </c>
      <c r="E1818" t="s">
        <v>2034</v>
      </c>
      <c r="F1818" s="99">
        <v>45740.442442129628</v>
      </c>
      <c r="G1818" t="s">
        <v>5</v>
      </c>
    </row>
    <row r="1819" spans="1:7" x14ac:dyDescent="0.3">
      <c r="A1819" t="s">
        <v>2703</v>
      </c>
      <c r="B1819">
        <v>6045</v>
      </c>
      <c r="C1819" t="s">
        <v>239</v>
      </c>
      <c r="D1819" t="s">
        <v>546</v>
      </c>
      <c r="E1819" t="s">
        <v>1404</v>
      </c>
      <c r="F1819" s="51">
        <v>45680</v>
      </c>
      <c r="G1819" t="s">
        <v>2</v>
      </c>
    </row>
    <row r="1820" spans="1:7" x14ac:dyDescent="0.3">
      <c r="A1820" t="s">
        <v>2703</v>
      </c>
      <c r="B1820">
        <v>6046</v>
      </c>
      <c r="C1820" t="s">
        <v>333</v>
      </c>
      <c r="D1820" t="s">
        <v>334</v>
      </c>
      <c r="E1820" t="s">
        <v>424</v>
      </c>
      <c r="F1820" s="51">
        <v>45744</v>
      </c>
      <c r="G1820" t="s">
        <v>6</v>
      </c>
    </row>
    <row r="1821" spans="1:7" x14ac:dyDescent="0.3">
      <c r="A1821" t="s">
        <v>2703</v>
      </c>
      <c r="B1821">
        <v>6047</v>
      </c>
      <c r="C1821" t="s">
        <v>1208</v>
      </c>
      <c r="D1821" t="s">
        <v>2006</v>
      </c>
      <c r="E1821" t="s">
        <v>85</v>
      </c>
      <c r="F1821" s="51">
        <v>45734</v>
      </c>
      <c r="G1821" t="s">
        <v>1</v>
      </c>
    </row>
    <row r="1822" spans="1:7" x14ac:dyDescent="0.3">
      <c r="A1822" t="s">
        <v>2703</v>
      </c>
      <c r="B1822">
        <v>6048</v>
      </c>
      <c r="C1822" t="s">
        <v>1471</v>
      </c>
      <c r="D1822" t="s">
        <v>1472</v>
      </c>
      <c r="E1822" t="s">
        <v>818</v>
      </c>
      <c r="F1822" s="51">
        <v>45845</v>
      </c>
      <c r="G1822" t="s">
        <v>1</v>
      </c>
    </row>
    <row r="1823" spans="1:7" x14ac:dyDescent="0.3">
      <c r="A1823" t="s">
        <v>2703</v>
      </c>
      <c r="B1823">
        <v>6049</v>
      </c>
      <c r="C1823" t="s">
        <v>1117</v>
      </c>
      <c r="D1823" t="s">
        <v>1474</v>
      </c>
      <c r="E1823" t="s">
        <v>755</v>
      </c>
      <c r="F1823" s="51">
        <v>45681</v>
      </c>
      <c r="G1823" t="s">
        <v>2</v>
      </c>
    </row>
    <row r="1824" spans="1:7" x14ac:dyDescent="0.3">
      <c r="A1824" t="s">
        <v>2703</v>
      </c>
      <c r="B1824">
        <v>6051</v>
      </c>
      <c r="C1824" t="s">
        <v>1352</v>
      </c>
      <c r="D1824" t="s">
        <v>1353</v>
      </c>
      <c r="E1824" t="s">
        <v>2083</v>
      </c>
      <c r="F1824" s="51">
        <v>45765</v>
      </c>
      <c r="G1824" t="s">
        <v>1</v>
      </c>
    </row>
    <row r="1825" spans="1:7" x14ac:dyDescent="0.3">
      <c r="A1825" t="s">
        <v>2703</v>
      </c>
      <c r="B1825">
        <v>6052</v>
      </c>
      <c r="C1825" t="s">
        <v>509</v>
      </c>
      <c r="D1825" t="s">
        <v>440</v>
      </c>
      <c r="E1825" t="s">
        <v>1012</v>
      </c>
      <c r="F1825" s="51">
        <v>45792</v>
      </c>
      <c r="G1825" t="s">
        <v>18</v>
      </c>
    </row>
    <row r="1826" spans="1:7" x14ac:dyDescent="0.3">
      <c r="A1826" t="s">
        <v>2703</v>
      </c>
      <c r="B1826">
        <v>6053</v>
      </c>
      <c r="C1826" t="s">
        <v>1229</v>
      </c>
      <c r="D1826" t="s">
        <v>1950</v>
      </c>
      <c r="E1826" t="s">
        <v>1377</v>
      </c>
      <c r="F1826" s="51">
        <v>45705</v>
      </c>
      <c r="G1826" t="s">
        <v>1</v>
      </c>
    </row>
    <row r="1827" spans="1:7" x14ac:dyDescent="0.3">
      <c r="A1827" t="s">
        <v>2703</v>
      </c>
      <c r="B1827">
        <v>6054</v>
      </c>
      <c r="C1827" t="s">
        <v>239</v>
      </c>
      <c r="D1827" t="s">
        <v>546</v>
      </c>
      <c r="E1827" t="s">
        <v>1450</v>
      </c>
      <c r="F1827" s="51">
        <v>45691</v>
      </c>
      <c r="G1827" t="s">
        <v>2</v>
      </c>
    </row>
    <row r="1828" spans="1:7" x14ac:dyDescent="0.3">
      <c r="A1828" t="s">
        <v>2703</v>
      </c>
      <c r="B1828">
        <v>6055</v>
      </c>
      <c r="C1828" t="s">
        <v>1954</v>
      </c>
      <c r="D1828" t="s">
        <v>408</v>
      </c>
      <c r="E1828" t="s">
        <v>98</v>
      </c>
      <c r="F1828" s="51">
        <v>45706</v>
      </c>
      <c r="G1828" t="s">
        <v>4</v>
      </c>
    </row>
    <row r="1829" spans="1:7" x14ac:dyDescent="0.3">
      <c r="A1829" t="s">
        <v>2703</v>
      </c>
      <c r="B1829">
        <v>6057</v>
      </c>
      <c r="C1829" t="s">
        <v>1453</v>
      </c>
      <c r="D1829" t="s">
        <v>179</v>
      </c>
      <c r="E1829" t="s">
        <v>168</v>
      </c>
      <c r="F1829" s="51">
        <v>45734</v>
      </c>
      <c r="G1829" t="s">
        <v>1</v>
      </c>
    </row>
    <row r="1830" spans="1:7" x14ac:dyDescent="0.3">
      <c r="A1830" t="s">
        <v>2703</v>
      </c>
      <c r="B1830">
        <v>6058</v>
      </c>
      <c r="C1830" t="s">
        <v>1951</v>
      </c>
      <c r="D1830" t="s">
        <v>718</v>
      </c>
      <c r="E1830" t="s">
        <v>1952</v>
      </c>
      <c r="F1830" s="51">
        <v>45705</v>
      </c>
      <c r="G1830" t="s">
        <v>6</v>
      </c>
    </row>
    <row r="1831" spans="1:7" x14ac:dyDescent="0.3">
      <c r="A1831" t="s">
        <v>2703</v>
      </c>
      <c r="B1831">
        <v>6059</v>
      </c>
      <c r="C1831" t="s">
        <v>155</v>
      </c>
      <c r="D1831" t="s">
        <v>1986</v>
      </c>
      <c r="E1831" t="s">
        <v>121</v>
      </c>
      <c r="F1831" s="51">
        <v>45729</v>
      </c>
      <c r="G1831" t="s">
        <v>4</v>
      </c>
    </row>
    <row r="1832" spans="1:7" x14ac:dyDescent="0.3">
      <c r="A1832" t="s">
        <v>2703</v>
      </c>
      <c r="B1832">
        <v>6061</v>
      </c>
      <c r="C1832" t="s">
        <v>1217</v>
      </c>
      <c r="D1832" t="s">
        <v>1336</v>
      </c>
      <c r="E1832" t="s">
        <v>1010</v>
      </c>
      <c r="F1832" s="51">
        <v>45712</v>
      </c>
      <c r="G1832" t="s">
        <v>1</v>
      </c>
    </row>
    <row r="1833" spans="1:7" x14ac:dyDescent="0.3">
      <c r="A1833" t="s">
        <v>2703</v>
      </c>
      <c r="B1833">
        <v>6062</v>
      </c>
      <c r="C1833" t="s">
        <v>1953</v>
      </c>
      <c r="D1833" t="s">
        <v>904</v>
      </c>
      <c r="E1833" t="s">
        <v>1256</v>
      </c>
      <c r="F1833" s="51">
        <v>45705</v>
      </c>
      <c r="G1833" t="s">
        <v>1</v>
      </c>
    </row>
    <row r="1834" spans="1:7" x14ac:dyDescent="0.3">
      <c r="A1834" t="s">
        <v>2703</v>
      </c>
      <c r="B1834">
        <v>6064</v>
      </c>
      <c r="C1834" t="s">
        <v>333</v>
      </c>
      <c r="D1834" t="s">
        <v>1167</v>
      </c>
      <c r="E1834" t="s">
        <v>85</v>
      </c>
      <c r="F1834" s="51">
        <v>45743</v>
      </c>
      <c r="G1834" t="s">
        <v>1</v>
      </c>
    </row>
    <row r="1835" spans="1:7" x14ac:dyDescent="0.3">
      <c r="A1835" t="s">
        <v>2703</v>
      </c>
      <c r="B1835">
        <v>6065</v>
      </c>
      <c r="C1835" t="s">
        <v>333</v>
      </c>
      <c r="D1835" t="s">
        <v>133</v>
      </c>
      <c r="E1835" t="s">
        <v>168</v>
      </c>
      <c r="F1835" s="51">
        <v>45705</v>
      </c>
      <c r="G1835" t="s">
        <v>1</v>
      </c>
    </row>
    <row r="1836" spans="1:7" x14ac:dyDescent="0.3">
      <c r="A1836" t="s">
        <v>2703</v>
      </c>
      <c r="B1836">
        <v>6067</v>
      </c>
      <c r="C1836" t="s">
        <v>1117</v>
      </c>
      <c r="D1836" t="s">
        <v>32</v>
      </c>
      <c r="E1836" t="s">
        <v>1982</v>
      </c>
      <c r="F1836" s="51">
        <v>45720</v>
      </c>
      <c r="G1836" t="s">
        <v>6</v>
      </c>
    </row>
    <row r="1837" spans="1:7" x14ac:dyDescent="0.3">
      <c r="A1837" t="s">
        <v>2703</v>
      </c>
      <c r="B1837">
        <v>6070</v>
      </c>
      <c r="C1837" t="s">
        <v>239</v>
      </c>
      <c r="D1837" t="s">
        <v>546</v>
      </c>
      <c r="E1837" t="s">
        <v>1957</v>
      </c>
      <c r="F1837" s="51">
        <v>45706</v>
      </c>
      <c r="G1837" t="s">
        <v>2</v>
      </c>
    </row>
    <row r="1838" spans="1:7" x14ac:dyDescent="0.3">
      <c r="A1838" t="s">
        <v>2703</v>
      </c>
      <c r="B1838">
        <v>6071</v>
      </c>
      <c r="C1838" t="s">
        <v>96</v>
      </c>
      <c r="D1838" t="s">
        <v>179</v>
      </c>
      <c r="E1838" t="s">
        <v>2076</v>
      </c>
      <c r="F1838" s="51">
        <v>45758</v>
      </c>
      <c r="G1838" t="s">
        <v>1</v>
      </c>
    </row>
    <row r="1839" spans="1:7" x14ac:dyDescent="0.3">
      <c r="A1839" t="s">
        <v>2703</v>
      </c>
      <c r="B1839">
        <v>6073</v>
      </c>
      <c r="C1839" t="s">
        <v>1217</v>
      </c>
      <c r="D1839" t="s">
        <v>2075</v>
      </c>
      <c r="F1839" s="51">
        <v>45758</v>
      </c>
      <c r="G1839" t="s">
        <v>1</v>
      </c>
    </row>
    <row r="1840" spans="1:7" x14ac:dyDescent="0.3">
      <c r="A1840" t="s">
        <v>2703</v>
      </c>
      <c r="B1840">
        <v>6074</v>
      </c>
      <c r="C1840" t="s">
        <v>1955</v>
      </c>
      <c r="D1840" t="s">
        <v>1180</v>
      </c>
      <c r="E1840" t="s">
        <v>1072</v>
      </c>
      <c r="F1840" s="51">
        <v>45706</v>
      </c>
      <c r="G1840" t="s">
        <v>1</v>
      </c>
    </row>
    <row r="1841" spans="1:7" x14ac:dyDescent="0.3">
      <c r="A1841" t="s">
        <v>2703</v>
      </c>
      <c r="B1841">
        <v>6075</v>
      </c>
      <c r="C1841" t="s">
        <v>1956</v>
      </c>
      <c r="D1841" t="s">
        <v>444</v>
      </c>
      <c r="E1841" t="s">
        <v>168</v>
      </c>
      <c r="F1841" s="51">
        <v>45706</v>
      </c>
      <c r="G1841" t="s">
        <v>1</v>
      </c>
    </row>
    <row r="1842" spans="1:7" x14ac:dyDescent="0.3">
      <c r="A1842" t="s">
        <v>2703</v>
      </c>
      <c r="B1842">
        <v>6076</v>
      </c>
      <c r="C1842" t="s">
        <v>1966</v>
      </c>
      <c r="D1842" t="s">
        <v>1967</v>
      </c>
      <c r="E1842" t="s">
        <v>168</v>
      </c>
      <c r="F1842" s="51">
        <v>45712</v>
      </c>
      <c r="G1842" t="s">
        <v>1</v>
      </c>
    </row>
    <row r="1843" spans="1:7" x14ac:dyDescent="0.3">
      <c r="A1843" t="s">
        <v>2703</v>
      </c>
      <c r="B1843">
        <v>6077</v>
      </c>
      <c r="C1843" t="s">
        <v>1071</v>
      </c>
      <c r="D1843" t="s">
        <v>1206</v>
      </c>
      <c r="E1843" t="s">
        <v>172</v>
      </c>
      <c r="F1843" s="51">
        <v>45758</v>
      </c>
      <c r="G1843" t="s">
        <v>1</v>
      </c>
    </row>
    <row r="1844" spans="1:7" x14ac:dyDescent="0.3">
      <c r="A1844" t="s">
        <v>2703</v>
      </c>
      <c r="B1844">
        <v>6078</v>
      </c>
      <c r="C1844" t="s">
        <v>1337</v>
      </c>
      <c r="D1844" t="s">
        <v>1194</v>
      </c>
      <c r="E1844" t="s">
        <v>592</v>
      </c>
      <c r="F1844" s="51">
        <v>45748</v>
      </c>
      <c r="G1844" t="s">
        <v>1</v>
      </c>
    </row>
    <row r="1845" spans="1:7" x14ac:dyDescent="0.3">
      <c r="A1845" t="s">
        <v>2703</v>
      </c>
      <c r="B1845">
        <v>6079</v>
      </c>
      <c r="C1845" t="s">
        <v>1171</v>
      </c>
      <c r="D1845" t="s">
        <v>1279</v>
      </c>
      <c r="E1845" t="s">
        <v>615</v>
      </c>
      <c r="F1845" s="51">
        <v>45712</v>
      </c>
      <c r="G1845" t="s">
        <v>1</v>
      </c>
    </row>
    <row r="1846" spans="1:7" x14ac:dyDescent="0.3">
      <c r="A1846" t="s">
        <v>2703</v>
      </c>
      <c r="B1846">
        <v>6081</v>
      </c>
      <c r="C1846" t="s">
        <v>1402</v>
      </c>
      <c r="D1846" t="s">
        <v>1349</v>
      </c>
      <c r="E1846" t="s">
        <v>1984</v>
      </c>
      <c r="F1846" s="51">
        <v>45720</v>
      </c>
      <c r="G1846" t="s">
        <v>1</v>
      </c>
    </row>
    <row r="1847" spans="1:7" x14ac:dyDescent="0.3">
      <c r="A1847" t="s">
        <v>2703</v>
      </c>
      <c r="B1847">
        <v>6082</v>
      </c>
      <c r="C1847" t="s">
        <v>1968</v>
      </c>
      <c r="D1847" t="s">
        <v>138</v>
      </c>
      <c r="E1847" t="s">
        <v>1148</v>
      </c>
      <c r="F1847" s="51">
        <v>45715</v>
      </c>
      <c r="G1847" t="s">
        <v>1</v>
      </c>
    </row>
    <row r="1848" spans="1:7" x14ac:dyDescent="0.3">
      <c r="A1848" t="s">
        <v>2703</v>
      </c>
      <c r="B1848">
        <v>6083</v>
      </c>
      <c r="C1848" t="s">
        <v>1352</v>
      </c>
      <c r="D1848" t="s">
        <v>1353</v>
      </c>
      <c r="E1848" t="s">
        <v>2074</v>
      </c>
      <c r="F1848" s="51">
        <v>45758</v>
      </c>
      <c r="G1848" t="s">
        <v>1</v>
      </c>
    </row>
    <row r="1849" spans="1:7" x14ac:dyDescent="0.3">
      <c r="A1849" t="s">
        <v>2703</v>
      </c>
      <c r="B1849">
        <v>6084</v>
      </c>
      <c r="C1849" t="s">
        <v>239</v>
      </c>
      <c r="D1849" t="s">
        <v>546</v>
      </c>
      <c r="E1849" t="s">
        <v>1969</v>
      </c>
      <c r="F1849" s="51">
        <v>45716</v>
      </c>
      <c r="G1849" t="s">
        <v>2</v>
      </c>
    </row>
    <row r="1850" spans="1:7" x14ac:dyDescent="0.3">
      <c r="A1850" t="s">
        <v>2703</v>
      </c>
      <c r="B1850">
        <v>6085</v>
      </c>
      <c r="C1850" t="s">
        <v>220</v>
      </c>
      <c r="D1850" t="s">
        <v>2462</v>
      </c>
      <c r="E1850" t="s">
        <v>85</v>
      </c>
      <c r="F1850" s="51">
        <v>45797</v>
      </c>
      <c r="G1850" t="s">
        <v>1</v>
      </c>
    </row>
    <row r="1851" spans="1:7" x14ac:dyDescent="0.3">
      <c r="A1851" t="s">
        <v>2703</v>
      </c>
      <c r="B1851">
        <v>6086</v>
      </c>
      <c r="C1851" t="s">
        <v>1099</v>
      </c>
      <c r="D1851" t="s">
        <v>272</v>
      </c>
      <c r="E1851" t="s">
        <v>1970</v>
      </c>
      <c r="F1851" s="51">
        <v>45716</v>
      </c>
      <c r="G1851" t="s">
        <v>2</v>
      </c>
    </row>
    <row r="1852" spans="1:7" x14ac:dyDescent="0.3">
      <c r="A1852" t="s">
        <v>2703</v>
      </c>
      <c r="B1852">
        <v>6087</v>
      </c>
      <c r="C1852" t="s">
        <v>333</v>
      </c>
      <c r="D1852" t="s">
        <v>1167</v>
      </c>
      <c r="E1852" t="s">
        <v>2008</v>
      </c>
      <c r="F1852" s="51">
        <v>45734</v>
      </c>
      <c r="G1852" t="s">
        <v>1</v>
      </c>
    </row>
    <row r="1853" spans="1:7" x14ac:dyDescent="0.3">
      <c r="A1853" t="s">
        <v>2703</v>
      </c>
      <c r="B1853">
        <v>6088</v>
      </c>
      <c r="C1853" t="s">
        <v>1099</v>
      </c>
      <c r="D1853" t="s">
        <v>2011</v>
      </c>
      <c r="E1853" t="s">
        <v>1047</v>
      </c>
      <c r="F1853" s="51">
        <v>45734</v>
      </c>
      <c r="G1853" t="s">
        <v>1</v>
      </c>
    </row>
    <row r="1854" spans="1:7" x14ac:dyDescent="0.3">
      <c r="A1854" t="s">
        <v>2703</v>
      </c>
      <c r="B1854">
        <v>6089</v>
      </c>
      <c r="C1854" t="s">
        <v>41</v>
      </c>
      <c r="D1854" t="s">
        <v>2012</v>
      </c>
      <c r="E1854" t="s">
        <v>2013</v>
      </c>
      <c r="F1854" s="51">
        <v>45734</v>
      </c>
      <c r="G1854" t="s">
        <v>4</v>
      </c>
    </row>
    <row r="1855" spans="1:7" x14ac:dyDescent="0.3">
      <c r="A1855" t="s">
        <v>2703</v>
      </c>
      <c r="B1855">
        <v>6090</v>
      </c>
      <c r="C1855" t="s">
        <v>1099</v>
      </c>
      <c r="D1855" t="s">
        <v>362</v>
      </c>
      <c r="E1855" t="s">
        <v>27</v>
      </c>
      <c r="F1855" s="51">
        <v>45734</v>
      </c>
      <c r="G1855" t="s">
        <v>1</v>
      </c>
    </row>
    <row r="1856" spans="1:7" x14ac:dyDescent="0.3">
      <c r="A1856" t="s">
        <v>2703</v>
      </c>
      <c r="B1856">
        <v>6092</v>
      </c>
      <c r="C1856" t="s">
        <v>1453</v>
      </c>
      <c r="D1856" t="s">
        <v>912</v>
      </c>
      <c r="E1856" t="s">
        <v>880</v>
      </c>
      <c r="F1856" s="51">
        <v>45740</v>
      </c>
      <c r="G1856" t="s">
        <v>1</v>
      </c>
    </row>
    <row r="1857" spans="1:7" x14ac:dyDescent="0.3">
      <c r="A1857" t="s">
        <v>2703</v>
      </c>
      <c r="B1857">
        <v>6093</v>
      </c>
      <c r="C1857" t="s">
        <v>333</v>
      </c>
      <c r="D1857" t="s">
        <v>133</v>
      </c>
      <c r="E1857" t="s">
        <v>168</v>
      </c>
      <c r="F1857" s="51">
        <v>45734</v>
      </c>
      <c r="G1857" t="s">
        <v>1</v>
      </c>
    </row>
    <row r="1858" spans="1:7" x14ac:dyDescent="0.3">
      <c r="A1858" t="s">
        <v>2703</v>
      </c>
      <c r="B1858">
        <v>6094</v>
      </c>
      <c r="C1858" t="s">
        <v>333</v>
      </c>
      <c r="D1858" t="s">
        <v>1167</v>
      </c>
      <c r="E1858" t="s">
        <v>415</v>
      </c>
      <c r="F1858" s="51">
        <v>45743</v>
      </c>
      <c r="G1858" t="s">
        <v>1</v>
      </c>
    </row>
    <row r="1859" spans="1:7" x14ac:dyDescent="0.3">
      <c r="A1859" t="s">
        <v>2703</v>
      </c>
      <c r="B1859">
        <v>6098</v>
      </c>
      <c r="C1859" t="s">
        <v>1171</v>
      </c>
      <c r="D1859" t="s">
        <v>1279</v>
      </c>
      <c r="E1859" t="s">
        <v>801</v>
      </c>
      <c r="F1859" s="51">
        <v>45734</v>
      </c>
      <c r="G1859" t="s">
        <v>1</v>
      </c>
    </row>
    <row r="1860" spans="1:7" x14ac:dyDescent="0.3">
      <c r="A1860" t="s">
        <v>2703</v>
      </c>
      <c r="B1860">
        <v>6099</v>
      </c>
      <c r="C1860" t="s">
        <v>1272</v>
      </c>
      <c r="D1860" t="s">
        <v>2020</v>
      </c>
      <c r="E1860" t="s">
        <v>2021</v>
      </c>
      <c r="F1860" s="51">
        <v>45734</v>
      </c>
      <c r="G1860" t="s">
        <v>1</v>
      </c>
    </row>
    <row r="1861" spans="1:7" x14ac:dyDescent="0.3">
      <c r="A1861" t="s">
        <v>2703</v>
      </c>
      <c r="B1861">
        <v>6100</v>
      </c>
      <c r="C1861" t="s">
        <v>74</v>
      </c>
      <c r="D1861" t="s">
        <v>367</v>
      </c>
      <c r="E1861" t="s">
        <v>58</v>
      </c>
      <c r="F1861" s="51">
        <v>45743</v>
      </c>
      <c r="G1861" t="s">
        <v>1</v>
      </c>
    </row>
    <row r="1862" spans="1:7" x14ac:dyDescent="0.3">
      <c r="A1862" t="s">
        <v>2703</v>
      </c>
      <c r="B1862">
        <v>6101</v>
      </c>
      <c r="C1862" t="s">
        <v>1446</v>
      </c>
      <c r="D1862" t="s">
        <v>1194</v>
      </c>
      <c r="E1862" t="s">
        <v>283</v>
      </c>
      <c r="F1862" s="51">
        <v>45740</v>
      </c>
      <c r="G1862" t="s">
        <v>1</v>
      </c>
    </row>
    <row r="1863" spans="1:7" x14ac:dyDescent="0.3">
      <c r="A1863" t="s">
        <v>2703</v>
      </c>
      <c r="B1863">
        <v>6102</v>
      </c>
      <c r="C1863" t="s">
        <v>1208</v>
      </c>
      <c r="D1863" t="s">
        <v>2007</v>
      </c>
      <c r="E1863" t="s">
        <v>85</v>
      </c>
      <c r="F1863" s="51">
        <v>45734</v>
      </c>
      <c r="G1863" t="s">
        <v>1</v>
      </c>
    </row>
    <row r="1864" spans="1:7" x14ac:dyDescent="0.3">
      <c r="A1864" t="s">
        <v>2703</v>
      </c>
      <c r="B1864">
        <v>6103</v>
      </c>
      <c r="C1864" t="s">
        <v>2016</v>
      </c>
      <c r="D1864" t="s">
        <v>2017</v>
      </c>
      <c r="E1864" t="s">
        <v>168</v>
      </c>
      <c r="F1864" s="51">
        <v>45734</v>
      </c>
      <c r="G1864" t="s">
        <v>1</v>
      </c>
    </row>
    <row r="1865" spans="1:7" x14ac:dyDescent="0.3">
      <c r="A1865" t="s">
        <v>2703</v>
      </c>
      <c r="B1865">
        <v>6104</v>
      </c>
      <c r="C1865" t="s">
        <v>239</v>
      </c>
      <c r="D1865" t="s">
        <v>546</v>
      </c>
      <c r="E1865" t="s">
        <v>1450</v>
      </c>
      <c r="F1865" s="51">
        <v>45743</v>
      </c>
      <c r="G1865" t="s">
        <v>2</v>
      </c>
    </row>
    <row r="1866" spans="1:7" x14ac:dyDescent="0.3">
      <c r="A1866" t="s">
        <v>2703</v>
      </c>
      <c r="B1866">
        <v>6106</v>
      </c>
      <c r="C1866" t="s">
        <v>1217</v>
      </c>
      <c r="D1866" t="s">
        <v>718</v>
      </c>
      <c r="E1866" t="s">
        <v>1261</v>
      </c>
      <c r="F1866" s="51">
        <v>45743</v>
      </c>
      <c r="G1866" t="s">
        <v>1</v>
      </c>
    </row>
    <row r="1867" spans="1:7" x14ac:dyDescent="0.3">
      <c r="A1867" t="s">
        <v>2703</v>
      </c>
      <c r="B1867">
        <v>6107</v>
      </c>
      <c r="C1867" t="s">
        <v>239</v>
      </c>
      <c r="D1867" t="s">
        <v>546</v>
      </c>
      <c r="E1867" t="s">
        <v>1467</v>
      </c>
      <c r="F1867" s="51">
        <v>45743</v>
      </c>
      <c r="G1867" t="s">
        <v>2</v>
      </c>
    </row>
    <row r="1868" spans="1:7" x14ac:dyDescent="0.3">
      <c r="A1868" t="s">
        <v>2703</v>
      </c>
      <c r="B1868">
        <v>6109</v>
      </c>
      <c r="C1868" t="s">
        <v>2037</v>
      </c>
      <c r="D1868" t="s">
        <v>2038</v>
      </c>
      <c r="E1868" t="s">
        <v>27</v>
      </c>
      <c r="F1868" s="51">
        <v>45740</v>
      </c>
      <c r="G1868" t="s">
        <v>1</v>
      </c>
    </row>
    <row r="1869" spans="1:7" x14ac:dyDescent="0.3">
      <c r="A1869" t="s">
        <v>2703</v>
      </c>
      <c r="B1869">
        <v>6110</v>
      </c>
      <c r="C1869" t="s">
        <v>239</v>
      </c>
      <c r="D1869" t="s">
        <v>546</v>
      </c>
      <c r="E1869" t="s">
        <v>146</v>
      </c>
      <c r="F1869" s="51">
        <v>45743</v>
      </c>
      <c r="G1869" t="s">
        <v>2</v>
      </c>
    </row>
    <row r="1870" spans="1:7" x14ac:dyDescent="0.3">
      <c r="A1870" t="s">
        <v>2703</v>
      </c>
      <c r="B1870">
        <v>6111</v>
      </c>
      <c r="C1870" t="s">
        <v>239</v>
      </c>
      <c r="D1870" t="s">
        <v>546</v>
      </c>
      <c r="E1870" t="s">
        <v>2073</v>
      </c>
      <c r="F1870" s="51">
        <v>45756</v>
      </c>
      <c r="G1870" t="s">
        <v>3</v>
      </c>
    </row>
    <row r="1871" spans="1:7" x14ac:dyDescent="0.3">
      <c r="A1871" t="s">
        <v>2703</v>
      </c>
      <c r="B1871">
        <v>6112</v>
      </c>
      <c r="C1871" t="s">
        <v>1453</v>
      </c>
      <c r="D1871" t="s">
        <v>2062</v>
      </c>
      <c r="E1871" t="s">
        <v>1377</v>
      </c>
      <c r="F1871" s="51">
        <v>45747</v>
      </c>
      <c r="G1871" t="s">
        <v>1</v>
      </c>
    </row>
    <row r="1872" spans="1:7" x14ac:dyDescent="0.3">
      <c r="A1872" t="s">
        <v>2703</v>
      </c>
      <c r="B1872">
        <v>6113</v>
      </c>
      <c r="C1872" t="s">
        <v>1454</v>
      </c>
      <c r="D1872" t="s">
        <v>179</v>
      </c>
      <c r="E1872" t="s">
        <v>615</v>
      </c>
      <c r="F1872" s="51">
        <v>45758</v>
      </c>
      <c r="G1872" t="s">
        <v>1</v>
      </c>
    </row>
    <row r="1873" spans="1:7" x14ac:dyDescent="0.3">
      <c r="A1873" t="s">
        <v>2703</v>
      </c>
      <c r="B1873">
        <v>6114</v>
      </c>
      <c r="C1873" t="s">
        <v>195</v>
      </c>
      <c r="D1873" t="s">
        <v>1468</v>
      </c>
      <c r="E1873" t="s">
        <v>609</v>
      </c>
      <c r="F1873" s="51">
        <v>45758</v>
      </c>
      <c r="G1873" t="s">
        <v>1</v>
      </c>
    </row>
    <row r="1874" spans="1:7" x14ac:dyDescent="0.3">
      <c r="A1874" t="s">
        <v>2703</v>
      </c>
      <c r="B1874">
        <v>6116</v>
      </c>
      <c r="C1874" t="s">
        <v>1453</v>
      </c>
      <c r="D1874" t="s">
        <v>912</v>
      </c>
      <c r="E1874" t="s">
        <v>2080</v>
      </c>
      <c r="F1874" s="51">
        <v>45764</v>
      </c>
      <c r="G1874" t="s">
        <v>1</v>
      </c>
    </row>
    <row r="1875" spans="1:7" x14ac:dyDescent="0.3">
      <c r="A1875" t="s">
        <v>2703</v>
      </c>
      <c r="B1875">
        <v>6117</v>
      </c>
      <c r="C1875" t="s">
        <v>2016</v>
      </c>
      <c r="D1875" t="s">
        <v>2396</v>
      </c>
      <c r="E1875" t="s">
        <v>104</v>
      </c>
      <c r="F1875" s="51">
        <v>45811</v>
      </c>
      <c r="G1875" t="s">
        <v>1</v>
      </c>
    </row>
    <row r="1876" spans="1:7" x14ac:dyDescent="0.3">
      <c r="A1876" t="s">
        <v>2703</v>
      </c>
      <c r="B1876">
        <v>6118</v>
      </c>
      <c r="C1876" t="s">
        <v>239</v>
      </c>
      <c r="D1876" t="s">
        <v>240</v>
      </c>
      <c r="E1876" t="s">
        <v>2082</v>
      </c>
      <c r="F1876" s="51">
        <v>45765</v>
      </c>
      <c r="G1876" t="s">
        <v>1</v>
      </c>
    </row>
    <row r="1877" spans="1:7" x14ac:dyDescent="0.3">
      <c r="A1877" t="s">
        <v>2703</v>
      </c>
      <c r="B1877">
        <v>6119</v>
      </c>
      <c r="C1877" t="s">
        <v>1324</v>
      </c>
      <c r="D1877" t="s">
        <v>1326</v>
      </c>
      <c r="E1877" t="s">
        <v>2084</v>
      </c>
      <c r="F1877" s="51">
        <v>45765</v>
      </c>
      <c r="G1877" t="s">
        <v>1</v>
      </c>
    </row>
    <row r="1878" spans="1:7" x14ac:dyDescent="0.3">
      <c r="A1878" t="s">
        <v>2703</v>
      </c>
      <c r="B1878">
        <v>6122</v>
      </c>
      <c r="C1878" t="s">
        <v>360</v>
      </c>
      <c r="D1878" t="s">
        <v>1318</v>
      </c>
      <c r="E1878" t="s">
        <v>1547</v>
      </c>
      <c r="F1878" s="51">
        <v>45797</v>
      </c>
      <c r="G1878" t="s">
        <v>1</v>
      </c>
    </row>
    <row r="1879" spans="1:7" x14ac:dyDescent="0.3">
      <c r="A1879" t="s">
        <v>2703</v>
      </c>
      <c r="B1879">
        <v>6124</v>
      </c>
      <c r="C1879" t="s">
        <v>1966</v>
      </c>
      <c r="D1879" t="s">
        <v>1226</v>
      </c>
      <c r="E1879" t="s">
        <v>168</v>
      </c>
      <c r="F1879" s="51">
        <v>45765</v>
      </c>
      <c r="G1879" t="s">
        <v>1</v>
      </c>
    </row>
    <row r="1880" spans="1:7" x14ac:dyDescent="0.3">
      <c r="A1880" t="s">
        <v>2703</v>
      </c>
      <c r="B1880">
        <v>6125</v>
      </c>
      <c r="C1880" t="s">
        <v>2085</v>
      </c>
      <c r="D1880" t="s">
        <v>249</v>
      </c>
      <c r="E1880" t="s">
        <v>145</v>
      </c>
      <c r="F1880" s="51">
        <v>45765</v>
      </c>
      <c r="G1880" t="s">
        <v>1</v>
      </c>
    </row>
    <row r="1881" spans="1:7" x14ac:dyDescent="0.3">
      <c r="A1881" t="s">
        <v>2703</v>
      </c>
      <c r="B1881">
        <v>6126</v>
      </c>
      <c r="C1881" t="s">
        <v>1117</v>
      </c>
      <c r="D1881" t="s">
        <v>32</v>
      </c>
      <c r="E1881" t="s">
        <v>215</v>
      </c>
      <c r="F1881" s="51">
        <v>45769</v>
      </c>
      <c r="G1881" t="s">
        <v>2077</v>
      </c>
    </row>
    <row r="1882" spans="1:7" x14ac:dyDescent="0.3">
      <c r="A1882" t="s">
        <v>2703</v>
      </c>
      <c r="B1882">
        <v>6127</v>
      </c>
      <c r="C1882" t="s">
        <v>2079</v>
      </c>
      <c r="D1882" t="s">
        <v>133</v>
      </c>
      <c r="E1882" t="s">
        <v>145</v>
      </c>
      <c r="F1882" s="51">
        <v>45764</v>
      </c>
      <c r="G1882" t="s">
        <v>1</v>
      </c>
    </row>
    <row r="1883" spans="1:7" x14ac:dyDescent="0.3">
      <c r="A1883" t="s">
        <v>2703</v>
      </c>
      <c r="B1883">
        <v>6128</v>
      </c>
      <c r="C1883" t="s">
        <v>1446</v>
      </c>
      <c r="D1883" t="s">
        <v>1194</v>
      </c>
      <c r="E1883" t="s">
        <v>283</v>
      </c>
      <c r="F1883" s="51">
        <v>45765</v>
      </c>
      <c r="G1883" t="s">
        <v>1</v>
      </c>
    </row>
    <row r="1884" spans="1:7" x14ac:dyDescent="0.3">
      <c r="A1884" t="s">
        <v>2703</v>
      </c>
      <c r="B1884">
        <v>6130</v>
      </c>
      <c r="C1884" t="s">
        <v>1387</v>
      </c>
      <c r="D1884" t="s">
        <v>1388</v>
      </c>
      <c r="E1884" t="s">
        <v>2086</v>
      </c>
      <c r="F1884" s="51">
        <v>45765</v>
      </c>
      <c r="G1884" t="s">
        <v>1</v>
      </c>
    </row>
    <row r="1885" spans="1:7" x14ac:dyDescent="0.3">
      <c r="A1885" t="s">
        <v>2703</v>
      </c>
      <c r="B1885">
        <v>6131</v>
      </c>
      <c r="C1885" t="s">
        <v>74</v>
      </c>
      <c r="D1885" t="s">
        <v>75</v>
      </c>
      <c r="E1885" t="s">
        <v>1448</v>
      </c>
      <c r="F1885" s="51">
        <v>45840</v>
      </c>
      <c r="G1885" t="s">
        <v>1</v>
      </c>
    </row>
    <row r="1886" spans="1:7" x14ac:dyDescent="0.3">
      <c r="A1886" t="s">
        <v>2703</v>
      </c>
      <c r="B1886">
        <v>6132</v>
      </c>
      <c r="C1886" t="s">
        <v>509</v>
      </c>
      <c r="D1886" t="s">
        <v>512</v>
      </c>
      <c r="F1886" s="51">
        <v>45765</v>
      </c>
      <c r="G1886" t="s">
        <v>1</v>
      </c>
    </row>
    <row r="1887" spans="1:7" x14ac:dyDescent="0.3">
      <c r="A1887" t="s">
        <v>2703</v>
      </c>
      <c r="B1887">
        <v>6133</v>
      </c>
      <c r="C1887" t="s">
        <v>919</v>
      </c>
      <c r="D1887" t="s">
        <v>179</v>
      </c>
      <c r="E1887" t="s">
        <v>85</v>
      </c>
      <c r="F1887" s="51">
        <v>45765</v>
      </c>
      <c r="G1887" t="s">
        <v>1</v>
      </c>
    </row>
    <row r="1888" spans="1:7" x14ac:dyDescent="0.3">
      <c r="A1888" t="s">
        <v>2703</v>
      </c>
      <c r="B1888">
        <v>6134</v>
      </c>
      <c r="C1888" t="s">
        <v>309</v>
      </c>
      <c r="D1888" t="s">
        <v>181</v>
      </c>
      <c r="F1888" s="51">
        <v>45765</v>
      </c>
      <c r="G1888" t="s">
        <v>1</v>
      </c>
    </row>
    <row r="1889" spans="1:7" x14ac:dyDescent="0.3">
      <c r="A1889" t="s">
        <v>2703</v>
      </c>
      <c r="B1889">
        <v>6135</v>
      </c>
      <c r="C1889" t="s">
        <v>1217</v>
      </c>
      <c r="E1889" t="s">
        <v>1291</v>
      </c>
      <c r="F1889" s="51">
        <v>45764</v>
      </c>
      <c r="G1889" t="s">
        <v>1</v>
      </c>
    </row>
    <row r="1890" spans="1:7" x14ac:dyDescent="0.3">
      <c r="A1890" t="s">
        <v>2703</v>
      </c>
      <c r="B1890">
        <v>6136</v>
      </c>
      <c r="C1890" t="s">
        <v>1245</v>
      </c>
      <c r="D1890" t="s">
        <v>299</v>
      </c>
      <c r="E1890" t="s">
        <v>401</v>
      </c>
      <c r="F1890" s="51">
        <v>45845</v>
      </c>
      <c r="G1890" t="s">
        <v>1</v>
      </c>
    </row>
    <row r="1891" spans="1:7" x14ac:dyDescent="0.3">
      <c r="A1891" t="s">
        <v>2703</v>
      </c>
      <c r="B1891">
        <v>6137</v>
      </c>
      <c r="C1891" t="s">
        <v>1229</v>
      </c>
      <c r="D1891" t="s">
        <v>179</v>
      </c>
      <c r="E1891" t="s">
        <v>2081</v>
      </c>
      <c r="F1891" s="51">
        <v>45765</v>
      </c>
      <c r="G1891" t="s">
        <v>1</v>
      </c>
    </row>
    <row r="1892" spans="1:7" x14ac:dyDescent="0.3">
      <c r="A1892" t="s">
        <v>2703</v>
      </c>
      <c r="B1892">
        <v>6138</v>
      </c>
      <c r="C1892" t="s">
        <v>36</v>
      </c>
      <c r="D1892" t="s">
        <v>930</v>
      </c>
      <c r="E1892" t="s">
        <v>186</v>
      </c>
      <c r="F1892" s="51">
        <v>45765</v>
      </c>
      <c r="G1892" t="s">
        <v>3</v>
      </c>
    </row>
    <row r="1893" spans="1:7" x14ac:dyDescent="0.3">
      <c r="A1893" t="s">
        <v>2703</v>
      </c>
      <c r="B1893">
        <v>6139</v>
      </c>
      <c r="C1893" t="s">
        <v>1071</v>
      </c>
      <c r="D1893" t="s">
        <v>227</v>
      </c>
      <c r="E1893" t="s">
        <v>2087</v>
      </c>
      <c r="F1893" s="51">
        <v>45765</v>
      </c>
      <c r="G1893" t="s">
        <v>1</v>
      </c>
    </row>
    <row r="1894" spans="1:7" x14ac:dyDescent="0.3">
      <c r="A1894" t="s">
        <v>2703</v>
      </c>
      <c r="B1894">
        <v>6140</v>
      </c>
      <c r="C1894" t="s">
        <v>1352</v>
      </c>
      <c r="D1894" t="s">
        <v>1353</v>
      </c>
      <c r="E1894" t="s">
        <v>1045</v>
      </c>
      <c r="F1894" s="51">
        <v>45771</v>
      </c>
      <c r="G1894" t="s">
        <v>1</v>
      </c>
    </row>
    <row r="1895" spans="1:7" x14ac:dyDescent="0.3">
      <c r="A1895" t="s">
        <v>2703</v>
      </c>
      <c r="B1895">
        <v>6141</v>
      </c>
      <c r="C1895" t="s">
        <v>1453</v>
      </c>
      <c r="D1895" t="s">
        <v>179</v>
      </c>
      <c r="E1895" t="s">
        <v>168</v>
      </c>
      <c r="F1895" s="51">
        <v>45764</v>
      </c>
      <c r="G1895" t="s">
        <v>1</v>
      </c>
    </row>
    <row r="1896" spans="1:7" x14ac:dyDescent="0.3">
      <c r="A1896" t="s">
        <v>2703</v>
      </c>
      <c r="B1896">
        <v>6142</v>
      </c>
      <c r="C1896" t="s">
        <v>41</v>
      </c>
      <c r="D1896" t="s">
        <v>287</v>
      </c>
      <c r="E1896" t="s">
        <v>98</v>
      </c>
      <c r="F1896" s="51">
        <v>45831</v>
      </c>
      <c r="G1896" t="s">
        <v>4</v>
      </c>
    </row>
    <row r="1897" spans="1:7" x14ac:dyDescent="0.3">
      <c r="A1897" t="s">
        <v>2703</v>
      </c>
      <c r="B1897">
        <v>6143</v>
      </c>
      <c r="C1897" t="s">
        <v>2097</v>
      </c>
      <c r="D1897" t="s">
        <v>912</v>
      </c>
      <c r="E1897" t="s">
        <v>1144</v>
      </c>
      <c r="F1897" s="51">
        <v>45770</v>
      </c>
      <c r="G1897" t="s">
        <v>18</v>
      </c>
    </row>
    <row r="1898" spans="1:7" x14ac:dyDescent="0.3">
      <c r="A1898" t="s">
        <v>2703</v>
      </c>
      <c r="B1898">
        <v>6145</v>
      </c>
      <c r="C1898" t="s">
        <v>239</v>
      </c>
      <c r="D1898" t="s">
        <v>546</v>
      </c>
      <c r="E1898" t="s">
        <v>1467</v>
      </c>
      <c r="F1898" s="51">
        <v>45782</v>
      </c>
      <c r="G1898" t="s">
        <v>3</v>
      </c>
    </row>
    <row r="1899" spans="1:7" x14ac:dyDescent="0.3">
      <c r="A1899" t="s">
        <v>2703</v>
      </c>
      <c r="B1899">
        <v>6146</v>
      </c>
      <c r="C1899" t="s">
        <v>1247</v>
      </c>
      <c r="D1899" t="s">
        <v>249</v>
      </c>
      <c r="E1899" t="s">
        <v>145</v>
      </c>
      <c r="F1899" s="51">
        <v>45771</v>
      </c>
      <c r="G1899" t="s">
        <v>1</v>
      </c>
    </row>
    <row r="1900" spans="1:7" x14ac:dyDescent="0.3">
      <c r="A1900" t="s">
        <v>2703</v>
      </c>
      <c r="B1900">
        <v>6147</v>
      </c>
      <c r="C1900" t="s">
        <v>1949</v>
      </c>
      <c r="D1900" t="s">
        <v>1228</v>
      </c>
      <c r="E1900" t="s">
        <v>2100</v>
      </c>
      <c r="F1900" s="51">
        <v>45771</v>
      </c>
      <c r="G1900" t="s">
        <v>1</v>
      </c>
    </row>
    <row r="1901" spans="1:7" x14ac:dyDescent="0.3">
      <c r="A1901" t="s">
        <v>2703</v>
      </c>
      <c r="B1901">
        <v>6148</v>
      </c>
      <c r="C1901" t="s">
        <v>239</v>
      </c>
      <c r="D1901" t="s">
        <v>240</v>
      </c>
      <c r="E1901" t="s">
        <v>2139</v>
      </c>
      <c r="F1901" s="51">
        <v>45782</v>
      </c>
      <c r="G1901" t="s">
        <v>1</v>
      </c>
    </row>
    <row r="1902" spans="1:7" x14ac:dyDescent="0.3">
      <c r="A1902" t="s">
        <v>2703</v>
      </c>
      <c r="B1902">
        <v>6150</v>
      </c>
      <c r="C1902" t="s">
        <v>220</v>
      </c>
      <c r="D1902" t="s">
        <v>2183</v>
      </c>
      <c r="E1902" t="s">
        <v>85</v>
      </c>
      <c r="F1902" s="51">
        <v>45797</v>
      </c>
      <c r="G1902" t="s">
        <v>1</v>
      </c>
    </row>
    <row r="1903" spans="1:7" x14ac:dyDescent="0.3">
      <c r="A1903" t="s">
        <v>2703</v>
      </c>
      <c r="B1903">
        <v>6151</v>
      </c>
      <c r="C1903" t="s">
        <v>509</v>
      </c>
      <c r="D1903" t="s">
        <v>2098</v>
      </c>
      <c r="E1903" t="s">
        <v>2099</v>
      </c>
      <c r="F1903" s="51">
        <v>45771</v>
      </c>
      <c r="G1903" t="s">
        <v>1</v>
      </c>
    </row>
    <row r="1904" spans="1:7" x14ac:dyDescent="0.3">
      <c r="A1904" t="s">
        <v>2703</v>
      </c>
      <c r="B1904">
        <v>6152</v>
      </c>
      <c r="C1904" t="s">
        <v>1283</v>
      </c>
      <c r="D1904" t="s">
        <v>32</v>
      </c>
      <c r="E1904" t="s">
        <v>2184</v>
      </c>
      <c r="F1904" s="51">
        <v>45797</v>
      </c>
      <c r="G1904" t="s">
        <v>18</v>
      </c>
    </row>
    <row r="1905" spans="1:7" x14ac:dyDescent="0.3">
      <c r="A1905" t="s">
        <v>2703</v>
      </c>
      <c r="B1905">
        <v>6154</v>
      </c>
      <c r="C1905" t="s">
        <v>2079</v>
      </c>
      <c r="D1905" t="s">
        <v>133</v>
      </c>
      <c r="E1905" t="s">
        <v>927</v>
      </c>
      <c r="F1905" s="51">
        <v>45771</v>
      </c>
      <c r="G1905" t="s">
        <v>1</v>
      </c>
    </row>
    <row r="1906" spans="1:7" x14ac:dyDescent="0.3">
      <c r="A1906" t="s">
        <v>2703</v>
      </c>
      <c r="B1906">
        <v>6155</v>
      </c>
      <c r="C1906" t="s">
        <v>1348</v>
      </c>
      <c r="D1906" t="s">
        <v>2185</v>
      </c>
      <c r="E1906" t="s">
        <v>1394</v>
      </c>
      <c r="F1906" s="51">
        <v>45797</v>
      </c>
      <c r="G1906" t="s">
        <v>1</v>
      </c>
    </row>
    <row r="1907" spans="1:7" x14ac:dyDescent="0.3">
      <c r="A1907" t="s">
        <v>2703</v>
      </c>
      <c r="B1907">
        <v>6157</v>
      </c>
      <c r="C1907" t="s">
        <v>917</v>
      </c>
      <c r="D1907" t="s">
        <v>133</v>
      </c>
      <c r="E1907" t="s">
        <v>615</v>
      </c>
      <c r="F1907" s="51">
        <v>45771</v>
      </c>
      <c r="G1907" t="s">
        <v>1</v>
      </c>
    </row>
    <row r="1908" spans="1:7" x14ac:dyDescent="0.3">
      <c r="A1908" t="s">
        <v>2703</v>
      </c>
      <c r="B1908">
        <v>6158</v>
      </c>
      <c r="C1908" t="s">
        <v>591</v>
      </c>
      <c r="D1908" t="s">
        <v>32</v>
      </c>
      <c r="E1908" t="s">
        <v>2162</v>
      </c>
      <c r="F1908" s="51">
        <v>45775</v>
      </c>
      <c r="G1908" t="s">
        <v>4</v>
      </c>
    </row>
    <row r="1909" spans="1:7" x14ac:dyDescent="0.3">
      <c r="A1909" t="s">
        <v>2703</v>
      </c>
      <c r="B1909">
        <v>6160</v>
      </c>
      <c r="C1909" t="s">
        <v>2481</v>
      </c>
      <c r="D1909" t="s">
        <v>2482</v>
      </c>
      <c r="E1909" t="s">
        <v>377</v>
      </c>
      <c r="F1909" s="51">
        <v>45831</v>
      </c>
      <c r="G1909" t="s">
        <v>1</v>
      </c>
    </row>
    <row r="1910" spans="1:7" x14ac:dyDescent="0.3">
      <c r="A1910" t="s">
        <v>2703</v>
      </c>
      <c r="B1910">
        <v>6161</v>
      </c>
      <c r="C1910" t="s">
        <v>1243</v>
      </c>
      <c r="D1910" t="s">
        <v>293</v>
      </c>
      <c r="E1910" t="s">
        <v>927</v>
      </c>
      <c r="F1910" s="51">
        <v>45775</v>
      </c>
      <c r="G1910" t="s">
        <v>1</v>
      </c>
    </row>
    <row r="1911" spans="1:7" x14ac:dyDescent="0.3">
      <c r="A1911" t="s">
        <v>2703</v>
      </c>
      <c r="B1911">
        <v>6162</v>
      </c>
      <c r="C1911" t="s">
        <v>1240</v>
      </c>
      <c r="D1911" t="s">
        <v>1391</v>
      </c>
      <c r="E1911" t="s">
        <v>1256</v>
      </c>
      <c r="F1911" s="51">
        <v>45776</v>
      </c>
      <c r="G1911" t="s">
        <v>1</v>
      </c>
    </row>
    <row r="1912" spans="1:7" x14ac:dyDescent="0.3">
      <c r="A1912" t="s">
        <v>2703</v>
      </c>
      <c r="B1912">
        <v>6165</v>
      </c>
      <c r="C1912" t="s">
        <v>1966</v>
      </c>
      <c r="D1912" t="s">
        <v>1226</v>
      </c>
      <c r="E1912" t="s">
        <v>85</v>
      </c>
      <c r="F1912" s="51">
        <v>45783</v>
      </c>
      <c r="G1912" t="s">
        <v>1</v>
      </c>
    </row>
    <row r="1913" spans="1:7" x14ac:dyDescent="0.3">
      <c r="A1913" t="s">
        <v>2703</v>
      </c>
      <c r="B1913">
        <v>6167</v>
      </c>
      <c r="C1913" t="s">
        <v>1263</v>
      </c>
      <c r="D1913" t="s">
        <v>154</v>
      </c>
      <c r="E1913" t="s">
        <v>1010</v>
      </c>
      <c r="F1913" s="51">
        <v>45783</v>
      </c>
      <c r="G1913" t="s">
        <v>1</v>
      </c>
    </row>
    <row r="1914" spans="1:7" x14ac:dyDescent="0.3">
      <c r="A1914" t="s">
        <v>2703</v>
      </c>
      <c r="B1914">
        <v>6168</v>
      </c>
      <c r="C1914" t="s">
        <v>2142</v>
      </c>
      <c r="D1914" t="s">
        <v>1950</v>
      </c>
      <c r="E1914" t="s">
        <v>1005</v>
      </c>
      <c r="F1914" s="51">
        <v>45783</v>
      </c>
      <c r="G1914" t="s">
        <v>1</v>
      </c>
    </row>
    <row r="1915" spans="1:7" x14ac:dyDescent="0.3">
      <c r="A1915" t="s">
        <v>2703</v>
      </c>
      <c r="B1915">
        <v>6169</v>
      </c>
      <c r="C1915" t="s">
        <v>1217</v>
      </c>
      <c r="D1915" t="s">
        <v>453</v>
      </c>
      <c r="E1915" t="s">
        <v>777</v>
      </c>
      <c r="F1915" s="51">
        <v>45783</v>
      </c>
      <c r="G1915" t="s">
        <v>1</v>
      </c>
    </row>
    <row r="1916" spans="1:7" x14ac:dyDescent="0.3">
      <c r="A1916" t="s">
        <v>2703</v>
      </c>
      <c r="B1916">
        <v>6170</v>
      </c>
      <c r="C1916" t="s">
        <v>2009</v>
      </c>
      <c r="F1916" s="51">
        <v>45813</v>
      </c>
      <c r="G1916" t="s">
        <v>1</v>
      </c>
    </row>
    <row r="1917" spans="1:7" x14ac:dyDescent="0.3">
      <c r="A1917" t="s">
        <v>2703</v>
      </c>
      <c r="B1917">
        <v>6171</v>
      </c>
      <c r="C1917" t="s">
        <v>2187</v>
      </c>
      <c r="D1917" t="s">
        <v>161</v>
      </c>
      <c r="E1917" t="s">
        <v>2188</v>
      </c>
      <c r="F1917" s="51">
        <v>45797</v>
      </c>
      <c r="G1917" t="s">
        <v>1</v>
      </c>
    </row>
    <row r="1918" spans="1:7" x14ac:dyDescent="0.3">
      <c r="A1918" t="s">
        <v>2703</v>
      </c>
      <c r="B1918">
        <v>6173</v>
      </c>
      <c r="C1918" t="s">
        <v>1201</v>
      </c>
      <c r="D1918" t="s">
        <v>1202</v>
      </c>
      <c r="E1918" t="s">
        <v>85</v>
      </c>
      <c r="F1918" s="51">
        <v>45797</v>
      </c>
      <c r="G1918" t="s">
        <v>1</v>
      </c>
    </row>
    <row r="1919" spans="1:7" x14ac:dyDescent="0.3">
      <c r="A1919" t="s">
        <v>2703</v>
      </c>
      <c r="B1919">
        <v>6174</v>
      </c>
      <c r="C1919" t="s">
        <v>1453</v>
      </c>
      <c r="D1919" t="s">
        <v>179</v>
      </c>
      <c r="E1919" t="s">
        <v>952</v>
      </c>
      <c r="F1919" s="51">
        <v>45826</v>
      </c>
      <c r="G1919" t="s">
        <v>1</v>
      </c>
    </row>
    <row r="1920" spans="1:7" x14ac:dyDescent="0.3">
      <c r="A1920" t="s">
        <v>2703</v>
      </c>
      <c r="B1920">
        <v>6176</v>
      </c>
      <c r="C1920" t="s">
        <v>1447</v>
      </c>
      <c r="D1920" t="s">
        <v>133</v>
      </c>
      <c r="E1920" t="s">
        <v>2143</v>
      </c>
      <c r="F1920" s="51">
        <v>45783</v>
      </c>
      <c r="G1920" t="s">
        <v>1</v>
      </c>
    </row>
    <row r="1921" spans="1:7" x14ac:dyDescent="0.3">
      <c r="A1921" t="s">
        <v>2703</v>
      </c>
      <c r="B1921">
        <v>6177</v>
      </c>
      <c r="C1921" t="s">
        <v>205</v>
      </c>
      <c r="D1921" t="s">
        <v>924</v>
      </c>
      <c r="E1921" t="s">
        <v>1573</v>
      </c>
      <c r="F1921" s="51">
        <v>45826</v>
      </c>
      <c r="G1921" t="s">
        <v>1</v>
      </c>
    </row>
    <row r="1922" spans="1:7" x14ac:dyDescent="0.3">
      <c r="A1922" t="s">
        <v>2703</v>
      </c>
      <c r="B1922">
        <v>6178</v>
      </c>
      <c r="C1922" t="s">
        <v>1324</v>
      </c>
      <c r="D1922" t="s">
        <v>440</v>
      </c>
      <c r="E1922" t="s">
        <v>2136</v>
      </c>
      <c r="F1922" s="51">
        <v>45797</v>
      </c>
      <c r="G1922" t="s">
        <v>1</v>
      </c>
    </row>
    <row r="1923" spans="1:7" x14ac:dyDescent="0.3">
      <c r="A1923" t="s">
        <v>2703</v>
      </c>
      <c r="B1923">
        <v>6179</v>
      </c>
      <c r="C1923" t="s">
        <v>1106</v>
      </c>
      <c r="D1923" t="s">
        <v>181</v>
      </c>
      <c r="E1923" t="s">
        <v>35</v>
      </c>
      <c r="F1923" s="51">
        <v>45797</v>
      </c>
      <c r="G1923" t="s">
        <v>1</v>
      </c>
    </row>
    <row r="1924" spans="1:7" x14ac:dyDescent="0.3">
      <c r="A1924" t="s">
        <v>2703</v>
      </c>
      <c r="B1924">
        <v>6181</v>
      </c>
      <c r="C1924" t="s">
        <v>1951</v>
      </c>
      <c r="D1924" t="s">
        <v>453</v>
      </c>
      <c r="E1924" t="s">
        <v>2189</v>
      </c>
      <c r="F1924" s="51">
        <v>45797</v>
      </c>
      <c r="G1924" t="s">
        <v>1</v>
      </c>
    </row>
    <row r="1925" spans="1:7" x14ac:dyDescent="0.3">
      <c r="A1925" t="s">
        <v>2703</v>
      </c>
      <c r="B1925">
        <v>6182</v>
      </c>
      <c r="C1925" t="s">
        <v>220</v>
      </c>
      <c r="D1925" t="s">
        <v>2462</v>
      </c>
      <c r="E1925" t="s">
        <v>2463</v>
      </c>
      <c r="F1925" s="51">
        <v>45826</v>
      </c>
      <c r="G1925" t="s">
        <v>1</v>
      </c>
    </row>
    <row r="1926" spans="1:7" x14ac:dyDescent="0.3">
      <c r="A1926" t="s">
        <v>2703</v>
      </c>
      <c r="B1926">
        <v>6183</v>
      </c>
      <c r="C1926" t="s">
        <v>62</v>
      </c>
      <c r="D1926" t="s">
        <v>63</v>
      </c>
      <c r="E1926" t="s">
        <v>1049</v>
      </c>
      <c r="F1926" s="51">
        <v>45797</v>
      </c>
      <c r="G1926" t="s">
        <v>1</v>
      </c>
    </row>
    <row r="1927" spans="1:7" x14ac:dyDescent="0.3">
      <c r="A1927" t="s">
        <v>2703</v>
      </c>
      <c r="B1927">
        <v>6184</v>
      </c>
      <c r="C1927" t="s">
        <v>2388</v>
      </c>
      <c r="D1927" t="s">
        <v>66</v>
      </c>
      <c r="E1927" t="s">
        <v>832</v>
      </c>
      <c r="F1927" s="51">
        <v>45811</v>
      </c>
      <c r="G1927" t="s">
        <v>1</v>
      </c>
    </row>
    <row r="1928" spans="1:7" x14ac:dyDescent="0.3">
      <c r="A1928" t="s">
        <v>2703</v>
      </c>
      <c r="B1928">
        <v>6185</v>
      </c>
      <c r="C1928" t="s">
        <v>1342</v>
      </c>
      <c r="D1928" t="s">
        <v>1343</v>
      </c>
      <c r="E1928" t="s">
        <v>113</v>
      </c>
      <c r="F1928" s="51">
        <v>45811</v>
      </c>
      <c r="G1928" t="s">
        <v>1</v>
      </c>
    </row>
    <row r="1929" spans="1:7" x14ac:dyDescent="0.3">
      <c r="A1929" t="s">
        <v>2703</v>
      </c>
      <c r="B1929">
        <v>6186</v>
      </c>
      <c r="C1929" t="s">
        <v>1352</v>
      </c>
      <c r="D1929" t="s">
        <v>1353</v>
      </c>
      <c r="E1929" t="s">
        <v>2389</v>
      </c>
      <c r="F1929" s="51">
        <v>45811</v>
      </c>
      <c r="G1929" t="s">
        <v>1</v>
      </c>
    </row>
    <row r="1930" spans="1:7" x14ac:dyDescent="0.3">
      <c r="A1930" t="s">
        <v>2703</v>
      </c>
      <c r="B1930">
        <v>6187</v>
      </c>
      <c r="C1930" t="s">
        <v>1966</v>
      </c>
      <c r="D1930" t="s">
        <v>408</v>
      </c>
      <c r="E1930" t="s">
        <v>505</v>
      </c>
      <c r="F1930" s="51">
        <v>45826</v>
      </c>
      <c r="G1930" t="s">
        <v>1</v>
      </c>
    </row>
    <row r="1931" spans="1:7" x14ac:dyDescent="0.3">
      <c r="A1931" t="s">
        <v>2703</v>
      </c>
      <c r="B1931">
        <v>6188</v>
      </c>
      <c r="C1931" t="s">
        <v>1312</v>
      </c>
      <c r="D1931" t="s">
        <v>66</v>
      </c>
      <c r="E1931" t="s">
        <v>153</v>
      </c>
      <c r="F1931" s="51">
        <v>45831</v>
      </c>
      <c r="G1931" t="s">
        <v>1</v>
      </c>
    </row>
    <row r="1932" spans="1:7" x14ac:dyDescent="0.3">
      <c r="A1932" t="s">
        <v>2703</v>
      </c>
      <c r="B1932">
        <v>6191</v>
      </c>
      <c r="C1932" t="s">
        <v>509</v>
      </c>
      <c r="D1932" t="s">
        <v>2473</v>
      </c>
      <c r="E1932" t="s">
        <v>121</v>
      </c>
      <c r="F1932" s="51">
        <v>45827</v>
      </c>
      <c r="G1932" t="s">
        <v>4</v>
      </c>
    </row>
    <row r="1933" spans="1:7" x14ac:dyDescent="0.3">
      <c r="A1933" t="s">
        <v>2703</v>
      </c>
      <c r="B1933">
        <v>6192</v>
      </c>
      <c r="C1933" t="s">
        <v>2187</v>
      </c>
      <c r="D1933" t="s">
        <v>2390</v>
      </c>
      <c r="F1933" s="51">
        <v>45811</v>
      </c>
      <c r="G1933" t="s">
        <v>1</v>
      </c>
    </row>
    <row r="1934" spans="1:7" x14ac:dyDescent="0.3">
      <c r="A1934" t="s">
        <v>2703</v>
      </c>
      <c r="B1934">
        <v>6193</v>
      </c>
      <c r="C1934" t="s">
        <v>1951</v>
      </c>
      <c r="D1934" t="s">
        <v>453</v>
      </c>
      <c r="E1934" t="s">
        <v>2391</v>
      </c>
      <c r="F1934" s="51">
        <v>45811</v>
      </c>
      <c r="G1934" t="s">
        <v>1</v>
      </c>
    </row>
    <row r="1935" spans="1:7" x14ac:dyDescent="0.3">
      <c r="A1935" t="s">
        <v>2703</v>
      </c>
      <c r="B1935">
        <v>6194</v>
      </c>
      <c r="C1935" t="s">
        <v>591</v>
      </c>
      <c r="D1935" t="s">
        <v>32</v>
      </c>
      <c r="E1935" t="s">
        <v>2392</v>
      </c>
      <c r="F1935" s="51">
        <v>45811</v>
      </c>
      <c r="G1935" t="s">
        <v>4</v>
      </c>
    </row>
    <row r="1936" spans="1:7" x14ac:dyDescent="0.3">
      <c r="A1936" t="s">
        <v>2703</v>
      </c>
      <c r="B1936">
        <v>6195</v>
      </c>
      <c r="C1936" t="s">
        <v>509</v>
      </c>
      <c r="D1936" t="s">
        <v>227</v>
      </c>
      <c r="E1936" t="s">
        <v>2393</v>
      </c>
      <c r="F1936" s="51">
        <v>45811</v>
      </c>
      <c r="G1936" t="s">
        <v>1</v>
      </c>
    </row>
    <row r="1937" spans="1:7" x14ac:dyDescent="0.3">
      <c r="A1937" t="s">
        <v>2703</v>
      </c>
      <c r="B1937">
        <v>6196</v>
      </c>
      <c r="C1937" t="s">
        <v>1283</v>
      </c>
      <c r="D1937" t="s">
        <v>32</v>
      </c>
      <c r="E1937" t="s">
        <v>2186</v>
      </c>
      <c r="F1937" s="51">
        <v>45797</v>
      </c>
      <c r="G1937" t="s">
        <v>1</v>
      </c>
    </row>
    <row r="1938" spans="1:7" x14ac:dyDescent="0.3">
      <c r="A1938" t="s">
        <v>2703</v>
      </c>
      <c r="B1938">
        <v>6197</v>
      </c>
      <c r="C1938" t="s">
        <v>1117</v>
      </c>
      <c r="D1938" t="s">
        <v>544</v>
      </c>
      <c r="E1938" t="s">
        <v>662</v>
      </c>
      <c r="F1938" s="51">
        <v>45811</v>
      </c>
      <c r="G1938" t="s">
        <v>1</v>
      </c>
    </row>
    <row r="1939" spans="1:7" x14ac:dyDescent="0.3">
      <c r="A1939" t="s">
        <v>2703</v>
      </c>
      <c r="B1939">
        <v>6200</v>
      </c>
      <c r="C1939" t="s">
        <v>2464</v>
      </c>
      <c r="D1939" t="s">
        <v>161</v>
      </c>
      <c r="E1939" t="s">
        <v>121</v>
      </c>
      <c r="F1939" s="51">
        <v>45826</v>
      </c>
      <c r="G1939" t="s">
        <v>4</v>
      </c>
    </row>
    <row r="1940" spans="1:7" x14ac:dyDescent="0.3">
      <c r="A1940" t="s">
        <v>2703</v>
      </c>
      <c r="B1940">
        <v>6201</v>
      </c>
      <c r="C1940" t="s">
        <v>2394</v>
      </c>
      <c r="D1940" t="s">
        <v>2395</v>
      </c>
      <c r="E1940" t="s">
        <v>121</v>
      </c>
      <c r="F1940" s="51">
        <v>45811</v>
      </c>
      <c r="G1940" t="s">
        <v>4</v>
      </c>
    </row>
    <row r="1941" spans="1:7" x14ac:dyDescent="0.3">
      <c r="A1941" t="s">
        <v>2703</v>
      </c>
      <c r="B1941">
        <v>6203</v>
      </c>
      <c r="C1941" t="s">
        <v>1951</v>
      </c>
      <c r="D1941" t="s">
        <v>453</v>
      </c>
      <c r="E1941" t="s">
        <v>2465</v>
      </c>
      <c r="F1941" s="51">
        <v>45826</v>
      </c>
      <c r="G1941" t="s">
        <v>1</v>
      </c>
    </row>
    <row r="1942" spans="1:7" x14ac:dyDescent="0.3">
      <c r="A1942" t="s">
        <v>2703</v>
      </c>
      <c r="B1942">
        <v>6204</v>
      </c>
      <c r="C1942" t="s">
        <v>1348</v>
      </c>
      <c r="D1942" t="s">
        <v>2483</v>
      </c>
      <c r="E1942" t="s">
        <v>720</v>
      </c>
      <c r="F1942" s="51">
        <v>45831</v>
      </c>
      <c r="G1942" t="s">
        <v>1</v>
      </c>
    </row>
    <row r="1943" spans="1:7" x14ac:dyDescent="0.3">
      <c r="A1943" t="s">
        <v>2703</v>
      </c>
      <c r="B1943">
        <v>6206</v>
      </c>
      <c r="C1943" t="s">
        <v>1339</v>
      </c>
      <c r="D1943" t="s">
        <v>453</v>
      </c>
      <c r="E1943" t="s">
        <v>172</v>
      </c>
      <c r="F1943" s="51">
        <v>45826</v>
      </c>
      <c r="G1943" t="s">
        <v>1</v>
      </c>
    </row>
    <row r="1944" spans="1:7" x14ac:dyDescent="0.3">
      <c r="A1944" t="s">
        <v>2703</v>
      </c>
      <c r="B1944">
        <v>6207</v>
      </c>
      <c r="C1944" t="s">
        <v>2397</v>
      </c>
      <c r="D1944" t="s">
        <v>2398</v>
      </c>
      <c r="E1944" t="s">
        <v>176</v>
      </c>
      <c r="F1944" s="51">
        <v>45812</v>
      </c>
      <c r="G1944" t="s">
        <v>1</v>
      </c>
    </row>
    <row r="1945" spans="1:7" x14ac:dyDescent="0.3">
      <c r="A1945" t="s">
        <v>2703</v>
      </c>
      <c r="B1945">
        <v>6208</v>
      </c>
      <c r="C1945" t="s">
        <v>1449</v>
      </c>
      <c r="D1945" t="s">
        <v>133</v>
      </c>
      <c r="E1945" t="s">
        <v>815</v>
      </c>
      <c r="F1945" s="51">
        <v>45810</v>
      </c>
      <c r="G1945" t="s">
        <v>1</v>
      </c>
    </row>
    <row r="1946" spans="1:7" x14ac:dyDescent="0.3">
      <c r="A1946" t="s">
        <v>2703</v>
      </c>
      <c r="B1946">
        <v>6209</v>
      </c>
      <c r="C1946" t="s">
        <v>2464</v>
      </c>
      <c r="D1946" t="s">
        <v>161</v>
      </c>
      <c r="E1946" t="s">
        <v>2466</v>
      </c>
      <c r="F1946" s="51">
        <v>45826</v>
      </c>
      <c r="G1946" t="s">
        <v>2</v>
      </c>
    </row>
    <row r="1947" spans="1:7" x14ac:dyDescent="0.3">
      <c r="A1947" t="s">
        <v>2703</v>
      </c>
      <c r="B1947">
        <v>6210</v>
      </c>
      <c r="C1947" t="s">
        <v>2261</v>
      </c>
      <c r="D1947" t="s">
        <v>45</v>
      </c>
      <c r="E1947" t="s">
        <v>1774</v>
      </c>
      <c r="F1947" s="51">
        <v>45826</v>
      </c>
      <c r="G1947" t="s">
        <v>2</v>
      </c>
    </row>
    <row r="1948" spans="1:7" x14ac:dyDescent="0.3">
      <c r="A1948" t="s">
        <v>2703</v>
      </c>
      <c r="B1948">
        <v>6211</v>
      </c>
      <c r="C1948" t="s">
        <v>205</v>
      </c>
      <c r="D1948" t="s">
        <v>106</v>
      </c>
      <c r="E1948" t="s">
        <v>2162</v>
      </c>
      <c r="F1948" s="51">
        <v>45811</v>
      </c>
      <c r="G1948" t="s">
        <v>1</v>
      </c>
    </row>
    <row r="1949" spans="1:7" x14ac:dyDescent="0.3">
      <c r="A1949" t="s">
        <v>2703</v>
      </c>
      <c r="B1949">
        <v>6212</v>
      </c>
      <c r="C1949" t="s">
        <v>2450</v>
      </c>
      <c r="D1949" t="s">
        <v>2451</v>
      </c>
      <c r="E1949" t="s">
        <v>27</v>
      </c>
      <c r="F1949" s="51">
        <v>45826</v>
      </c>
      <c r="G1949" t="s">
        <v>2</v>
      </c>
    </row>
    <row r="1950" spans="1:7" x14ac:dyDescent="0.3">
      <c r="A1950" t="s">
        <v>2703</v>
      </c>
      <c r="B1950">
        <v>6214</v>
      </c>
      <c r="C1950" t="s">
        <v>2689</v>
      </c>
      <c r="D1950" t="s">
        <v>2690</v>
      </c>
      <c r="E1950" t="s">
        <v>2691</v>
      </c>
      <c r="F1950" s="51">
        <v>45875</v>
      </c>
      <c r="G1950" t="s">
        <v>1</v>
      </c>
    </row>
    <row r="1951" spans="1:7" x14ac:dyDescent="0.3">
      <c r="A1951" t="s">
        <v>2703</v>
      </c>
      <c r="B1951">
        <v>6215</v>
      </c>
      <c r="C1951" t="s">
        <v>1414</v>
      </c>
      <c r="D1951" t="s">
        <v>2470</v>
      </c>
      <c r="E1951" t="s">
        <v>283</v>
      </c>
      <c r="F1951" s="51">
        <v>45826</v>
      </c>
      <c r="G1951" t="s">
        <v>1</v>
      </c>
    </row>
    <row r="1952" spans="1:7" x14ac:dyDescent="0.3">
      <c r="A1952" t="s">
        <v>2703</v>
      </c>
      <c r="B1952">
        <v>6217</v>
      </c>
      <c r="C1952" t="s">
        <v>509</v>
      </c>
      <c r="D1952" t="s">
        <v>440</v>
      </c>
      <c r="E1952" t="s">
        <v>2384</v>
      </c>
      <c r="F1952" s="51">
        <v>45811</v>
      </c>
      <c r="G1952" t="s">
        <v>2</v>
      </c>
    </row>
    <row r="1953" spans="1:7" x14ac:dyDescent="0.3">
      <c r="A1953" t="s">
        <v>2703</v>
      </c>
      <c r="B1953">
        <v>6218</v>
      </c>
      <c r="C1953" t="s">
        <v>1339</v>
      </c>
      <c r="D1953" t="s">
        <v>453</v>
      </c>
      <c r="E1953" t="s">
        <v>2573</v>
      </c>
      <c r="F1953" s="51">
        <v>45841</v>
      </c>
      <c r="G1953" t="s">
        <v>1</v>
      </c>
    </row>
    <row r="1954" spans="1:7" x14ac:dyDescent="0.3">
      <c r="A1954" t="s">
        <v>2703</v>
      </c>
      <c r="B1954">
        <v>6219</v>
      </c>
      <c r="C1954" t="s">
        <v>41</v>
      </c>
      <c r="D1954" t="s">
        <v>227</v>
      </c>
      <c r="E1954" t="s">
        <v>907</v>
      </c>
      <c r="F1954" s="51">
        <v>45826</v>
      </c>
      <c r="G1954" t="s">
        <v>18</v>
      </c>
    </row>
    <row r="1955" spans="1:7" x14ac:dyDescent="0.3">
      <c r="A1955" t="s">
        <v>2703</v>
      </c>
      <c r="B1955">
        <v>6220</v>
      </c>
      <c r="C1955" t="s">
        <v>611</v>
      </c>
      <c r="D1955" t="s">
        <v>45</v>
      </c>
      <c r="E1955" t="s">
        <v>1134</v>
      </c>
      <c r="F1955" s="51">
        <v>45826</v>
      </c>
      <c r="G1955" t="s">
        <v>1</v>
      </c>
    </row>
    <row r="1956" spans="1:7" x14ac:dyDescent="0.3">
      <c r="A1956" t="s">
        <v>2703</v>
      </c>
      <c r="B1956">
        <v>6221</v>
      </c>
      <c r="C1956" t="s">
        <v>36</v>
      </c>
      <c r="D1956" t="s">
        <v>930</v>
      </c>
      <c r="E1956" t="s">
        <v>1088</v>
      </c>
      <c r="F1956" s="51">
        <v>45827</v>
      </c>
      <c r="G1956" t="s">
        <v>3</v>
      </c>
    </row>
    <row r="1957" spans="1:7" x14ac:dyDescent="0.3">
      <c r="A1957" t="s">
        <v>2703</v>
      </c>
      <c r="B1957">
        <v>6223</v>
      </c>
      <c r="C1957" t="s">
        <v>36</v>
      </c>
      <c r="D1957" t="s">
        <v>930</v>
      </c>
      <c r="E1957" t="s">
        <v>2475</v>
      </c>
      <c r="F1957" s="51">
        <v>45828</v>
      </c>
      <c r="G1957" t="s">
        <v>18</v>
      </c>
    </row>
    <row r="1958" spans="1:7" x14ac:dyDescent="0.3">
      <c r="A1958" t="s">
        <v>2703</v>
      </c>
      <c r="B1958">
        <v>6226</v>
      </c>
      <c r="C1958" t="s">
        <v>36</v>
      </c>
      <c r="D1958" t="s">
        <v>930</v>
      </c>
      <c r="E1958" t="s">
        <v>2493</v>
      </c>
      <c r="F1958" s="51">
        <v>45832</v>
      </c>
      <c r="G1958" t="s">
        <v>3</v>
      </c>
    </row>
    <row r="1959" spans="1:7" x14ac:dyDescent="0.3">
      <c r="A1959" t="s">
        <v>2703</v>
      </c>
      <c r="B1959">
        <v>6227</v>
      </c>
      <c r="C1959" t="s">
        <v>1951</v>
      </c>
      <c r="E1959" t="s">
        <v>2472</v>
      </c>
      <c r="F1959" s="51">
        <v>45826</v>
      </c>
      <c r="G1959" t="s">
        <v>1</v>
      </c>
    </row>
    <row r="1960" spans="1:7" x14ac:dyDescent="0.3">
      <c r="A1960" t="s">
        <v>2703</v>
      </c>
      <c r="B1960">
        <v>6228</v>
      </c>
      <c r="C1960" t="s">
        <v>1106</v>
      </c>
      <c r="D1960" t="s">
        <v>2574</v>
      </c>
      <c r="E1960" t="s">
        <v>2575</v>
      </c>
      <c r="F1960" s="51">
        <v>45841</v>
      </c>
      <c r="G1960" t="s">
        <v>1</v>
      </c>
    </row>
    <row r="1961" spans="1:7" x14ac:dyDescent="0.3">
      <c r="A1961" t="s">
        <v>2703</v>
      </c>
      <c r="B1961">
        <v>6229</v>
      </c>
      <c r="C1961" t="s">
        <v>309</v>
      </c>
      <c r="D1961" t="s">
        <v>133</v>
      </c>
      <c r="E1961" t="s">
        <v>172</v>
      </c>
      <c r="F1961" s="51">
        <v>45826</v>
      </c>
      <c r="G1961" t="s">
        <v>1</v>
      </c>
    </row>
    <row r="1962" spans="1:7" x14ac:dyDescent="0.3">
      <c r="A1962" t="s">
        <v>2703</v>
      </c>
      <c r="B1962">
        <v>6231</v>
      </c>
      <c r="C1962" t="s">
        <v>2450</v>
      </c>
      <c r="D1962" t="s">
        <v>2451</v>
      </c>
      <c r="E1962" t="s">
        <v>1373</v>
      </c>
      <c r="F1962" s="51">
        <v>45839</v>
      </c>
      <c r="G1962" t="s">
        <v>2</v>
      </c>
    </row>
    <row r="1963" spans="1:7" x14ac:dyDescent="0.3">
      <c r="A1963" t="s">
        <v>2703</v>
      </c>
      <c r="B1963">
        <v>6236</v>
      </c>
      <c r="C1963" t="s">
        <v>195</v>
      </c>
      <c r="D1963" t="s">
        <v>1429</v>
      </c>
      <c r="E1963" t="s">
        <v>2479</v>
      </c>
      <c r="F1963" s="51">
        <v>45831</v>
      </c>
      <c r="G1963" t="s">
        <v>8</v>
      </c>
    </row>
    <row r="1964" spans="1:7" x14ac:dyDescent="0.3">
      <c r="A1964" t="s">
        <v>2703</v>
      </c>
      <c r="B1964">
        <v>6238</v>
      </c>
      <c r="C1964" t="s">
        <v>83</v>
      </c>
      <c r="D1964" t="s">
        <v>331</v>
      </c>
      <c r="E1964" t="s">
        <v>554</v>
      </c>
      <c r="F1964" s="51">
        <v>45831</v>
      </c>
      <c r="G1964" t="s">
        <v>1</v>
      </c>
    </row>
    <row r="1965" spans="1:7" x14ac:dyDescent="0.3">
      <c r="A1965" t="s">
        <v>2703</v>
      </c>
      <c r="B1965">
        <v>6239</v>
      </c>
      <c r="C1965" t="s">
        <v>96</v>
      </c>
      <c r="D1965" t="s">
        <v>94</v>
      </c>
      <c r="E1965" t="s">
        <v>615</v>
      </c>
      <c r="F1965" s="51">
        <v>45831</v>
      </c>
      <c r="G1965" t="s">
        <v>1</v>
      </c>
    </row>
    <row r="1966" spans="1:7" x14ac:dyDescent="0.3">
      <c r="A1966" t="s">
        <v>2703</v>
      </c>
      <c r="B1966">
        <v>6240</v>
      </c>
      <c r="C1966" t="s">
        <v>1454</v>
      </c>
      <c r="D1966" t="s">
        <v>1206</v>
      </c>
      <c r="E1966" t="s">
        <v>2480</v>
      </c>
      <c r="F1966" s="51">
        <v>45831</v>
      </c>
      <c r="G1966" t="s">
        <v>1</v>
      </c>
    </row>
    <row r="1967" spans="1:7" x14ac:dyDescent="0.3">
      <c r="A1967" t="s">
        <v>2703</v>
      </c>
      <c r="B1967">
        <v>6241</v>
      </c>
      <c r="C1967" t="s">
        <v>1243</v>
      </c>
      <c r="D1967" t="s">
        <v>293</v>
      </c>
      <c r="E1967" t="s">
        <v>1467</v>
      </c>
      <c r="F1967" s="51">
        <v>45853</v>
      </c>
      <c r="G1967" t="s">
        <v>1</v>
      </c>
    </row>
    <row r="1968" spans="1:7" x14ac:dyDescent="0.3">
      <c r="A1968" t="s">
        <v>2703</v>
      </c>
      <c r="B1968">
        <v>6245</v>
      </c>
      <c r="C1968" t="s">
        <v>509</v>
      </c>
      <c r="D1968" t="s">
        <v>223</v>
      </c>
      <c r="E1968" t="s">
        <v>519</v>
      </c>
      <c r="F1968" s="51">
        <v>45831</v>
      </c>
      <c r="G1968" t="s">
        <v>1</v>
      </c>
    </row>
    <row r="1969" spans="1:7" x14ac:dyDescent="0.3">
      <c r="A1969" t="s">
        <v>2703</v>
      </c>
      <c r="B1969">
        <v>6246</v>
      </c>
      <c r="C1969" t="s">
        <v>41</v>
      </c>
      <c r="D1969" t="s">
        <v>181</v>
      </c>
      <c r="E1969" t="s">
        <v>2527</v>
      </c>
      <c r="F1969" s="51">
        <v>45845</v>
      </c>
      <c r="G1969" t="s">
        <v>2</v>
      </c>
    </row>
    <row r="1970" spans="1:7" x14ac:dyDescent="0.3">
      <c r="A1970" t="s">
        <v>2703</v>
      </c>
      <c r="B1970">
        <v>6247</v>
      </c>
      <c r="C1970" t="s">
        <v>195</v>
      </c>
      <c r="D1970" t="s">
        <v>2590</v>
      </c>
      <c r="E1970" t="s">
        <v>2025</v>
      </c>
      <c r="F1970" s="51">
        <v>45845</v>
      </c>
      <c r="G1970" t="s">
        <v>1</v>
      </c>
    </row>
    <row r="1971" spans="1:7" x14ac:dyDescent="0.3">
      <c r="A1971" t="s">
        <v>2703</v>
      </c>
      <c r="B1971">
        <v>6248</v>
      </c>
      <c r="C1971" t="s">
        <v>1951</v>
      </c>
      <c r="D1971" t="s">
        <v>2590</v>
      </c>
      <c r="F1971" s="51">
        <v>45845</v>
      </c>
      <c r="G1971" t="s">
        <v>1</v>
      </c>
    </row>
    <row r="1972" spans="1:7" x14ac:dyDescent="0.3">
      <c r="A1972" t="s">
        <v>2703</v>
      </c>
      <c r="B1972">
        <v>6249</v>
      </c>
      <c r="C1972" t="s">
        <v>41</v>
      </c>
      <c r="D1972" t="s">
        <v>1607</v>
      </c>
      <c r="E1972" t="s">
        <v>1608</v>
      </c>
      <c r="F1972" s="51">
        <v>45828</v>
      </c>
      <c r="G1972" t="s">
        <v>20</v>
      </c>
    </row>
    <row r="1973" spans="1:7" x14ac:dyDescent="0.3">
      <c r="A1973" t="s">
        <v>2703</v>
      </c>
      <c r="B1973">
        <v>6250</v>
      </c>
      <c r="C1973" t="s">
        <v>1462</v>
      </c>
      <c r="D1973" t="s">
        <v>1320</v>
      </c>
      <c r="E1973" t="s">
        <v>2591</v>
      </c>
      <c r="F1973" s="51">
        <v>45845</v>
      </c>
      <c r="G1973" t="s">
        <v>1</v>
      </c>
    </row>
    <row r="1974" spans="1:7" x14ac:dyDescent="0.3">
      <c r="A1974" t="s">
        <v>2703</v>
      </c>
      <c r="B1974">
        <v>6251</v>
      </c>
      <c r="C1974" t="s">
        <v>2464</v>
      </c>
      <c r="D1974" t="s">
        <v>2610</v>
      </c>
      <c r="E1974" t="s">
        <v>2611</v>
      </c>
      <c r="F1974" s="51">
        <v>45848</v>
      </c>
      <c r="G1974" t="s">
        <v>2</v>
      </c>
    </row>
    <row r="1975" spans="1:7" x14ac:dyDescent="0.3">
      <c r="A1975" t="s">
        <v>2703</v>
      </c>
      <c r="B1975">
        <v>6253</v>
      </c>
      <c r="C1975" t="s">
        <v>2589</v>
      </c>
      <c r="D1975" t="s">
        <v>362</v>
      </c>
      <c r="E1975" t="s">
        <v>1148</v>
      </c>
      <c r="F1975" s="51">
        <v>45845</v>
      </c>
      <c r="G1975" t="s">
        <v>1</v>
      </c>
    </row>
    <row r="1976" spans="1:7" x14ac:dyDescent="0.3">
      <c r="A1976" t="s">
        <v>2703</v>
      </c>
      <c r="B1976">
        <v>6255</v>
      </c>
      <c r="C1976" t="s">
        <v>1454</v>
      </c>
      <c r="D1976" t="s">
        <v>1206</v>
      </c>
      <c r="E1976" t="s">
        <v>1085</v>
      </c>
      <c r="F1976" s="51">
        <v>45873</v>
      </c>
      <c r="G1976" t="s">
        <v>1</v>
      </c>
    </row>
    <row r="1977" spans="1:7" x14ac:dyDescent="0.3">
      <c r="A1977" t="s">
        <v>2703</v>
      </c>
      <c r="B1977">
        <v>6257</v>
      </c>
      <c r="C1977" t="s">
        <v>2016</v>
      </c>
      <c r="D1977" t="s">
        <v>2396</v>
      </c>
      <c r="E1977" t="s">
        <v>615</v>
      </c>
      <c r="F1977" s="51">
        <v>45845</v>
      </c>
      <c r="G1977" t="s">
        <v>1</v>
      </c>
    </row>
    <row r="1978" spans="1:7" x14ac:dyDescent="0.3">
      <c r="A1978" t="s">
        <v>2703</v>
      </c>
      <c r="B1978">
        <v>6258</v>
      </c>
      <c r="C1978" t="s">
        <v>1117</v>
      </c>
      <c r="D1978" t="s">
        <v>32</v>
      </c>
      <c r="E1978" t="s">
        <v>146</v>
      </c>
      <c r="F1978" s="51">
        <v>45845</v>
      </c>
      <c r="G1978" t="s">
        <v>1</v>
      </c>
    </row>
    <row r="1979" spans="1:7" x14ac:dyDescent="0.3">
      <c r="A1979" t="s">
        <v>2703</v>
      </c>
      <c r="B1979">
        <v>6260</v>
      </c>
      <c r="C1979" t="s">
        <v>74</v>
      </c>
      <c r="D1979" t="s">
        <v>249</v>
      </c>
      <c r="E1979" t="s">
        <v>1049</v>
      </c>
      <c r="F1979" s="51">
        <v>45845</v>
      </c>
      <c r="G1979" t="s">
        <v>1</v>
      </c>
    </row>
    <row r="1980" spans="1:7" x14ac:dyDescent="0.3">
      <c r="A1980" t="s">
        <v>2703</v>
      </c>
      <c r="B1980">
        <v>6261</v>
      </c>
      <c r="C1980" t="s">
        <v>333</v>
      </c>
      <c r="D1980" t="s">
        <v>334</v>
      </c>
      <c r="E1980" t="s">
        <v>2592</v>
      </c>
      <c r="F1980" s="51">
        <v>45845</v>
      </c>
      <c r="G1980" t="s">
        <v>3</v>
      </c>
    </row>
    <row r="1981" spans="1:7" x14ac:dyDescent="0.3">
      <c r="A1981" t="s">
        <v>2703</v>
      </c>
      <c r="B1981">
        <v>6264</v>
      </c>
      <c r="C1981" t="s">
        <v>509</v>
      </c>
      <c r="D1981" t="s">
        <v>440</v>
      </c>
      <c r="E1981" t="s">
        <v>823</v>
      </c>
      <c r="F1981" s="51">
        <v>45853</v>
      </c>
      <c r="G1981" t="s">
        <v>3</v>
      </c>
    </row>
    <row r="1982" spans="1:7" x14ac:dyDescent="0.3">
      <c r="A1982" t="s">
        <v>2703</v>
      </c>
      <c r="B1982">
        <v>6265</v>
      </c>
      <c r="C1982" t="s">
        <v>333</v>
      </c>
      <c r="D1982" t="s">
        <v>133</v>
      </c>
      <c r="E1982" t="s">
        <v>952</v>
      </c>
      <c r="F1982" s="51">
        <v>45853</v>
      </c>
      <c r="G1982" t="s">
        <v>1</v>
      </c>
    </row>
    <row r="1983" spans="1:7" x14ac:dyDescent="0.3">
      <c r="A1983" t="s">
        <v>2703</v>
      </c>
      <c r="B1983">
        <v>6266</v>
      </c>
      <c r="C1983" t="s">
        <v>1240</v>
      </c>
      <c r="D1983" t="s">
        <v>1391</v>
      </c>
      <c r="E1983" t="s">
        <v>168</v>
      </c>
      <c r="F1983" s="51">
        <v>45853</v>
      </c>
      <c r="G1983" t="s">
        <v>1</v>
      </c>
    </row>
    <row r="1984" spans="1:7" x14ac:dyDescent="0.3">
      <c r="A1984" t="s">
        <v>2703</v>
      </c>
      <c r="B1984">
        <v>6267</v>
      </c>
      <c r="C1984" t="s">
        <v>1352</v>
      </c>
      <c r="D1984" t="s">
        <v>1353</v>
      </c>
      <c r="E1984" t="s">
        <v>146</v>
      </c>
      <c r="F1984" s="51">
        <v>45853</v>
      </c>
      <c r="G1984" t="s">
        <v>1</v>
      </c>
    </row>
    <row r="1985" spans="1:7" x14ac:dyDescent="0.3">
      <c r="A1985" t="s">
        <v>2703</v>
      </c>
      <c r="B1985">
        <v>6273</v>
      </c>
      <c r="C1985" t="s">
        <v>74</v>
      </c>
      <c r="D1985" t="s">
        <v>444</v>
      </c>
      <c r="E1985" t="s">
        <v>1049</v>
      </c>
      <c r="F1985" s="51">
        <v>45845</v>
      </c>
      <c r="G1985" t="s">
        <v>1</v>
      </c>
    </row>
    <row r="1986" spans="1:7" x14ac:dyDescent="0.3">
      <c r="A1986" t="s">
        <v>2703</v>
      </c>
      <c r="B1986">
        <v>6276</v>
      </c>
      <c r="C1986" t="s">
        <v>1234</v>
      </c>
      <c r="D1986" t="s">
        <v>2668</v>
      </c>
      <c r="E1986" t="s">
        <v>580</v>
      </c>
      <c r="F1986" s="51">
        <v>45873</v>
      </c>
      <c r="G1986" t="s">
        <v>1</v>
      </c>
    </row>
    <row r="1987" spans="1:7" x14ac:dyDescent="0.3">
      <c r="A1987" t="s">
        <v>2703</v>
      </c>
      <c r="B1987">
        <v>6277</v>
      </c>
      <c r="C1987" t="s">
        <v>1462</v>
      </c>
      <c r="D1987" t="s">
        <v>2616</v>
      </c>
      <c r="E1987" t="s">
        <v>2617</v>
      </c>
      <c r="F1987" s="51">
        <v>45853</v>
      </c>
      <c r="G1987" t="s">
        <v>1</v>
      </c>
    </row>
    <row r="1988" spans="1:7" x14ac:dyDescent="0.3">
      <c r="A1988" t="s">
        <v>2703</v>
      </c>
      <c r="B1988">
        <v>6280</v>
      </c>
      <c r="C1988" t="s">
        <v>239</v>
      </c>
      <c r="D1988" t="s">
        <v>546</v>
      </c>
      <c r="E1988" t="s">
        <v>2033</v>
      </c>
      <c r="F1988" s="51">
        <v>45866</v>
      </c>
      <c r="G1988" t="s">
        <v>3</v>
      </c>
    </row>
    <row r="1989" spans="1:7" x14ac:dyDescent="0.3">
      <c r="A1989" t="s">
        <v>2703</v>
      </c>
      <c r="B1989">
        <v>6283</v>
      </c>
      <c r="C1989" t="s">
        <v>1099</v>
      </c>
      <c r="D1989" t="s">
        <v>362</v>
      </c>
      <c r="E1989" t="s">
        <v>319</v>
      </c>
      <c r="F1989" s="51">
        <v>45873</v>
      </c>
      <c r="G1989" t="s">
        <v>1</v>
      </c>
    </row>
    <row r="1990" spans="1:7" x14ac:dyDescent="0.3">
      <c r="A1990" t="s">
        <v>2703</v>
      </c>
      <c r="B1990">
        <v>6284</v>
      </c>
      <c r="C1990" t="s">
        <v>2079</v>
      </c>
      <c r="D1990" t="s">
        <v>1177</v>
      </c>
      <c r="E1990" t="s">
        <v>2641</v>
      </c>
      <c r="F1990" s="51">
        <v>45866</v>
      </c>
      <c r="G1990" t="s">
        <v>1</v>
      </c>
    </row>
    <row r="1991" spans="1:7" x14ac:dyDescent="0.3">
      <c r="A1991" t="s">
        <v>2703</v>
      </c>
      <c r="B1991">
        <v>6286</v>
      </c>
      <c r="C1991" t="s">
        <v>1966</v>
      </c>
      <c r="D1991" t="s">
        <v>408</v>
      </c>
      <c r="E1991" t="s">
        <v>401</v>
      </c>
      <c r="F1991" s="51">
        <v>45873</v>
      </c>
      <c r="G1991" t="s">
        <v>1</v>
      </c>
    </row>
    <row r="1992" spans="1:7" x14ac:dyDescent="0.3">
      <c r="A1992" t="s">
        <v>2703</v>
      </c>
      <c r="B1992">
        <v>6287</v>
      </c>
      <c r="C1992" t="s">
        <v>1240</v>
      </c>
      <c r="D1992" t="s">
        <v>1391</v>
      </c>
      <c r="E1992" t="s">
        <v>168</v>
      </c>
      <c r="F1992" s="51">
        <v>45873</v>
      </c>
      <c r="G1992" t="s">
        <v>1</v>
      </c>
    </row>
    <row r="1993" spans="1:7" x14ac:dyDescent="0.3">
      <c r="A1993" t="s">
        <v>2703</v>
      </c>
      <c r="B1993">
        <v>6289</v>
      </c>
      <c r="C1993" t="s">
        <v>1117</v>
      </c>
      <c r="D1993" t="s">
        <v>1177</v>
      </c>
      <c r="E1993" t="s">
        <v>957</v>
      </c>
      <c r="F1993" s="51">
        <v>45873</v>
      </c>
      <c r="G1993" t="s">
        <v>1</v>
      </c>
    </row>
    <row r="1994" spans="1:7" x14ac:dyDescent="0.3">
      <c r="A1994" t="s">
        <v>2703</v>
      </c>
      <c r="B1994">
        <v>6291</v>
      </c>
      <c r="C1994" t="s">
        <v>1247</v>
      </c>
      <c r="D1994" t="s">
        <v>249</v>
      </c>
      <c r="E1994" t="s">
        <v>615</v>
      </c>
      <c r="F1994" s="51">
        <v>45873</v>
      </c>
      <c r="G1994" t="s">
        <v>1</v>
      </c>
    </row>
    <row r="1995" spans="1:7" x14ac:dyDescent="0.3">
      <c r="A1995" t="s">
        <v>2703</v>
      </c>
      <c r="B1995">
        <v>6292</v>
      </c>
      <c r="C1995" t="s">
        <v>1247</v>
      </c>
      <c r="E1995" t="s">
        <v>319</v>
      </c>
      <c r="F1995" s="51">
        <v>45873</v>
      </c>
      <c r="G1995" t="s">
        <v>1</v>
      </c>
    </row>
    <row r="1996" spans="1:7" x14ac:dyDescent="0.3">
      <c r="A1996" t="s">
        <v>2703</v>
      </c>
      <c r="B1996">
        <v>6293</v>
      </c>
      <c r="C1996" t="s">
        <v>2638</v>
      </c>
      <c r="D1996" t="s">
        <v>2639</v>
      </c>
      <c r="E1996" t="s">
        <v>2640</v>
      </c>
      <c r="F1996" s="51">
        <v>45866</v>
      </c>
      <c r="G1996" t="s">
        <v>1</v>
      </c>
    </row>
    <row r="1997" spans="1:7" x14ac:dyDescent="0.3">
      <c r="A1997" t="s">
        <v>2703</v>
      </c>
      <c r="B1997">
        <v>6300</v>
      </c>
      <c r="C1997" t="s">
        <v>41</v>
      </c>
      <c r="D1997" t="s">
        <v>2671</v>
      </c>
      <c r="E1997" t="s">
        <v>425</v>
      </c>
      <c r="F1997" s="51">
        <v>45873</v>
      </c>
      <c r="G1997" t="s">
        <v>4</v>
      </c>
    </row>
    <row r="1998" spans="1:7" x14ac:dyDescent="0.3">
      <c r="A1998" t="s">
        <v>2703</v>
      </c>
      <c r="B1998">
        <v>6301</v>
      </c>
      <c r="C1998" t="s">
        <v>2672</v>
      </c>
      <c r="D1998" t="s">
        <v>1202</v>
      </c>
      <c r="E1998" t="s">
        <v>207</v>
      </c>
      <c r="F1998" s="51">
        <v>45873</v>
      </c>
      <c r="G1998" t="s">
        <v>1</v>
      </c>
    </row>
    <row r="1999" spans="1:7" x14ac:dyDescent="0.3">
      <c r="A1999" t="s">
        <v>2703</v>
      </c>
      <c r="B1999">
        <v>6302</v>
      </c>
      <c r="C1999" t="s">
        <v>96</v>
      </c>
      <c r="D1999" t="s">
        <v>718</v>
      </c>
      <c r="F1999" s="51">
        <v>45873</v>
      </c>
      <c r="G1999" t="s">
        <v>1</v>
      </c>
    </row>
    <row r="2000" spans="1:7" x14ac:dyDescent="0.3">
      <c r="A2000" t="s">
        <v>2703</v>
      </c>
      <c r="B2000">
        <v>6305</v>
      </c>
      <c r="C2000" t="s">
        <v>1968</v>
      </c>
      <c r="D2000" t="s">
        <v>2670</v>
      </c>
      <c r="E2000" t="s">
        <v>927</v>
      </c>
      <c r="F2000" s="51">
        <v>45873</v>
      </c>
      <c r="G2000" t="s">
        <v>1</v>
      </c>
    </row>
    <row r="2001" spans="1:7" x14ac:dyDescent="0.3">
      <c r="A2001" t="s">
        <v>2703</v>
      </c>
      <c r="B2001">
        <v>6306</v>
      </c>
      <c r="C2001" t="s">
        <v>1432</v>
      </c>
      <c r="D2001" t="s">
        <v>2669</v>
      </c>
      <c r="E2001" t="s">
        <v>1049</v>
      </c>
      <c r="F2001" s="51">
        <v>45873</v>
      </c>
      <c r="G2001" t="s">
        <v>1</v>
      </c>
    </row>
    <row r="2002" spans="1:7" x14ac:dyDescent="0.3">
      <c r="A2002" t="s">
        <v>2703</v>
      </c>
      <c r="B2002">
        <v>6307</v>
      </c>
      <c r="C2002" t="s">
        <v>96</v>
      </c>
      <c r="D2002" t="s">
        <v>179</v>
      </c>
      <c r="E2002" t="s">
        <v>2051</v>
      </c>
      <c r="F2002" s="51">
        <v>45873</v>
      </c>
      <c r="G2002" t="s">
        <v>1</v>
      </c>
    </row>
    <row r="2003" spans="1:7" x14ac:dyDescent="0.3">
      <c r="A2003" t="s">
        <v>2703</v>
      </c>
      <c r="B2003">
        <v>6308</v>
      </c>
      <c r="C2003" t="s">
        <v>2588</v>
      </c>
      <c r="D2003" t="s">
        <v>2666</v>
      </c>
      <c r="E2003" t="s">
        <v>777</v>
      </c>
      <c r="F2003" s="51">
        <v>45873</v>
      </c>
      <c r="G2003" t="s">
        <v>1</v>
      </c>
    </row>
    <row r="2004" spans="1:7" x14ac:dyDescent="0.3">
      <c r="A2004" t="s">
        <v>2703</v>
      </c>
      <c r="B2004">
        <v>6311</v>
      </c>
      <c r="C2004" t="s">
        <v>2464</v>
      </c>
      <c r="D2004" t="s">
        <v>2673</v>
      </c>
      <c r="E2004" t="s">
        <v>121</v>
      </c>
      <c r="F2004" s="51">
        <v>45874</v>
      </c>
      <c r="G2004" t="s">
        <v>4</v>
      </c>
    </row>
    <row r="2005" spans="1:7" x14ac:dyDescent="0.3">
      <c r="A2005" t="s">
        <v>2703</v>
      </c>
      <c r="B2005">
        <v>6323</v>
      </c>
      <c r="C2005" t="s">
        <v>2476</v>
      </c>
      <c r="D2005" t="s">
        <v>2477</v>
      </c>
      <c r="E2005" t="s">
        <v>2478</v>
      </c>
      <c r="F2005" s="51">
        <v>45831</v>
      </c>
      <c r="G2005" t="s">
        <v>1</v>
      </c>
    </row>
  </sheetData>
  <dataValidations count="1">
    <dataValidation type="list" allowBlank="1" showInputMessage="1" showErrorMessage="1" sqref="H2:H4" xr:uid="{E9580C09-4D75-4A90-9EFB-2F64C64D4674}">
      <formula1>#N/A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430D1-D177-4FB7-B32B-A8A81259EB18}">
  <sheetPr codeName="Feuil2"/>
  <dimension ref="A1:F6404"/>
  <sheetViews>
    <sheetView topLeftCell="A6396" zoomScaleNormal="100" workbookViewId="0">
      <selection activeCell="A6405" sqref="A6405"/>
    </sheetView>
  </sheetViews>
  <sheetFormatPr baseColWidth="10" defaultRowHeight="16.8" customHeight="1" x14ac:dyDescent="0.3"/>
  <cols>
    <col min="2" max="2" width="57.109375" customWidth="1"/>
    <col min="3" max="3" width="36.44140625" style="36" customWidth="1"/>
    <col min="4" max="4" width="42.77734375" style="36" customWidth="1"/>
    <col min="5" max="5" width="15.88671875" bestFit="1" customWidth="1"/>
    <col min="6" max="6" width="26.77734375" customWidth="1"/>
  </cols>
  <sheetData>
    <row r="1" spans="1:6" ht="16.8" customHeight="1" x14ac:dyDescent="0.3">
      <c r="A1" s="21" t="s">
        <v>1153</v>
      </c>
      <c r="B1" s="22" t="s">
        <v>1154</v>
      </c>
      <c r="C1" s="34" t="s">
        <v>1155</v>
      </c>
      <c r="D1" s="34" t="s">
        <v>1156</v>
      </c>
      <c r="E1" s="23" t="s">
        <v>1157</v>
      </c>
      <c r="F1" s="24" t="s">
        <v>1158</v>
      </c>
    </row>
    <row r="2" spans="1:6" ht="16.8" customHeight="1" x14ac:dyDescent="0.3">
      <c r="A2" s="20">
        <v>40722</v>
      </c>
      <c r="B2" s="31" t="s">
        <v>155</v>
      </c>
      <c r="C2" s="53" t="s">
        <v>524</v>
      </c>
      <c r="D2" s="53" t="s">
        <v>416</v>
      </c>
      <c r="E2" s="25">
        <v>45706</v>
      </c>
      <c r="F2" s="26" t="s">
        <v>1</v>
      </c>
    </row>
    <row r="3" spans="1:6" ht="16.8" customHeight="1" x14ac:dyDescent="0.3">
      <c r="A3" s="20">
        <v>41600</v>
      </c>
      <c r="B3" s="31"/>
      <c r="C3" s="31"/>
      <c r="D3" s="31"/>
      <c r="E3" s="25"/>
      <c r="F3" s="26"/>
    </row>
    <row r="4" spans="1:6" ht="16.8" customHeight="1" x14ac:dyDescent="0.3">
      <c r="A4" s="20">
        <v>41601</v>
      </c>
      <c r="B4" s="31" t="s">
        <v>25</v>
      </c>
      <c r="C4" s="31" t="s">
        <v>26</v>
      </c>
      <c r="D4" s="31" t="s">
        <v>27</v>
      </c>
      <c r="E4" s="25">
        <v>45167</v>
      </c>
      <c r="F4" s="26" t="s">
        <v>1</v>
      </c>
    </row>
    <row r="5" spans="1:6" ht="16.8" customHeight="1" x14ac:dyDescent="0.3">
      <c r="A5" s="20">
        <v>41602</v>
      </c>
      <c r="B5" s="31" t="s">
        <v>28</v>
      </c>
      <c r="C5" s="31" t="s">
        <v>29</v>
      </c>
      <c r="D5" s="31" t="s">
        <v>30</v>
      </c>
      <c r="E5" s="25">
        <v>45142</v>
      </c>
      <c r="F5" s="26" t="s">
        <v>1</v>
      </c>
    </row>
    <row r="6" spans="1:6" ht="16.8" customHeight="1" x14ac:dyDescent="0.3">
      <c r="A6" s="20">
        <v>41603</v>
      </c>
      <c r="B6" s="31" t="s">
        <v>31</v>
      </c>
      <c r="C6" s="31" t="s">
        <v>32</v>
      </c>
      <c r="D6" s="31" t="s">
        <v>33</v>
      </c>
      <c r="E6" s="25">
        <v>45169</v>
      </c>
      <c r="F6" s="26" t="s">
        <v>1</v>
      </c>
    </row>
    <row r="7" spans="1:6" ht="16.8" customHeight="1" x14ac:dyDescent="0.3">
      <c r="A7" s="20">
        <v>41604</v>
      </c>
      <c r="B7" s="31" t="s">
        <v>34</v>
      </c>
      <c r="C7" s="31"/>
      <c r="D7" s="31" t="s">
        <v>35</v>
      </c>
      <c r="E7" s="25">
        <v>45181</v>
      </c>
      <c r="F7" s="26" t="s">
        <v>1</v>
      </c>
    </row>
    <row r="8" spans="1:6" ht="16.8" customHeight="1" x14ac:dyDescent="0.3">
      <c r="A8" s="20">
        <v>41605</v>
      </c>
      <c r="B8" s="31" t="s">
        <v>36</v>
      </c>
      <c r="C8" s="31" t="s">
        <v>37</v>
      </c>
      <c r="D8" s="31" t="s">
        <v>38</v>
      </c>
      <c r="E8" s="25">
        <v>45281</v>
      </c>
      <c r="F8" s="26" t="s">
        <v>2</v>
      </c>
    </row>
    <row r="9" spans="1:6" ht="16.8" customHeight="1" x14ac:dyDescent="0.3">
      <c r="A9" s="20">
        <v>41606</v>
      </c>
      <c r="B9" s="31" t="s">
        <v>36</v>
      </c>
      <c r="C9" s="31" t="s">
        <v>37</v>
      </c>
      <c r="D9" s="31" t="s">
        <v>39</v>
      </c>
      <c r="E9" s="25">
        <v>45301</v>
      </c>
      <c r="F9" s="26" t="s">
        <v>2</v>
      </c>
    </row>
    <row r="10" spans="1:6" ht="16.8" customHeight="1" x14ac:dyDescent="0.3">
      <c r="A10" s="20">
        <v>41607</v>
      </c>
      <c r="B10" s="31" t="s">
        <v>36</v>
      </c>
      <c r="C10" s="31" t="s">
        <v>37</v>
      </c>
      <c r="D10" s="31" t="s">
        <v>40</v>
      </c>
      <c r="E10" s="25">
        <v>45435</v>
      </c>
      <c r="F10" s="26" t="s">
        <v>2</v>
      </c>
    </row>
    <row r="11" spans="1:6" ht="16.8" customHeight="1" x14ac:dyDescent="0.3">
      <c r="A11" s="20">
        <v>41608</v>
      </c>
      <c r="B11" s="31" t="s">
        <v>36</v>
      </c>
      <c r="C11" s="31" t="s">
        <v>37</v>
      </c>
      <c r="D11" s="31" t="s">
        <v>5</v>
      </c>
      <c r="E11" s="25">
        <v>45175</v>
      </c>
      <c r="F11" s="26" t="s">
        <v>5</v>
      </c>
    </row>
    <row r="12" spans="1:6" ht="16.8" customHeight="1" x14ac:dyDescent="0.3">
      <c r="A12" s="20">
        <v>41609</v>
      </c>
      <c r="B12" s="31" t="s">
        <v>41</v>
      </c>
      <c r="C12" s="31" t="s">
        <v>42</v>
      </c>
      <c r="D12" s="31" t="s">
        <v>43</v>
      </c>
      <c r="E12" s="25">
        <v>45142</v>
      </c>
      <c r="F12" s="26" t="s">
        <v>4</v>
      </c>
    </row>
    <row r="13" spans="1:6" ht="16.8" customHeight="1" x14ac:dyDescent="0.3">
      <c r="A13" s="20">
        <v>41610</v>
      </c>
      <c r="B13" s="31" t="s">
        <v>44</v>
      </c>
      <c r="C13" s="31" t="s">
        <v>45</v>
      </c>
      <c r="D13" s="31" t="s">
        <v>46</v>
      </c>
      <c r="E13" s="25">
        <v>45169</v>
      </c>
      <c r="F13" s="26" t="s">
        <v>2</v>
      </c>
    </row>
    <row r="14" spans="1:6" ht="16.8" customHeight="1" x14ac:dyDescent="0.3">
      <c r="A14" s="20">
        <v>41611</v>
      </c>
      <c r="B14" s="31" t="s">
        <v>41</v>
      </c>
      <c r="C14" s="31" t="s">
        <v>47</v>
      </c>
      <c r="D14" s="31" t="s">
        <v>48</v>
      </c>
      <c r="E14" s="25">
        <v>45169</v>
      </c>
      <c r="F14" s="26" t="s">
        <v>3</v>
      </c>
    </row>
    <row r="15" spans="1:6" ht="16.8" customHeight="1" x14ac:dyDescent="0.3">
      <c r="A15" s="20">
        <v>41612</v>
      </c>
      <c r="B15" s="31" t="s">
        <v>49</v>
      </c>
      <c r="C15" s="31" t="s">
        <v>50</v>
      </c>
      <c r="D15" s="31" t="s">
        <v>51</v>
      </c>
      <c r="E15" s="25">
        <v>45167</v>
      </c>
      <c r="F15" s="26" t="s">
        <v>1</v>
      </c>
    </row>
    <row r="16" spans="1:6" ht="16.8" customHeight="1" x14ac:dyDescent="0.3">
      <c r="A16" s="20">
        <v>41613</v>
      </c>
      <c r="B16" s="31" t="s">
        <v>36</v>
      </c>
      <c r="C16" s="31" t="s">
        <v>52</v>
      </c>
      <c r="D16" s="31" t="s">
        <v>53</v>
      </c>
      <c r="E16" s="25">
        <v>45147</v>
      </c>
      <c r="F16" s="26" t="s">
        <v>2</v>
      </c>
    </row>
    <row r="17" spans="1:6" ht="16.8" customHeight="1" x14ac:dyDescent="0.3">
      <c r="A17" s="20">
        <v>41614</v>
      </c>
      <c r="B17" s="31"/>
      <c r="C17" s="31"/>
      <c r="D17" s="31"/>
      <c r="E17" s="25"/>
      <c r="F17" s="26" t="s">
        <v>10</v>
      </c>
    </row>
    <row r="18" spans="1:6" ht="16.8" customHeight="1" x14ac:dyDescent="0.3">
      <c r="A18" s="20">
        <v>41615</v>
      </c>
      <c r="B18" s="31" t="s">
        <v>54</v>
      </c>
      <c r="C18" s="31">
        <v>751</v>
      </c>
      <c r="D18" s="31" t="s">
        <v>55</v>
      </c>
      <c r="E18" s="25">
        <v>45134</v>
      </c>
      <c r="F18" s="26" t="s">
        <v>1</v>
      </c>
    </row>
    <row r="19" spans="1:6" ht="16.8" customHeight="1" x14ac:dyDescent="0.3">
      <c r="A19" s="20">
        <v>41616</v>
      </c>
      <c r="B19" s="31" t="s">
        <v>56</v>
      </c>
      <c r="C19" s="31" t="s">
        <v>57</v>
      </c>
      <c r="D19" s="31" t="s">
        <v>58</v>
      </c>
      <c r="E19" s="25">
        <v>45142</v>
      </c>
      <c r="F19" s="26" t="s">
        <v>2</v>
      </c>
    </row>
    <row r="20" spans="1:6" ht="16.8" customHeight="1" x14ac:dyDescent="0.3">
      <c r="A20" s="20">
        <v>41617</v>
      </c>
      <c r="B20" s="31" t="s">
        <v>59</v>
      </c>
      <c r="C20" s="31" t="s">
        <v>60</v>
      </c>
      <c r="D20" s="31" t="s">
        <v>61</v>
      </c>
      <c r="E20" s="25">
        <v>45175</v>
      </c>
      <c r="F20" s="26" t="s">
        <v>4</v>
      </c>
    </row>
    <row r="21" spans="1:6" ht="16.8" customHeight="1" x14ac:dyDescent="0.3">
      <c r="A21" s="20">
        <v>41618</v>
      </c>
      <c r="B21" s="31" t="s">
        <v>41</v>
      </c>
      <c r="C21" s="31" t="s">
        <v>47</v>
      </c>
      <c r="D21" s="31" t="s">
        <v>46</v>
      </c>
      <c r="E21" s="25">
        <v>45141</v>
      </c>
      <c r="F21" s="26" t="s">
        <v>3</v>
      </c>
    </row>
    <row r="22" spans="1:6" ht="16.8" customHeight="1" x14ac:dyDescent="0.3">
      <c r="A22" s="20">
        <v>41619</v>
      </c>
      <c r="B22" s="31" t="s">
        <v>62</v>
      </c>
      <c r="C22" s="31" t="s">
        <v>63</v>
      </c>
      <c r="D22" s="31" t="s">
        <v>64</v>
      </c>
      <c r="E22" s="25">
        <v>45131</v>
      </c>
      <c r="F22" s="26" t="s">
        <v>2</v>
      </c>
    </row>
    <row r="23" spans="1:6" ht="16.8" customHeight="1" x14ac:dyDescent="0.3">
      <c r="A23" s="20">
        <v>41620</v>
      </c>
      <c r="B23" s="31" t="s">
        <v>65</v>
      </c>
      <c r="C23" s="31" t="s">
        <v>66</v>
      </c>
      <c r="D23" s="31" t="s">
        <v>67</v>
      </c>
      <c r="E23" s="25">
        <v>45148</v>
      </c>
      <c r="F23" s="26" t="s">
        <v>3</v>
      </c>
    </row>
    <row r="24" spans="1:6" ht="16.8" customHeight="1" x14ac:dyDescent="0.3">
      <c r="A24" s="20">
        <v>41621</v>
      </c>
      <c r="B24" s="31" t="s">
        <v>68</v>
      </c>
      <c r="C24" s="31" t="s">
        <v>69</v>
      </c>
      <c r="D24" s="31" t="s">
        <v>70</v>
      </c>
      <c r="E24" s="25">
        <v>45147</v>
      </c>
      <c r="F24" s="26" t="s">
        <v>4</v>
      </c>
    </row>
    <row r="25" spans="1:6" ht="16.8" customHeight="1" x14ac:dyDescent="0.3">
      <c r="A25" s="20">
        <v>41622</v>
      </c>
      <c r="B25" s="31" t="s">
        <v>71</v>
      </c>
      <c r="C25" s="31" t="s">
        <v>57</v>
      </c>
      <c r="D25" s="31" t="s">
        <v>72</v>
      </c>
      <c r="E25" s="25">
        <v>45168</v>
      </c>
      <c r="F25" s="26" t="s">
        <v>2</v>
      </c>
    </row>
    <row r="26" spans="1:6" ht="16.8" customHeight="1" x14ac:dyDescent="0.3">
      <c r="A26" s="20">
        <v>41623</v>
      </c>
      <c r="B26" s="31" t="s">
        <v>73</v>
      </c>
      <c r="C26" s="31"/>
      <c r="D26" s="31" t="s">
        <v>27</v>
      </c>
      <c r="E26" s="25">
        <v>45137</v>
      </c>
      <c r="F26" s="26" t="s">
        <v>1</v>
      </c>
    </row>
    <row r="27" spans="1:6" ht="16.8" customHeight="1" x14ac:dyDescent="0.3">
      <c r="A27" s="20">
        <v>41624</v>
      </c>
      <c r="B27" s="31" t="s">
        <v>74</v>
      </c>
      <c r="C27" s="31" t="s">
        <v>75</v>
      </c>
      <c r="D27" s="31" t="s">
        <v>76</v>
      </c>
      <c r="E27" s="25">
        <v>45147</v>
      </c>
      <c r="F27" s="26" t="s">
        <v>3</v>
      </c>
    </row>
    <row r="28" spans="1:6" ht="16.8" customHeight="1" x14ac:dyDescent="0.3">
      <c r="A28" s="20">
        <v>41625</v>
      </c>
      <c r="B28" s="31" t="s">
        <v>59</v>
      </c>
      <c r="C28" s="31" t="s">
        <v>77</v>
      </c>
      <c r="D28" s="31" t="s">
        <v>78</v>
      </c>
      <c r="E28" s="25">
        <v>45240</v>
      </c>
      <c r="F28" s="26" t="s">
        <v>2</v>
      </c>
    </row>
    <row r="29" spans="1:6" ht="16.8" customHeight="1" x14ac:dyDescent="0.3">
      <c r="A29" s="20">
        <v>41626</v>
      </c>
      <c r="B29" s="31" t="s">
        <v>79</v>
      </c>
      <c r="C29" s="31" t="s">
        <v>75</v>
      </c>
      <c r="D29" s="31" t="s">
        <v>80</v>
      </c>
      <c r="E29" s="25">
        <v>45148</v>
      </c>
      <c r="F29" s="26" t="s">
        <v>4</v>
      </c>
    </row>
    <row r="30" spans="1:6" ht="16.8" customHeight="1" x14ac:dyDescent="0.3">
      <c r="A30" s="20">
        <v>41627</v>
      </c>
      <c r="B30" s="31" t="s">
        <v>81</v>
      </c>
      <c r="C30" s="31" t="s">
        <v>82</v>
      </c>
      <c r="D30" s="31" t="s">
        <v>58</v>
      </c>
      <c r="E30" s="25">
        <v>45147</v>
      </c>
      <c r="F30" s="26" t="s">
        <v>1</v>
      </c>
    </row>
    <row r="31" spans="1:6" ht="16.8" customHeight="1" x14ac:dyDescent="0.3">
      <c r="A31" s="20">
        <v>41628</v>
      </c>
      <c r="B31" s="31" t="s">
        <v>83</v>
      </c>
      <c r="C31" s="31" t="s">
        <v>84</v>
      </c>
      <c r="D31" s="31" t="s">
        <v>85</v>
      </c>
      <c r="E31" s="25">
        <v>45177</v>
      </c>
      <c r="F31" s="26" t="s">
        <v>1</v>
      </c>
    </row>
    <row r="32" spans="1:6" ht="16.8" customHeight="1" x14ac:dyDescent="0.3">
      <c r="A32" s="20">
        <v>41629</v>
      </c>
      <c r="B32" s="31" t="s">
        <v>86</v>
      </c>
      <c r="C32" s="31" t="s">
        <v>45</v>
      </c>
      <c r="D32" s="31" t="s">
        <v>87</v>
      </c>
      <c r="E32" s="25">
        <v>45140</v>
      </c>
      <c r="F32" s="26" t="s">
        <v>3</v>
      </c>
    </row>
    <row r="33" spans="1:6" ht="16.8" customHeight="1" x14ac:dyDescent="0.3">
      <c r="A33" s="20">
        <v>41630</v>
      </c>
      <c r="B33" s="31" t="s">
        <v>88</v>
      </c>
      <c r="C33" s="31"/>
      <c r="D33" s="31" t="s">
        <v>89</v>
      </c>
      <c r="E33" s="25">
        <v>45175</v>
      </c>
      <c r="F33" s="26" t="s">
        <v>1</v>
      </c>
    </row>
    <row r="34" spans="1:6" ht="16.8" customHeight="1" x14ac:dyDescent="0.3">
      <c r="A34" s="20">
        <v>41631</v>
      </c>
      <c r="B34" s="31" t="s">
        <v>90</v>
      </c>
      <c r="C34" s="31" t="s">
        <v>91</v>
      </c>
      <c r="D34" s="31" t="s">
        <v>92</v>
      </c>
      <c r="E34" s="25">
        <v>45279</v>
      </c>
      <c r="F34" s="26" t="s">
        <v>4</v>
      </c>
    </row>
    <row r="35" spans="1:6" ht="16.8" customHeight="1" x14ac:dyDescent="0.3">
      <c r="A35" s="20">
        <v>41632</v>
      </c>
      <c r="B35" s="31" t="s">
        <v>93</v>
      </c>
      <c r="C35" s="31" t="s">
        <v>94</v>
      </c>
      <c r="D35" s="31" t="s">
        <v>95</v>
      </c>
      <c r="E35" s="25">
        <v>45142</v>
      </c>
      <c r="F35" s="26" t="s">
        <v>1</v>
      </c>
    </row>
    <row r="36" spans="1:6" ht="16.8" customHeight="1" x14ac:dyDescent="0.3">
      <c r="A36" s="20">
        <v>41633</v>
      </c>
      <c r="B36" s="31" t="s">
        <v>96</v>
      </c>
      <c r="C36" s="31" t="s">
        <v>97</v>
      </c>
      <c r="D36" s="31" t="s">
        <v>98</v>
      </c>
      <c r="E36" s="25">
        <v>45177</v>
      </c>
      <c r="F36" s="26" t="s">
        <v>4</v>
      </c>
    </row>
    <row r="37" spans="1:6" ht="16.8" customHeight="1" x14ac:dyDescent="0.3">
      <c r="A37" s="20">
        <v>41634</v>
      </c>
      <c r="B37" s="31" t="s">
        <v>99</v>
      </c>
      <c r="C37" s="31" t="s">
        <v>100</v>
      </c>
      <c r="D37" s="31" t="s">
        <v>101</v>
      </c>
      <c r="E37" s="25">
        <v>45196</v>
      </c>
      <c r="F37" s="26" t="s">
        <v>1</v>
      </c>
    </row>
    <row r="38" spans="1:6" ht="16.8" customHeight="1" x14ac:dyDescent="0.3">
      <c r="A38" s="20">
        <v>41635</v>
      </c>
      <c r="B38" s="31" t="s">
        <v>102</v>
      </c>
      <c r="C38" s="31" t="s">
        <v>103</v>
      </c>
      <c r="D38" s="31" t="s">
        <v>104</v>
      </c>
      <c r="E38" s="25">
        <v>45175</v>
      </c>
      <c r="F38" s="26" t="s">
        <v>1</v>
      </c>
    </row>
    <row r="39" spans="1:6" ht="16.8" customHeight="1" x14ac:dyDescent="0.3">
      <c r="A39" s="20">
        <v>41636</v>
      </c>
      <c r="B39" s="31" t="s">
        <v>105</v>
      </c>
      <c r="C39" s="31" t="s">
        <v>106</v>
      </c>
      <c r="D39" s="31" t="s">
        <v>58</v>
      </c>
      <c r="E39" s="25">
        <v>45142</v>
      </c>
      <c r="F39" s="26" t="s">
        <v>1</v>
      </c>
    </row>
    <row r="40" spans="1:6" ht="16.8" customHeight="1" x14ac:dyDescent="0.3">
      <c r="A40" s="20">
        <v>41637</v>
      </c>
      <c r="B40" s="31" t="s">
        <v>102</v>
      </c>
      <c r="C40" s="31" t="s">
        <v>32</v>
      </c>
      <c r="D40" s="31" t="s">
        <v>107</v>
      </c>
      <c r="E40" s="25">
        <v>45169</v>
      </c>
      <c r="F40" s="26" t="s">
        <v>1</v>
      </c>
    </row>
    <row r="41" spans="1:6" ht="16.8" customHeight="1" x14ac:dyDescent="0.3">
      <c r="A41" s="20">
        <v>41638</v>
      </c>
      <c r="B41" s="31" t="s">
        <v>108</v>
      </c>
      <c r="C41" s="31" t="s">
        <v>109</v>
      </c>
      <c r="D41" s="31" t="s">
        <v>110</v>
      </c>
      <c r="E41" s="25">
        <v>45142</v>
      </c>
      <c r="F41" s="26" t="s">
        <v>8</v>
      </c>
    </row>
    <row r="42" spans="1:6" ht="16.8" customHeight="1" x14ac:dyDescent="0.3">
      <c r="A42" s="20">
        <v>41639</v>
      </c>
      <c r="B42" s="31" t="s">
        <v>111</v>
      </c>
      <c r="C42" s="31" t="s">
        <v>112</v>
      </c>
      <c r="D42" s="31" t="s">
        <v>113</v>
      </c>
      <c r="E42" s="25">
        <v>45198</v>
      </c>
      <c r="F42" s="26" t="s">
        <v>8</v>
      </c>
    </row>
    <row r="43" spans="1:6" ht="16.8" customHeight="1" x14ac:dyDescent="0.3">
      <c r="A43" s="20">
        <v>41640</v>
      </c>
      <c r="B43" s="31"/>
      <c r="C43" s="31"/>
      <c r="D43" s="31"/>
      <c r="E43" s="25"/>
      <c r="F43" s="26" t="s">
        <v>10</v>
      </c>
    </row>
    <row r="44" spans="1:6" ht="16.8" customHeight="1" x14ac:dyDescent="0.3">
      <c r="A44" s="20">
        <v>41641</v>
      </c>
      <c r="B44" s="31"/>
      <c r="C44" s="31"/>
      <c r="D44" s="31"/>
      <c r="E44" s="25"/>
      <c r="F44" s="26" t="s">
        <v>10</v>
      </c>
    </row>
    <row r="45" spans="1:6" ht="16.8" customHeight="1" x14ac:dyDescent="0.3">
      <c r="A45" s="20">
        <v>41642</v>
      </c>
      <c r="B45" s="31" t="s">
        <v>114</v>
      </c>
      <c r="C45" s="31" t="s">
        <v>115</v>
      </c>
      <c r="D45" s="31" t="s">
        <v>116</v>
      </c>
      <c r="E45" s="25">
        <v>45142</v>
      </c>
      <c r="F45" s="26" t="s">
        <v>1</v>
      </c>
    </row>
    <row r="46" spans="1:6" ht="16.8" customHeight="1" x14ac:dyDescent="0.3">
      <c r="A46" s="20">
        <v>41643</v>
      </c>
      <c r="B46" s="31" t="s">
        <v>117</v>
      </c>
      <c r="C46" s="31" t="s">
        <v>118</v>
      </c>
      <c r="D46" s="31" t="s">
        <v>119</v>
      </c>
      <c r="E46" s="25">
        <v>45175</v>
      </c>
      <c r="F46" s="26" t="s">
        <v>1</v>
      </c>
    </row>
    <row r="47" spans="1:6" ht="16.8" customHeight="1" x14ac:dyDescent="0.3">
      <c r="A47" s="20">
        <v>41644</v>
      </c>
      <c r="B47" s="31" t="s">
        <v>31</v>
      </c>
      <c r="C47" s="31" t="s">
        <v>120</v>
      </c>
      <c r="D47" s="31" t="s">
        <v>121</v>
      </c>
      <c r="E47" s="25">
        <v>45169</v>
      </c>
      <c r="F47" s="26" t="s">
        <v>4</v>
      </c>
    </row>
    <row r="48" spans="1:6" ht="16.8" customHeight="1" x14ac:dyDescent="0.3">
      <c r="A48" s="20">
        <v>41645</v>
      </c>
      <c r="B48" s="31" t="s">
        <v>122</v>
      </c>
      <c r="C48" s="31" t="s">
        <v>123</v>
      </c>
      <c r="D48" s="31" t="s">
        <v>124</v>
      </c>
      <c r="E48" s="25">
        <v>45198</v>
      </c>
      <c r="F48" s="26" t="s">
        <v>1</v>
      </c>
    </row>
    <row r="49" spans="1:6" ht="16.8" customHeight="1" x14ac:dyDescent="0.3">
      <c r="A49" s="20">
        <v>41646</v>
      </c>
      <c r="B49" s="31" t="s">
        <v>122</v>
      </c>
      <c r="C49" s="31" t="s">
        <v>125</v>
      </c>
      <c r="D49" s="31" t="s">
        <v>126</v>
      </c>
      <c r="E49" s="25">
        <v>45145</v>
      </c>
      <c r="F49" s="26" t="s">
        <v>1</v>
      </c>
    </row>
    <row r="50" spans="1:6" ht="16.8" customHeight="1" x14ac:dyDescent="0.3">
      <c r="A50" s="20">
        <v>41647</v>
      </c>
      <c r="B50" s="31"/>
      <c r="C50" s="31"/>
      <c r="D50" s="31"/>
      <c r="E50" s="25"/>
      <c r="F50" s="26"/>
    </row>
    <row r="51" spans="1:6" ht="16.8" customHeight="1" x14ac:dyDescent="0.3">
      <c r="A51" s="20">
        <v>41648</v>
      </c>
      <c r="B51" s="31" t="s">
        <v>25</v>
      </c>
      <c r="C51" s="31" t="s">
        <v>26</v>
      </c>
      <c r="D51" s="31" t="s">
        <v>127</v>
      </c>
      <c r="E51" s="25">
        <v>45198</v>
      </c>
      <c r="F51" s="26" t="s">
        <v>2</v>
      </c>
    </row>
    <row r="52" spans="1:6" ht="16.8" customHeight="1" x14ac:dyDescent="0.3">
      <c r="A52" s="20">
        <v>41649</v>
      </c>
      <c r="B52" s="31" t="s">
        <v>128</v>
      </c>
      <c r="C52" s="31" t="s">
        <v>129</v>
      </c>
      <c r="D52" s="31" t="s">
        <v>130</v>
      </c>
      <c r="E52" s="25">
        <v>45137</v>
      </c>
      <c r="F52" s="26" t="s">
        <v>1</v>
      </c>
    </row>
    <row r="53" spans="1:6" ht="16.8" customHeight="1" x14ac:dyDescent="0.3">
      <c r="A53" s="20">
        <v>41650</v>
      </c>
      <c r="B53" s="31"/>
      <c r="C53" s="31"/>
      <c r="D53" s="31"/>
      <c r="E53" s="25"/>
      <c r="F53" s="26" t="s">
        <v>10</v>
      </c>
    </row>
    <row r="54" spans="1:6" ht="16.8" customHeight="1" x14ac:dyDescent="0.3">
      <c r="A54" s="20">
        <v>41651</v>
      </c>
      <c r="B54" s="31" t="s">
        <v>79</v>
      </c>
      <c r="C54" s="31" t="s">
        <v>131</v>
      </c>
      <c r="D54" s="31" t="s">
        <v>116</v>
      </c>
      <c r="E54" s="25">
        <v>45198</v>
      </c>
      <c r="F54" s="26" t="s">
        <v>1</v>
      </c>
    </row>
    <row r="55" spans="1:6" ht="16.8" customHeight="1" x14ac:dyDescent="0.3">
      <c r="A55" s="20">
        <v>41652</v>
      </c>
      <c r="B55" s="31" t="s">
        <v>132</v>
      </c>
      <c r="C55" s="31" t="s">
        <v>133</v>
      </c>
      <c r="D55" s="31" t="s">
        <v>134</v>
      </c>
      <c r="E55" s="25">
        <v>45145</v>
      </c>
      <c r="F55" s="26" t="s">
        <v>3</v>
      </c>
    </row>
    <row r="56" spans="1:6" ht="16.8" customHeight="1" x14ac:dyDescent="0.3">
      <c r="A56" s="20">
        <v>41653</v>
      </c>
      <c r="B56" s="31" t="s">
        <v>25</v>
      </c>
      <c r="C56" s="31" t="s">
        <v>135</v>
      </c>
      <c r="D56" s="31" t="s">
        <v>136</v>
      </c>
      <c r="E56" s="25">
        <v>45169</v>
      </c>
      <c r="F56" s="26" t="s">
        <v>1</v>
      </c>
    </row>
    <row r="57" spans="1:6" ht="16.8" customHeight="1" x14ac:dyDescent="0.3">
      <c r="A57" s="20">
        <v>41654</v>
      </c>
      <c r="B57" s="31" t="s">
        <v>137</v>
      </c>
      <c r="C57" s="31" t="s">
        <v>138</v>
      </c>
      <c r="D57" s="31" t="s">
        <v>139</v>
      </c>
      <c r="E57" s="25">
        <v>45137</v>
      </c>
      <c r="F57" s="26" t="s">
        <v>1</v>
      </c>
    </row>
    <row r="58" spans="1:6" ht="16.8" customHeight="1" x14ac:dyDescent="0.3">
      <c r="A58" s="20">
        <v>41655</v>
      </c>
      <c r="B58" s="31" t="s">
        <v>54</v>
      </c>
      <c r="C58" s="31" t="s">
        <v>140</v>
      </c>
      <c r="D58" s="31"/>
      <c r="E58" s="25">
        <v>45134</v>
      </c>
      <c r="F58" s="26" t="s">
        <v>1</v>
      </c>
    </row>
    <row r="59" spans="1:6" ht="16.8" customHeight="1" x14ac:dyDescent="0.3">
      <c r="A59" s="20">
        <v>41656</v>
      </c>
      <c r="B59" s="31" t="s">
        <v>54</v>
      </c>
      <c r="C59" s="31" t="s">
        <v>140</v>
      </c>
      <c r="D59" s="31"/>
      <c r="E59" s="25">
        <v>45134</v>
      </c>
      <c r="F59" s="26" t="s">
        <v>1</v>
      </c>
    </row>
    <row r="60" spans="1:6" ht="16.8" customHeight="1" x14ac:dyDescent="0.3">
      <c r="A60" s="20">
        <v>41657</v>
      </c>
      <c r="B60" s="31" t="s">
        <v>141</v>
      </c>
      <c r="C60" s="31" t="s">
        <v>133</v>
      </c>
      <c r="D60" s="31" t="s">
        <v>142</v>
      </c>
      <c r="E60" s="25">
        <v>45145</v>
      </c>
      <c r="F60" s="26" t="s">
        <v>1</v>
      </c>
    </row>
    <row r="61" spans="1:6" ht="16.8" customHeight="1" x14ac:dyDescent="0.3">
      <c r="A61" s="20">
        <v>41658</v>
      </c>
      <c r="B61" s="31"/>
      <c r="C61" s="31"/>
      <c r="D61" s="31"/>
      <c r="E61" s="25"/>
      <c r="F61" s="26" t="s">
        <v>10</v>
      </c>
    </row>
    <row r="62" spans="1:6" ht="16.8" customHeight="1" x14ac:dyDescent="0.3">
      <c r="A62" s="20">
        <v>41659</v>
      </c>
      <c r="B62" s="31"/>
      <c r="C62" s="31"/>
      <c r="D62" s="31"/>
      <c r="E62" s="25"/>
      <c r="F62" s="26" t="s">
        <v>10</v>
      </c>
    </row>
    <row r="63" spans="1:6" ht="16.8" customHeight="1" x14ac:dyDescent="0.3">
      <c r="A63" s="20">
        <v>41660</v>
      </c>
      <c r="B63" s="31" t="s">
        <v>71</v>
      </c>
      <c r="C63" s="31" t="s">
        <v>106</v>
      </c>
      <c r="D63" s="31" t="s">
        <v>143</v>
      </c>
      <c r="E63" s="25">
        <v>45148</v>
      </c>
      <c r="F63" s="26" t="s">
        <v>2</v>
      </c>
    </row>
    <row r="64" spans="1:6" ht="16.8" customHeight="1" x14ac:dyDescent="0.3">
      <c r="A64" s="20">
        <v>41661</v>
      </c>
      <c r="B64" s="31" t="s">
        <v>144</v>
      </c>
      <c r="C64" s="31" t="s">
        <v>84</v>
      </c>
      <c r="D64" s="31" t="s">
        <v>145</v>
      </c>
      <c r="E64" s="25">
        <v>45169</v>
      </c>
      <c r="F64" s="26" t="s">
        <v>1</v>
      </c>
    </row>
    <row r="65" spans="1:6" ht="16.8" customHeight="1" x14ac:dyDescent="0.3">
      <c r="A65" s="20">
        <v>41662</v>
      </c>
      <c r="B65" s="31" t="s">
        <v>71</v>
      </c>
      <c r="C65" s="31" t="s">
        <v>32</v>
      </c>
      <c r="D65" s="31" t="s">
        <v>146</v>
      </c>
      <c r="E65" s="25">
        <v>45137</v>
      </c>
      <c r="F65" s="26" t="s">
        <v>1</v>
      </c>
    </row>
    <row r="66" spans="1:6" ht="16.8" customHeight="1" x14ac:dyDescent="0.3">
      <c r="A66" s="20">
        <v>41663</v>
      </c>
      <c r="B66" s="31" t="s">
        <v>81</v>
      </c>
      <c r="C66" s="31" t="s">
        <v>106</v>
      </c>
      <c r="D66" s="31" t="s">
        <v>147</v>
      </c>
      <c r="E66" s="25">
        <v>45146</v>
      </c>
      <c r="F66" s="26" t="s">
        <v>1</v>
      </c>
    </row>
    <row r="67" spans="1:6" ht="16.8" customHeight="1" x14ac:dyDescent="0.3">
      <c r="A67" s="20">
        <v>41664</v>
      </c>
      <c r="B67" s="31" t="s">
        <v>62</v>
      </c>
      <c r="C67" s="31" t="s">
        <v>148</v>
      </c>
      <c r="D67" s="31" t="s">
        <v>149</v>
      </c>
      <c r="E67" s="25">
        <v>45137</v>
      </c>
      <c r="F67" s="26" t="s">
        <v>1</v>
      </c>
    </row>
    <row r="68" spans="1:6" ht="16.8" customHeight="1" x14ac:dyDescent="0.3">
      <c r="A68" s="20">
        <v>41665</v>
      </c>
      <c r="B68" s="31"/>
      <c r="C68" s="31"/>
      <c r="D68" s="31"/>
      <c r="E68" s="25"/>
      <c r="F68" s="26" t="s">
        <v>10</v>
      </c>
    </row>
    <row r="69" spans="1:6" ht="16.8" customHeight="1" x14ac:dyDescent="0.3">
      <c r="A69" s="20">
        <v>41666</v>
      </c>
      <c r="B69" s="31" t="s">
        <v>150</v>
      </c>
      <c r="C69" s="31" t="s">
        <v>151</v>
      </c>
      <c r="D69" s="31" t="s">
        <v>152</v>
      </c>
      <c r="E69" s="25">
        <v>45138</v>
      </c>
      <c r="F69" s="26" t="s">
        <v>1</v>
      </c>
    </row>
    <row r="70" spans="1:6" ht="16.8" customHeight="1" x14ac:dyDescent="0.3">
      <c r="A70" s="20">
        <v>41667</v>
      </c>
      <c r="B70" s="31" t="s">
        <v>150</v>
      </c>
      <c r="C70" s="31" t="s">
        <v>151</v>
      </c>
      <c r="D70" s="31" t="s">
        <v>152</v>
      </c>
      <c r="E70" s="25">
        <v>45138</v>
      </c>
      <c r="F70" s="26" t="s">
        <v>1</v>
      </c>
    </row>
    <row r="71" spans="1:6" ht="16.8" customHeight="1" x14ac:dyDescent="0.3">
      <c r="A71" s="20">
        <v>41668</v>
      </c>
      <c r="B71" s="31" t="s">
        <v>41</v>
      </c>
      <c r="C71" s="31" t="s">
        <v>148</v>
      </c>
      <c r="D71" s="31"/>
      <c r="E71" s="25">
        <v>45138</v>
      </c>
      <c r="F71" s="26" t="s">
        <v>4</v>
      </c>
    </row>
    <row r="72" spans="1:6" ht="16.8" customHeight="1" x14ac:dyDescent="0.3">
      <c r="A72" s="20">
        <v>41669</v>
      </c>
      <c r="B72" s="31"/>
      <c r="C72" s="31"/>
      <c r="D72" s="31"/>
      <c r="E72" s="25"/>
      <c r="F72" s="26" t="s">
        <v>10</v>
      </c>
    </row>
    <row r="73" spans="1:6" ht="16.8" customHeight="1" x14ac:dyDescent="0.3">
      <c r="A73" s="20">
        <v>41670</v>
      </c>
      <c r="B73" s="31" t="s">
        <v>71</v>
      </c>
      <c r="C73" s="31" t="s">
        <v>106</v>
      </c>
      <c r="D73" s="31" t="s">
        <v>153</v>
      </c>
      <c r="E73" s="25">
        <v>45148</v>
      </c>
      <c r="F73" s="26" t="s">
        <v>3</v>
      </c>
    </row>
    <row r="74" spans="1:6" ht="16.8" customHeight="1" x14ac:dyDescent="0.3">
      <c r="A74" s="20">
        <v>41671</v>
      </c>
      <c r="B74" s="31" t="s">
        <v>25</v>
      </c>
      <c r="C74" s="31"/>
      <c r="D74" s="31" t="s">
        <v>27</v>
      </c>
      <c r="E74" s="25">
        <v>45196</v>
      </c>
      <c r="F74" s="26" t="s">
        <v>1</v>
      </c>
    </row>
    <row r="75" spans="1:6" ht="16.8" customHeight="1" x14ac:dyDescent="0.3">
      <c r="A75" s="20">
        <v>41672</v>
      </c>
      <c r="B75" s="31" t="s">
        <v>49</v>
      </c>
      <c r="C75" s="31" t="s">
        <v>154</v>
      </c>
      <c r="D75" s="31"/>
      <c r="E75" s="25">
        <v>45138</v>
      </c>
      <c r="F75" s="26" t="s">
        <v>1</v>
      </c>
    </row>
    <row r="76" spans="1:6" ht="16.8" customHeight="1" x14ac:dyDescent="0.3">
      <c r="A76" s="20">
        <v>41673</v>
      </c>
      <c r="B76" s="31" t="s">
        <v>155</v>
      </c>
      <c r="C76" s="31" t="s">
        <v>75</v>
      </c>
      <c r="D76" s="31"/>
      <c r="E76" s="25">
        <v>45390</v>
      </c>
      <c r="F76" s="26" t="s">
        <v>4</v>
      </c>
    </row>
    <row r="77" spans="1:6" ht="16.8" customHeight="1" x14ac:dyDescent="0.3">
      <c r="A77" s="20">
        <v>41674</v>
      </c>
      <c r="B77" s="31" t="s">
        <v>41</v>
      </c>
      <c r="C77" s="31" t="s">
        <v>156</v>
      </c>
      <c r="D77" s="31"/>
      <c r="E77" s="25">
        <v>45138</v>
      </c>
      <c r="F77" s="26" t="s">
        <v>4</v>
      </c>
    </row>
    <row r="78" spans="1:6" ht="16.8" customHeight="1" x14ac:dyDescent="0.3">
      <c r="A78" s="20">
        <v>41675</v>
      </c>
      <c r="B78" s="31" t="s">
        <v>157</v>
      </c>
      <c r="C78" s="31" t="s">
        <v>158</v>
      </c>
      <c r="D78" s="31" t="s">
        <v>159</v>
      </c>
      <c r="E78" s="25">
        <v>45257</v>
      </c>
      <c r="F78" s="26" t="s">
        <v>1</v>
      </c>
    </row>
    <row r="79" spans="1:6" ht="16.8" customHeight="1" x14ac:dyDescent="0.3">
      <c r="A79" s="20">
        <v>41676</v>
      </c>
      <c r="B79" s="31" t="s">
        <v>160</v>
      </c>
      <c r="C79" s="31" t="s">
        <v>161</v>
      </c>
      <c r="D79" s="31"/>
      <c r="E79" s="25">
        <v>45138</v>
      </c>
      <c r="F79" s="26" t="s">
        <v>4</v>
      </c>
    </row>
    <row r="80" spans="1:6" ht="16.8" customHeight="1" x14ac:dyDescent="0.3">
      <c r="A80" s="20">
        <v>41677</v>
      </c>
      <c r="B80" s="31"/>
      <c r="C80" s="31"/>
      <c r="D80" s="31"/>
      <c r="E80" s="25"/>
      <c r="F80" s="26" t="s">
        <v>10</v>
      </c>
    </row>
    <row r="81" spans="1:6" ht="16.8" customHeight="1" x14ac:dyDescent="0.3">
      <c r="A81" s="20">
        <v>41678</v>
      </c>
      <c r="B81" s="31" t="s">
        <v>90</v>
      </c>
      <c r="C81" s="31" t="s">
        <v>162</v>
      </c>
      <c r="D81" s="31" t="s">
        <v>163</v>
      </c>
      <c r="E81" s="25">
        <v>45137</v>
      </c>
      <c r="F81" s="26" t="s">
        <v>1</v>
      </c>
    </row>
    <row r="82" spans="1:6" ht="16.8" customHeight="1" x14ac:dyDescent="0.3">
      <c r="A82" s="20">
        <v>41679</v>
      </c>
      <c r="B82" s="31" t="s">
        <v>164</v>
      </c>
      <c r="C82" s="31"/>
      <c r="D82" s="31" t="s">
        <v>165</v>
      </c>
      <c r="E82" s="25">
        <v>45148</v>
      </c>
      <c r="F82" s="26" t="s">
        <v>1</v>
      </c>
    </row>
    <row r="83" spans="1:6" ht="16.8" customHeight="1" x14ac:dyDescent="0.3">
      <c r="A83" s="20">
        <v>41680</v>
      </c>
      <c r="B83" s="31" t="s">
        <v>166</v>
      </c>
      <c r="C83" s="31" t="s">
        <v>167</v>
      </c>
      <c r="D83" s="31" t="s">
        <v>168</v>
      </c>
      <c r="E83" s="25">
        <v>45137</v>
      </c>
      <c r="F83" s="26" t="s">
        <v>1</v>
      </c>
    </row>
    <row r="84" spans="1:6" ht="16.8" customHeight="1" x14ac:dyDescent="0.3">
      <c r="A84" s="20">
        <v>41681</v>
      </c>
      <c r="B84" s="31" t="s">
        <v>41</v>
      </c>
      <c r="C84" s="31" t="s">
        <v>47</v>
      </c>
      <c r="D84" s="31" t="s">
        <v>85</v>
      </c>
      <c r="E84" s="25">
        <v>45198</v>
      </c>
      <c r="F84" s="26" t="s">
        <v>2</v>
      </c>
    </row>
    <row r="85" spans="1:6" ht="16.8" customHeight="1" x14ac:dyDescent="0.3">
      <c r="A85" s="20">
        <v>41682</v>
      </c>
      <c r="B85" s="31"/>
      <c r="C85" s="31"/>
      <c r="D85" s="31"/>
      <c r="E85" s="25"/>
      <c r="F85" s="26" t="s">
        <v>10</v>
      </c>
    </row>
    <row r="86" spans="1:6" ht="16.8" customHeight="1" x14ac:dyDescent="0.3">
      <c r="A86" s="20">
        <v>41683</v>
      </c>
      <c r="B86" s="31"/>
      <c r="C86" s="31"/>
      <c r="D86" s="31"/>
      <c r="E86" s="25"/>
      <c r="F86" s="26" t="s">
        <v>10</v>
      </c>
    </row>
    <row r="87" spans="1:6" ht="16.8" customHeight="1" x14ac:dyDescent="0.3">
      <c r="A87" s="20">
        <v>41684</v>
      </c>
      <c r="B87" s="31" t="s">
        <v>122</v>
      </c>
      <c r="C87" s="31" t="s">
        <v>169</v>
      </c>
      <c r="D87" s="31" t="s">
        <v>146</v>
      </c>
      <c r="E87" s="25">
        <v>45137</v>
      </c>
      <c r="F87" s="26" t="s">
        <v>8</v>
      </c>
    </row>
    <row r="88" spans="1:6" ht="16.8" customHeight="1" x14ac:dyDescent="0.3">
      <c r="A88" s="20">
        <v>41685</v>
      </c>
      <c r="B88" s="31" t="s">
        <v>155</v>
      </c>
      <c r="C88" s="31" t="s">
        <v>170</v>
      </c>
      <c r="D88" s="31" t="s">
        <v>171</v>
      </c>
      <c r="E88" s="25">
        <v>45196</v>
      </c>
      <c r="F88" s="26" t="s">
        <v>8</v>
      </c>
    </row>
    <row r="89" spans="1:6" ht="16.8" customHeight="1" x14ac:dyDescent="0.3">
      <c r="A89" s="20">
        <v>41686</v>
      </c>
      <c r="B89" s="31" t="s">
        <v>86</v>
      </c>
      <c r="C89" s="31" t="s">
        <v>45</v>
      </c>
      <c r="D89" s="31" t="s">
        <v>172</v>
      </c>
      <c r="E89" s="25">
        <v>45148</v>
      </c>
      <c r="F89" s="26" t="s">
        <v>3</v>
      </c>
    </row>
    <row r="90" spans="1:6" ht="16.8" customHeight="1" x14ac:dyDescent="0.3">
      <c r="A90" s="20">
        <v>41687</v>
      </c>
      <c r="B90" s="31" t="s">
        <v>41</v>
      </c>
      <c r="C90" s="31" t="s">
        <v>63</v>
      </c>
      <c r="D90" s="31" t="s">
        <v>173</v>
      </c>
      <c r="E90" s="25">
        <v>45198</v>
      </c>
      <c r="F90" s="26" t="s">
        <v>4</v>
      </c>
    </row>
    <row r="91" spans="1:6" ht="16.8" customHeight="1" x14ac:dyDescent="0.3">
      <c r="A91" s="20">
        <v>41688</v>
      </c>
      <c r="B91" s="31" t="s">
        <v>41</v>
      </c>
      <c r="C91" s="31" t="s">
        <v>45</v>
      </c>
      <c r="D91" s="31" t="s">
        <v>174</v>
      </c>
      <c r="E91" s="25">
        <v>45198</v>
      </c>
      <c r="F91" s="26" t="s">
        <v>4</v>
      </c>
    </row>
    <row r="92" spans="1:6" ht="16.8" customHeight="1" x14ac:dyDescent="0.3">
      <c r="A92" s="20">
        <v>41689</v>
      </c>
      <c r="B92" s="31"/>
      <c r="C92" s="31"/>
      <c r="D92" s="31"/>
      <c r="E92" s="25"/>
      <c r="F92" s="26" t="s">
        <v>10</v>
      </c>
    </row>
    <row r="93" spans="1:6" ht="16.8" customHeight="1" x14ac:dyDescent="0.3">
      <c r="A93" s="20">
        <v>41690</v>
      </c>
      <c r="B93" s="31" t="s">
        <v>164</v>
      </c>
      <c r="C93" s="31" t="s">
        <v>175</v>
      </c>
      <c r="D93" s="31" t="s">
        <v>176</v>
      </c>
      <c r="E93" s="25">
        <v>45198</v>
      </c>
      <c r="F93" s="26" t="s">
        <v>2</v>
      </c>
    </row>
    <row r="94" spans="1:6" ht="16.8" customHeight="1" x14ac:dyDescent="0.3">
      <c r="A94" s="20">
        <v>41691</v>
      </c>
      <c r="B94" s="31" t="s">
        <v>41</v>
      </c>
      <c r="C94" s="31" t="s">
        <v>63</v>
      </c>
      <c r="D94" s="31" t="s">
        <v>177</v>
      </c>
      <c r="E94" s="25">
        <v>45198</v>
      </c>
      <c r="F94" s="26" t="s">
        <v>4</v>
      </c>
    </row>
    <row r="95" spans="1:6" ht="16.8" customHeight="1" x14ac:dyDescent="0.3">
      <c r="A95" s="20">
        <v>41692</v>
      </c>
      <c r="B95" s="31" t="s">
        <v>178</v>
      </c>
      <c r="C95" s="31" t="s">
        <v>179</v>
      </c>
      <c r="D95" s="31" t="s">
        <v>145</v>
      </c>
      <c r="E95" s="25">
        <v>45169</v>
      </c>
      <c r="F95" s="26" t="s">
        <v>1</v>
      </c>
    </row>
    <row r="96" spans="1:6" ht="16.8" customHeight="1" x14ac:dyDescent="0.3">
      <c r="A96" s="20">
        <v>41693</v>
      </c>
      <c r="B96" s="31" t="s">
        <v>180</v>
      </c>
      <c r="C96" s="31" t="s">
        <v>181</v>
      </c>
      <c r="D96" s="31" t="s">
        <v>182</v>
      </c>
      <c r="E96" s="25">
        <v>45169</v>
      </c>
      <c r="F96" s="26" t="s">
        <v>1</v>
      </c>
    </row>
    <row r="97" spans="1:6" ht="16.8" customHeight="1" x14ac:dyDescent="0.3">
      <c r="A97" s="20">
        <v>41694</v>
      </c>
      <c r="B97" s="31" t="s">
        <v>41</v>
      </c>
      <c r="C97" s="31" t="s">
        <v>47</v>
      </c>
      <c r="D97" s="31" t="s">
        <v>163</v>
      </c>
      <c r="E97" s="25">
        <v>45169</v>
      </c>
      <c r="F97" s="26" t="s">
        <v>3</v>
      </c>
    </row>
    <row r="98" spans="1:6" ht="16.8" customHeight="1" x14ac:dyDescent="0.3">
      <c r="A98" s="20">
        <v>41695</v>
      </c>
      <c r="B98" s="31" t="s">
        <v>41</v>
      </c>
      <c r="C98" s="31" t="s">
        <v>45</v>
      </c>
      <c r="D98" s="31" t="s">
        <v>183</v>
      </c>
      <c r="E98" s="25">
        <v>45198</v>
      </c>
      <c r="F98" s="26" t="s">
        <v>4</v>
      </c>
    </row>
    <row r="99" spans="1:6" ht="16.8" customHeight="1" x14ac:dyDescent="0.3">
      <c r="A99" s="20">
        <v>41696</v>
      </c>
      <c r="B99" s="31" t="s">
        <v>184</v>
      </c>
      <c r="C99" s="31" t="s">
        <v>185</v>
      </c>
      <c r="D99" s="31" t="s">
        <v>186</v>
      </c>
      <c r="E99" s="25">
        <v>45169</v>
      </c>
      <c r="F99" s="26" t="s">
        <v>1</v>
      </c>
    </row>
    <row r="100" spans="1:6" ht="16.8" customHeight="1" x14ac:dyDescent="0.3">
      <c r="A100" s="20">
        <v>41697</v>
      </c>
      <c r="B100" s="31" t="s">
        <v>187</v>
      </c>
      <c r="C100" s="31" t="s">
        <v>148</v>
      </c>
      <c r="D100" s="31" t="s">
        <v>188</v>
      </c>
      <c r="E100" s="25">
        <v>45168</v>
      </c>
      <c r="F100" s="26" t="s">
        <v>1</v>
      </c>
    </row>
    <row r="101" spans="1:6" ht="16.8" customHeight="1" x14ac:dyDescent="0.3">
      <c r="A101" s="20">
        <v>41698</v>
      </c>
      <c r="B101" s="31" t="s">
        <v>189</v>
      </c>
      <c r="C101" s="31" t="s">
        <v>190</v>
      </c>
      <c r="D101" s="31" t="s">
        <v>153</v>
      </c>
      <c r="E101" s="25">
        <v>45147</v>
      </c>
      <c r="F101" s="26" t="s">
        <v>1</v>
      </c>
    </row>
    <row r="102" spans="1:6" ht="16.8" customHeight="1" x14ac:dyDescent="0.3">
      <c r="A102" s="20">
        <v>41699</v>
      </c>
      <c r="B102" s="31" t="s">
        <v>86</v>
      </c>
      <c r="C102" s="31" t="s">
        <v>45</v>
      </c>
      <c r="D102" s="31" t="s">
        <v>145</v>
      </c>
      <c r="E102" s="25">
        <v>45169</v>
      </c>
      <c r="F102" s="26" t="s">
        <v>3</v>
      </c>
    </row>
    <row r="103" spans="1:6" ht="16.8" customHeight="1" x14ac:dyDescent="0.3">
      <c r="A103" s="20">
        <v>41700</v>
      </c>
      <c r="B103" s="31" t="s">
        <v>191</v>
      </c>
      <c r="C103" s="31" t="s">
        <v>192</v>
      </c>
      <c r="D103" s="31" t="s">
        <v>27</v>
      </c>
      <c r="E103" s="25">
        <v>45197</v>
      </c>
      <c r="F103" s="26" t="s">
        <v>1</v>
      </c>
    </row>
    <row r="104" spans="1:6" ht="16.8" customHeight="1" x14ac:dyDescent="0.3">
      <c r="A104" s="20">
        <v>41701</v>
      </c>
      <c r="B104" s="31" t="s">
        <v>36</v>
      </c>
      <c r="C104" s="31" t="s">
        <v>193</v>
      </c>
      <c r="D104" s="31"/>
      <c r="E104" s="25">
        <v>45169</v>
      </c>
      <c r="F104" s="26" t="s">
        <v>2</v>
      </c>
    </row>
    <row r="105" spans="1:6" ht="16.8" customHeight="1" x14ac:dyDescent="0.3">
      <c r="A105" s="20">
        <v>41702</v>
      </c>
      <c r="B105" s="31" t="s">
        <v>194</v>
      </c>
      <c r="C105" s="31" t="s">
        <v>84</v>
      </c>
      <c r="D105" s="31" t="s">
        <v>146</v>
      </c>
      <c r="E105" s="25">
        <v>45149</v>
      </c>
      <c r="F105" s="26" t="s">
        <v>1</v>
      </c>
    </row>
    <row r="106" spans="1:6" ht="16.8" customHeight="1" x14ac:dyDescent="0.3">
      <c r="A106" s="20">
        <v>41703</v>
      </c>
      <c r="B106" s="31" t="s">
        <v>195</v>
      </c>
      <c r="C106" s="31" t="s">
        <v>133</v>
      </c>
      <c r="D106" s="31" t="s">
        <v>40</v>
      </c>
      <c r="E106" s="25">
        <v>45169</v>
      </c>
      <c r="F106" s="26" t="s">
        <v>1</v>
      </c>
    </row>
    <row r="107" spans="1:6" ht="16.8" customHeight="1" x14ac:dyDescent="0.3">
      <c r="A107" s="20">
        <v>41704</v>
      </c>
      <c r="B107" s="31" t="s">
        <v>196</v>
      </c>
      <c r="C107" s="31" t="s">
        <v>197</v>
      </c>
      <c r="D107" s="31" t="s">
        <v>198</v>
      </c>
      <c r="E107" s="25">
        <v>45169</v>
      </c>
      <c r="F107" s="26" t="s">
        <v>2</v>
      </c>
    </row>
    <row r="108" spans="1:6" ht="16.8" customHeight="1" x14ac:dyDescent="0.3">
      <c r="A108" s="20">
        <v>41705</v>
      </c>
      <c r="B108" s="31" t="s">
        <v>199</v>
      </c>
      <c r="C108" s="31" t="s">
        <v>200</v>
      </c>
      <c r="D108" s="31" t="s">
        <v>201</v>
      </c>
      <c r="E108" s="25">
        <v>45167</v>
      </c>
      <c r="F108" s="26" t="s">
        <v>2</v>
      </c>
    </row>
    <row r="109" spans="1:6" ht="16.8" customHeight="1" x14ac:dyDescent="0.3">
      <c r="A109" s="20">
        <v>41706</v>
      </c>
      <c r="B109" s="31" t="s">
        <v>86</v>
      </c>
      <c r="C109" s="31" t="s">
        <v>45</v>
      </c>
      <c r="D109" s="31" t="s">
        <v>202</v>
      </c>
      <c r="E109" s="25">
        <v>45168</v>
      </c>
      <c r="F109" s="26" t="s">
        <v>3</v>
      </c>
    </row>
    <row r="110" spans="1:6" ht="16.8" customHeight="1" x14ac:dyDescent="0.3">
      <c r="A110" s="20">
        <v>41707</v>
      </c>
      <c r="B110" s="31" t="s">
        <v>203</v>
      </c>
      <c r="C110" s="31" t="s">
        <v>204</v>
      </c>
      <c r="D110" s="31" t="s">
        <v>172</v>
      </c>
      <c r="E110" s="25">
        <v>45169</v>
      </c>
      <c r="F110" s="26" t="s">
        <v>1</v>
      </c>
    </row>
    <row r="111" spans="1:6" ht="16.8" customHeight="1" x14ac:dyDescent="0.3">
      <c r="A111" s="20">
        <v>41708</v>
      </c>
      <c r="B111" s="31" t="s">
        <v>36</v>
      </c>
      <c r="C111" s="31" t="s">
        <v>37</v>
      </c>
      <c r="D111" s="31" t="s">
        <v>145</v>
      </c>
      <c r="E111" s="25">
        <v>45238</v>
      </c>
      <c r="F111" s="26" t="s">
        <v>2</v>
      </c>
    </row>
    <row r="112" spans="1:6" ht="16.8" customHeight="1" x14ac:dyDescent="0.3">
      <c r="A112" s="20">
        <v>41709</v>
      </c>
      <c r="B112" s="31" t="s">
        <v>71</v>
      </c>
      <c r="C112" s="31" t="s">
        <v>32</v>
      </c>
      <c r="D112" s="31" t="s">
        <v>172</v>
      </c>
      <c r="E112" s="25">
        <v>45169</v>
      </c>
      <c r="F112" s="26" t="s">
        <v>1</v>
      </c>
    </row>
    <row r="113" spans="1:6" ht="16.8" customHeight="1" x14ac:dyDescent="0.3">
      <c r="A113" s="20">
        <v>41710</v>
      </c>
      <c r="B113" s="31" t="s">
        <v>205</v>
      </c>
      <c r="C113" s="31" t="s">
        <v>206</v>
      </c>
      <c r="D113" s="31" t="s">
        <v>207</v>
      </c>
      <c r="E113" s="25">
        <v>45169</v>
      </c>
      <c r="F113" s="26" t="s">
        <v>1</v>
      </c>
    </row>
    <row r="114" spans="1:6" ht="16.8" customHeight="1" x14ac:dyDescent="0.3">
      <c r="A114" s="20">
        <v>41711</v>
      </c>
      <c r="B114" s="31" t="s">
        <v>208</v>
      </c>
      <c r="C114" s="31" t="s">
        <v>209</v>
      </c>
      <c r="D114" s="31"/>
      <c r="E114" s="25">
        <v>45107</v>
      </c>
      <c r="F114" s="26" t="s">
        <v>1</v>
      </c>
    </row>
    <row r="115" spans="1:6" ht="16.8" customHeight="1" x14ac:dyDescent="0.3">
      <c r="A115" s="20">
        <v>41712</v>
      </c>
      <c r="B115" s="31" t="s">
        <v>208</v>
      </c>
      <c r="C115" s="31" t="s">
        <v>209</v>
      </c>
      <c r="D115" s="31"/>
      <c r="E115" s="25">
        <v>45107</v>
      </c>
      <c r="F115" s="26" t="s">
        <v>1</v>
      </c>
    </row>
    <row r="116" spans="1:6" ht="16.8" customHeight="1" x14ac:dyDescent="0.3">
      <c r="A116" s="20">
        <v>41713</v>
      </c>
      <c r="B116" s="31" t="s">
        <v>210</v>
      </c>
      <c r="C116" s="31" t="s">
        <v>211</v>
      </c>
      <c r="D116" s="31" t="s">
        <v>212</v>
      </c>
      <c r="E116" s="25">
        <v>45169</v>
      </c>
      <c r="F116" s="26" t="s">
        <v>1</v>
      </c>
    </row>
    <row r="117" spans="1:6" ht="16.8" customHeight="1" x14ac:dyDescent="0.3">
      <c r="A117" s="20">
        <v>41714</v>
      </c>
      <c r="B117" s="31" t="s">
        <v>213</v>
      </c>
      <c r="C117" s="31"/>
      <c r="D117" s="31" t="s">
        <v>27</v>
      </c>
      <c r="E117" s="25">
        <v>45169</v>
      </c>
      <c r="F117" s="26" t="s">
        <v>1</v>
      </c>
    </row>
    <row r="118" spans="1:6" ht="16.8" customHeight="1" x14ac:dyDescent="0.3">
      <c r="A118" s="20">
        <v>41715</v>
      </c>
      <c r="B118" s="31" t="s">
        <v>36</v>
      </c>
      <c r="C118" s="31" t="s">
        <v>193</v>
      </c>
      <c r="D118" s="31" t="s">
        <v>214</v>
      </c>
      <c r="E118" s="25">
        <v>45148</v>
      </c>
      <c r="F118" s="26" t="s">
        <v>4</v>
      </c>
    </row>
    <row r="119" spans="1:6" ht="16.8" customHeight="1" x14ac:dyDescent="0.3">
      <c r="A119" s="20">
        <v>41716</v>
      </c>
      <c r="B119" s="31" t="s">
        <v>62</v>
      </c>
      <c r="C119" s="31" t="s">
        <v>63</v>
      </c>
      <c r="D119" s="31" t="s">
        <v>215</v>
      </c>
      <c r="E119" s="25">
        <v>45169</v>
      </c>
      <c r="F119" s="26" t="s">
        <v>2</v>
      </c>
    </row>
    <row r="120" spans="1:6" ht="16.8" customHeight="1" x14ac:dyDescent="0.3">
      <c r="A120" s="20">
        <v>41717</v>
      </c>
      <c r="B120" s="31" t="s">
        <v>79</v>
      </c>
      <c r="C120" s="31" t="s">
        <v>75</v>
      </c>
      <c r="D120" s="31" t="s">
        <v>216</v>
      </c>
      <c r="E120" s="25">
        <v>45148</v>
      </c>
      <c r="F120" s="26" t="s">
        <v>4</v>
      </c>
    </row>
    <row r="121" spans="1:6" ht="16.8" customHeight="1" x14ac:dyDescent="0.3">
      <c r="A121" s="20">
        <v>41718</v>
      </c>
      <c r="B121" s="31" t="s">
        <v>79</v>
      </c>
      <c r="C121" s="31" t="s">
        <v>75</v>
      </c>
      <c r="D121" s="31" t="s">
        <v>80</v>
      </c>
      <c r="E121" s="25">
        <v>45148</v>
      </c>
      <c r="F121" s="26" t="s">
        <v>4</v>
      </c>
    </row>
    <row r="122" spans="1:6" ht="16.8" customHeight="1" x14ac:dyDescent="0.3">
      <c r="A122" s="20">
        <v>41719</v>
      </c>
      <c r="B122" s="31" t="s">
        <v>90</v>
      </c>
      <c r="C122" s="31" t="s">
        <v>217</v>
      </c>
      <c r="D122" s="31" t="s">
        <v>207</v>
      </c>
      <c r="E122" s="25">
        <v>45137</v>
      </c>
      <c r="F122" s="26" t="s">
        <v>1</v>
      </c>
    </row>
    <row r="123" spans="1:6" ht="16.8" customHeight="1" x14ac:dyDescent="0.3">
      <c r="A123" s="20">
        <v>41720</v>
      </c>
      <c r="B123" s="31" t="s">
        <v>90</v>
      </c>
      <c r="C123" s="31" t="s">
        <v>217</v>
      </c>
      <c r="D123" s="31" t="s">
        <v>218</v>
      </c>
      <c r="E123" s="25">
        <v>45197</v>
      </c>
      <c r="F123" s="26" t="s">
        <v>2</v>
      </c>
    </row>
    <row r="124" spans="1:6" ht="16.8" customHeight="1" x14ac:dyDescent="0.3">
      <c r="A124" s="20">
        <v>41721</v>
      </c>
      <c r="B124" s="31" t="s">
        <v>41</v>
      </c>
      <c r="C124" s="31"/>
      <c r="D124" s="31" t="s">
        <v>219</v>
      </c>
      <c r="E124" s="25">
        <v>45148</v>
      </c>
      <c r="F124" s="26" t="s">
        <v>4</v>
      </c>
    </row>
    <row r="125" spans="1:6" ht="16.8" customHeight="1" x14ac:dyDescent="0.3">
      <c r="A125" s="20">
        <v>41722</v>
      </c>
      <c r="B125" s="31" t="s">
        <v>220</v>
      </c>
      <c r="C125" s="31"/>
      <c r="D125" s="31"/>
      <c r="E125" s="25">
        <v>45148</v>
      </c>
      <c r="F125" s="26" t="s">
        <v>4</v>
      </c>
    </row>
    <row r="126" spans="1:6" ht="16.8" customHeight="1" x14ac:dyDescent="0.3">
      <c r="A126" s="20">
        <v>41723</v>
      </c>
      <c r="B126" s="31"/>
      <c r="C126" s="31"/>
      <c r="D126" s="31"/>
      <c r="E126" s="25"/>
      <c r="F126" s="26" t="s">
        <v>10</v>
      </c>
    </row>
    <row r="127" spans="1:6" ht="16.8" customHeight="1" x14ac:dyDescent="0.3">
      <c r="A127" s="20">
        <v>41724</v>
      </c>
      <c r="B127" s="31" t="s">
        <v>180</v>
      </c>
      <c r="C127" s="31" t="s">
        <v>181</v>
      </c>
      <c r="D127" s="31" t="s">
        <v>145</v>
      </c>
      <c r="E127" s="25">
        <v>45169</v>
      </c>
      <c r="F127" s="26" t="s">
        <v>1</v>
      </c>
    </row>
    <row r="128" spans="1:6" ht="16.8" customHeight="1" x14ac:dyDescent="0.3">
      <c r="A128" s="20">
        <v>41725</v>
      </c>
      <c r="B128" s="31" t="s">
        <v>86</v>
      </c>
      <c r="C128" s="31" t="s">
        <v>45</v>
      </c>
      <c r="D128" s="31" t="s">
        <v>64</v>
      </c>
      <c r="E128" s="25">
        <v>45188</v>
      </c>
      <c r="F128" s="26" t="s">
        <v>3</v>
      </c>
    </row>
    <row r="129" spans="1:6" ht="16.8" customHeight="1" x14ac:dyDescent="0.3">
      <c r="A129" s="20">
        <v>41726</v>
      </c>
      <c r="B129" s="31" t="s">
        <v>86</v>
      </c>
      <c r="C129" s="31" t="s">
        <v>45</v>
      </c>
      <c r="D129" s="31" t="s">
        <v>221</v>
      </c>
      <c r="E129" s="25">
        <v>45187</v>
      </c>
      <c r="F129" s="26" t="s">
        <v>3</v>
      </c>
    </row>
    <row r="130" spans="1:6" ht="16.8" customHeight="1" x14ac:dyDescent="0.3">
      <c r="A130" s="20">
        <v>41727</v>
      </c>
      <c r="B130" s="31" t="s">
        <v>222</v>
      </c>
      <c r="C130" s="31" t="s">
        <v>223</v>
      </c>
      <c r="D130" s="31" t="s">
        <v>224</v>
      </c>
      <c r="E130" s="25">
        <v>45169</v>
      </c>
      <c r="F130" s="26" t="s">
        <v>1</v>
      </c>
    </row>
    <row r="131" spans="1:6" ht="16.8" customHeight="1" x14ac:dyDescent="0.3">
      <c r="A131" s="20">
        <v>41728</v>
      </c>
      <c r="B131" s="31" t="s">
        <v>225</v>
      </c>
      <c r="C131" s="31" t="s">
        <v>226</v>
      </c>
      <c r="D131" s="31" t="s">
        <v>121</v>
      </c>
      <c r="E131" s="25">
        <v>45169</v>
      </c>
      <c r="F131" s="26" t="s">
        <v>4</v>
      </c>
    </row>
    <row r="132" spans="1:6" ht="16.8" customHeight="1" x14ac:dyDescent="0.3">
      <c r="A132" s="20">
        <v>41729</v>
      </c>
      <c r="B132" s="31" t="s">
        <v>144</v>
      </c>
      <c r="C132" s="31" t="s">
        <v>227</v>
      </c>
      <c r="D132" s="31" t="s">
        <v>145</v>
      </c>
      <c r="E132" s="25">
        <v>45169</v>
      </c>
      <c r="F132" s="26" t="s">
        <v>1</v>
      </c>
    </row>
    <row r="133" spans="1:6" ht="16.8" customHeight="1" x14ac:dyDescent="0.3">
      <c r="A133" s="20">
        <v>41730</v>
      </c>
      <c r="B133" s="31" t="s">
        <v>144</v>
      </c>
      <c r="C133" s="31" t="s">
        <v>106</v>
      </c>
      <c r="D133" s="31" t="s">
        <v>145</v>
      </c>
      <c r="E133" s="25">
        <v>45169</v>
      </c>
      <c r="F133" s="26" t="s">
        <v>1</v>
      </c>
    </row>
    <row r="134" spans="1:6" ht="16.8" customHeight="1" x14ac:dyDescent="0.3">
      <c r="A134" s="20">
        <v>41731</v>
      </c>
      <c r="B134" s="31" t="s">
        <v>83</v>
      </c>
      <c r="C134" s="31" t="s">
        <v>84</v>
      </c>
      <c r="D134" s="31" t="s">
        <v>228</v>
      </c>
      <c r="E134" s="25">
        <v>45198</v>
      </c>
      <c r="F134" s="26" t="s">
        <v>1</v>
      </c>
    </row>
    <row r="135" spans="1:6" ht="16.8" customHeight="1" x14ac:dyDescent="0.3">
      <c r="A135" s="20">
        <v>41732</v>
      </c>
      <c r="B135" s="31" t="s">
        <v>229</v>
      </c>
      <c r="C135" s="31"/>
      <c r="D135" s="31" t="s">
        <v>230</v>
      </c>
      <c r="E135" s="25">
        <v>45169</v>
      </c>
      <c r="F135" s="26" t="s">
        <v>1</v>
      </c>
    </row>
    <row r="136" spans="1:6" ht="16.8" customHeight="1" x14ac:dyDescent="0.3">
      <c r="A136" s="20">
        <v>41733</v>
      </c>
      <c r="B136" s="31" t="s">
        <v>231</v>
      </c>
      <c r="C136" s="31" t="s">
        <v>232</v>
      </c>
      <c r="D136" s="31" t="s">
        <v>121</v>
      </c>
      <c r="E136" s="25">
        <v>45198</v>
      </c>
      <c r="F136" s="26" t="s">
        <v>4</v>
      </c>
    </row>
    <row r="137" spans="1:6" ht="16.8" customHeight="1" x14ac:dyDescent="0.3">
      <c r="A137" s="20">
        <v>41734</v>
      </c>
      <c r="B137" s="31" t="s">
        <v>233</v>
      </c>
      <c r="C137" s="31" t="s">
        <v>234</v>
      </c>
      <c r="D137" s="31" t="s">
        <v>121</v>
      </c>
      <c r="E137" s="25">
        <v>45190</v>
      </c>
      <c r="F137" s="26" t="s">
        <v>4</v>
      </c>
    </row>
    <row r="138" spans="1:6" ht="16.8" customHeight="1" x14ac:dyDescent="0.3">
      <c r="A138" s="20">
        <v>41735</v>
      </c>
      <c r="B138" s="31" t="s">
        <v>235</v>
      </c>
      <c r="C138" s="31" t="s">
        <v>234</v>
      </c>
      <c r="D138" s="31" t="s">
        <v>121</v>
      </c>
      <c r="E138" s="25">
        <v>45169</v>
      </c>
      <c r="F138" s="26" t="s">
        <v>4</v>
      </c>
    </row>
    <row r="139" spans="1:6" ht="16.8" customHeight="1" x14ac:dyDescent="0.3">
      <c r="A139" s="20">
        <v>41736</v>
      </c>
      <c r="B139" s="31" t="s">
        <v>236</v>
      </c>
      <c r="C139" s="31" t="s">
        <v>75</v>
      </c>
      <c r="D139" s="31" t="s">
        <v>221</v>
      </c>
      <c r="E139" s="25">
        <v>45168</v>
      </c>
      <c r="F139" s="26" t="s">
        <v>1</v>
      </c>
    </row>
    <row r="140" spans="1:6" ht="16.8" customHeight="1" x14ac:dyDescent="0.3">
      <c r="A140" s="20">
        <v>41737</v>
      </c>
      <c r="B140" s="31" t="s">
        <v>194</v>
      </c>
      <c r="C140" s="31" t="s">
        <v>84</v>
      </c>
      <c r="D140" s="31" t="s">
        <v>104</v>
      </c>
      <c r="E140" s="25">
        <v>45169</v>
      </c>
      <c r="F140" s="26" t="s">
        <v>1</v>
      </c>
    </row>
    <row r="141" spans="1:6" ht="16.8" customHeight="1" x14ac:dyDescent="0.3">
      <c r="A141" s="20">
        <v>41738</v>
      </c>
      <c r="B141" s="31" t="s">
        <v>237</v>
      </c>
      <c r="C141" s="31" t="s">
        <v>84</v>
      </c>
      <c r="D141" s="31" t="s">
        <v>238</v>
      </c>
      <c r="E141" s="25">
        <v>45169</v>
      </c>
      <c r="F141" s="26" t="s">
        <v>1</v>
      </c>
    </row>
    <row r="142" spans="1:6" ht="16.8" customHeight="1" x14ac:dyDescent="0.3">
      <c r="A142" s="20">
        <v>41739</v>
      </c>
      <c r="B142" s="31" t="s">
        <v>237</v>
      </c>
      <c r="C142" s="31" t="s">
        <v>84</v>
      </c>
      <c r="D142" s="31" t="s">
        <v>145</v>
      </c>
      <c r="E142" s="25">
        <v>45168</v>
      </c>
      <c r="F142" s="26" t="s">
        <v>1</v>
      </c>
    </row>
    <row r="143" spans="1:6" ht="16.8" customHeight="1" x14ac:dyDescent="0.3">
      <c r="A143" s="20">
        <v>41740</v>
      </c>
      <c r="B143" s="31" t="s">
        <v>239</v>
      </c>
      <c r="C143" s="31" t="s">
        <v>240</v>
      </c>
      <c r="D143" s="31" t="s">
        <v>241</v>
      </c>
      <c r="E143" s="25">
        <v>45258</v>
      </c>
      <c r="F143" s="26" t="s">
        <v>5</v>
      </c>
    </row>
    <row r="144" spans="1:6" ht="16.8" customHeight="1" x14ac:dyDescent="0.3">
      <c r="A144" s="20">
        <v>41741</v>
      </c>
      <c r="B144" s="31" t="s">
        <v>25</v>
      </c>
      <c r="C144" s="31" t="s">
        <v>242</v>
      </c>
      <c r="D144" s="31"/>
      <c r="E144" s="25">
        <v>45168</v>
      </c>
      <c r="F144" s="26" t="s">
        <v>1</v>
      </c>
    </row>
    <row r="145" spans="1:6" ht="16.8" customHeight="1" x14ac:dyDescent="0.3">
      <c r="A145" s="20">
        <v>41742</v>
      </c>
      <c r="B145" s="31" t="s">
        <v>243</v>
      </c>
      <c r="C145" s="31" t="s">
        <v>244</v>
      </c>
      <c r="D145" s="31" t="s">
        <v>245</v>
      </c>
      <c r="E145" s="25">
        <v>45169</v>
      </c>
      <c r="F145" s="26" t="s">
        <v>1</v>
      </c>
    </row>
    <row r="146" spans="1:6" ht="16.8" customHeight="1" x14ac:dyDescent="0.3">
      <c r="A146" s="20">
        <v>41743</v>
      </c>
      <c r="B146" s="31" t="s">
        <v>79</v>
      </c>
      <c r="C146" s="31" t="s">
        <v>75</v>
      </c>
      <c r="D146" s="31" t="s">
        <v>146</v>
      </c>
      <c r="E146" s="25">
        <v>45169</v>
      </c>
      <c r="F146" s="26" t="s">
        <v>2</v>
      </c>
    </row>
    <row r="147" spans="1:6" ht="16.8" customHeight="1" x14ac:dyDescent="0.3">
      <c r="A147" s="20">
        <v>41744</v>
      </c>
      <c r="B147" s="31" t="s">
        <v>246</v>
      </c>
      <c r="C147" s="31" t="s">
        <v>247</v>
      </c>
      <c r="D147" s="31" t="s">
        <v>172</v>
      </c>
      <c r="E147" s="25">
        <v>45189</v>
      </c>
      <c r="F147" s="26" t="s">
        <v>1</v>
      </c>
    </row>
    <row r="148" spans="1:6" ht="16.8" customHeight="1" x14ac:dyDescent="0.3">
      <c r="A148" s="20">
        <v>41745</v>
      </c>
      <c r="B148" s="31" t="s">
        <v>248</v>
      </c>
      <c r="C148" s="31" t="s">
        <v>249</v>
      </c>
      <c r="D148" s="31" t="s">
        <v>250</v>
      </c>
      <c r="E148" s="25">
        <v>45159</v>
      </c>
      <c r="F148" s="26" t="s">
        <v>1</v>
      </c>
    </row>
    <row r="149" spans="1:6" ht="16.8" customHeight="1" x14ac:dyDescent="0.3">
      <c r="A149" s="20">
        <v>41746</v>
      </c>
      <c r="B149" s="31" t="s">
        <v>251</v>
      </c>
      <c r="C149" s="31" t="s">
        <v>252</v>
      </c>
      <c r="D149" s="31" t="s">
        <v>207</v>
      </c>
      <c r="E149" s="25">
        <v>45169</v>
      </c>
      <c r="F149" s="26" t="s">
        <v>1</v>
      </c>
    </row>
    <row r="150" spans="1:6" ht="16.8" customHeight="1" x14ac:dyDescent="0.3">
      <c r="A150" s="20">
        <v>41747</v>
      </c>
      <c r="B150" s="31" t="s">
        <v>253</v>
      </c>
      <c r="C150" s="31" t="s">
        <v>254</v>
      </c>
      <c r="D150" s="31" t="s">
        <v>255</v>
      </c>
      <c r="E150" s="25">
        <v>45217</v>
      </c>
      <c r="F150" s="26" t="s">
        <v>2</v>
      </c>
    </row>
    <row r="151" spans="1:6" ht="16.8" customHeight="1" x14ac:dyDescent="0.3">
      <c r="A151" s="20">
        <v>41748</v>
      </c>
      <c r="B151" s="31" t="s">
        <v>256</v>
      </c>
      <c r="C151" s="31" t="s">
        <v>154</v>
      </c>
      <c r="D151" s="31" t="s">
        <v>257</v>
      </c>
      <c r="E151" s="25">
        <v>45198</v>
      </c>
      <c r="F151" s="26" t="s">
        <v>2</v>
      </c>
    </row>
    <row r="152" spans="1:6" ht="16.8" customHeight="1" x14ac:dyDescent="0.3">
      <c r="A152" s="20">
        <v>41749</v>
      </c>
      <c r="B152" s="31" t="s">
        <v>199</v>
      </c>
      <c r="C152" s="31" t="s">
        <v>258</v>
      </c>
      <c r="D152" s="31" t="s">
        <v>153</v>
      </c>
      <c r="E152" s="25">
        <v>45198</v>
      </c>
      <c r="F152" s="26" t="s">
        <v>6</v>
      </c>
    </row>
    <row r="153" spans="1:6" ht="16.8" customHeight="1" x14ac:dyDescent="0.3">
      <c r="A153" s="20">
        <v>41750</v>
      </c>
      <c r="B153" s="31" t="s">
        <v>259</v>
      </c>
      <c r="C153" s="31" t="s">
        <v>260</v>
      </c>
      <c r="D153" s="31" t="s">
        <v>207</v>
      </c>
      <c r="E153" s="25">
        <v>45271</v>
      </c>
      <c r="F153" s="26" t="s">
        <v>6</v>
      </c>
    </row>
    <row r="154" spans="1:6" ht="16.8" customHeight="1" x14ac:dyDescent="0.3">
      <c r="A154" s="20">
        <v>41751</v>
      </c>
      <c r="B154" s="31" t="s">
        <v>189</v>
      </c>
      <c r="C154" s="31" t="s">
        <v>261</v>
      </c>
      <c r="D154" s="31" t="s">
        <v>186</v>
      </c>
      <c r="E154" s="25">
        <v>45169</v>
      </c>
      <c r="F154" s="26" t="s">
        <v>1</v>
      </c>
    </row>
    <row r="155" spans="1:6" ht="16.8" customHeight="1" x14ac:dyDescent="0.3">
      <c r="A155" s="20">
        <v>41752</v>
      </c>
      <c r="B155" s="31" t="s">
        <v>86</v>
      </c>
      <c r="C155" s="31" t="s">
        <v>45</v>
      </c>
      <c r="D155" s="31" t="s">
        <v>255</v>
      </c>
      <c r="E155" s="25">
        <v>45188</v>
      </c>
      <c r="F155" s="26" t="s">
        <v>3</v>
      </c>
    </row>
    <row r="156" spans="1:6" ht="16.8" customHeight="1" x14ac:dyDescent="0.3">
      <c r="A156" s="20">
        <v>41753</v>
      </c>
      <c r="B156" s="31" t="s">
        <v>262</v>
      </c>
      <c r="C156" s="31" t="s">
        <v>263</v>
      </c>
      <c r="D156" s="31" t="s">
        <v>121</v>
      </c>
      <c r="E156" s="25">
        <v>45194</v>
      </c>
      <c r="F156" s="26" t="s">
        <v>4</v>
      </c>
    </row>
    <row r="157" spans="1:6" ht="16.8" customHeight="1" x14ac:dyDescent="0.3">
      <c r="A157" s="20">
        <v>41754</v>
      </c>
      <c r="B157" s="31" t="s">
        <v>264</v>
      </c>
      <c r="C157" s="31" t="s">
        <v>63</v>
      </c>
      <c r="D157" s="31" t="s">
        <v>163</v>
      </c>
      <c r="E157" s="25">
        <v>45169</v>
      </c>
      <c r="F157" s="26" t="s">
        <v>3</v>
      </c>
    </row>
    <row r="158" spans="1:6" ht="16.8" customHeight="1" x14ac:dyDescent="0.3">
      <c r="A158" s="20">
        <v>41755</v>
      </c>
      <c r="B158" s="31" t="s">
        <v>237</v>
      </c>
      <c r="C158" s="31" t="s">
        <v>84</v>
      </c>
      <c r="D158" s="31" t="s">
        <v>265</v>
      </c>
      <c r="E158" s="25">
        <v>45189</v>
      </c>
      <c r="F158" s="26" t="s">
        <v>1</v>
      </c>
    </row>
    <row r="159" spans="1:6" ht="16.8" customHeight="1" x14ac:dyDescent="0.3">
      <c r="A159" s="20">
        <v>41756</v>
      </c>
      <c r="B159" s="31" t="s">
        <v>266</v>
      </c>
      <c r="C159" s="31" t="s">
        <v>267</v>
      </c>
      <c r="D159" s="31" t="s">
        <v>268</v>
      </c>
      <c r="E159" s="25">
        <v>45189</v>
      </c>
      <c r="F159" s="26" t="s">
        <v>1</v>
      </c>
    </row>
    <row r="160" spans="1:6" ht="16.8" customHeight="1" x14ac:dyDescent="0.3">
      <c r="A160" s="20">
        <v>41757</v>
      </c>
      <c r="B160" s="31" t="s">
        <v>231</v>
      </c>
      <c r="C160" s="31" t="s">
        <v>232</v>
      </c>
      <c r="D160" s="31" t="s">
        <v>121</v>
      </c>
      <c r="E160" s="25">
        <v>45169</v>
      </c>
      <c r="F160" s="26" t="s">
        <v>4</v>
      </c>
    </row>
    <row r="161" spans="1:6" ht="16.8" customHeight="1" x14ac:dyDescent="0.3">
      <c r="A161" s="20">
        <v>41758</v>
      </c>
      <c r="B161" s="31" t="s">
        <v>90</v>
      </c>
      <c r="C161" s="31" t="s">
        <v>82</v>
      </c>
      <c r="D161" s="31" t="s">
        <v>269</v>
      </c>
      <c r="E161" s="25">
        <v>45169</v>
      </c>
      <c r="F161" s="26" t="s">
        <v>1</v>
      </c>
    </row>
    <row r="162" spans="1:6" ht="16.8" customHeight="1" x14ac:dyDescent="0.3">
      <c r="A162" s="20">
        <v>41759</v>
      </c>
      <c r="B162" s="31" t="s">
        <v>141</v>
      </c>
      <c r="C162" s="31" t="s">
        <v>63</v>
      </c>
      <c r="D162" s="31" t="s">
        <v>270</v>
      </c>
      <c r="E162" s="25">
        <v>45169</v>
      </c>
      <c r="F162" s="26" t="s">
        <v>5</v>
      </c>
    </row>
    <row r="163" spans="1:6" ht="16.8" customHeight="1" x14ac:dyDescent="0.3">
      <c r="A163" s="20">
        <v>41760</v>
      </c>
      <c r="B163" s="31"/>
      <c r="C163" s="31"/>
      <c r="D163" s="31"/>
      <c r="E163" s="25"/>
      <c r="F163" s="26" t="s">
        <v>10</v>
      </c>
    </row>
    <row r="164" spans="1:6" ht="16.8" customHeight="1" x14ac:dyDescent="0.3">
      <c r="A164" s="20">
        <v>41761</v>
      </c>
      <c r="B164" s="31" t="s">
        <v>271</v>
      </c>
      <c r="C164" s="31" t="s">
        <v>272</v>
      </c>
      <c r="D164" s="31" t="s">
        <v>273</v>
      </c>
      <c r="E164" s="25">
        <v>45252</v>
      </c>
      <c r="F164" s="26" t="s">
        <v>1</v>
      </c>
    </row>
    <row r="165" spans="1:6" ht="16.8" customHeight="1" x14ac:dyDescent="0.3">
      <c r="A165" s="20">
        <v>41762</v>
      </c>
      <c r="B165" s="31" t="s">
        <v>274</v>
      </c>
      <c r="C165" s="31" t="s">
        <v>275</v>
      </c>
      <c r="D165" s="31" t="s">
        <v>145</v>
      </c>
      <c r="E165" s="25">
        <v>45434</v>
      </c>
      <c r="F165" s="26" t="s">
        <v>1</v>
      </c>
    </row>
    <row r="166" spans="1:6" ht="16.8" customHeight="1" x14ac:dyDescent="0.3">
      <c r="A166" s="20">
        <v>41763</v>
      </c>
      <c r="B166" s="31" t="s">
        <v>276</v>
      </c>
      <c r="C166" s="31" t="s">
        <v>277</v>
      </c>
      <c r="D166" s="31" t="s">
        <v>168</v>
      </c>
      <c r="E166" s="25">
        <v>45169</v>
      </c>
      <c r="F166" s="26" t="s">
        <v>1</v>
      </c>
    </row>
    <row r="167" spans="1:6" ht="16.8" customHeight="1" x14ac:dyDescent="0.3">
      <c r="A167" s="20">
        <v>41764</v>
      </c>
      <c r="B167" s="31" t="s">
        <v>71</v>
      </c>
      <c r="C167" s="31" t="s">
        <v>57</v>
      </c>
      <c r="D167" s="31" t="s">
        <v>58</v>
      </c>
      <c r="E167" s="25">
        <v>45175</v>
      </c>
      <c r="F167" s="26" t="s">
        <v>1</v>
      </c>
    </row>
    <row r="168" spans="1:6" ht="16.8" customHeight="1" x14ac:dyDescent="0.3">
      <c r="A168" s="20">
        <v>41765</v>
      </c>
      <c r="B168" s="31" t="s">
        <v>278</v>
      </c>
      <c r="C168" s="31" t="s">
        <v>45</v>
      </c>
      <c r="D168" s="31" t="s">
        <v>146</v>
      </c>
      <c r="E168" s="25">
        <v>45169</v>
      </c>
      <c r="F168" s="26" t="s">
        <v>1</v>
      </c>
    </row>
    <row r="169" spans="1:6" ht="16.8" customHeight="1" x14ac:dyDescent="0.3">
      <c r="A169" s="20">
        <v>41766</v>
      </c>
      <c r="B169" s="31" t="s">
        <v>74</v>
      </c>
      <c r="C169" s="31" t="s">
        <v>279</v>
      </c>
      <c r="D169" s="31" t="s">
        <v>280</v>
      </c>
      <c r="E169" s="25">
        <v>45169</v>
      </c>
      <c r="F169" s="26" t="s">
        <v>1</v>
      </c>
    </row>
    <row r="170" spans="1:6" ht="16.8" customHeight="1" x14ac:dyDescent="0.3">
      <c r="A170" s="20">
        <v>41767</v>
      </c>
      <c r="B170" s="31" t="s">
        <v>281</v>
      </c>
      <c r="C170" s="31" t="s">
        <v>282</v>
      </c>
      <c r="D170" s="31" t="s">
        <v>283</v>
      </c>
      <c r="E170" s="25">
        <v>45169</v>
      </c>
      <c r="F170" s="26" t="s">
        <v>1</v>
      </c>
    </row>
    <row r="171" spans="1:6" ht="16.8" customHeight="1" x14ac:dyDescent="0.3">
      <c r="A171" s="20">
        <v>41768</v>
      </c>
      <c r="B171" s="31" t="s">
        <v>86</v>
      </c>
      <c r="C171" s="31" t="s">
        <v>45</v>
      </c>
      <c r="D171" s="31" t="s">
        <v>284</v>
      </c>
      <c r="E171" s="25">
        <v>45137</v>
      </c>
      <c r="F171" s="26" t="s">
        <v>3</v>
      </c>
    </row>
    <row r="172" spans="1:6" ht="16.8" customHeight="1" x14ac:dyDescent="0.3">
      <c r="A172" s="20">
        <v>41769</v>
      </c>
      <c r="B172" s="31" t="s">
        <v>86</v>
      </c>
      <c r="C172" s="31" t="s">
        <v>45</v>
      </c>
      <c r="D172" s="31" t="s">
        <v>285</v>
      </c>
      <c r="E172" s="25">
        <v>45137</v>
      </c>
      <c r="F172" s="26" t="s">
        <v>3</v>
      </c>
    </row>
    <row r="173" spans="1:6" ht="16.8" customHeight="1" x14ac:dyDescent="0.3">
      <c r="A173" s="20">
        <v>41770</v>
      </c>
      <c r="B173" s="31" t="s">
        <v>286</v>
      </c>
      <c r="C173" s="31" t="s">
        <v>287</v>
      </c>
      <c r="D173" s="31" t="s">
        <v>288</v>
      </c>
      <c r="E173" s="25">
        <v>45198</v>
      </c>
      <c r="F173" s="26" t="s">
        <v>1</v>
      </c>
    </row>
    <row r="174" spans="1:6" ht="16.8" customHeight="1" x14ac:dyDescent="0.3">
      <c r="A174" s="20">
        <v>41771</v>
      </c>
      <c r="B174" s="31" t="s">
        <v>81</v>
      </c>
      <c r="C174" s="31" t="s">
        <v>106</v>
      </c>
      <c r="D174" s="31" t="s">
        <v>289</v>
      </c>
      <c r="E174" s="25">
        <v>45195</v>
      </c>
      <c r="F174" s="26" t="s">
        <v>5</v>
      </c>
    </row>
    <row r="175" spans="1:6" ht="16.8" customHeight="1" x14ac:dyDescent="0.3">
      <c r="A175" s="20">
        <v>41772</v>
      </c>
      <c r="B175" s="31" t="s">
        <v>56</v>
      </c>
      <c r="C175" s="31" t="s">
        <v>94</v>
      </c>
      <c r="D175" s="31" t="s">
        <v>289</v>
      </c>
      <c r="E175" s="25">
        <v>45243</v>
      </c>
      <c r="F175" s="26" t="s">
        <v>5</v>
      </c>
    </row>
    <row r="176" spans="1:6" ht="16.8" customHeight="1" x14ac:dyDescent="0.3">
      <c r="A176" s="20">
        <v>41773</v>
      </c>
      <c r="B176" s="31" t="s">
        <v>290</v>
      </c>
      <c r="C176" s="31" t="s">
        <v>63</v>
      </c>
      <c r="D176" s="31" t="s">
        <v>289</v>
      </c>
      <c r="E176" s="25">
        <v>45195</v>
      </c>
      <c r="F176" s="26" t="s">
        <v>5</v>
      </c>
    </row>
    <row r="177" spans="1:6" ht="16.8" customHeight="1" x14ac:dyDescent="0.3">
      <c r="A177" s="20">
        <v>41774</v>
      </c>
      <c r="B177" s="31" t="s">
        <v>291</v>
      </c>
      <c r="C177" s="31" t="s">
        <v>32</v>
      </c>
      <c r="D177" s="31" t="s">
        <v>289</v>
      </c>
      <c r="E177" s="25">
        <v>45195</v>
      </c>
      <c r="F177" s="26" t="s">
        <v>5</v>
      </c>
    </row>
    <row r="178" spans="1:6" ht="16.8" customHeight="1" x14ac:dyDescent="0.3">
      <c r="A178" s="20">
        <v>41775</v>
      </c>
      <c r="B178" s="31" t="s">
        <v>292</v>
      </c>
      <c r="C178" s="31" t="s">
        <v>293</v>
      </c>
      <c r="D178" s="31" t="s">
        <v>289</v>
      </c>
      <c r="E178" s="25">
        <v>45232</v>
      </c>
      <c r="F178" s="26" t="s">
        <v>5</v>
      </c>
    </row>
    <row r="179" spans="1:6" ht="16.8" customHeight="1" x14ac:dyDescent="0.3">
      <c r="A179" s="20">
        <v>41776</v>
      </c>
      <c r="B179" s="31" t="s">
        <v>294</v>
      </c>
      <c r="C179" s="31" t="s">
        <v>94</v>
      </c>
      <c r="D179" s="31" t="s">
        <v>289</v>
      </c>
      <c r="E179" s="25">
        <v>45224</v>
      </c>
      <c r="F179" s="26" t="s">
        <v>5</v>
      </c>
    </row>
    <row r="180" spans="1:6" ht="16.8" customHeight="1" x14ac:dyDescent="0.3">
      <c r="A180" s="20">
        <v>41777</v>
      </c>
      <c r="B180" s="31" t="s">
        <v>264</v>
      </c>
      <c r="C180" s="31" t="s">
        <v>63</v>
      </c>
      <c r="D180" s="31" t="s">
        <v>289</v>
      </c>
      <c r="E180" s="25">
        <v>45175</v>
      </c>
      <c r="F180" s="26" t="s">
        <v>5</v>
      </c>
    </row>
    <row r="181" spans="1:6" ht="16.8" customHeight="1" x14ac:dyDescent="0.3">
      <c r="A181" s="20">
        <v>41778</v>
      </c>
      <c r="B181" s="31" t="s">
        <v>62</v>
      </c>
      <c r="C181" s="31" t="s">
        <v>295</v>
      </c>
      <c r="D181" s="31" t="s">
        <v>296</v>
      </c>
      <c r="E181" s="25">
        <v>45198</v>
      </c>
      <c r="F181" s="26" t="s">
        <v>1</v>
      </c>
    </row>
    <row r="182" spans="1:6" ht="16.8" customHeight="1" x14ac:dyDescent="0.3">
      <c r="A182" s="20">
        <v>41779</v>
      </c>
      <c r="B182" s="31" t="s">
        <v>62</v>
      </c>
      <c r="C182" s="31" t="s">
        <v>148</v>
      </c>
      <c r="D182" s="31" t="s">
        <v>297</v>
      </c>
      <c r="E182" s="25">
        <v>45180</v>
      </c>
      <c r="F182" s="26" t="s">
        <v>1</v>
      </c>
    </row>
    <row r="183" spans="1:6" ht="16.8" customHeight="1" x14ac:dyDescent="0.3">
      <c r="A183" s="20">
        <v>41780</v>
      </c>
      <c r="B183" s="31" t="s">
        <v>298</v>
      </c>
      <c r="C183" s="31" t="s">
        <v>299</v>
      </c>
      <c r="D183" s="31" t="s">
        <v>300</v>
      </c>
      <c r="E183" s="25">
        <v>45189</v>
      </c>
      <c r="F183" s="26" t="s">
        <v>1</v>
      </c>
    </row>
    <row r="184" spans="1:6" ht="16.8" customHeight="1" x14ac:dyDescent="0.3">
      <c r="A184" s="20">
        <v>41781</v>
      </c>
      <c r="B184" s="31"/>
      <c r="C184" s="31"/>
      <c r="D184" s="31"/>
      <c r="E184" s="25"/>
      <c r="F184" s="26" t="s">
        <v>10</v>
      </c>
    </row>
    <row r="185" spans="1:6" ht="16.8" customHeight="1" x14ac:dyDescent="0.3">
      <c r="A185" s="20">
        <v>41782</v>
      </c>
      <c r="B185" s="31"/>
      <c r="C185" s="31"/>
      <c r="D185" s="31"/>
      <c r="E185" s="25"/>
      <c r="F185" s="26" t="s">
        <v>10</v>
      </c>
    </row>
    <row r="186" spans="1:6" ht="16.8" customHeight="1" x14ac:dyDescent="0.3">
      <c r="A186" s="20">
        <v>41783</v>
      </c>
      <c r="B186" s="31" t="s">
        <v>256</v>
      </c>
      <c r="C186" s="31" t="s">
        <v>301</v>
      </c>
      <c r="D186" s="31" t="s">
        <v>302</v>
      </c>
      <c r="E186" s="25">
        <v>45198</v>
      </c>
      <c r="F186" s="26" t="s">
        <v>1</v>
      </c>
    </row>
    <row r="187" spans="1:6" ht="16.8" customHeight="1" x14ac:dyDescent="0.3">
      <c r="A187" s="20">
        <v>41784</v>
      </c>
      <c r="B187" s="31" t="s">
        <v>256</v>
      </c>
      <c r="C187" s="31" t="s">
        <v>140</v>
      </c>
      <c r="D187" s="31" t="s">
        <v>172</v>
      </c>
      <c r="E187" s="25">
        <v>45189</v>
      </c>
      <c r="F187" s="26" t="s">
        <v>1</v>
      </c>
    </row>
    <row r="188" spans="1:6" ht="16.8" customHeight="1" x14ac:dyDescent="0.3">
      <c r="A188" s="20">
        <v>41785</v>
      </c>
      <c r="B188" s="31" t="s">
        <v>303</v>
      </c>
      <c r="C188" s="31" t="s">
        <v>304</v>
      </c>
      <c r="D188" s="31" t="s">
        <v>218</v>
      </c>
      <c r="E188" s="25">
        <v>45181</v>
      </c>
      <c r="F188" s="26" t="s">
        <v>1</v>
      </c>
    </row>
    <row r="189" spans="1:6" ht="16.8" customHeight="1" x14ac:dyDescent="0.3">
      <c r="A189" s="20">
        <v>41786</v>
      </c>
      <c r="B189" s="31" t="s">
        <v>303</v>
      </c>
      <c r="C189" s="31" t="s">
        <v>305</v>
      </c>
      <c r="D189" s="31"/>
      <c r="E189" s="25">
        <v>45274</v>
      </c>
      <c r="F189" s="26" t="s">
        <v>1</v>
      </c>
    </row>
    <row r="190" spans="1:6" ht="16.8" customHeight="1" x14ac:dyDescent="0.3">
      <c r="A190" s="20">
        <v>41787</v>
      </c>
      <c r="B190" s="31" t="s">
        <v>306</v>
      </c>
      <c r="C190" s="31" t="s">
        <v>63</v>
      </c>
      <c r="D190" s="31" t="s">
        <v>307</v>
      </c>
      <c r="E190" s="25">
        <v>45198</v>
      </c>
      <c r="F190" s="26" t="s">
        <v>1</v>
      </c>
    </row>
    <row r="191" spans="1:6" ht="16.8" customHeight="1" x14ac:dyDescent="0.3">
      <c r="A191" s="20">
        <v>41788</v>
      </c>
      <c r="B191" s="31"/>
      <c r="C191" s="31"/>
      <c r="D191" s="31"/>
      <c r="E191" s="25"/>
      <c r="F191" s="26" t="s">
        <v>10</v>
      </c>
    </row>
    <row r="192" spans="1:6" ht="16.8" customHeight="1" x14ac:dyDescent="0.3">
      <c r="A192" s="20">
        <v>41789</v>
      </c>
      <c r="B192" s="31" t="s">
        <v>160</v>
      </c>
      <c r="C192" s="31" t="s">
        <v>308</v>
      </c>
      <c r="D192" s="31" t="s">
        <v>309</v>
      </c>
      <c r="E192" s="25">
        <v>45173</v>
      </c>
      <c r="F192" s="26" t="s">
        <v>1</v>
      </c>
    </row>
    <row r="193" spans="1:6" ht="16.8" customHeight="1" x14ac:dyDescent="0.3">
      <c r="A193" s="20">
        <v>41790</v>
      </c>
      <c r="B193" s="31" t="s">
        <v>286</v>
      </c>
      <c r="C193" s="31"/>
      <c r="D193" s="31" t="s">
        <v>310</v>
      </c>
      <c r="E193" s="25">
        <v>45181</v>
      </c>
      <c r="F193" s="26" t="s">
        <v>1</v>
      </c>
    </row>
    <row r="194" spans="1:6" ht="16.8" customHeight="1" x14ac:dyDescent="0.3">
      <c r="A194" s="20">
        <v>41791</v>
      </c>
      <c r="B194" s="31" t="s">
        <v>311</v>
      </c>
      <c r="C194" s="31" t="s">
        <v>312</v>
      </c>
      <c r="D194" s="31" t="s">
        <v>146</v>
      </c>
      <c r="E194" s="25">
        <v>45199</v>
      </c>
      <c r="F194" s="26" t="s">
        <v>7</v>
      </c>
    </row>
    <row r="195" spans="1:6" ht="16.8" customHeight="1" x14ac:dyDescent="0.3">
      <c r="A195" s="20">
        <v>41792</v>
      </c>
      <c r="B195" s="31" t="s">
        <v>311</v>
      </c>
      <c r="C195" s="31" t="s">
        <v>312</v>
      </c>
      <c r="D195" s="31" t="s">
        <v>146</v>
      </c>
      <c r="E195" s="25">
        <v>45199</v>
      </c>
      <c r="F195" s="26" t="s">
        <v>1</v>
      </c>
    </row>
    <row r="196" spans="1:6" ht="16.8" customHeight="1" x14ac:dyDescent="0.3">
      <c r="A196" s="20">
        <v>41793</v>
      </c>
      <c r="B196" s="31" t="s">
        <v>313</v>
      </c>
      <c r="C196" s="31" t="s">
        <v>314</v>
      </c>
      <c r="D196" s="31" t="s">
        <v>7</v>
      </c>
      <c r="E196" s="25">
        <v>45280</v>
      </c>
      <c r="F196" s="26" t="s">
        <v>7</v>
      </c>
    </row>
    <row r="197" spans="1:6" ht="16.8" customHeight="1" x14ac:dyDescent="0.3">
      <c r="A197" s="20">
        <v>41794</v>
      </c>
      <c r="B197" s="31" t="s">
        <v>313</v>
      </c>
      <c r="C197" s="31" t="s">
        <v>314</v>
      </c>
      <c r="D197" s="31" t="s">
        <v>315</v>
      </c>
      <c r="E197" s="25">
        <v>45280</v>
      </c>
      <c r="F197" s="26" t="s">
        <v>2</v>
      </c>
    </row>
    <row r="198" spans="1:6" ht="16.8" customHeight="1" x14ac:dyDescent="0.3">
      <c r="A198" s="20">
        <v>41795</v>
      </c>
      <c r="B198" s="31" t="s">
        <v>184</v>
      </c>
      <c r="C198" s="31" t="s">
        <v>316</v>
      </c>
      <c r="D198" s="31" t="s">
        <v>7</v>
      </c>
      <c r="E198" s="25">
        <v>45085</v>
      </c>
      <c r="F198" s="26" t="s">
        <v>7</v>
      </c>
    </row>
    <row r="199" spans="1:6" ht="16.8" customHeight="1" x14ac:dyDescent="0.3">
      <c r="A199" s="20">
        <v>41796</v>
      </c>
      <c r="B199" s="31" t="s">
        <v>184</v>
      </c>
      <c r="C199" s="31" t="s">
        <v>316</v>
      </c>
      <c r="D199" s="31"/>
      <c r="E199" s="25">
        <v>45085</v>
      </c>
      <c r="F199" s="26" t="s">
        <v>1</v>
      </c>
    </row>
    <row r="200" spans="1:6" ht="16.8" customHeight="1" x14ac:dyDescent="0.3">
      <c r="A200" s="20">
        <v>41797</v>
      </c>
      <c r="B200" s="31" t="s">
        <v>184</v>
      </c>
      <c r="C200" s="31"/>
      <c r="D200" s="31" t="s">
        <v>317</v>
      </c>
      <c r="E200" s="25">
        <v>45174</v>
      </c>
      <c r="F200" s="26" t="s">
        <v>1</v>
      </c>
    </row>
    <row r="201" spans="1:6" ht="16.8" customHeight="1" x14ac:dyDescent="0.3">
      <c r="A201" s="20">
        <v>41798</v>
      </c>
      <c r="B201" s="31" t="s">
        <v>318</v>
      </c>
      <c r="C201" s="31"/>
      <c r="D201" s="31" t="s">
        <v>319</v>
      </c>
      <c r="E201" s="25">
        <v>45174</v>
      </c>
      <c r="F201" s="26" t="s">
        <v>1</v>
      </c>
    </row>
    <row r="202" spans="1:6" ht="16.8" customHeight="1" x14ac:dyDescent="0.3">
      <c r="A202" s="20">
        <v>41799</v>
      </c>
      <c r="B202" s="31" t="s">
        <v>320</v>
      </c>
      <c r="C202" s="31" t="s">
        <v>26</v>
      </c>
      <c r="D202" s="31" t="s">
        <v>121</v>
      </c>
      <c r="E202" s="25">
        <v>45198</v>
      </c>
      <c r="F202" s="26" t="s">
        <v>4</v>
      </c>
    </row>
    <row r="203" spans="1:6" ht="16.8" customHeight="1" x14ac:dyDescent="0.3">
      <c r="A203" s="20">
        <v>41800</v>
      </c>
      <c r="B203" s="31" t="s">
        <v>321</v>
      </c>
      <c r="C203" s="31" t="s">
        <v>249</v>
      </c>
      <c r="D203" s="31" t="s">
        <v>207</v>
      </c>
      <c r="E203" s="25">
        <v>45198</v>
      </c>
      <c r="F203" s="26" t="s">
        <v>6</v>
      </c>
    </row>
    <row r="204" spans="1:6" ht="16.8" customHeight="1" x14ac:dyDescent="0.3">
      <c r="A204" s="20">
        <v>41801</v>
      </c>
      <c r="B204" s="31" t="s">
        <v>322</v>
      </c>
      <c r="C204" s="31" t="s">
        <v>323</v>
      </c>
      <c r="D204" s="31" t="s">
        <v>324</v>
      </c>
      <c r="E204" s="25">
        <v>45175</v>
      </c>
      <c r="F204" s="26" t="s">
        <v>1</v>
      </c>
    </row>
    <row r="205" spans="1:6" ht="16.8" customHeight="1" x14ac:dyDescent="0.3">
      <c r="A205" s="20">
        <v>41802</v>
      </c>
      <c r="B205" s="31"/>
      <c r="C205" s="31"/>
      <c r="D205" s="31"/>
      <c r="E205" s="25"/>
      <c r="F205" s="26" t="s">
        <v>10</v>
      </c>
    </row>
    <row r="206" spans="1:6" ht="16.8" customHeight="1" x14ac:dyDescent="0.3">
      <c r="A206" s="20">
        <v>41803</v>
      </c>
      <c r="B206" s="31" t="s">
        <v>325</v>
      </c>
      <c r="C206" s="31" t="s">
        <v>75</v>
      </c>
      <c r="D206" s="31" t="s">
        <v>207</v>
      </c>
      <c r="E206" s="25">
        <v>45198</v>
      </c>
      <c r="F206" s="26" t="s">
        <v>6</v>
      </c>
    </row>
    <row r="207" spans="1:6" ht="16.8" customHeight="1" x14ac:dyDescent="0.3">
      <c r="A207" s="20">
        <v>41804</v>
      </c>
      <c r="B207" s="31" t="s">
        <v>326</v>
      </c>
      <c r="C207" s="31"/>
      <c r="D207" s="31" t="s">
        <v>27</v>
      </c>
      <c r="E207" s="25">
        <v>45180</v>
      </c>
      <c r="F207" s="26" t="s">
        <v>1</v>
      </c>
    </row>
    <row r="208" spans="1:6" ht="16.8" customHeight="1" x14ac:dyDescent="0.3">
      <c r="A208" s="20">
        <v>41805</v>
      </c>
      <c r="B208" s="31" t="s">
        <v>62</v>
      </c>
      <c r="C208" s="31"/>
      <c r="D208" s="31" t="s">
        <v>27</v>
      </c>
      <c r="E208" s="25">
        <v>45181</v>
      </c>
      <c r="F208" s="26" t="s">
        <v>1</v>
      </c>
    </row>
    <row r="209" spans="1:6" ht="16.8" customHeight="1" x14ac:dyDescent="0.3">
      <c r="A209" s="20">
        <v>41806</v>
      </c>
      <c r="B209" s="31" t="s">
        <v>122</v>
      </c>
      <c r="C209" s="31" t="s">
        <v>125</v>
      </c>
      <c r="D209" s="31" t="s">
        <v>146</v>
      </c>
      <c r="E209" s="25">
        <v>45190</v>
      </c>
      <c r="F209" s="26" t="s">
        <v>1</v>
      </c>
    </row>
    <row r="210" spans="1:6" ht="16.8" customHeight="1" x14ac:dyDescent="0.3">
      <c r="A210" s="20">
        <v>41807</v>
      </c>
      <c r="B210" s="31"/>
      <c r="C210" s="31"/>
      <c r="D210" s="31"/>
      <c r="E210" s="25"/>
      <c r="F210" s="26" t="s">
        <v>10</v>
      </c>
    </row>
    <row r="211" spans="1:6" ht="16.8" customHeight="1" x14ac:dyDescent="0.3">
      <c r="A211" s="20">
        <v>41808</v>
      </c>
      <c r="B211" s="31" t="s">
        <v>259</v>
      </c>
      <c r="C211" s="31" t="s">
        <v>327</v>
      </c>
      <c r="D211" s="31" t="s">
        <v>121</v>
      </c>
      <c r="E211" s="25">
        <v>45194</v>
      </c>
      <c r="F211" s="26" t="s">
        <v>4</v>
      </c>
    </row>
    <row r="212" spans="1:6" ht="16.8" customHeight="1" x14ac:dyDescent="0.3">
      <c r="A212" s="20">
        <v>41809</v>
      </c>
      <c r="B212" s="31" t="s">
        <v>328</v>
      </c>
      <c r="C212" s="31" t="s">
        <v>329</v>
      </c>
      <c r="D212" s="31"/>
      <c r="E212" s="25">
        <v>45177</v>
      </c>
      <c r="F212" s="26" t="s">
        <v>4</v>
      </c>
    </row>
    <row r="213" spans="1:6" ht="16.8" customHeight="1" x14ac:dyDescent="0.3">
      <c r="A213" s="20">
        <v>41810</v>
      </c>
      <c r="B213" s="31" t="s">
        <v>286</v>
      </c>
      <c r="C213" s="31" t="s">
        <v>287</v>
      </c>
      <c r="D213" s="31" t="s">
        <v>330</v>
      </c>
      <c r="E213" s="25">
        <v>45197</v>
      </c>
      <c r="F213" s="26" t="s">
        <v>1</v>
      </c>
    </row>
    <row r="214" spans="1:6" ht="16.8" customHeight="1" x14ac:dyDescent="0.3">
      <c r="A214" s="20">
        <v>41811</v>
      </c>
      <c r="B214" s="31" t="s">
        <v>83</v>
      </c>
      <c r="C214" s="31" t="s">
        <v>331</v>
      </c>
      <c r="D214" s="31" t="s">
        <v>332</v>
      </c>
      <c r="E214" s="25">
        <v>45177</v>
      </c>
      <c r="F214" s="26" t="s">
        <v>1</v>
      </c>
    </row>
    <row r="215" spans="1:6" ht="16.8" customHeight="1" x14ac:dyDescent="0.3">
      <c r="A215" s="20">
        <v>41812</v>
      </c>
      <c r="B215" s="31" t="s">
        <v>83</v>
      </c>
      <c r="C215" s="31" t="s">
        <v>331</v>
      </c>
      <c r="D215" s="31" t="s">
        <v>332</v>
      </c>
      <c r="E215" s="25">
        <v>45177</v>
      </c>
      <c r="F215" s="26" t="s">
        <v>2</v>
      </c>
    </row>
    <row r="216" spans="1:6" ht="16.8" customHeight="1" x14ac:dyDescent="0.3">
      <c r="A216" s="20">
        <v>41813</v>
      </c>
      <c r="B216" s="31" t="s">
        <v>187</v>
      </c>
      <c r="C216" s="31" t="s">
        <v>148</v>
      </c>
      <c r="D216" s="31" t="s">
        <v>40</v>
      </c>
      <c r="E216" s="25">
        <v>45177</v>
      </c>
      <c r="F216" s="26" t="s">
        <v>3</v>
      </c>
    </row>
    <row r="217" spans="1:6" ht="16.8" customHeight="1" x14ac:dyDescent="0.3">
      <c r="A217" s="20">
        <v>41814</v>
      </c>
      <c r="B217" s="31" t="s">
        <v>333</v>
      </c>
      <c r="C217" s="31" t="s">
        <v>334</v>
      </c>
      <c r="D217" s="31" t="s">
        <v>335</v>
      </c>
      <c r="E217" s="25">
        <v>45177</v>
      </c>
      <c r="F217" s="26" t="s">
        <v>3</v>
      </c>
    </row>
    <row r="218" spans="1:6" ht="16.8" customHeight="1" x14ac:dyDescent="0.3">
      <c r="A218" s="20">
        <v>41815</v>
      </c>
      <c r="B218" s="31" t="s">
        <v>333</v>
      </c>
      <c r="C218" s="31" t="s">
        <v>334</v>
      </c>
      <c r="D218" s="31" t="s">
        <v>335</v>
      </c>
      <c r="E218" s="25">
        <v>45177</v>
      </c>
      <c r="F218" s="26" t="s">
        <v>7</v>
      </c>
    </row>
    <row r="219" spans="1:6" ht="16.8" customHeight="1" x14ac:dyDescent="0.3">
      <c r="A219" s="20">
        <v>41816</v>
      </c>
      <c r="B219" s="31" t="s">
        <v>333</v>
      </c>
      <c r="C219" s="31" t="s">
        <v>334</v>
      </c>
      <c r="D219" s="31" t="s">
        <v>335</v>
      </c>
      <c r="E219" s="25">
        <v>45177</v>
      </c>
      <c r="F219" s="26" t="s">
        <v>3</v>
      </c>
    </row>
    <row r="220" spans="1:6" ht="16.8" customHeight="1" x14ac:dyDescent="0.3">
      <c r="A220" s="20">
        <v>41817</v>
      </c>
      <c r="B220" s="31" t="s">
        <v>333</v>
      </c>
      <c r="C220" s="31" t="s">
        <v>334</v>
      </c>
      <c r="D220" s="31" t="s">
        <v>335</v>
      </c>
      <c r="E220" s="25">
        <v>45177</v>
      </c>
      <c r="F220" s="26" t="s">
        <v>7</v>
      </c>
    </row>
    <row r="221" spans="1:6" ht="16.8" customHeight="1" x14ac:dyDescent="0.3">
      <c r="A221" s="20">
        <v>41818</v>
      </c>
      <c r="B221" s="31" t="s">
        <v>333</v>
      </c>
      <c r="C221" s="31" t="s">
        <v>334</v>
      </c>
      <c r="D221" s="31" t="s">
        <v>176</v>
      </c>
      <c r="E221" s="25">
        <v>45177</v>
      </c>
      <c r="F221" s="26" t="s">
        <v>3</v>
      </c>
    </row>
    <row r="222" spans="1:6" ht="16.8" customHeight="1" x14ac:dyDescent="0.3">
      <c r="A222" s="20">
        <v>41819</v>
      </c>
      <c r="B222" s="31" t="s">
        <v>333</v>
      </c>
      <c r="C222" s="31" t="s">
        <v>334</v>
      </c>
      <c r="D222" s="31" t="s">
        <v>176</v>
      </c>
      <c r="E222" s="25">
        <v>45177</v>
      </c>
      <c r="F222" s="26" t="s">
        <v>7</v>
      </c>
    </row>
    <row r="223" spans="1:6" ht="16.8" customHeight="1" x14ac:dyDescent="0.3">
      <c r="A223" s="20">
        <v>41820</v>
      </c>
      <c r="B223" s="31" t="s">
        <v>333</v>
      </c>
      <c r="C223" s="31" t="s">
        <v>334</v>
      </c>
      <c r="D223" s="31" t="s">
        <v>255</v>
      </c>
      <c r="E223" s="25">
        <v>45177</v>
      </c>
      <c r="F223" s="26" t="s">
        <v>3</v>
      </c>
    </row>
    <row r="224" spans="1:6" ht="16.8" customHeight="1" x14ac:dyDescent="0.3">
      <c r="A224" s="20">
        <v>41821</v>
      </c>
      <c r="B224" s="31" t="s">
        <v>336</v>
      </c>
      <c r="C224" s="31" t="s">
        <v>45</v>
      </c>
      <c r="D224" s="31" t="s">
        <v>121</v>
      </c>
      <c r="E224" s="25">
        <v>45198</v>
      </c>
      <c r="F224" s="26" t="s">
        <v>4</v>
      </c>
    </row>
    <row r="225" spans="1:6" ht="16.8" customHeight="1" x14ac:dyDescent="0.3">
      <c r="A225" s="20">
        <v>41822</v>
      </c>
      <c r="B225" s="31" t="s">
        <v>337</v>
      </c>
      <c r="C225" s="31" t="s">
        <v>75</v>
      </c>
      <c r="D225" s="31" t="s">
        <v>338</v>
      </c>
      <c r="E225" s="25">
        <v>45177</v>
      </c>
      <c r="F225" s="26" t="s">
        <v>2</v>
      </c>
    </row>
    <row r="226" spans="1:6" ht="16.8" customHeight="1" x14ac:dyDescent="0.3">
      <c r="A226" s="20">
        <v>41823</v>
      </c>
      <c r="B226" s="31" t="s">
        <v>339</v>
      </c>
      <c r="C226" s="31" t="s">
        <v>106</v>
      </c>
      <c r="D226" s="31" t="s">
        <v>340</v>
      </c>
      <c r="E226" s="25">
        <v>45219</v>
      </c>
      <c r="F226" s="26" t="s">
        <v>1</v>
      </c>
    </row>
    <row r="227" spans="1:6" ht="16.8" customHeight="1" x14ac:dyDescent="0.3">
      <c r="A227" s="20">
        <v>41824</v>
      </c>
      <c r="B227" s="31" t="s">
        <v>237</v>
      </c>
      <c r="C227" s="31" t="s">
        <v>84</v>
      </c>
      <c r="D227" s="31" t="s">
        <v>341</v>
      </c>
      <c r="E227" s="25">
        <v>45190</v>
      </c>
      <c r="F227" s="26" t="s">
        <v>1</v>
      </c>
    </row>
    <row r="228" spans="1:6" ht="16.8" customHeight="1" x14ac:dyDescent="0.3">
      <c r="A228" s="20">
        <v>41825</v>
      </c>
      <c r="B228" s="31" t="s">
        <v>342</v>
      </c>
      <c r="C228" s="31" t="s">
        <v>234</v>
      </c>
      <c r="D228" s="31" t="s">
        <v>121</v>
      </c>
      <c r="E228" s="25">
        <v>45191</v>
      </c>
      <c r="F228" s="26" t="s">
        <v>4</v>
      </c>
    </row>
    <row r="229" spans="1:6" ht="16.8" customHeight="1" x14ac:dyDescent="0.3">
      <c r="A229" s="20">
        <v>41826</v>
      </c>
      <c r="B229" s="31" t="s">
        <v>343</v>
      </c>
      <c r="C229" s="31" t="s">
        <v>344</v>
      </c>
      <c r="D229" s="31" t="s">
        <v>85</v>
      </c>
      <c r="E229" s="25">
        <v>45198</v>
      </c>
      <c r="F229" s="26" t="s">
        <v>1</v>
      </c>
    </row>
    <row r="230" spans="1:6" ht="16.8" customHeight="1" x14ac:dyDescent="0.3">
      <c r="A230" s="20">
        <v>41827</v>
      </c>
      <c r="B230" s="31"/>
      <c r="C230" s="31"/>
      <c r="D230" s="31"/>
      <c r="E230" s="25"/>
      <c r="F230" s="26" t="s">
        <v>10</v>
      </c>
    </row>
    <row r="231" spans="1:6" ht="16.8" customHeight="1" x14ac:dyDescent="0.3">
      <c r="A231" s="20">
        <v>41828</v>
      </c>
      <c r="B231" s="31" t="s">
        <v>345</v>
      </c>
      <c r="C231" s="31" t="s">
        <v>84</v>
      </c>
      <c r="D231" s="31" t="s">
        <v>346</v>
      </c>
      <c r="E231" s="25">
        <v>45198</v>
      </c>
      <c r="F231" s="26" t="s">
        <v>1</v>
      </c>
    </row>
    <row r="232" spans="1:6" ht="16.8" customHeight="1" x14ac:dyDescent="0.3">
      <c r="A232" s="20">
        <v>41829</v>
      </c>
      <c r="B232" s="31" t="s">
        <v>56</v>
      </c>
      <c r="C232" s="31" t="s">
        <v>82</v>
      </c>
      <c r="D232" s="31" t="s">
        <v>347</v>
      </c>
      <c r="E232" s="25">
        <v>45196</v>
      </c>
      <c r="F232" s="26" t="s">
        <v>1</v>
      </c>
    </row>
    <row r="233" spans="1:6" ht="16.8" customHeight="1" x14ac:dyDescent="0.3">
      <c r="A233" s="20">
        <v>41830</v>
      </c>
      <c r="B233" s="31" t="s">
        <v>225</v>
      </c>
      <c r="C233" s="31" t="s">
        <v>348</v>
      </c>
      <c r="D233" s="31" t="s">
        <v>349</v>
      </c>
      <c r="E233" s="25">
        <v>45198</v>
      </c>
      <c r="F233" s="26" t="s">
        <v>8</v>
      </c>
    </row>
    <row r="234" spans="1:6" ht="16.8" customHeight="1" x14ac:dyDescent="0.3">
      <c r="A234" s="20">
        <v>41831</v>
      </c>
      <c r="B234" s="31" t="s">
        <v>350</v>
      </c>
      <c r="C234" s="31" t="s">
        <v>351</v>
      </c>
      <c r="D234" s="31" t="s">
        <v>352</v>
      </c>
      <c r="E234" s="25">
        <v>45198</v>
      </c>
      <c r="F234" s="26" t="s">
        <v>2</v>
      </c>
    </row>
    <row r="235" spans="1:6" ht="16.8" customHeight="1" x14ac:dyDescent="0.3">
      <c r="A235" s="20">
        <v>41832</v>
      </c>
      <c r="B235" s="31" t="s">
        <v>353</v>
      </c>
      <c r="C235" s="31" t="s">
        <v>32</v>
      </c>
      <c r="D235" s="31" t="s">
        <v>354</v>
      </c>
      <c r="E235" s="25">
        <v>45194</v>
      </c>
      <c r="F235" s="26" t="s">
        <v>4</v>
      </c>
    </row>
    <row r="236" spans="1:6" ht="16.8" customHeight="1" x14ac:dyDescent="0.3">
      <c r="A236" s="20">
        <v>41833</v>
      </c>
      <c r="B236" s="31" t="s">
        <v>41</v>
      </c>
      <c r="C236" s="31"/>
      <c r="D236" s="31" t="s">
        <v>355</v>
      </c>
      <c r="E236" s="25">
        <v>45198</v>
      </c>
      <c r="F236" s="26" t="s">
        <v>4</v>
      </c>
    </row>
    <row r="237" spans="1:6" ht="16.8" customHeight="1" x14ac:dyDescent="0.3">
      <c r="A237" s="20">
        <v>41834</v>
      </c>
      <c r="B237" s="31" t="s">
        <v>187</v>
      </c>
      <c r="C237" s="31" t="s">
        <v>106</v>
      </c>
      <c r="D237" s="31" t="s">
        <v>356</v>
      </c>
      <c r="E237" s="25">
        <v>45198</v>
      </c>
      <c r="F237" s="26" t="s">
        <v>1</v>
      </c>
    </row>
    <row r="238" spans="1:6" ht="16.8" customHeight="1" x14ac:dyDescent="0.3">
      <c r="A238" s="20">
        <v>41835</v>
      </c>
      <c r="B238" s="31"/>
      <c r="C238" s="31"/>
      <c r="D238" s="31"/>
      <c r="E238" s="25"/>
      <c r="F238" s="26" t="s">
        <v>10</v>
      </c>
    </row>
    <row r="239" spans="1:6" ht="16.8" customHeight="1" x14ac:dyDescent="0.3">
      <c r="A239" s="20">
        <v>41836</v>
      </c>
      <c r="B239" s="31" t="s">
        <v>357</v>
      </c>
      <c r="C239" s="31" t="s">
        <v>358</v>
      </c>
      <c r="D239" s="31" t="s">
        <v>359</v>
      </c>
      <c r="E239" s="25">
        <v>45190</v>
      </c>
      <c r="F239" s="26" t="s">
        <v>1</v>
      </c>
    </row>
    <row r="240" spans="1:6" ht="16.8" customHeight="1" x14ac:dyDescent="0.3">
      <c r="A240" s="20">
        <v>41837</v>
      </c>
      <c r="B240" s="31" t="s">
        <v>360</v>
      </c>
      <c r="C240" s="31"/>
      <c r="D240" s="31" t="s">
        <v>361</v>
      </c>
      <c r="E240" s="25">
        <v>45182</v>
      </c>
      <c r="F240" s="26" t="s">
        <v>9</v>
      </c>
    </row>
    <row r="241" spans="1:6" ht="16.8" customHeight="1" x14ac:dyDescent="0.3">
      <c r="A241" s="20">
        <v>41838</v>
      </c>
      <c r="B241" s="31" t="s">
        <v>56</v>
      </c>
      <c r="C241" s="31" t="s">
        <v>362</v>
      </c>
      <c r="D241" s="31" t="s">
        <v>27</v>
      </c>
      <c r="E241" s="25">
        <v>45191</v>
      </c>
      <c r="F241" s="26" t="s">
        <v>1</v>
      </c>
    </row>
    <row r="242" spans="1:6" ht="16.8" customHeight="1" x14ac:dyDescent="0.3">
      <c r="A242" s="20">
        <v>41839</v>
      </c>
      <c r="B242" s="31" t="s">
        <v>86</v>
      </c>
      <c r="C242" s="31" t="s">
        <v>45</v>
      </c>
      <c r="D242" s="31" t="s">
        <v>121</v>
      </c>
      <c r="E242" s="25">
        <v>45198</v>
      </c>
      <c r="F242" s="26" t="s">
        <v>4</v>
      </c>
    </row>
    <row r="243" spans="1:6" ht="16.8" customHeight="1" x14ac:dyDescent="0.3">
      <c r="A243" s="20">
        <v>41840</v>
      </c>
      <c r="B243" s="31" t="s">
        <v>363</v>
      </c>
      <c r="C243" s="31" t="s">
        <v>227</v>
      </c>
      <c r="D243" s="31" t="s">
        <v>364</v>
      </c>
      <c r="E243" s="25">
        <v>45198</v>
      </c>
      <c r="F243" s="26" t="s">
        <v>1</v>
      </c>
    </row>
    <row r="244" spans="1:6" ht="16.8" customHeight="1" x14ac:dyDescent="0.3">
      <c r="A244" s="20">
        <v>41841</v>
      </c>
      <c r="B244" s="31" t="s">
        <v>365</v>
      </c>
      <c r="C244" s="31" t="s">
        <v>148</v>
      </c>
      <c r="D244" s="31" t="s">
        <v>366</v>
      </c>
      <c r="E244" s="25">
        <v>45190</v>
      </c>
      <c r="F244" s="26" t="s">
        <v>1</v>
      </c>
    </row>
    <row r="245" spans="1:6" ht="16.8" customHeight="1" x14ac:dyDescent="0.3">
      <c r="A245" s="20">
        <v>41842</v>
      </c>
      <c r="B245" s="31" t="s">
        <v>325</v>
      </c>
      <c r="C245" s="31" t="s">
        <v>367</v>
      </c>
      <c r="D245" s="31" t="s">
        <v>163</v>
      </c>
      <c r="E245" s="25">
        <v>45198</v>
      </c>
      <c r="F245" s="26" t="s">
        <v>2</v>
      </c>
    </row>
    <row r="246" spans="1:6" ht="16.8" customHeight="1" x14ac:dyDescent="0.3">
      <c r="A246" s="20">
        <v>41843</v>
      </c>
      <c r="B246" s="31" t="s">
        <v>368</v>
      </c>
      <c r="C246" s="31" t="s">
        <v>369</v>
      </c>
      <c r="D246" s="31" t="s">
        <v>255</v>
      </c>
      <c r="E246" s="25">
        <v>45188</v>
      </c>
      <c r="F246" s="26" t="s">
        <v>1</v>
      </c>
    </row>
    <row r="247" spans="1:6" ht="16.8" customHeight="1" x14ac:dyDescent="0.3">
      <c r="A247" s="20">
        <v>41844</v>
      </c>
      <c r="B247" s="31"/>
      <c r="C247" s="31"/>
      <c r="D247" s="31"/>
      <c r="E247" s="25"/>
      <c r="F247" s="26" t="s">
        <v>10</v>
      </c>
    </row>
    <row r="248" spans="1:6" ht="16.8" customHeight="1" x14ac:dyDescent="0.3">
      <c r="A248" s="20">
        <v>41845</v>
      </c>
      <c r="B248" s="31" t="s">
        <v>41</v>
      </c>
      <c r="C248" s="31" t="s">
        <v>148</v>
      </c>
      <c r="D248" s="31" t="s">
        <v>98</v>
      </c>
      <c r="E248" s="25">
        <v>45198</v>
      </c>
      <c r="F248" s="26" t="s">
        <v>4</v>
      </c>
    </row>
    <row r="249" spans="1:6" ht="16.8" customHeight="1" x14ac:dyDescent="0.3">
      <c r="A249" s="20">
        <v>41846</v>
      </c>
      <c r="B249" s="31" t="s">
        <v>370</v>
      </c>
      <c r="C249" s="31" t="s">
        <v>277</v>
      </c>
      <c r="D249" s="31" t="s">
        <v>371</v>
      </c>
      <c r="E249" s="25">
        <v>45190</v>
      </c>
      <c r="F249" s="26" t="s">
        <v>1</v>
      </c>
    </row>
    <row r="250" spans="1:6" ht="16.8" customHeight="1" x14ac:dyDescent="0.3">
      <c r="A250" s="20">
        <v>41847</v>
      </c>
      <c r="B250" s="31" t="s">
        <v>350</v>
      </c>
      <c r="C250" s="31" t="s">
        <v>351</v>
      </c>
      <c r="D250" s="31" t="s">
        <v>372</v>
      </c>
      <c r="E250" s="25">
        <v>45198</v>
      </c>
      <c r="F250" s="26" t="s">
        <v>1</v>
      </c>
    </row>
    <row r="251" spans="1:6" ht="16.8" customHeight="1" x14ac:dyDescent="0.3">
      <c r="A251" s="20">
        <v>41848</v>
      </c>
      <c r="B251" s="31" t="s">
        <v>194</v>
      </c>
      <c r="C251" s="31" t="s">
        <v>84</v>
      </c>
      <c r="D251" s="31" t="s">
        <v>373</v>
      </c>
      <c r="E251" s="25">
        <v>45190</v>
      </c>
      <c r="F251" s="26" t="s">
        <v>1</v>
      </c>
    </row>
    <row r="252" spans="1:6" ht="16.8" customHeight="1" x14ac:dyDescent="0.3">
      <c r="A252" s="20">
        <v>41849</v>
      </c>
      <c r="B252" s="31"/>
      <c r="C252" s="31"/>
      <c r="D252" s="31"/>
      <c r="E252" s="25"/>
      <c r="F252" s="26" t="s">
        <v>10</v>
      </c>
    </row>
    <row r="253" spans="1:6" ht="16.8" customHeight="1" x14ac:dyDescent="0.3">
      <c r="A253" s="20">
        <v>41850</v>
      </c>
      <c r="B253" s="31" t="s">
        <v>225</v>
      </c>
      <c r="C253" s="31" t="s">
        <v>348</v>
      </c>
      <c r="D253" s="31" t="s">
        <v>374</v>
      </c>
      <c r="E253" s="25">
        <v>45243</v>
      </c>
      <c r="F253" s="26" t="s">
        <v>2</v>
      </c>
    </row>
    <row r="254" spans="1:6" ht="16.8" customHeight="1" x14ac:dyDescent="0.3">
      <c r="A254" s="20">
        <v>41851</v>
      </c>
      <c r="B254" s="31" t="s">
        <v>246</v>
      </c>
      <c r="C254" s="31"/>
      <c r="D254" s="31" t="s">
        <v>27</v>
      </c>
      <c r="E254" s="25">
        <v>45190</v>
      </c>
      <c r="F254" s="26" t="s">
        <v>1</v>
      </c>
    </row>
    <row r="255" spans="1:6" ht="16.8" customHeight="1" x14ac:dyDescent="0.3">
      <c r="A255" s="20">
        <v>41852</v>
      </c>
      <c r="B255" s="31" t="s">
        <v>375</v>
      </c>
      <c r="C255" s="31" t="s">
        <v>75</v>
      </c>
      <c r="D255" s="31" t="s">
        <v>376</v>
      </c>
      <c r="E255" s="25">
        <v>45189</v>
      </c>
      <c r="F255" s="26" t="s">
        <v>1</v>
      </c>
    </row>
    <row r="256" spans="1:6" ht="16.8" customHeight="1" x14ac:dyDescent="0.3">
      <c r="A256" s="20">
        <v>41853</v>
      </c>
      <c r="B256" s="31" t="s">
        <v>237</v>
      </c>
      <c r="C256" s="31" t="s">
        <v>84</v>
      </c>
      <c r="D256" s="31" t="s">
        <v>377</v>
      </c>
      <c r="E256" s="25">
        <v>45190</v>
      </c>
      <c r="F256" s="26" t="s">
        <v>1</v>
      </c>
    </row>
    <row r="257" spans="1:6" ht="16.8" customHeight="1" x14ac:dyDescent="0.3">
      <c r="A257" s="20">
        <v>41854</v>
      </c>
      <c r="B257" s="31" t="s">
        <v>41</v>
      </c>
      <c r="C257" s="31" t="s">
        <v>181</v>
      </c>
      <c r="D257" s="31" t="s">
        <v>58</v>
      </c>
      <c r="E257" s="25">
        <v>45194</v>
      </c>
      <c r="F257" s="26" t="s">
        <v>4</v>
      </c>
    </row>
    <row r="258" spans="1:6" ht="16.8" customHeight="1" x14ac:dyDescent="0.3">
      <c r="A258" s="20">
        <v>41855</v>
      </c>
      <c r="B258" s="31" t="s">
        <v>378</v>
      </c>
      <c r="C258" s="31" t="s">
        <v>379</v>
      </c>
      <c r="D258" s="31" t="s">
        <v>380</v>
      </c>
      <c r="E258" s="25">
        <v>45191</v>
      </c>
      <c r="F258" s="26" t="s">
        <v>1</v>
      </c>
    </row>
    <row r="259" spans="1:6" ht="16.8" customHeight="1" x14ac:dyDescent="0.3">
      <c r="A259" s="20">
        <v>41856</v>
      </c>
      <c r="B259" s="31" t="s">
        <v>381</v>
      </c>
      <c r="C259" s="31" t="s">
        <v>249</v>
      </c>
      <c r="D259" s="31" t="s">
        <v>145</v>
      </c>
      <c r="E259" s="25">
        <v>45216</v>
      </c>
      <c r="F259" s="26" t="s">
        <v>6</v>
      </c>
    </row>
    <row r="260" spans="1:6" ht="16.8" customHeight="1" x14ac:dyDescent="0.3">
      <c r="A260" s="20">
        <v>41857</v>
      </c>
      <c r="B260" s="31" t="s">
        <v>382</v>
      </c>
      <c r="C260" s="31"/>
      <c r="D260" s="31" t="s">
        <v>27</v>
      </c>
      <c r="E260" s="25">
        <v>45188</v>
      </c>
      <c r="F260" s="26" t="s">
        <v>1</v>
      </c>
    </row>
    <row r="261" spans="1:6" ht="16.8" customHeight="1" x14ac:dyDescent="0.3">
      <c r="A261" s="20">
        <v>41858</v>
      </c>
      <c r="B261" s="31" t="s">
        <v>264</v>
      </c>
      <c r="C261" s="31" t="s">
        <v>63</v>
      </c>
      <c r="D261" s="31" t="s">
        <v>172</v>
      </c>
      <c r="E261" s="25">
        <v>45198</v>
      </c>
      <c r="F261" s="26" t="s">
        <v>1</v>
      </c>
    </row>
    <row r="262" spans="1:6" ht="16.8" customHeight="1" x14ac:dyDescent="0.3">
      <c r="A262" s="20">
        <v>41859</v>
      </c>
      <c r="B262" s="31"/>
      <c r="C262" s="31"/>
      <c r="D262" s="31"/>
      <c r="E262" s="25"/>
      <c r="F262" s="26"/>
    </row>
    <row r="263" spans="1:6" ht="16.8" customHeight="1" x14ac:dyDescent="0.3">
      <c r="A263" s="20">
        <v>41860</v>
      </c>
      <c r="B263" s="31" t="s">
        <v>86</v>
      </c>
      <c r="C263" s="31" t="s">
        <v>45</v>
      </c>
      <c r="D263" s="31" t="s">
        <v>121</v>
      </c>
      <c r="E263" s="25">
        <v>45209</v>
      </c>
      <c r="F263" s="26" t="s">
        <v>4</v>
      </c>
    </row>
    <row r="264" spans="1:6" ht="16.8" customHeight="1" x14ac:dyDescent="0.3">
      <c r="A264" s="20">
        <v>41861</v>
      </c>
      <c r="B264" s="31" t="s">
        <v>350</v>
      </c>
      <c r="C264" s="31" t="s">
        <v>351</v>
      </c>
      <c r="D264" s="31" t="s">
        <v>383</v>
      </c>
      <c r="E264" s="25">
        <v>45189</v>
      </c>
      <c r="F264" s="26" t="s">
        <v>8</v>
      </c>
    </row>
    <row r="265" spans="1:6" ht="16.8" customHeight="1" x14ac:dyDescent="0.3">
      <c r="A265" s="20">
        <v>41862</v>
      </c>
      <c r="B265" s="31" t="s">
        <v>384</v>
      </c>
      <c r="C265" s="31" t="s">
        <v>385</v>
      </c>
      <c r="D265" s="31" t="s">
        <v>386</v>
      </c>
      <c r="E265" s="25">
        <v>45198</v>
      </c>
      <c r="F265" s="26" t="s">
        <v>1</v>
      </c>
    </row>
    <row r="266" spans="1:6" ht="16.8" customHeight="1" x14ac:dyDescent="0.3">
      <c r="A266" s="20">
        <v>41863</v>
      </c>
      <c r="B266" s="31" t="s">
        <v>225</v>
      </c>
      <c r="C266" s="31" t="s">
        <v>226</v>
      </c>
      <c r="D266" s="31" t="s">
        <v>186</v>
      </c>
      <c r="E266" s="25">
        <v>45195</v>
      </c>
      <c r="F266" s="26" t="s">
        <v>1</v>
      </c>
    </row>
    <row r="267" spans="1:6" ht="16.8" customHeight="1" x14ac:dyDescent="0.3">
      <c r="A267" s="20">
        <v>41864</v>
      </c>
      <c r="B267" s="31" t="s">
        <v>74</v>
      </c>
      <c r="C267" s="31" t="s">
        <v>367</v>
      </c>
      <c r="D267" s="31" t="s">
        <v>121</v>
      </c>
      <c r="E267" s="25">
        <v>45198</v>
      </c>
      <c r="F267" s="26" t="s">
        <v>4</v>
      </c>
    </row>
    <row r="268" spans="1:6" ht="16.8" customHeight="1" x14ac:dyDescent="0.3">
      <c r="A268" s="20">
        <v>41865</v>
      </c>
      <c r="B268" s="31" t="s">
        <v>387</v>
      </c>
      <c r="C268" s="31" t="s">
        <v>388</v>
      </c>
      <c r="D268" s="31" t="s">
        <v>121</v>
      </c>
      <c r="E268" s="25">
        <v>45196</v>
      </c>
      <c r="F268" s="26" t="s">
        <v>4</v>
      </c>
    </row>
    <row r="269" spans="1:6" ht="16.8" customHeight="1" x14ac:dyDescent="0.3">
      <c r="A269" s="20">
        <v>41866</v>
      </c>
      <c r="B269" s="31" t="s">
        <v>387</v>
      </c>
      <c r="C269" s="31" t="s">
        <v>388</v>
      </c>
      <c r="D269" s="31" t="s">
        <v>121</v>
      </c>
      <c r="E269" s="25">
        <v>45196</v>
      </c>
      <c r="F269" s="26" t="s">
        <v>4</v>
      </c>
    </row>
    <row r="270" spans="1:6" ht="16.8" customHeight="1" x14ac:dyDescent="0.3">
      <c r="A270" s="20">
        <v>41867</v>
      </c>
      <c r="B270" s="31" t="s">
        <v>56</v>
      </c>
      <c r="C270" s="31" t="s">
        <v>244</v>
      </c>
      <c r="D270" s="31" t="s">
        <v>146</v>
      </c>
      <c r="E270" s="25">
        <v>45198</v>
      </c>
      <c r="F270" s="26" t="s">
        <v>1</v>
      </c>
    </row>
    <row r="271" spans="1:6" ht="16.8" customHeight="1" x14ac:dyDescent="0.3">
      <c r="A271" s="20">
        <v>41868</v>
      </c>
      <c r="B271" s="31" t="s">
        <v>389</v>
      </c>
      <c r="C271" s="31" t="s">
        <v>390</v>
      </c>
      <c r="D271" s="31" t="s">
        <v>391</v>
      </c>
      <c r="E271" s="25">
        <v>45198</v>
      </c>
      <c r="F271" s="26" t="s">
        <v>1</v>
      </c>
    </row>
    <row r="272" spans="1:6" ht="16.8" customHeight="1" x14ac:dyDescent="0.3">
      <c r="A272" s="20">
        <v>41869</v>
      </c>
      <c r="B272" s="31" t="s">
        <v>99</v>
      </c>
      <c r="C272" s="31" t="s">
        <v>392</v>
      </c>
      <c r="D272" s="31" t="s">
        <v>176</v>
      </c>
      <c r="E272" s="25">
        <v>45198</v>
      </c>
      <c r="F272" s="26" t="s">
        <v>1</v>
      </c>
    </row>
    <row r="273" spans="1:6" ht="16.8" customHeight="1" x14ac:dyDescent="0.3">
      <c r="A273" s="20">
        <v>41870</v>
      </c>
      <c r="B273" s="31" t="s">
        <v>326</v>
      </c>
      <c r="C273" s="31"/>
      <c r="D273" s="31" t="s">
        <v>27</v>
      </c>
      <c r="E273" s="25">
        <v>45198</v>
      </c>
      <c r="F273" s="26" t="s">
        <v>1</v>
      </c>
    </row>
    <row r="274" spans="1:6" ht="16.8" customHeight="1" x14ac:dyDescent="0.3">
      <c r="A274" s="20">
        <v>41871</v>
      </c>
      <c r="B274" s="31" t="s">
        <v>393</v>
      </c>
      <c r="C274" s="31"/>
      <c r="D274" s="31" t="s">
        <v>27</v>
      </c>
      <c r="E274" s="25">
        <v>45196</v>
      </c>
      <c r="F274" s="26" t="s">
        <v>1</v>
      </c>
    </row>
    <row r="275" spans="1:6" ht="16.8" customHeight="1" x14ac:dyDescent="0.3">
      <c r="A275" s="20">
        <v>41872</v>
      </c>
      <c r="B275" s="31" t="s">
        <v>237</v>
      </c>
      <c r="C275" s="31" t="s">
        <v>84</v>
      </c>
      <c r="D275" s="31" t="s">
        <v>265</v>
      </c>
      <c r="E275" s="25">
        <v>45196</v>
      </c>
      <c r="F275" s="26" t="s">
        <v>1</v>
      </c>
    </row>
    <row r="276" spans="1:6" ht="16.8" customHeight="1" x14ac:dyDescent="0.3">
      <c r="A276" s="20">
        <v>41873</v>
      </c>
      <c r="B276" s="31" t="s">
        <v>394</v>
      </c>
      <c r="C276" s="31" t="s">
        <v>395</v>
      </c>
      <c r="D276" s="31" t="s">
        <v>396</v>
      </c>
      <c r="E276" s="25">
        <v>45198</v>
      </c>
      <c r="F276" s="26" t="s">
        <v>1</v>
      </c>
    </row>
    <row r="277" spans="1:6" ht="16.8" customHeight="1" x14ac:dyDescent="0.3">
      <c r="A277" s="20">
        <v>41874</v>
      </c>
      <c r="B277" s="31" t="s">
        <v>90</v>
      </c>
      <c r="C277" s="31" t="s">
        <v>217</v>
      </c>
      <c r="D277" s="31" t="s">
        <v>397</v>
      </c>
      <c r="E277" s="25">
        <v>45219</v>
      </c>
      <c r="F277" s="26" t="s">
        <v>1</v>
      </c>
    </row>
    <row r="278" spans="1:6" ht="16.8" customHeight="1" x14ac:dyDescent="0.3">
      <c r="A278" s="20">
        <v>41875</v>
      </c>
      <c r="B278" s="31" t="s">
        <v>398</v>
      </c>
      <c r="C278" s="31" t="s">
        <v>120</v>
      </c>
      <c r="D278" s="31" t="s">
        <v>121</v>
      </c>
      <c r="E278" s="25">
        <v>45198</v>
      </c>
      <c r="F278" s="26" t="s">
        <v>4</v>
      </c>
    </row>
    <row r="279" spans="1:6" ht="16.8" customHeight="1" x14ac:dyDescent="0.3">
      <c r="A279" s="20">
        <v>41876</v>
      </c>
      <c r="B279" s="31" t="s">
        <v>399</v>
      </c>
      <c r="C279" s="31" t="s">
        <v>400</v>
      </c>
      <c r="D279" s="31" t="s">
        <v>401</v>
      </c>
      <c r="E279" s="25">
        <v>45198</v>
      </c>
      <c r="F279" s="26" t="s">
        <v>1</v>
      </c>
    </row>
    <row r="280" spans="1:6" ht="16.8" customHeight="1" x14ac:dyDescent="0.3">
      <c r="A280" s="20">
        <v>41877</v>
      </c>
      <c r="B280" s="31" t="s">
        <v>402</v>
      </c>
      <c r="C280" s="31" t="s">
        <v>148</v>
      </c>
      <c r="D280" s="31" t="s">
        <v>403</v>
      </c>
      <c r="E280" s="25">
        <v>45198</v>
      </c>
      <c r="F280" s="26" t="s">
        <v>1</v>
      </c>
    </row>
    <row r="281" spans="1:6" ht="16.8" customHeight="1" x14ac:dyDescent="0.3">
      <c r="A281" s="20">
        <v>41878</v>
      </c>
      <c r="B281" s="31"/>
      <c r="C281" s="31"/>
      <c r="D281" s="31"/>
      <c r="E281" s="25"/>
      <c r="F281" s="26" t="s">
        <v>10</v>
      </c>
    </row>
    <row r="282" spans="1:6" ht="16.8" customHeight="1" x14ac:dyDescent="0.3">
      <c r="A282" s="20">
        <v>41879</v>
      </c>
      <c r="B282" s="31"/>
      <c r="C282" s="31"/>
      <c r="D282" s="31"/>
      <c r="E282" s="25"/>
      <c r="F282" s="26" t="s">
        <v>10</v>
      </c>
    </row>
    <row r="283" spans="1:6" ht="16.8" customHeight="1" x14ac:dyDescent="0.3">
      <c r="A283" s="20">
        <v>41880</v>
      </c>
      <c r="B283" s="31" t="s">
        <v>404</v>
      </c>
      <c r="C283" s="31"/>
      <c r="D283" s="31" t="s">
        <v>405</v>
      </c>
      <c r="E283" s="25">
        <v>45232</v>
      </c>
      <c r="F283" s="26" t="s">
        <v>1</v>
      </c>
    </row>
    <row r="284" spans="1:6" ht="16.8" customHeight="1" x14ac:dyDescent="0.3">
      <c r="A284" s="20">
        <v>41881</v>
      </c>
      <c r="B284" s="31" t="s">
        <v>406</v>
      </c>
      <c r="C284" s="31" t="s">
        <v>407</v>
      </c>
      <c r="D284" s="31" t="s">
        <v>255</v>
      </c>
      <c r="E284" s="25">
        <v>45258</v>
      </c>
      <c r="F284" s="26" t="s">
        <v>1</v>
      </c>
    </row>
    <row r="285" spans="1:6" ht="16.8" customHeight="1" x14ac:dyDescent="0.3">
      <c r="A285" s="20">
        <v>41882</v>
      </c>
      <c r="B285" s="31"/>
      <c r="C285" s="31"/>
      <c r="D285" s="31"/>
      <c r="E285" s="25"/>
      <c r="F285" s="26" t="s">
        <v>10</v>
      </c>
    </row>
    <row r="286" spans="1:6" ht="16.8" customHeight="1" x14ac:dyDescent="0.3">
      <c r="A286" s="20">
        <v>41883</v>
      </c>
      <c r="B286" s="31" t="s">
        <v>65</v>
      </c>
      <c r="C286" s="31" t="s">
        <v>408</v>
      </c>
      <c r="D286" s="31" t="s">
        <v>255</v>
      </c>
      <c r="E286" s="25">
        <v>45198</v>
      </c>
      <c r="F286" s="26" t="s">
        <v>1</v>
      </c>
    </row>
    <row r="287" spans="1:6" ht="16.8" customHeight="1" x14ac:dyDescent="0.3">
      <c r="A287" s="20">
        <v>41884</v>
      </c>
      <c r="B287" s="31" t="s">
        <v>409</v>
      </c>
      <c r="C287" s="31" t="s">
        <v>63</v>
      </c>
      <c r="D287" s="31" t="s">
        <v>182</v>
      </c>
      <c r="E287" s="25">
        <v>45219</v>
      </c>
      <c r="F287" s="26" t="s">
        <v>1</v>
      </c>
    </row>
    <row r="288" spans="1:6" ht="16.8" customHeight="1" x14ac:dyDescent="0.3">
      <c r="A288" s="20">
        <v>41885</v>
      </c>
      <c r="B288" s="31" t="s">
        <v>86</v>
      </c>
      <c r="C288" s="31" t="s">
        <v>45</v>
      </c>
      <c r="D288" s="31" t="s">
        <v>410</v>
      </c>
      <c r="E288" s="25">
        <v>45042</v>
      </c>
      <c r="F288" s="26" t="s">
        <v>1</v>
      </c>
    </row>
    <row r="289" spans="1:6" ht="16.8" customHeight="1" x14ac:dyDescent="0.3">
      <c r="A289" s="20">
        <v>41886</v>
      </c>
      <c r="B289" s="31" t="s">
        <v>86</v>
      </c>
      <c r="C289" s="31" t="s">
        <v>45</v>
      </c>
      <c r="D289" s="31" t="s">
        <v>410</v>
      </c>
      <c r="E289" s="25">
        <v>45042</v>
      </c>
      <c r="F289" s="26" t="s">
        <v>1</v>
      </c>
    </row>
    <row r="290" spans="1:6" ht="16.8" customHeight="1" x14ac:dyDescent="0.3">
      <c r="A290" s="20">
        <v>41887</v>
      </c>
      <c r="B290" s="31" t="s">
        <v>411</v>
      </c>
      <c r="C290" s="31" t="s">
        <v>412</v>
      </c>
      <c r="D290" s="31" t="s">
        <v>163</v>
      </c>
      <c r="E290" s="25">
        <v>45197</v>
      </c>
      <c r="F290" s="26" t="s">
        <v>1</v>
      </c>
    </row>
    <row r="291" spans="1:6" ht="16.8" customHeight="1" x14ac:dyDescent="0.3">
      <c r="A291" s="20">
        <v>41888</v>
      </c>
      <c r="B291" s="31"/>
      <c r="C291" s="31"/>
      <c r="D291" s="31"/>
      <c r="E291" s="25"/>
      <c r="F291" s="26" t="s">
        <v>10</v>
      </c>
    </row>
    <row r="292" spans="1:6" ht="16.8" customHeight="1" x14ac:dyDescent="0.3">
      <c r="A292" s="20">
        <v>41889</v>
      </c>
      <c r="B292" s="31" t="s">
        <v>286</v>
      </c>
      <c r="C292" s="31"/>
      <c r="D292" s="31" t="s">
        <v>183</v>
      </c>
      <c r="E292" s="25">
        <v>45196</v>
      </c>
      <c r="F292" s="26" t="s">
        <v>4</v>
      </c>
    </row>
    <row r="293" spans="1:6" ht="16.8" customHeight="1" x14ac:dyDescent="0.3">
      <c r="A293" s="20">
        <v>41890</v>
      </c>
      <c r="B293" s="31" t="s">
        <v>413</v>
      </c>
      <c r="C293" s="31" t="s">
        <v>414</v>
      </c>
      <c r="D293" s="31" t="s">
        <v>415</v>
      </c>
      <c r="E293" s="25">
        <v>45198</v>
      </c>
      <c r="F293" s="26" t="s">
        <v>1</v>
      </c>
    </row>
    <row r="294" spans="1:6" ht="16.8" customHeight="1" x14ac:dyDescent="0.3">
      <c r="A294" s="20">
        <v>41891</v>
      </c>
      <c r="B294" s="31" t="s">
        <v>71</v>
      </c>
      <c r="C294" s="31" t="s">
        <v>106</v>
      </c>
      <c r="D294" s="31" t="s">
        <v>416</v>
      </c>
      <c r="E294" s="25">
        <v>45376</v>
      </c>
      <c r="F294" s="26" t="s">
        <v>9</v>
      </c>
    </row>
    <row r="295" spans="1:6" ht="16.8" customHeight="1" x14ac:dyDescent="0.3">
      <c r="A295" s="20">
        <v>41892</v>
      </c>
      <c r="B295" s="31" t="s">
        <v>246</v>
      </c>
      <c r="C295" s="31" t="s">
        <v>247</v>
      </c>
      <c r="D295" s="31" t="s">
        <v>172</v>
      </c>
      <c r="E295" s="25">
        <v>45189</v>
      </c>
      <c r="F295" s="26" t="s">
        <v>1</v>
      </c>
    </row>
    <row r="296" spans="1:6" ht="16.8" customHeight="1" x14ac:dyDescent="0.3">
      <c r="A296" s="20">
        <v>41893</v>
      </c>
      <c r="B296" s="31" t="s">
        <v>246</v>
      </c>
      <c r="C296" s="31" t="s">
        <v>247</v>
      </c>
      <c r="D296" s="31" t="s">
        <v>172</v>
      </c>
      <c r="E296" s="25">
        <v>45189</v>
      </c>
      <c r="F296" s="26" t="s">
        <v>1</v>
      </c>
    </row>
    <row r="297" spans="1:6" ht="16.8" customHeight="1" x14ac:dyDescent="0.3">
      <c r="A297" s="20">
        <v>41894</v>
      </c>
      <c r="B297" s="31" t="s">
        <v>102</v>
      </c>
      <c r="C297" s="31" t="s">
        <v>417</v>
      </c>
      <c r="D297" s="31" t="s">
        <v>145</v>
      </c>
      <c r="E297" s="25">
        <v>45198</v>
      </c>
      <c r="F297" s="26" t="s">
        <v>1</v>
      </c>
    </row>
    <row r="298" spans="1:6" ht="16.8" customHeight="1" x14ac:dyDescent="0.3">
      <c r="A298" s="20">
        <v>41895</v>
      </c>
      <c r="B298" s="31" t="s">
        <v>71</v>
      </c>
      <c r="C298" s="31" t="s">
        <v>106</v>
      </c>
      <c r="D298" s="31" t="s">
        <v>332</v>
      </c>
      <c r="E298" s="25">
        <v>45202</v>
      </c>
      <c r="F298" s="26" t="s">
        <v>1</v>
      </c>
    </row>
    <row r="299" spans="1:6" ht="16.8" customHeight="1" x14ac:dyDescent="0.3">
      <c r="A299" s="20">
        <v>41896</v>
      </c>
      <c r="B299" s="31" t="s">
        <v>194</v>
      </c>
      <c r="C299" s="31" t="s">
        <v>418</v>
      </c>
      <c r="D299" s="31" t="s">
        <v>419</v>
      </c>
      <c r="E299" s="25">
        <v>45208</v>
      </c>
      <c r="F299" s="26" t="s">
        <v>1</v>
      </c>
    </row>
    <row r="300" spans="1:6" ht="16.8" customHeight="1" x14ac:dyDescent="0.3">
      <c r="A300" s="20">
        <v>41897</v>
      </c>
      <c r="B300" s="31" t="s">
        <v>420</v>
      </c>
      <c r="C300" s="31" t="s">
        <v>421</v>
      </c>
      <c r="D300" s="31" t="s">
        <v>422</v>
      </c>
      <c r="E300" s="25">
        <v>45225</v>
      </c>
      <c r="F300" s="26" t="s">
        <v>1</v>
      </c>
    </row>
    <row r="301" spans="1:6" ht="16.8" customHeight="1" x14ac:dyDescent="0.3">
      <c r="A301" s="20">
        <v>41898</v>
      </c>
      <c r="B301" s="31"/>
      <c r="C301" s="31"/>
      <c r="D301" s="31"/>
      <c r="E301" s="25"/>
      <c r="F301" s="26"/>
    </row>
    <row r="302" spans="1:6" ht="16.8" customHeight="1" x14ac:dyDescent="0.3">
      <c r="A302" s="20">
        <v>41899</v>
      </c>
      <c r="B302" s="31" t="s">
        <v>276</v>
      </c>
      <c r="C302" s="31" t="s">
        <v>277</v>
      </c>
      <c r="D302" s="31" t="s">
        <v>168</v>
      </c>
      <c r="E302" s="25">
        <v>45169</v>
      </c>
      <c r="F302" s="26" t="s">
        <v>1</v>
      </c>
    </row>
    <row r="303" spans="1:6" ht="16.8" customHeight="1" x14ac:dyDescent="0.3">
      <c r="A303" s="20">
        <v>41900</v>
      </c>
      <c r="B303" s="31"/>
      <c r="C303" s="31"/>
      <c r="D303" s="31"/>
      <c r="E303" s="25"/>
      <c r="F303" s="26"/>
    </row>
    <row r="304" spans="1:6" ht="16.8" customHeight="1" x14ac:dyDescent="0.3">
      <c r="A304" s="20">
        <v>41901</v>
      </c>
      <c r="B304" s="31"/>
      <c r="C304" s="31"/>
      <c r="D304" s="31"/>
      <c r="E304" s="25"/>
      <c r="F304" s="26"/>
    </row>
    <row r="305" spans="1:6" ht="16.8" customHeight="1" x14ac:dyDescent="0.3">
      <c r="A305" s="20">
        <v>41902</v>
      </c>
      <c r="B305" s="31"/>
      <c r="C305" s="31"/>
      <c r="D305" s="31"/>
      <c r="E305" s="25"/>
      <c r="F305" s="26"/>
    </row>
    <row r="306" spans="1:6" ht="16.8" customHeight="1" x14ac:dyDescent="0.3">
      <c r="A306" s="20">
        <v>41903</v>
      </c>
      <c r="B306" s="31"/>
      <c r="C306" s="31"/>
      <c r="D306" s="31"/>
      <c r="E306" s="25"/>
      <c r="F306" s="26"/>
    </row>
    <row r="307" spans="1:6" ht="16.8" customHeight="1" x14ac:dyDescent="0.3">
      <c r="A307" s="20">
        <v>41904</v>
      </c>
      <c r="B307" s="31"/>
      <c r="C307" s="31"/>
      <c r="D307" s="31"/>
      <c r="E307" s="25"/>
      <c r="F307" s="26"/>
    </row>
    <row r="308" spans="1:6" ht="16.8" customHeight="1" x14ac:dyDescent="0.3">
      <c r="A308" s="20">
        <v>41905</v>
      </c>
      <c r="B308" s="31"/>
      <c r="C308" s="31"/>
      <c r="D308" s="31"/>
      <c r="E308" s="25"/>
      <c r="F308" s="26"/>
    </row>
    <row r="309" spans="1:6" ht="16.8" customHeight="1" x14ac:dyDescent="0.3">
      <c r="A309" s="20">
        <v>41906</v>
      </c>
      <c r="B309" s="31"/>
      <c r="C309" s="31"/>
      <c r="D309" s="31"/>
      <c r="E309" s="25"/>
      <c r="F309" s="26"/>
    </row>
    <row r="310" spans="1:6" ht="16.8" customHeight="1" x14ac:dyDescent="0.3">
      <c r="A310" s="20">
        <v>41907</v>
      </c>
      <c r="B310" s="31"/>
      <c r="C310" s="31"/>
      <c r="D310" s="31"/>
      <c r="E310" s="25"/>
      <c r="F310" s="26"/>
    </row>
    <row r="311" spans="1:6" ht="16.8" customHeight="1" x14ac:dyDescent="0.3">
      <c r="A311" s="20">
        <v>41908</v>
      </c>
      <c r="B311" s="31"/>
      <c r="C311" s="31"/>
      <c r="D311" s="31"/>
      <c r="E311" s="25"/>
      <c r="F311" s="26"/>
    </row>
    <row r="312" spans="1:6" ht="16.8" customHeight="1" x14ac:dyDescent="0.3">
      <c r="A312" s="20">
        <v>41909</v>
      </c>
      <c r="B312" s="31"/>
      <c r="C312" s="31"/>
      <c r="D312" s="31"/>
      <c r="E312" s="25"/>
      <c r="F312" s="26"/>
    </row>
    <row r="313" spans="1:6" ht="16.8" customHeight="1" x14ac:dyDescent="0.3">
      <c r="A313" s="20">
        <v>41910</v>
      </c>
      <c r="B313" s="31"/>
      <c r="C313" s="31"/>
      <c r="D313" s="31"/>
      <c r="E313" s="25"/>
      <c r="F313" s="26"/>
    </row>
    <row r="314" spans="1:6" ht="16.8" customHeight="1" x14ac:dyDescent="0.3">
      <c r="A314" s="20">
        <v>41911</v>
      </c>
      <c r="B314" s="31"/>
      <c r="C314" s="31"/>
      <c r="D314" s="31"/>
      <c r="E314" s="25"/>
      <c r="F314" s="26"/>
    </row>
    <row r="315" spans="1:6" ht="16.8" customHeight="1" x14ac:dyDescent="0.3">
      <c r="A315" s="20">
        <v>41912</v>
      </c>
      <c r="B315" s="31"/>
      <c r="C315" s="31"/>
      <c r="D315" s="31"/>
      <c r="E315" s="25"/>
      <c r="F315" s="26"/>
    </row>
    <row r="316" spans="1:6" ht="16.8" customHeight="1" x14ac:dyDescent="0.3">
      <c r="A316" s="20">
        <v>41913</v>
      </c>
      <c r="B316" s="31"/>
      <c r="C316" s="31"/>
      <c r="D316" s="31"/>
      <c r="E316" s="25"/>
      <c r="F316" s="26"/>
    </row>
    <row r="317" spans="1:6" ht="16.8" customHeight="1" x14ac:dyDescent="0.3">
      <c r="A317" s="20">
        <v>41914</v>
      </c>
      <c r="B317" s="31"/>
      <c r="C317" s="31"/>
      <c r="D317" s="31"/>
      <c r="E317" s="25"/>
      <c r="F317" s="26"/>
    </row>
    <row r="318" spans="1:6" ht="16.8" customHeight="1" x14ac:dyDescent="0.3">
      <c r="A318" s="20">
        <v>41915</v>
      </c>
      <c r="B318" s="31"/>
      <c r="C318" s="31"/>
      <c r="D318" s="31"/>
      <c r="E318" s="25"/>
      <c r="F318" s="26"/>
    </row>
    <row r="319" spans="1:6" ht="16.8" customHeight="1" x14ac:dyDescent="0.3">
      <c r="A319" s="20">
        <v>41916</v>
      </c>
      <c r="B319" s="31"/>
      <c r="C319" s="31"/>
      <c r="D319" s="31"/>
      <c r="E319" s="25"/>
      <c r="F319" s="26"/>
    </row>
    <row r="320" spans="1:6" ht="16.8" customHeight="1" x14ac:dyDescent="0.3">
      <c r="A320" s="20">
        <v>41917</v>
      </c>
      <c r="B320" s="31"/>
      <c r="C320" s="31"/>
      <c r="D320" s="31"/>
      <c r="E320" s="25"/>
      <c r="F320" s="26"/>
    </row>
    <row r="321" spans="1:6" ht="16.8" customHeight="1" x14ac:dyDescent="0.3">
      <c r="A321" s="20">
        <v>41918</v>
      </c>
      <c r="B321" s="31"/>
      <c r="C321" s="31"/>
      <c r="D321" s="31"/>
      <c r="E321" s="25"/>
      <c r="F321" s="26"/>
    </row>
    <row r="322" spans="1:6" ht="16.8" customHeight="1" x14ac:dyDescent="0.3">
      <c r="A322" s="20">
        <v>41919</v>
      </c>
      <c r="B322" s="31"/>
      <c r="C322" s="31"/>
      <c r="D322" s="31"/>
      <c r="E322" s="25"/>
      <c r="F322" s="26"/>
    </row>
    <row r="323" spans="1:6" ht="16.8" customHeight="1" x14ac:dyDescent="0.3">
      <c r="A323" s="20">
        <v>41920</v>
      </c>
      <c r="B323" s="31"/>
      <c r="C323" s="31"/>
      <c r="D323" s="31"/>
      <c r="E323" s="25"/>
      <c r="F323" s="26"/>
    </row>
    <row r="324" spans="1:6" ht="16.8" customHeight="1" x14ac:dyDescent="0.3">
      <c r="A324" s="20">
        <v>41921</v>
      </c>
      <c r="B324" s="31"/>
      <c r="C324" s="31"/>
      <c r="D324" s="31"/>
      <c r="E324" s="25"/>
      <c r="F324" s="26"/>
    </row>
    <row r="325" spans="1:6" ht="16.8" customHeight="1" x14ac:dyDescent="0.3">
      <c r="A325" s="20">
        <v>41922</v>
      </c>
      <c r="B325" s="31"/>
      <c r="C325" s="31"/>
      <c r="D325" s="31"/>
      <c r="E325" s="25"/>
      <c r="F325" s="26"/>
    </row>
    <row r="326" spans="1:6" ht="16.8" customHeight="1" x14ac:dyDescent="0.3">
      <c r="A326" s="20">
        <v>41923</v>
      </c>
      <c r="B326" s="31"/>
      <c r="C326" s="31"/>
      <c r="D326" s="31"/>
      <c r="E326" s="25"/>
      <c r="F326" s="26"/>
    </row>
    <row r="327" spans="1:6" ht="16.8" customHeight="1" x14ac:dyDescent="0.3">
      <c r="A327" s="20">
        <v>41924</v>
      </c>
      <c r="B327" s="31"/>
      <c r="C327" s="31"/>
      <c r="D327" s="31"/>
      <c r="E327" s="25"/>
      <c r="F327" s="26"/>
    </row>
    <row r="328" spans="1:6" ht="16.8" customHeight="1" x14ac:dyDescent="0.3">
      <c r="A328" s="20">
        <v>41925</v>
      </c>
      <c r="B328" s="31"/>
      <c r="C328" s="31"/>
      <c r="D328" s="31"/>
      <c r="E328" s="25"/>
      <c r="F328" s="26"/>
    </row>
    <row r="329" spans="1:6" ht="16.8" customHeight="1" x14ac:dyDescent="0.3">
      <c r="A329" s="20">
        <v>41926</v>
      </c>
      <c r="B329" s="31"/>
      <c r="C329" s="31"/>
      <c r="D329" s="31"/>
      <c r="E329" s="25"/>
      <c r="F329" s="26"/>
    </row>
    <row r="330" spans="1:6" ht="16.8" customHeight="1" x14ac:dyDescent="0.3">
      <c r="A330" s="20">
        <v>41927</v>
      </c>
      <c r="B330" s="31"/>
      <c r="C330" s="31"/>
      <c r="D330" s="31"/>
      <c r="E330" s="25"/>
      <c r="F330" s="26"/>
    </row>
    <row r="331" spans="1:6" ht="16.8" customHeight="1" x14ac:dyDescent="0.3">
      <c r="A331" s="20">
        <v>41928</v>
      </c>
      <c r="B331" s="31"/>
      <c r="C331" s="31"/>
      <c r="D331" s="31"/>
      <c r="E331" s="25"/>
      <c r="F331" s="26"/>
    </row>
    <row r="332" spans="1:6" ht="16.8" customHeight="1" x14ac:dyDescent="0.3">
      <c r="A332" s="20">
        <v>41929</v>
      </c>
      <c r="B332" s="31"/>
      <c r="C332" s="31"/>
      <c r="D332" s="31"/>
      <c r="E332" s="25"/>
      <c r="F332" s="26"/>
    </row>
    <row r="333" spans="1:6" ht="16.8" customHeight="1" x14ac:dyDescent="0.3">
      <c r="A333" s="20">
        <v>41930</v>
      </c>
      <c r="B333" s="31"/>
      <c r="C333" s="31"/>
      <c r="D333" s="31"/>
      <c r="E333" s="25"/>
      <c r="F333" s="26"/>
    </row>
    <row r="334" spans="1:6" ht="16.8" customHeight="1" x14ac:dyDescent="0.3">
      <c r="A334" s="20">
        <v>41931</v>
      </c>
      <c r="B334" s="31"/>
      <c r="C334" s="31"/>
      <c r="D334" s="31"/>
      <c r="E334" s="25"/>
      <c r="F334" s="26"/>
    </row>
    <row r="335" spans="1:6" ht="16.8" customHeight="1" x14ac:dyDescent="0.3">
      <c r="A335" s="20">
        <v>41932</v>
      </c>
      <c r="B335" s="31"/>
      <c r="C335" s="31"/>
      <c r="D335" s="31"/>
      <c r="E335" s="25"/>
      <c r="F335" s="26"/>
    </row>
    <row r="336" spans="1:6" ht="16.8" customHeight="1" x14ac:dyDescent="0.3">
      <c r="A336" s="20">
        <v>41933</v>
      </c>
      <c r="B336" s="31"/>
      <c r="C336" s="31"/>
      <c r="D336" s="31"/>
      <c r="E336" s="25"/>
      <c r="F336" s="26"/>
    </row>
    <row r="337" spans="1:6" ht="16.8" customHeight="1" x14ac:dyDescent="0.3">
      <c r="A337" s="20">
        <v>41934</v>
      </c>
      <c r="B337" s="31"/>
      <c r="C337" s="31"/>
      <c r="D337" s="31"/>
      <c r="E337" s="25"/>
      <c r="F337" s="26"/>
    </row>
    <row r="338" spans="1:6" ht="16.8" customHeight="1" x14ac:dyDescent="0.3">
      <c r="A338" s="20">
        <v>41935</v>
      </c>
      <c r="B338" s="31"/>
      <c r="C338" s="31"/>
      <c r="D338" s="31"/>
      <c r="E338" s="25"/>
      <c r="F338" s="26"/>
    </row>
    <row r="339" spans="1:6" ht="16.8" customHeight="1" x14ac:dyDescent="0.3">
      <c r="A339" s="20">
        <v>41936</v>
      </c>
      <c r="B339" s="31"/>
      <c r="C339" s="31"/>
      <c r="D339" s="31"/>
      <c r="E339" s="25"/>
      <c r="F339" s="26"/>
    </row>
    <row r="340" spans="1:6" ht="16.8" customHeight="1" x14ac:dyDescent="0.3">
      <c r="A340" s="20">
        <v>41937</v>
      </c>
      <c r="B340" s="31"/>
      <c r="C340" s="31"/>
      <c r="D340" s="31"/>
      <c r="E340" s="25"/>
      <c r="F340" s="26"/>
    </row>
    <row r="341" spans="1:6" ht="16.8" customHeight="1" x14ac:dyDescent="0.3">
      <c r="A341" s="20">
        <v>41938</v>
      </c>
      <c r="B341" s="31"/>
      <c r="C341" s="31"/>
      <c r="D341" s="31"/>
      <c r="E341" s="25"/>
      <c r="F341" s="26"/>
    </row>
    <row r="342" spans="1:6" ht="16.8" customHeight="1" x14ac:dyDescent="0.3">
      <c r="A342" s="20">
        <v>41939</v>
      </c>
      <c r="B342" s="31"/>
      <c r="C342" s="31"/>
      <c r="D342" s="31"/>
      <c r="E342" s="25"/>
      <c r="F342" s="26"/>
    </row>
    <row r="343" spans="1:6" ht="16.8" customHeight="1" x14ac:dyDescent="0.3">
      <c r="A343" s="20">
        <v>41940</v>
      </c>
      <c r="B343" s="31"/>
      <c r="C343" s="31"/>
      <c r="D343" s="31"/>
      <c r="E343" s="25"/>
      <c r="F343" s="26"/>
    </row>
    <row r="344" spans="1:6" ht="16.8" customHeight="1" x14ac:dyDescent="0.3">
      <c r="A344" s="20">
        <v>41941</v>
      </c>
      <c r="B344" s="31"/>
      <c r="C344" s="31"/>
      <c r="D344" s="31"/>
      <c r="E344" s="25"/>
      <c r="F344" s="26"/>
    </row>
    <row r="345" spans="1:6" ht="16.8" customHeight="1" x14ac:dyDescent="0.3">
      <c r="A345" s="20">
        <v>41942</v>
      </c>
      <c r="B345" s="31"/>
      <c r="C345" s="31"/>
      <c r="D345" s="31"/>
      <c r="E345" s="25"/>
      <c r="F345" s="26"/>
    </row>
    <row r="346" spans="1:6" ht="16.8" customHeight="1" x14ac:dyDescent="0.3">
      <c r="A346" s="20">
        <v>41943</v>
      </c>
      <c r="B346" s="31"/>
      <c r="C346" s="31"/>
      <c r="D346" s="31"/>
      <c r="E346" s="25"/>
      <c r="F346" s="26"/>
    </row>
    <row r="347" spans="1:6" ht="16.8" customHeight="1" x14ac:dyDescent="0.3">
      <c r="A347" s="20">
        <v>41944</v>
      </c>
      <c r="B347" s="31"/>
      <c r="C347" s="31"/>
      <c r="D347" s="31"/>
      <c r="E347" s="25"/>
      <c r="F347" s="26"/>
    </row>
    <row r="348" spans="1:6" ht="16.8" customHeight="1" x14ac:dyDescent="0.3">
      <c r="A348" s="20">
        <v>41945</v>
      </c>
      <c r="B348" s="31"/>
      <c r="C348" s="31"/>
      <c r="D348" s="31"/>
      <c r="E348" s="25"/>
      <c r="F348" s="26"/>
    </row>
    <row r="349" spans="1:6" ht="16.8" customHeight="1" x14ac:dyDescent="0.3">
      <c r="A349" s="20">
        <v>41946</v>
      </c>
      <c r="B349" s="31"/>
      <c r="C349" s="31"/>
      <c r="D349" s="31"/>
      <c r="E349" s="25"/>
      <c r="F349" s="26"/>
    </row>
    <row r="350" spans="1:6" ht="16.8" customHeight="1" x14ac:dyDescent="0.3">
      <c r="A350" s="20">
        <v>41947</v>
      </c>
      <c r="B350" s="31"/>
      <c r="C350" s="31"/>
      <c r="D350" s="31"/>
      <c r="E350" s="25"/>
      <c r="F350" s="26"/>
    </row>
    <row r="351" spans="1:6" ht="16.8" customHeight="1" x14ac:dyDescent="0.3">
      <c r="A351" s="20">
        <v>41948</v>
      </c>
      <c r="B351" s="31"/>
      <c r="C351" s="31"/>
      <c r="D351" s="31"/>
      <c r="E351" s="25"/>
      <c r="F351" s="26"/>
    </row>
    <row r="352" spans="1:6" ht="16.8" customHeight="1" x14ac:dyDescent="0.3">
      <c r="A352" s="20">
        <v>41949</v>
      </c>
      <c r="B352" s="31"/>
      <c r="C352" s="31"/>
      <c r="D352" s="31"/>
      <c r="E352" s="25"/>
      <c r="F352" s="26"/>
    </row>
    <row r="353" spans="1:6" ht="16.8" customHeight="1" x14ac:dyDescent="0.3">
      <c r="A353" s="20">
        <v>41950</v>
      </c>
      <c r="B353" s="31"/>
      <c r="C353" s="31"/>
      <c r="D353" s="31"/>
      <c r="E353" s="25"/>
      <c r="F353" s="26"/>
    </row>
    <row r="354" spans="1:6" ht="16.8" customHeight="1" x14ac:dyDescent="0.3">
      <c r="A354" s="20">
        <v>41951</v>
      </c>
      <c r="B354" s="31"/>
      <c r="C354" s="31"/>
      <c r="D354" s="31"/>
      <c r="E354" s="25"/>
      <c r="F354" s="26"/>
    </row>
    <row r="355" spans="1:6" ht="16.8" customHeight="1" x14ac:dyDescent="0.3">
      <c r="A355" s="20">
        <v>41952</v>
      </c>
      <c r="B355" s="31"/>
      <c r="C355" s="31"/>
      <c r="D355" s="31"/>
      <c r="E355" s="25"/>
      <c r="F355" s="26"/>
    </row>
    <row r="356" spans="1:6" ht="16.8" customHeight="1" x14ac:dyDescent="0.3">
      <c r="A356" s="20">
        <v>41953</v>
      </c>
      <c r="B356" s="31"/>
      <c r="C356" s="31"/>
      <c r="D356" s="31"/>
      <c r="E356" s="25"/>
      <c r="F356" s="26"/>
    </row>
    <row r="357" spans="1:6" ht="16.8" customHeight="1" x14ac:dyDescent="0.3">
      <c r="A357" s="20">
        <v>41954</v>
      </c>
      <c r="B357" s="31"/>
      <c r="C357" s="31"/>
      <c r="D357" s="31"/>
      <c r="E357" s="25"/>
      <c r="F357" s="26"/>
    </row>
    <row r="358" spans="1:6" ht="16.8" customHeight="1" x14ac:dyDescent="0.3">
      <c r="A358" s="20">
        <v>41955</v>
      </c>
      <c r="B358" s="31"/>
      <c r="C358" s="31"/>
      <c r="D358" s="31"/>
      <c r="E358" s="25"/>
      <c r="F358" s="26"/>
    </row>
    <row r="359" spans="1:6" ht="16.8" customHeight="1" x14ac:dyDescent="0.3">
      <c r="A359" s="20">
        <v>41956</v>
      </c>
      <c r="B359" s="31"/>
      <c r="C359" s="31"/>
      <c r="D359" s="31"/>
      <c r="E359" s="25"/>
      <c r="F359" s="26"/>
    </row>
    <row r="360" spans="1:6" ht="16.8" customHeight="1" x14ac:dyDescent="0.3">
      <c r="A360" s="20">
        <v>41957</v>
      </c>
      <c r="B360" s="31"/>
      <c r="C360" s="31"/>
      <c r="D360" s="31"/>
      <c r="E360" s="25"/>
      <c r="F360" s="26"/>
    </row>
    <row r="361" spans="1:6" ht="16.8" customHeight="1" x14ac:dyDescent="0.3">
      <c r="A361" s="20">
        <v>41958</v>
      </c>
      <c r="B361" s="31"/>
      <c r="C361" s="31"/>
      <c r="D361" s="31"/>
      <c r="E361" s="25"/>
      <c r="F361" s="26"/>
    </row>
    <row r="362" spans="1:6" ht="16.8" customHeight="1" x14ac:dyDescent="0.3">
      <c r="A362" s="20">
        <v>41959</v>
      </c>
      <c r="B362" s="31"/>
      <c r="C362" s="31"/>
      <c r="D362" s="31"/>
      <c r="E362" s="25"/>
      <c r="F362" s="26"/>
    </row>
    <row r="363" spans="1:6" ht="16.8" customHeight="1" x14ac:dyDescent="0.3">
      <c r="A363" s="20">
        <v>41960</v>
      </c>
      <c r="B363" s="31"/>
      <c r="C363" s="31"/>
      <c r="D363" s="31"/>
      <c r="E363" s="25"/>
      <c r="F363" s="26"/>
    </row>
    <row r="364" spans="1:6" ht="16.8" customHeight="1" x14ac:dyDescent="0.3">
      <c r="A364" s="20">
        <v>41961</v>
      </c>
      <c r="B364" s="31"/>
      <c r="C364" s="31"/>
      <c r="D364" s="31"/>
      <c r="E364" s="25"/>
      <c r="F364" s="26"/>
    </row>
    <row r="365" spans="1:6" ht="16.8" customHeight="1" x14ac:dyDescent="0.3">
      <c r="A365" s="20">
        <v>41962</v>
      </c>
      <c r="B365" s="31"/>
      <c r="C365" s="31"/>
      <c r="D365" s="31"/>
      <c r="E365" s="25"/>
      <c r="F365" s="26"/>
    </row>
    <row r="366" spans="1:6" ht="16.8" customHeight="1" x14ac:dyDescent="0.3">
      <c r="A366" s="20">
        <v>41963</v>
      </c>
      <c r="B366" s="31"/>
      <c r="C366" s="31"/>
      <c r="D366" s="31"/>
      <c r="E366" s="25"/>
      <c r="F366" s="26"/>
    </row>
    <row r="367" spans="1:6" ht="16.8" customHeight="1" x14ac:dyDescent="0.3">
      <c r="A367" s="20">
        <v>41964</v>
      </c>
      <c r="B367" s="31"/>
      <c r="C367" s="31"/>
      <c r="D367" s="31"/>
      <c r="E367" s="25"/>
      <c r="F367" s="26"/>
    </row>
    <row r="368" spans="1:6" ht="16.8" customHeight="1" x14ac:dyDescent="0.3">
      <c r="A368" s="20">
        <v>41965</v>
      </c>
      <c r="B368" s="31"/>
      <c r="C368" s="31"/>
      <c r="D368" s="31"/>
      <c r="E368" s="25"/>
      <c r="F368" s="26"/>
    </row>
    <row r="369" spans="1:6" ht="16.8" customHeight="1" x14ac:dyDescent="0.3">
      <c r="A369" s="20">
        <v>41966</v>
      </c>
      <c r="B369" s="31"/>
      <c r="C369" s="31"/>
      <c r="D369" s="31"/>
      <c r="E369" s="25"/>
      <c r="F369" s="26"/>
    </row>
    <row r="370" spans="1:6" ht="16.8" customHeight="1" x14ac:dyDescent="0.3">
      <c r="A370" s="20">
        <v>41967</v>
      </c>
      <c r="B370" s="31"/>
      <c r="C370" s="31"/>
      <c r="D370" s="31"/>
      <c r="E370" s="25"/>
      <c r="F370" s="26"/>
    </row>
    <row r="371" spans="1:6" ht="16.8" customHeight="1" x14ac:dyDescent="0.3">
      <c r="A371" s="20">
        <v>41968</v>
      </c>
      <c r="B371" s="31"/>
      <c r="C371" s="31"/>
      <c r="D371" s="31"/>
      <c r="E371" s="25"/>
      <c r="F371" s="26"/>
    </row>
    <row r="372" spans="1:6" ht="16.8" customHeight="1" x14ac:dyDescent="0.3">
      <c r="A372" s="20">
        <v>41969</v>
      </c>
      <c r="B372" s="31"/>
      <c r="C372" s="31"/>
      <c r="D372" s="31"/>
      <c r="E372" s="25"/>
      <c r="F372" s="26"/>
    </row>
    <row r="373" spans="1:6" ht="16.8" customHeight="1" x14ac:dyDescent="0.3">
      <c r="A373" s="20">
        <v>41970</v>
      </c>
      <c r="B373" s="31"/>
      <c r="C373" s="31"/>
      <c r="D373" s="31"/>
      <c r="E373" s="25"/>
      <c r="F373" s="26"/>
    </row>
    <row r="374" spans="1:6" ht="16.8" customHeight="1" x14ac:dyDescent="0.3">
      <c r="A374" s="20">
        <v>41971</v>
      </c>
      <c r="B374" s="31"/>
      <c r="C374" s="31"/>
      <c r="D374" s="31"/>
      <c r="E374" s="25"/>
      <c r="F374" s="26"/>
    </row>
    <row r="375" spans="1:6" ht="16.8" customHeight="1" x14ac:dyDescent="0.3">
      <c r="A375" s="20">
        <v>41972</v>
      </c>
      <c r="B375" s="31"/>
      <c r="C375" s="31"/>
      <c r="D375" s="31"/>
      <c r="E375" s="25"/>
      <c r="F375" s="26"/>
    </row>
    <row r="376" spans="1:6" ht="16.8" customHeight="1" x14ac:dyDescent="0.3">
      <c r="A376" s="20">
        <v>41973</v>
      </c>
      <c r="B376" s="31"/>
      <c r="C376" s="31"/>
      <c r="D376" s="31"/>
      <c r="E376" s="25"/>
      <c r="F376" s="26"/>
    </row>
    <row r="377" spans="1:6" ht="16.8" customHeight="1" x14ac:dyDescent="0.3">
      <c r="A377" s="20">
        <v>41974</v>
      </c>
      <c r="B377" s="31"/>
      <c r="C377" s="31"/>
      <c r="D377" s="31"/>
      <c r="E377" s="25"/>
      <c r="F377" s="26"/>
    </row>
    <row r="378" spans="1:6" ht="16.8" customHeight="1" x14ac:dyDescent="0.3">
      <c r="A378" s="20">
        <v>41975</v>
      </c>
      <c r="B378" s="31"/>
      <c r="C378" s="31"/>
      <c r="D378" s="31"/>
      <c r="E378" s="25"/>
      <c r="F378" s="26"/>
    </row>
    <row r="379" spans="1:6" ht="16.8" customHeight="1" x14ac:dyDescent="0.3">
      <c r="A379" s="20">
        <v>41976</v>
      </c>
      <c r="B379" s="31"/>
      <c r="C379" s="31"/>
      <c r="D379" s="31"/>
      <c r="E379" s="25"/>
      <c r="F379" s="26"/>
    </row>
    <row r="380" spans="1:6" ht="16.8" customHeight="1" x14ac:dyDescent="0.3">
      <c r="A380" s="20">
        <v>41977</v>
      </c>
      <c r="B380" s="31"/>
      <c r="C380" s="31"/>
      <c r="D380" s="31"/>
      <c r="E380" s="25"/>
      <c r="F380" s="26"/>
    </row>
    <row r="381" spans="1:6" ht="16.8" customHeight="1" x14ac:dyDescent="0.3">
      <c r="A381" s="20">
        <v>41978</v>
      </c>
      <c r="B381" s="31"/>
      <c r="C381" s="31"/>
      <c r="D381" s="31"/>
      <c r="E381" s="25"/>
      <c r="F381" s="26"/>
    </row>
    <row r="382" spans="1:6" ht="16.8" customHeight="1" x14ac:dyDescent="0.3">
      <c r="A382" s="20">
        <v>41979</v>
      </c>
      <c r="B382" s="31"/>
      <c r="C382" s="31"/>
      <c r="D382" s="31"/>
      <c r="E382" s="25"/>
      <c r="F382" s="26"/>
    </row>
    <row r="383" spans="1:6" ht="16.8" customHeight="1" x14ac:dyDescent="0.3">
      <c r="A383" s="20">
        <v>41980</v>
      </c>
      <c r="B383" s="31"/>
      <c r="C383" s="31"/>
      <c r="D383" s="31"/>
      <c r="E383" s="25"/>
      <c r="F383" s="26"/>
    </row>
    <row r="384" spans="1:6" ht="16.8" customHeight="1" x14ac:dyDescent="0.3">
      <c r="A384" s="20">
        <v>41981</v>
      </c>
      <c r="B384" s="31"/>
      <c r="C384" s="31"/>
      <c r="D384" s="31"/>
      <c r="E384" s="25"/>
      <c r="F384" s="26"/>
    </row>
    <row r="385" spans="1:6" ht="16.8" customHeight="1" x14ac:dyDescent="0.3">
      <c r="A385" s="20">
        <v>41982</v>
      </c>
      <c r="B385" s="31"/>
      <c r="C385" s="31"/>
      <c r="D385" s="31"/>
      <c r="E385" s="25"/>
      <c r="F385" s="26"/>
    </row>
    <row r="386" spans="1:6" ht="16.8" customHeight="1" x14ac:dyDescent="0.3">
      <c r="A386" s="20">
        <v>41983</v>
      </c>
      <c r="B386" s="31"/>
      <c r="C386" s="31"/>
      <c r="D386" s="31"/>
      <c r="E386" s="25"/>
      <c r="F386" s="26"/>
    </row>
    <row r="387" spans="1:6" ht="16.8" customHeight="1" x14ac:dyDescent="0.3">
      <c r="A387" s="20">
        <v>41984</v>
      </c>
      <c r="B387" s="31"/>
      <c r="C387" s="31"/>
      <c r="D387" s="31"/>
      <c r="E387" s="25"/>
      <c r="F387" s="26"/>
    </row>
    <row r="388" spans="1:6" ht="16.8" customHeight="1" x14ac:dyDescent="0.3">
      <c r="A388" s="20">
        <v>41985</v>
      </c>
      <c r="B388" s="31"/>
      <c r="C388" s="31"/>
      <c r="D388" s="31"/>
      <c r="E388" s="25"/>
      <c r="F388" s="26"/>
    </row>
    <row r="389" spans="1:6" ht="16.8" customHeight="1" x14ac:dyDescent="0.3">
      <c r="A389" s="20">
        <v>41986</v>
      </c>
      <c r="B389" s="31"/>
      <c r="C389" s="31"/>
      <c r="D389" s="31"/>
      <c r="E389" s="25"/>
      <c r="F389" s="26"/>
    </row>
    <row r="390" spans="1:6" ht="16.8" customHeight="1" x14ac:dyDescent="0.3">
      <c r="A390" s="20">
        <v>41987</v>
      </c>
      <c r="B390" s="31"/>
      <c r="C390" s="31"/>
      <c r="D390" s="31"/>
      <c r="E390" s="25"/>
      <c r="F390" s="26"/>
    </row>
    <row r="391" spans="1:6" ht="16.8" customHeight="1" x14ac:dyDescent="0.3">
      <c r="A391" s="20">
        <v>41988</v>
      </c>
      <c r="B391" s="31"/>
      <c r="C391" s="31"/>
      <c r="D391" s="31"/>
      <c r="E391" s="25"/>
      <c r="F391" s="26"/>
    </row>
    <row r="392" spans="1:6" ht="16.8" customHeight="1" x14ac:dyDescent="0.3">
      <c r="A392" s="20">
        <v>41989</v>
      </c>
      <c r="B392" s="31"/>
      <c r="C392" s="31"/>
      <c r="D392" s="31"/>
      <c r="E392" s="25"/>
      <c r="F392" s="26"/>
    </row>
    <row r="393" spans="1:6" ht="16.8" customHeight="1" x14ac:dyDescent="0.3">
      <c r="A393" s="20">
        <v>41990</v>
      </c>
      <c r="B393" s="31"/>
      <c r="C393" s="31"/>
      <c r="D393" s="31"/>
      <c r="E393" s="25"/>
      <c r="F393" s="26"/>
    </row>
    <row r="394" spans="1:6" ht="16.8" customHeight="1" x14ac:dyDescent="0.3">
      <c r="A394" s="20">
        <v>41991</v>
      </c>
      <c r="B394" s="31"/>
      <c r="C394" s="31"/>
      <c r="D394" s="31"/>
      <c r="E394" s="25"/>
      <c r="F394" s="26"/>
    </row>
    <row r="395" spans="1:6" ht="16.8" customHeight="1" x14ac:dyDescent="0.3">
      <c r="A395" s="20">
        <v>41992</v>
      </c>
      <c r="B395" s="31"/>
      <c r="C395" s="31"/>
      <c r="D395" s="31"/>
      <c r="E395" s="25"/>
      <c r="F395" s="26"/>
    </row>
    <row r="396" spans="1:6" ht="16.8" customHeight="1" x14ac:dyDescent="0.3">
      <c r="A396" s="20">
        <v>41993</v>
      </c>
      <c r="B396" s="31"/>
      <c r="C396" s="31"/>
      <c r="D396" s="31"/>
      <c r="E396" s="25"/>
      <c r="F396" s="26"/>
    </row>
    <row r="397" spans="1:6" ht="16.8" customHeight="1" x14ac:dyDescent="0.3">
      <c r="A397" s="20">
        <v>41994</v>
      </c>
      <c r="B397" s="31"/>
      <c r="C397" s="31"/>
      <c r="D397" s="31"/>
      <c r="E397" s="25"/>
      <c r="F397" s="26"/>
    </row>
    <row r="398" spans="1:6" ht="16.8" customHeight="1" x14ac:dyDescent="0.3">
      <c r="A398" s="20">
        <v>41995</v>
      </c>
      <c r="B398" s="31"/>
      <c r="C398" s="31"/>
      <c r="D398" s="31"/>
      <c r="E398" s="25"/>
      <c r="F398" s="26"/>
    </row>
    <row r="399" spans="1:6" ht="16.8" customHeight="1" x14ac:dyDescent="0.3">
      <c r="A399" s="20">
        <v>41996</v>
      </c>
      <c r="B399" s="31"/>
      <c r="C399" s="31"/>
      <c r="D399" s="31"/>
      <c r="E399" s="25"/>
      <c r="F399" s="26"/>
    </row>
    <row r="400" spans="1:6" ht="16.8" customHeight="1" x14ac:dyDescent="0.3">
      <c r="A400" s="20">
        <v>41997</v>
      </c>
      <c r="B400" s="31"/>
      <c r="C400" s="31"/>
      <c r="D400" s="31"/>
      <c r="E400" s="25"/>
      <c r="F400" s="26"/>
    </row>
    <row r="401" spans="1:6" ht="16.8" customHeight="1" x14ac:dyDescent="0.3">
      <c r="A401" s="20">
        <v>41998</v>
      </c>
      <c r="B401" s="31"/>
      <c r="C401" s="31"/>
      <c r="D401" s="31"/>
      <c r="E401" s="25"/>
      <c r="F401" s="26"/>
    </row>
    <row r="402" spans="1:6" ht="16.8" customHeight="1" x14ac:dyDescent="0.3">
      <c r="A402" s="20">
        <v>41999</v>
      </c>
      <c r="B402" s="31"/>
      <c r="C402" s="31"/>
      <c r="D402" s="31"/>
      <c r="E402" s="25"/>
      <c r="F402" s="26"/>
    </row>
    <row r="403" spans="1:6" ht="16.8" customHeight="1" x14ac:dyDescent="0.3">
      <c r="A403" s="20">
        <v>42000</v>
      </c>
      <c r="B403" s="31"/>
      <c r="C403" s="31"/>
      <c r="D403" s="31"/>
      <c r="E403" s="25"/>
      <c r="F403" s="26"/>
    </row>
    <row r="404" spans="1:6" ht="16.8" customHeight="1" x14ac:dyDescent="0.3">
      <c r="A404" s="20">
        <v>42001</v>
      </c>
      <c r="B404" s="31"/>
      <c r="C404" s="31"/>
      <c r="D404" s="31"/>
      <c r="E404" s="25"/>
      <c r="F404" s="26"/>
    </row>
    <row r="405" spans="1:6" ht="16.8" customHeight="1" x14ac:dyDescent="0.3">
      <c r="A405" s="20">
        <v>42002</v>
      </c>
      <c r="B405" s="31"/>
      <c r="C405" s="31"/>
      <c r="D405" s="31"/>
      <c r="E405" s="25"/>
      <c r="F405" s="26"/>
    </row>
    <row r="406" spans="1:6" ht="16.8" customHeight="1" x14ac:dyDescent="0.3">
      <c r="A406" s="20">
        <v>42003</v>
      </c>
      <c r="B406" s="31" t="s">
        <v>36</v>
      </c>
      <c r="C406" s="31" t="s">
        <v>1879</v>
      </c>
      <c r="D406" s="31" t="s">
        <v>124</v>
      </c>
      <c r="E406" s="25">
        <v>45589</v>
      </c>
      <c r="F406" s="26" t="s">
        <v>2</v>
      </c>
    </row>
    <row r="407" spans="1:6" ht="16.8" customHeight="1" x14ac:dyDescent="0.3">
      <c r="A407" s="20">
        <v>42004</v>
      </c>
      <c r="B407" s="31"/>
      <c r="C407" s="31"/>
      <c r="D407" s="31"/>
      <c r="E407" s="25"/>
      <c r="F407" s="26"/>
    </row>
    <row r="408" spans="1:6" ht="16.8" customHeight="1" x14ac:dyDescent="0.3">
      <c r="A408" s="20">
        <v>42005</v>
      </c>
      <c r="B408" s="31"/>
      <c r="C408" s="31"/>
      <c r="D408" s="31"/>
      <c r="E408" s="25"/>
      <c r="F408" s="26"/>
    </row>
    <row r="409" spans="1:6" ht="16.8" customHeight="1" x14ac:dyDescent="0.3">
      <c r="A409" s="20">
        <v>42006</v>
      </c>
      <c r="B409" s="31"/>
      <c r="C409" s="31"/>
      <c r="D409" s="31"/>
      <c r="E409" s="25"/>
      <c r="F409" s="26"/>
    </row>
    <row r="410" spans="1:6" ht="16.8" customHeight="1" x14ac:dyDescent="0.3">
      <c r="A410" s="20">
        <v>42007</v>
      </c>
      <c r="B410" s="31"/>
      <c r="C410" s="31"/>
      <c r="D410" s="31"/>
      <c r="E410" s="25"/>
      <c r="F410" s="26"/>
    </row>
    <row r="411" spans="1:6" ht="16.8" customHeight="1" x14ac:dyDescent="0.3">
      <c r="A411" s="20">
        <v>42008</v>
      </c>
      <c r="B411" s="31"/>
      <c r="C411" s="31"/>
      <c r="D411" s="31"/>
      <c r="E411" s="25"/>
      <c r="F411" s="26"/>
    </row>
    <row r="412" spans="1:6" ht="16.8" customHeight="1" x14ac:dyDescent="0.3">
      <c r="A412" s="20">
        <v>42009</v>
      </c>
      <c r="B412" s="31"/>
      <c r="C412" s="31"/>
      <c r="D412" s="31"/>
      <c r="E412" s="25"/>
      <c r="F412" s="26"/>
    </row>
    <row r="413" spans="1:6" ht="16.8" customHeight="1" x14ac:dyDescent="0.3">
      <c r="A413" s="20">
        <v>42010</v>
      </c>
      <c r="B413" s="31"/>
      <c r="C413" s="31"/>
      <c r="D413" s="31"/>
      <c r="E413" s="25"/>
      <c r="F413" s="26"/>
    </row>
    <row r="414" spans="1:6" ht="16.8" customHeight="1" x14ac:dyDescent="0.3">
      <c r="A414" s="20">
        <v>42011</v>
      </c>
      <c r="B414" s="31"/>
      <c r="C414" s="31"/>
      <c r="D414" s="31"/>
      <c r="E414" s="25"/>
      <c r="F414" s="26"/>
    </row>
    <row r="415" spans="1:6" ht="16.8" customHeight="1" x14ac:dyDescent="0.3">
      <c r="A415" s="20">
        <v>42012</v>
      </c>
      <c r="B415" s="31"/>
      <c r="C415" s="31"/>
      <c r="D415" s="31"/>
      <c r="E415" s="25"/>
      <c r="F415" s="26"/>
    </row>
    <row r="416" spans="1:6" ht="16.8" customHeight="1" x14ac:dyDescent="0.3">
      <c r="A416" s="20">
        <v>42013</v>
      </c>
      <c r="B416" s="31"/>
      <c r="C416" s="31"/>
      <c r="D416" s="31"/>
      <c r="E416" s="25"/>
      <c r="F416" s="26"/>
    </row>
    <row r="417" spans="1:6" ht="16.8" customHeight="1" x14ac:dyDescent="0.3">
      <c r="A417" s="20">
        <v>42014</v>
      </c>
      <c r="B417" s="31"/>
      <c r="C417" s="31"/>
      <c r="D417" s="31"/>
      <c r="E417" s="25"/>
      <c r="F417" s="26"/>
    </row>
    <row r="418" spans="1:6" ht="16.8" customHeight="1" x14ac:dyDescent="0.3">
      <c r="A418" s="20">
        <v>42015</v>
      </c>
      <c r="B418" s="31"/>
      <c r="C418" s="31"/>
      <c r="D418" s="31"/>
      <c r="E418" s="25"/>
      <c r="F418" s="26"/>
    </row>
    <row r="419" spans="1:6" ht="16.8" customHeight="1" x14ac:dyDescent="0.3">
      <c r="A419" s="20">
        <v>42016</v>
      </c>
      <c r="B419" s="31"/>
      <c r="C419" s="31"/>
      <c r="D419" s="31"/>
      <c r="E419" s="25"/>
      <c r="F419" s="26"/>
    </row>
    <row r="420" spans="1:6" ht="16.8" customHeight="1" x14ac:dyDescent="0.3">
      <c r="A420" s="20">
        <v>42017</v>
      </c>
      <c r="B420" s="31"/>
      <c r="C420" s="31"/>
      <c r="D420" s="31"/>
      <c r="E420" s="25"/>
      <c r="F420" s="26"/>
    </row>
    <row r="421" spans="1:6" ht="16.8" customHeight="1" x14ac:dyDescent="0.3">
      <c r="A421" s="20">
        <v>42018</v>
      </c>
      <c r="B421" s="31"/>
      <c r="C421" s="31"/>
      <c r="D421" s="31"/>
      <c r="E421" s="25"/>
      <c r="F421" s="26"/>
    </row>
    <row r="422" spans="1:6" ht="16.8" customHeight="1" x14ac:dyDescent="0.3">
      <c r="A422" s="20">
        <v>42019</v>
      </c>
      <c r="B422" s="31"/>
      <c r="C422" s="31"/>
      <c r="D422" s="31"/>
      <c r="E422" s="25"/>
      <c r="F422" s="26"/>
    </row>
    <row r="423" spans="1:6" ht="16.8" customHeight="1" x14ac:dyDescent="0.3">
      <c r="A423" s="20">
        <v>42020</v>
      </c>
      <c r="B423" s="31"/>
      <c r="C423" s="31"/>
      <c r="D423" s="31"/>
      <c r="E423" s="25"/>
      <c r="F423" s="26"/>
    </row>
    <row r="424" spans="1:6" ht="16.8" customHeight="1" x14ac:dyDescent="0.3">
      <c r="A424" s="20">
        <v>42021</v>
      </c>
      <c r="B424" s="31"/>
      <c r="C424" s="31"/>
      <c r="D424" s="31"/>
      <c r="E424" s="25"/>
      <c r="F424" s="26"/>
    </row>
    <row r="425" spans="1:6" ht="16.8" customHeight="1" x14ac:dyDescent="0.3">
      <c r="A425" s="20">
        <v>42022</v>
      </c>
      <c r="B425" s="31"/>
      <c r="C425" s="31"/>
      <c r="D425" s="31"/>
      <c r="E425" s="25"/>
      <c r="F425" s="26"/>
    </row>
    <row r="426" spans="1:6" ht="16.8" customHeight="1" x14ac:dyDescent="0.3">
      <c r="A426" s="20">
        <v>42023</v>
      </c>
      <c r="B426" s="31"/>
      <c r="C426" s="31"/>
      <c r="D426" s="31"/>
      <c r="E426" s="25"/>
      <c r="F426" s="26"/>
    </row>
    <row r="427" spans="1:6" ht="16.8" customHeight="1" x14ac:dyDescent="0.3">
      <c r="A427" s="20">
        <v>42024</v>
      </c>
      <c r="B427" s="31"/>
      <c r="C427" s="31"/>
      <c r="D427" s="31"/>
      <c r="E427" s="25"/>
      <c r="F427" s="26"/>
    </row>
    <row r="428" spans="1:6" ht="16.8" customHeight="1" x14ac:dyDescent="0.3">
      <c r="A428" s="20">
        <v>42025</v>
      </c>
      <c r="B428" s="31"/>
      <c r="C428" s="31"/>
      <c r="D428" s="31"/>
      <c r="E428" s="25"/>
      <c r="F428" s="26"/>
    </row>
    <row r="429" spans="1:6" ht="16.8" customHeight="1" x14ac:dyDescent="0.3">
      <c r="A429" s="20">
        <v>42026</v>
      </c>
      <c r="B429" s="31"/>
      <c r="C429" s="31"/>
      <c r="D429" s="31"/>
      <c r="E429" s="25"/>
      <c r="F429" s="26"/>
    </row>
    <row r="430" spans="1:6" ht="16.8" customHeight="1" x14ac:dyDescent="0.3">
      <c r="A430" s="20">
        <v>42027</v>
      </c>
      <c r="B430" s="31"/>
      <c r="C430" s="31"/>
      <c r="D430" s="31"/>
      <c r="E430" s="25"/>
      <c r="F430" s="26"/>
    </row>
    <row r="431" spans="1:6" ht="16.8" customHeight="1" x14ac:dyDescent="0.3">
      <c r="A431" s="20">
        <v>42028</v>
      </c>
      <c r="B431" s="31"/>
      <c r="C431" s="31"/>
      <c r="D431" s="31"/>
      <c r="E431" s="25"/>
      <c r="F431" s="26"/>
    </row>
    <row r="432" spans="1:6" ht="16.8" customHeight="1" x14ac:dyDescent="0.3">
      <c r="A432" s="20">
        <v>42029</v>
      </c>
      <c r="B432" s="31"/>
      <c r="C432" s="31"/>
      <c r="D432" s="31"/>
      <c r="E432" s="25"/>
      <c r="F432" s="26"/>
    </row>
    <row r="433" spans="1:6" ht="16.8" customHeight="1" x14ac:dyDescent="0.3">
      <c r="A433" s="20">
        <v>42030</v>
      </c>
      <c r="B433" s="31"/>
      <c r="C433" s="31"/>
      <c r="D433" s="31"/>
      <c r="E433" s="25"/>
      <c r="F433" s="26"/>
    </row>
    <row r="434" spans="1:6" ht="16.8" customHeight="1" x14ac:dyDescent="0.3">
      <c r="A434" s="20">
        <v>42031</v>
      </c>
      <c r="B434" s="31"/>
      <c r="C434" s="31"/>
      <c r="D434" s="31"/>
      <c r="E434" s="25"/>
      <c r="F434" s="26"/>
    </row>
    <row r="435" spans="1:6" ht="16.8" customHeight="1" x14ac:dyDescent="0.3">
      <c r="A435" s="20">
        <v>42032</v>
      </c>
      <c r="B435" s="31"/>
      <c r="C435" s="31"/>
      <c r="D435" s="31"/>
      <c r="E435" s="25"/>
      <c r="F435" s="26"/>
    </row>
    <row r="436" spans="1:6" ht="16.8" customHeight="1" x14ac:dyDescent="0.3">
      <c r="A436" s="20">
        <v>42033</v>
      </c>
      <c r="B436" s="31"/>
      <c r="C436" s="31"/>
      <c r="D436" s="31"/>
      <c r="E436" s="25"/>
      <c r="F436" s="26"/>
    </row>
    <row r="437" spans="1:6" ht="16.8" customHeight="1" x14ac:dyDescent="0.3">
      <c r="A437" s="20">
        <v>42034</v>
      </c>
      <c r="B437" s="31"/>
      <c r="C437" s="31"/>
      <c r="D437" s="31"/>
      <c r="E437" s="25"/>
      <c r="F437" s="26"/>
    </row>
    <row r="438" spans="1:6" ht="16.8" customHeight="1" x14ac:dyDescent="0.3">
      <c r="A438" s="20">
        <v>42035</v>
      </c>
      <c r="B438" s="31"/>
      <c r="C438" s="31"/>
      <c r="D438" s="31"/>
      <c r="E438" s="25"/>
      <c r="F438" s="26"/>
    </row>
    <row r="439" spans="1:6" ht="16.8" customHeight="1" x14ac:dyDescent="0.3">
      <c r="A439" s="20">
        <v>42036</v>
      </c>
      <c r="B439" s="31"/>
      <c r="C439" s="31"/>
      <c r="D439" s="31"/>
      <c r="E439" s="25"/>
      <c r="F439" s="26"/>
    </row>
    <row r="440" spans="1:6" ht="16.8" customHeight="1" x14ac:dyDescent="0.3">
      <c r="A440" s="20">
        <v>42037</v>
      </c>
      <c r="B440" s="31"/>
      <c r="C440" s="31"/>
      <c r="D440" s="31"/>
      <c r="E440" s="25"/>
      <c r="F440" s="26"/>
    </row>
    <row r="441" spans="1:6" ht="16.8" customHeight="1" x14ac:dyDescent="0.3">
      <c r="A441" s="20">
        <v>42038</v>
      </c>
      <c r="B441" s="31"/>
      <c r="C441" s="31"/>
      <c r="D441" s="31"/>
      <c r="E441" s="25"/>
      <c r="F441" s="26"/>
    </row>
    <row r="442" spans="1:6" ht="16.8" customHeight="1" x14ac:dyDescent="0.3">
      <c r="A442" s="20">
        <v>42039</v>
      </c>
      <c r="B442" s="31"/>
      <c r="C442" s="31"/>
      <c r="D442" s="31"/>
      <c r="E442" s="25"/>
      <c r="F442" s="26"/>
    </row>
    <row r="443" spans="1:6" ht="16.8" customHeight="1" x14ac:dyDescent="0.3">
      <c r="A443" s="20">
        <v>42040</v>
      </c>
      <c r="B443" s="31"/>
      <c r="C443" s="31"/>
      <c r="D443" s="31"/>
      <c r="E443" s="25"/>
      <c r="F443" s="26"/>
    </row>
    <row r="444" spans="1:6" ht="16.8" customHeight="1" x14ac:dyDescent="0.3">
      <c r="A444" s="20">
        <v>42041</v>
      </c>
      <c r="B444" s="31"/>
      <c r="C444" s="31"/>
      <c r="D444" s="31"/>
      <c r="E444" s="25"/>
      <c r="F444" s="26"/>
    </row>
    <row r="445" spans="1:6" ht="16.8" customHeight="1" x14ac:dyDescent="0.3">
      <c r="A445" s="20">
        <v>42042</v>
      </c>
      <c r="B445" s="31"/>
      <c r="C445" s="31"/>
      <c r="D445" s="31"/>
      <c r="E445" s="25"/>
      <c r="F445" s="26"/>
    </row>
    <row r="446" spans="1:6" ht="16.8" customHeight="1" x14ac:dyDescent="0.3">
      <c r="A446" s="20">
        <v>42043</v>
      </c>
      <c r="B446" s="31"/>
      <c r="C446" s="31"/>
      <c r="D446" s="31"/>
      <c r="E446" s="25"/>
      <c r="F446" s="26"/>
    </row>
    <row r="447" spans="1:6" ht="16.8" customHeight="1" x14ac:dyDescent="0.3">
      <c r="A447" s="20">
        <v>42044</v>
      </c>
      <c r="B447" s="31"/>
      <c r="C447" s="31"/>
      <c r="D447" s="31"/>
      <c r="E447" s="25"/>
      <c r="F447" s="26"/>
    </row>
    <row r="448" spans="1:6" ht="16.8" customHeight="1" x14ac:dyDescent="0.3">
      <c r="A448" s="20">
        <v>42045</v>
      </c>
      <c r="B448" s="31"/>
      <c r="C448" s="31"/>
      <c r="D448" s="31"/>
      <c r="E448" s="25"/>
      <c r="F448" s="26"/>
    </row>
    <row r="449" spans="1:6" ht="16.8" customHeight="1" x14ac:dyDescent="0.3">
      <c r="A449" s="20">
        <v>42046</v>
      </c>
      <c r="B449" s="31"/>
      <c r="C449" s="31"/>
      <c r="D449" s="31"/>
      <c r="E449" s="25"/>
      <c r="F449" s="26"/>
    </row>
    <row r="450" spans="1:6" ht="16.8" customHeight="1" x14ac:dyDescent="0.3">
      <c r="A450" s="20">
        <v>42047</v>
      </c>
      <c r="B450" s="31"/>
      <c r="C450" s="31"/>
      <c r="D450" s="31"/>
      <c r="E450" s="25"/>
      <c r="F450" s="26"/>
    </row>
    <row r="451" spans="1:6" ht="16.8" customHeight="1" x14ac:dyDescent="0.3">
      <c r="A451" s="20">
        <v>42048</v>
      </c>
      <c r="B451" s="31"/>
      <c r="C451" s="31"/>
      <c r="D451" s="31"/>
      <c r="E451" s="25"/>
      <c r="F451" s="26"/>
    </row>
    <row r="452" spans="1:6" ht="16.8" customHeight="1" x14ac:dyDescent="0.3">
      <c r="A452" s="20">
        <v>42049</v>
      </c>
      <c r="B452" s="31"/>
      <c r="C452" s="31"/>
      <c r="D452" s="31"/>
      <c r="E452" s="25"/>
      <c r="F452" s="26"/>
    </row>
    <row r="453" spans="1:6" ht="16.8" customHeight="1" x14ac:dyDescent="0.3">
      <c r="A453" s="20">
        <v>42050</v>
      </c>
      <c r="B453" s="31"/>
      <c r="C453" s="31"/>
      <c r="D453" s="31"/>
      <c r="E453" s="25"/>
      <c r="F453" s="26"/>
    </row>
    <row r="454" spans="1:6" ht="16.8" customHeight="1" x14ac:dyDescent="0.3">
      <c r="A454" s="20">
        <v>42051</v>
      </c>
      <c r="B454" s="31"/>
      <c r="C454" s="31"/>
      <c r="D454" s="31"/>
      <c r="E454" s="25"/>
      <c r="F454" s="26"/>
    </row>
    <row r="455" spans="1:6" ht="16.8" customHeight="1" x14ac:dyDescent="0.3">
      <c r="A455" s="20">
        <v>42052</v>
      </c>
      <c r="B455" s="31"/>
      <c r="C455" s="31"/>
      <c r="D455" s="31"/>
      <c r="E455" s="25"/>
      <c r="F455" s="26"/>
    </row>
    <row r="456" spans="1:6" ht="16.8" customHeight="1" x14ac:dyDescent="0.3">
      <c r="A456" s="20">
        <v>42053</v>
      </c>
      <c r="B456" s="31"/>
      <c r="C456" s="31"/>
      <c r="D456" s="31"/>
      <c r="E456" s="25"/>
      <c r="F456" s="26"/>
    </row>
    <row r="457" spans="1:6" ht="16.8" customHeight="1" x14ac:dyDescent="0.3">
      <c r="A457" s="20">
        <v>42054</v>
      </c>
      <c r="B457" s="31"/>
      <c r="C457" s="31"/>
      <c r="D457" s="31"/>
      <c r="E457" s="25"/>
      <c r="F457" s="26"/>
    </row>
    <row r="458" spans="1:6" ht="16.8" customHeight="1" x14ac:dyDescent="0.3">
      <c r="A458" s="20">
        <v>42055</v>
      </c>
      <c r="B458" s="31"/>
      <c r="C458" s="31"/>
      <c r="D458" s="31"/>
      <c r="E458" s="25"/>
      <c r="F458" s="26"/>
    </row>
    <row r="459" spans="1:6" ht="16.8" customHeight="1" x14ac:dyDescent="0.3">
      <c r="A459" s="20">
        <v>42056</v>
      </c>
      <c r="B459" s="31"/>
      <c r="C459" s="31"/>
      <c r="D459" s="31"/>
      <c r="E459" s="25"/>
      <c r="F459" s="26"/>
    </row>
    <row r="460" spans="1:6" ht="16.8" customHeight="1" x14ac:dyDescent="0.3">
      <c r="A460" s="20">
        <v>42057</v>
      </c>
      <c r="B460" s="31"/>
      <c r="C460" s="31"/>
      <c r="D460" s="31"/>
      <c r="E460" s="25"/>
      <c r="F460" s="26"/>
    </row>
    <row r="461" spans="1:6" ht="16.8" customHeight="1" x14ac:dyDescent="0.3">
      <c r="A461" s="20">
        <v>42058</v>
      </c>
      <c r="B461" s="31"/>
      <c r="C461" s="31"/>
      <c r="D461" s="31"/>
      <c r="E461" s="25"/>
      <c r="F461" s="26"/>
    </row>
    <row r="462" spans="1:6" ht="16.8" customHeight="1" x14ac:dyDescent="0.3">
      <c r="A462" s="20">
        <v>42059</v>
      </c>
      <c r="B462" s="31"/>
      <c r="C462" s="31"/>
      <c r="D462" s="31"/>
      <c r="E462" s="25"/>
      <c r="F462" s="26"/>
    </row>
    <row r="463" spans="1:6" ht="16.8" customHeight="1" x14ac:dyDescent="0.3">
      <c r="A463" s="20">
        <v>42060</v>
      </c>
      <c r="B463" s="31"/>
      <c r="C463" s="31"/>
      <c r="D463" s="31"/>
      <c r="E463" s="25"/>
      <c r="F463" s="26"/>
    </row>
    <row r="464" spans="1:6" ht="16.8" customHeight="1" x14ac:dyDescent="0.3">
      <c r="A464" s="20">
        <v>42061</v>
      </c>
      <c r="B464" s="31"/>
      <c r="C464" s="31"/>
      <c r="D464" s="31"/>
      <c r="E464" s="25"/>
      <c r="F464" s="26"/>
    </row>
    <row r="465" spans="1:6" ht="16.8" customHeight="1" x14ac:dyDescent="0.3">
      <c r="A465" s="20">
        <v>42062</v>
      </c>
      <c r="B465" s="31"/>
      <c r="C465" s="31"/>
      <c r="D465" s="31"/>
      <c r="E465" s="25"/>
      <c r="F465" s="26"/>
    </row>
    <row r="466" spans="1:6" ht="16.8" customHeight="1" x14ac:dyDescent="0.3">
      <c r="A466" s="20">
        <v>42063</v>
      </c>
      <c r="B466" s="31"/>
      <c r="C466" s="31"/>
      <c r="D466" s="31"/>
      <c r="E466" s="25"/>
      <c r="F466" s="26"/>
    </row>
    <row r="467" spans="1:6" ht="16.8" customHeight="1" x14ac:dyDescent="0.3">
      <c r="A467" s="20">
        <v>42064</v>
      </c>
      <c r="B467" s="31"/>
      <c r="C467" s="31"/>
      <c r="D467" s="31"/>
      <c r="E467" s="25"/>
      <c r="F467" s="26"/>
    </row>
    <row r="468" spans="1:6" ht="16.8" customHeight="1" x14ac:dyDescent="0.3">
      <c r="A468" s="20">
        <v>42065</v>
      </c>
      <c r="B468" s="31"/>
      <c r="C468" s="31"/>
      <c r="D468" s="31"/>
      <c r="E468" s="25"/>
      <c r="F468" s="26"/>
    </row>
    <row r="469" spans="1:6" ht="16.8" customHeight="1" x14ac:dyDescent="0.3">
      <c r="A469" s="20">
        <v>42066</v>
      </c>
      <c r="B469" s="31"/>
      <c r="C469" s="31"/>
      <c r="D469" s="31"/>
      <c r="E469" s="25"/>
      <c r="F469" s="26"/>
    </row>
    <row r="470" spans="1:6" ht="16.8" customHeight="1" x14ac:dyDescent="0.3">
      <c r="A470" s="20">
        <v>42067</v>
      </c>
      <c r="B470" s="31"/>
      <c r="C470" s="31"/>
      <c r="D470" s="31"/>
      <c r="E470" s="25"/>
      <c r="F470" s="26"/>
    </row>
    <row r="471" spans="1:6" ht="16.8" customHeight="1" x14ac:dyDescent="0.3">
      <c r="A471" s="20">
        <v>42068</v>
      </c>
      <c r="B471" s="31"/>
      <c r="C471" s="31"/>
      <c r="D471" s="31"/>
      <c r="E471" s="25"/>
      <c r="F471" s="26"/>
    </row>
    <row r="472" spans="1:6" ht="16.8" customHeight="1" x14ac:dyDescent="0.3">
      <c r="A472" s="20">
        <v>42069</v>
      </c>
      <c r="B472" s="31"/>
      <c r="C472" s="31"/>
      <c r="D472" s="31"/>
      <c r="E472" s="25"/>
      <c r="F472" s="26"/>
    </row>
    <row r="473" spans="1:6" ht="16.8" customHeight="1" x14ac:dyDescent="0.3">
      <c r="A473" s="20">
        <v>42070</v>
      </c>
      <c r="B473" s="31"/>
      <c r="C473" s="31"/>
      <c r="D473" s="31"/>
      <c r="E473" s="25"/>
      <c r="F473" s="26"/>
    </row>
    <row r="474" spans="1:6" ht="16.8" customHeight="1" x14ac:dyDescent="0.3">
      <c r="A474" s="20">
        <v>42071</v>
      </c>
      <c r="B474" s="31"/>
      <c r="C474" s="31"/>
      <c r="D474" s="31"/>
      <c r="E474" s="25"/>
      <c r="F474" s="26"/>
    </row>
    <row r="475" spans="1:6" ht="16.8" customHeight="1" x14ac:dyDescent="0.3">
      <c r="A475" s="20">
        <v>42072</v>
      </c>
      <c r="B475" s="31"/>
      <c r="C475" s="31"/>
      <c r="D475" s="31"/>
      <c r="E475" s="25"/>
      <c r="F475" s="26"/>
    </row>
    <row r="476" spans="1:6" ht="16.8" customHeight="1" x14ac:dyDescent="0.3">
      <c r="A476" s="20">
        <v>42073</v>
      </c>
      <c r="B476" s="31"/>
      <c r="C476" s="31"/>
      <c r="D476" s="31"/>
      <c r="E476" s="25"/>
      <c r="F476" s="26"/>
    </row>
    <row r="477" spans="1:6" ht="16.8" customHeight="1" x14ac:dyDescent="0.3">
      <c r="A477" s="20">
        <v>42074</v>
      </c>
      <c r="B477" s="31"/>
      <c r="C477" s="31"/>
      <c r="D477" s="31"/>
      <c r="E477" s="25"/>
      <c r="F477" s="26"/>
    </row>
    <row r="478" spans="1:6" ht="16.8" customHeight="1" x14ac:dyDescent="0.3">
      <c r="A478" s="20">
        <v>42075</v>
      </c>
      <c r="B478" s="31"/>
      <c r="C478" s="31"/>
      <c r="D478" s="31"/>
      <c r="E478" s="25"/>
      <c r="F478" s="26"/>
    </row>
    <row r="479" spans="1:6" ht="16.8" customHeight="1" x14ac:dyDescent="0.3">
      <c r="A479" s="20">
        <v>42076</v>
      </c>
      <c r="B479" s="31"/>
      <c r="C479" s="31"/>
      <c r="D479" s="31"/>
      <c r="E479" s="25"/>
      <c r="F479" s="26"/>
    </row>
    <row r="480" spans="1:6" ht="16.8" customHeight="1" x14ac:dyDescent="0.3">
      <c r="A480" s="20">
        <v>42077</v>
      </c>
      <c r="B480" s="31"/>
      <c r="C480" s="31"/>
      <c r="D480" s="31"/>
      <c r="E480" s="25"/>
      <c r="F480" s="26"/>
    </row>
    <row r="481" spans="1:6" ht="16.8" customHeight="1" x14ac:dyDescent="0.3">
      <c r="A481" s="20">
        <v>42078</v>
      </c>
      <c r="B481" s="31"/>
      <c r="C481" s="31"/>
      <c r="D481" s="31"/>
      <c r="E481" s="25"/>
      <c r="F481" s="26"/>
    </row>
    <row r="482" spans="1:6" ht="16.8" customHeight="1" x14ac:dyDescent="0.3">
      <c r="A482" s="20">
        <v>42079</v>
      </c>
      <c r="B482" s="31"/>
      <c r="C482" s="31"/>
      <c r="D482" s="31"/>
      <c r="E482" s="25"/>
      <c r="F482" s="26"/>
    </row>
    <row r="483" spans="1:6" ht="16.8" customHeight="1" x14ac:dyDescent="0.3">
      <c r="A483" s="20">
        <v>42080</v>
      </c>
      <c r="B483" s="31"/>
      <c r="C483" s="31"/>
      <c r="D483" s="31"/>
      <c r="E483" s="25"/>
      <c r="F483" s="26"/>
    </row>
    <row r="484" spans="1:6" ht="16.8" customHeight="1" x14ac:dyDescent="0.3">
      <c r="A484" s="20">
        <v>42081</v>
      </c>
      <c r="B484" s="31"/>
      <c r="C484" s="31"/>
      <c r="D484" s="31"/>
      <c r="E484" s="25"/>
      <c r="F484" s="26"/>
    </row>
    <row r="485" spans="1:6" ht="16.8" customHeight="1" x14ac:dyDescent="0.3">
      <c r="A485" s="20">
        <v>42082</v>
      </c>
      <c r="B485" s="31"/>
      <c r="C485" s="31"/>
      <c r="D485" s="31"/>
      <c r="E485" s="25"/>
      <c r="F485" s="26"/>
    </row>
    <row r="486" spans="1:6" ht="16.8" customHeight="1" x14ac:dyDescent="0.3">
      <c r="A486" s="20">
        <v>42083</v>
      </c>
      <c r="B486" s="31"/>
      <c r="C486" s="31"/>
      <c r="D486" s="31"/>
      <c r="E486" s="25"/>
      <c r="F486" s="26"/>
    </row>
    <row r="487" spans="1:6" ht="16.8" customHeight="1" x14ac:dyDescent="0.3">
      <c r="A487" s="20">
        <v>42084</v>
      </c>
      <c r="B487" s="31"/>
      <c r="C487" s="31"/>
      <c r="D487" s="31"/>
      <c r="E487" s="25"/>
      <c r="F487" s="26"/>
    </row>
    <row r="488" spans="1:6" ht="16.8" customHeight="1" x14ac:dyDescent="0.3">
      <c r="A488" s="20">
        <v>42085</v>
      </c>
      <c r="B488" s="31"/>
      <c r="C488" s="31"/>
      <c r="D488" s="31"/>
      <c r="E488" s="25"/>
      <c r="F488" s="26"/>
    </row>
    <row r="489" spans="1:6" ht="16.8" customHeight="1" x14ac:dyDescent="0.3">
      <c r="A489" s="20">
        <v>42086</v>
      </c>
      <c r="B489" s="31"/>
      <c r="C489" s="31"/>
      <c r="D489" s="31"/>
      <c r="E489" s="25"/>
      <c r="F489" s="26"/>
    </row>
    <row r="490" spans="1:6" ht="16.8" customHeight="1" x14ac:dyDescent="0.3">
      <c r="A490" s="20">
        <v>42087</v>
      </c>
      <c r="B490" s="31"/>
      <c r="C490" s="31"/>
      <c r="D490" s="31"/>
      <c r="E490" s="25"/>
      <c r="F490" s="26"/>
    </row>
    <row r="491" spans="1:6" ht="16.8" customHeight="1" x14ac:dyDescent="0.3">
      <c r="A491" s="20">
        <v>42088</v>
      </c>
      <c r="B491" s="31"/>
      <c r="C491" s="31"/>
      <c r="D491" s="31"/>
      <c r="E491" s="25"/>
      <c r="F491" s="26"/>
    </row>
    <row r="492" spans="1:6" ht="16.8" customHeight="1" x14ac:dyDescent="0.3">
      <c r="A492" s="20">
        <v>42089</v>
      </c>
      <c r="B492" s="31"/>
      <c r="C492" s="31"/>
      <c r="D492" s="31"/>
      <c r="E492" s="25"/>
      <c r="F492" s="26"/>
    </row>
    <row r="493" spans="1:6" ht="16.8" customHeight="1" x14ac:dyDescent="0.3">
      <c r="A493" s="20">
        <v>42090</v>
      </c>
      <c r="B493" s="31"/>
      <c r="C493" s="31"/>
      <c r="D493" s="31"/>
      <c r="E493" s="25"/>
      <c r="F493" s="26"/>
    </row>
    <row r="494" spans="1:6" ht="16.8" customHeight="1" x14ac:dyDescent="0.3">
      <c r="A494" s="20">
        <v>42091</v>
      </c>
      <c r="B494" s="31"/>
      <c r="C494" s="31"/>
      <c r="D494" s="31"/>
      <c r="E494" s="25"/>
      <c r="F494" s="26"/>
    </row>
    <row r="495" spans="1:6" ht="16.8" customHeight="1" x14ac:dyDescent="0.3">
      <c r="A495" s="20">
        <v>42092</v>
      </c>
      <c r="B495" s="31"/>
      <c r="C495" s="31"/>
      <c r="D495" s="31"/>
      <c r="E495" s="25"/>
      <c r="F495" s="26"/>
    </row>
    <row r="496" spans="1:6" ht="16.8" customHeight="1" x14ac:dyDescent="0.3">
      <c r="A496" s="20">
        <v>42093</v>
      </c>
      <c r="B496" s="31"/>
      <c r="C496" s="31"/>
      <c r="D496" s="31"/>
      <c r="E496" s="25"/>
      <c r="F496" s="26"/>
    </row>
    <row r="497" spans="1:6" ht="16.8" customHeight="1" x14ac:dyDescent="0.3">
      <c r="A497" s="20">
        <v>42094</v>
      </c>
      <c r="B497" s="31"/>
      <c r="C497" s="31"/>
      <c r="D497" s="31"/>
      <c r="E497" s="25"/>
      <c r="F497" s="26"/>
    </row>
    <row r="498" spans="1:6" ht="16.8" customHeight="1" x14ac:dyDescent="0.3">
      <c r="A498" s="20">
        <v>42095</v>
      </c>
      <c r="B498" s="31"/>
      <c r="C498" s="31"/>
      <c r="D498" s="31"/>
      <c r="E498" s="25"/>
      <c r="F498" s="26"/>
    </row>
    <row r="499" spans="1:6" ht="16.8" customHeight="1" x14ac:dyDescent="0.3">
      <c r="A499" s="20">
        <v>42096</v>
      </c>
      <c r="B499" s="31"/>
      <c r="C499" s="31"/>
      <c r="D499" s="31"/>
      <c r="E499" s="25"/>
      <c r="F499" s="26"/>
    </row>
    <row r="500" spans="1:6" ht="16.8" customHeight="1" x14ac:dyDescent="0.3">
      <c r="A500" s="20">
        <v>42097</v>
      </c>
      <c r="B500" s="31"/>
      <c r="C500" s="31"/>
      <c r="D500" s="31"/>
      <c r="E500" s="25"/>
      <c r="F500" s="26"/>
    </row>
    <row r="501" spans="1:6" ht="16.8" customHeight="1" x14ac:dyDescent="0.3">
      <c r="A501" s="20">
        <v>42098</v>
      </c>
      <c r="B501" s="31"/>
      <c r="C501" s="31"/>
      <c r="D501" s="31"/>
      <c r="E501" s="25"/>
      <c r="F501" s="26"/>
    </row>
    <row r="502" spans="1:6" ht="16.8" customHeight="1" x14ac:dyDescent="0.3">
      <c r="A502" s="20">
        <v>42099</v>
      </c>
      <c r="B502" s="31"/>
      <c r="C502" s="31"/>
      <c r="D502" s="31"/>
      <c r="E502" s="25"/>
      <c r="F502" s="26"/>
    </row>
    <row r="503" spans="1:6" ht="16.8" customHeight="1" x14ac:dyDescent="0.3">
      <c r="A503" s="20">
        <v>42100</v>
      </c>
      <c r="B503" s="31"/>
      <c r="C503" s="31"/>
      <c r="D503" s="31"/>
      <c r="E503" s="25"/>
      <c r="F503" s="26"/>
    </row>
    <row r="504" spans="1:6" ht="16.8" customHeight="1" x14ac:dyDescent="0.3">
      <c r="A504" s="20">
        <v>42101</v>
      </c>
      <c r="B504" s="31"/>
      <c r="C504" s="31"/>
      <c r="D504" s="31"/>
      <c r="E504" s="25"/>
      <c r="F504" s="26"/>
    </row>
    <row r="505" spans="1:6" ht="16.8" customHeight="1" x14ac:dyDescent="0.3">
      <c r="A505" s="20">
        <v>42102</v>
      </c>
      <c r="B505" s="31"/>
      <c r="C505" s="31"/>
      <c r="D505" s="31"/>
      <c r="E505" s="25"/>
      <c r="F505" s="26"/>
    </row>
    <row r="506" spans="1:6" ht="16.8" customHeight="1" x14ac:dyDescent="0.3">
      <c r="A506" s="20">
        <v>42103</v>
      </c>
      <c r="B506" s="31"/>
      <c r="C506" s="31"/>
      <c r="D506" s="31"/>
      <c r="E506" s="25"/>
      <c r="F506" s="26"/>
    </row>
    <row r="507" spans="1:6" ht="16.8" customHeight="1" x14ac:dyDescent="0.3">
      <c r="A507" s="20">
        <v>42104</v>
      </c>
      <c r="B507" s="31"/>
      <c r="C507" s="31"/>
      <c r="D507" s="31"/>
      <c r="E507" s="25"/>
      <c r="F507" s="26"/>
    </row>
    <row r="508" spans="1:6" ht="16.8" customHeight="1" x14ac:dyDescent="0.3">
      <c r="A508" s="20">
        <v>42105</v>
      </c>
      <c r="B508" s="31"/>
      <c r="C508" s="31"/>
      <c r="D508" s="31"/>
      <c r="E508" s="25"/>
      <c r="F508" s="26"/>
    </row>
    <row r="509" spans="1:6" ht="16.8" customHeight="1" x14ac:dyDescent="0.3">
      <c r="A509" s="20">
        <v>42106</v>
      </c>
      <c r="B509" s="31"/>
      <c r="C509" s="31"/>
      <c r="D509" s="31"/>
      <c r="E509" s="25"/>
      <c r="F509" s="26"/>
    </row>
    <row r="510" spans="1:6" ht="16.8" customHeight="1" x14ac:dyDescent="0.3">
      <c r="A510" s="20">
        <v>42107</v>
      </c>
      <c r="B510" s="31"/>
      <c r="C510" s="31"/>
      <c r="D510" s="31"/>
      <c r="E510" s="25"/>
      <c r="F510" s="26"/>
    </row>
    <row r="511" spans="1:6" ht="16.8" customHeight="1" x14ac:dyDescent="0.3">
      <c r="A511" s="20">
        <v>42108</v>
      </c>
      <c r="B511" s="31"/>
      <c r="C511" s="31"/>
      <c r="D511" s="31"/>
      <c r="E511" s="25"/>
      <c r="F511" s="26"/>
    </row>
    <row r="512" spans="1:6" ht="16.8" customHeight="1" x14ac:dyDescent="0.3">
      <c r="A512" s="20">
        <v>42109</v>
      </c>
      <c r="B512" s="31"/>
      <c r="C512" s="31"/>
      <c r="D512" s="31"/>
      <c r="E512" s="25"/>
      <c r="F512" s="26"/>
    </row>
    <row r="513" spans="1:6" ht="16.8" customHeight="1" x14ac:dyDescent="0.3">
      <c r="A513" s="20">
        <v>42110</v>
      </c>
      <c r="B513" s="31"/>
      <c r="C513" s="31"/>
      <c r="D513" s="31"/>
      <c r="E513" s="25"/>
      <c r="F513" s="26"/>
    </row>
    <row r="514" spans="1:6" ht="16.8" customHeight="1" x14ac:dyDescent="0.3">
      <c r="A514" s="20">
        <v>42111</v>
      </c>
      <c r="B514" s="31"/>
      <c r="C514" s="31"/>
      <c r="D514" s="31"/>
      <c r="E514" s="25"/>
      <c r="F514" s="26"/>
    </row>
    <row r="515" spans="1:6" ht="16.8" customHeight="1" x14ac:dyDescent="0.3">
      <c r="A515" s="20">
        <v>42112</v>
      </c>
      <c r="B515" s="31"/>
      <c r="C515" s="31"/>
      <c r="D515" s="31"/>
      <c r="E515" s="25"/>
      <c r="F515" s="26"/>
    </row>
    <row r="516" spans="1:6" ht="16.8" customHeight="1" x14ac:dyDescent="0.3">
      <c r="A516" s="20">
        <v>42113</v>
      </c>
      <c r="B516" s="31"/>
      <c r="C516" s="31"/>
      <c r="D516" s="31"/>
      <c r="E516" s="25"/>
      <c r="F516" s="26"/>
    </row>
    <row r="517" spans="1:6" ht="16.8" customHeight="1" x14ac:dyDescent="0.3">
      <c r="A517" s="20">
        <v>42114</v>
      </c>
      <c r="B517" s="31"/>
      <c r="C517" s="31"/>
      <c r="D517" s="31"/>
      <c r="E517" s="25"/>
      <c r="F517" s="26"/>
    </row>
    <row r="518" spans="1:6" ht="16.8" customHeight="1" x14ac:dyDescent="0.3">
      <c r="A518" s="20">
        <v>42115</v>
      </c>
      <c r="B518" s="31" t="s">
        <v>41</v>
      </c>
      <c r="C518" s="31" t="s">
        <v>45</v>
      </c>
      <c r="D518" s="31" t="s">
        <v>98</v>
      </c>
      <c r="E518" s="25">
        <v>45484</v>
      </c>
      <c r="F518" s="26" t="s">
        <v>4</v>
      </c>
    </row>
    <row r="519" spans="1:6" ht="16.8" customHeight="1" x14ac:dyDescent="0.3">
      <c r="A519" s="20">
        <v>42116</v>
      </c>
      <c r="B519" s="31"/>
      <c r="C519" s="31"/>
      <c r="D519" s="31"/>
      <c r="E519" s="25"/>
      <c r="F519" s="26"/>
    </row>
    <row r="520" spans="1:6" ht="16.8" customHeight="1" x14ac:dyDescent="0.3">
      <c r="A520" s="20">
        <v>42117</v>
      </c>
      <c r="B520" s="31"/>
      <c r="C520" s="31"/>
      <c r="D520" s="31"/>
      <c r="E520" s="25"/>
      <c r="F520" s="26"/>
    </row>
    <row r="521" spans="1:6" ht="16.8" customHeight="1" x14ac:dyDescent="0.3">
      <c r="A521" s="20">
        <v>42118</v>
      </c>
      <c r="B521" s="31"/>
      <c r="C521" s="31"/>
      <c r="D521" s="31"/>
      <c r="E521" s="25"/>
      <c r="F521" s="26"/>
    </row>
    <row r="522" spans="1:6" ht="16.8" customHeight="1" x14ac:dyDescent="0.3">
      <c r="A522" s="20">
        <v>42119</v>
      </c>
      <c r="B522" s="31"/>
      <c r="C522" s="31"/>
      <c r="D522" s="31"/>
      <c r="E522" s="25"/>
      <c r="F522" s="26"/>
    </row>
    <row r="523" spans="1:6" ht="16.8" customHeight="1" x14ac:dyDescent="0.3">
      <c r="A523" s="20">
        <v>42120</v>
      </c>
      <c r="B523" s="31"/>
      <c r="C523" s="31"/>
      <c r="D523" s="31"/>
      <c r="E523" s="25"/>
      <c r="F523" s="26"/>
    </row>
    <row r="524" spans="1:6" ht="16.8" customHeight="1" x14ac:dyDescent="0.3">
      <c r="A524" s="20">
        <v>42121</v>
      </c>
      <c r="B524" s="31"/>
      <c r="C524" s="31"/>
      <c r="D524" s="31"/>
      <c r="E524" s="25"/>
      <c r="F524" s="26"/>
    </row>
    <row r="525" spans="1:6" ht="16.8" customHeight="1" x14ac:dyDescent="0.3">
      <c r="A525" s="20">
        <v>42122</v>
      </c>
      <c r="B525" s="31"/>
      <c r="C525" s="31"/>
      <c r="D525" s="31"/>
      <c r="E525" s="25"/>
      <c r="F525" s="26"/>
    </row>
    <row r="526" spans="1:6" ht="16.8" customHeight="1" x14ac:dyDescent="0.3">
      <c r="A526" s="20">
        <v>42123</v>
      </c>
      <c r="B526" s="31"/>
      <c r="C526" s="31"/>
      <c r="D526" s="31"/>
      <c r="E526" s="25"/>
      <c r="F526" s="26"/>
    </row>
    <row r="527" spans="1:6" ht="16.8" customHeight="1" x14ac:dyDescent="0.3">
      <c r="A527" s="20">
        <v>42124</v>
      </c>
      <c r="B527" s="31"/>
      <c r="C527" s="31"/>
      <c r="D527" s="31"/>
      <c r="E527" s="25"/>
      <c r="F527" s="26"/>
    </row>
    <row r="528" spans="1:6" ht="16.8" customHeight="1" x14ac:dyDescent="0.3">
      <c r="A528" s="20">
        <v>42125</v>
      </c>
      <c r="B528" s="31"/>
      <c r="C528" s="31"/>
      <c r="D528" s="31"/>
      <c r="E528" s="25"/>
      <c r="F528" s="26"/>
    </row>
    <row r="529" spans="1:6" ht="16.8" customHeight="1" x14ac:dyDescent="0.3">
      <c r="A529" s="20">
        <v>42126</v>
      </c>
      <c r="B529" s="31"/>
      <c r="C529" s="31"/>
      <c r="D529" s="31"/>
      <c r="E529" s="25"/>
      <c r="F529" s="26"/>
    </row>
    <row r="530" spans="1:6" ht="16.8" customHeight="1" x14ac:dyDescent="0.3">
      <c r="A530" s="20">
        <v>42127</v>
      </c>
      <c r="B530" s="31"/>
      <c r="C530" s="31"/>
      <c r="D530" s="31"/>
      <c r="E530" s="25"/>
      <c r="F530" s="26"/>
    </row>
    <row r="531" spans="1:6" ht="16.8" customHeight="1" x14ac:dyDescent="0.3">
      <c r="A531" s="20">
        <v>42128</v>
      </c>
      <c r="B531" s="31"/>
      <c r="C531" s="31"/>
      <c r="D531" s="31"/>
      <c r="E531" s="25"/>
      <c r="F531" s="26"/>
    </row>
    <row r="532" spans="1:6" ht="16.8" customHeight="1" x14ac:dyDescent="0.3">
      <c r="A532" s="20">
        <v>42129</v>
      </c>
      <c r="B532" s="31"/>
      <c r="C532" s="31"/>
      <c r="D532" s="31"/>
      <c r="E532" s="25"/>
      <c r="F532" s="26"/>
    </row>
    <row r="533" spans="1:6" ht="16.8" customHeight="1" x14ac:dyDescent="0.3">
      <c r="A533" s="20">
        <v>42130</v>
      </c>
      <c r="B533" s="31" t="s">
        <v>62</v>
      </c>
      <c r="C533" s="31" t="s">
        <v>63</v>
      </c>
      <c r="D533" s="31" t="s">
        <v>423</v>
      </c>
      <c r="E533" s="25">
        <v>45483</v>
      </c>
      <c r="F533" s="26" t="s">
        <v>5</v>
      </c>
    </row>
    <row r="534" spans="1:6" ht="16.8" customHeight="1" x14ac:dyDescent="0.3">
      <c r="A534" s="20">
        <v>42131</v>
      </c>
      <c r="B534" s="31"/>
      <c r="C534" s="31"/>
      <c r="D534" s="31"/>
      <c r="E534" s="25"/>
      <c r="F534" s="26"/>
    </row>
    <row r="535" spans="1:6" ht="16.8" customHeight="1" x14ac:dyDescent="0.3">
      <c r="A535" s="20">
        <v>42132</v>
      </c>
      <c r="B535" s="31"/>
      <c r="C535" s="31"/>
      <c r="D535" s="31"/>
      <c r="E535" s="25"/>
      <c r="F535" s="26"/>
    </row>
    <row r="536" spans="1:6" ht="16.8" customHeight="1" x14ac:dyDescent="0.3">
      <c r="A536" s="20">
        <v>42133</v>
      </c>
      <c r="B536" s="31"/>
      <c r="C536" s="31"/>
      <c r="D536" s="31"/>
      <c r="E536" s="25"/>
      <c r="F536" s="26"/>
    </row>
    <row r="537" spans="1:6" ht="16.8" customHeight="1" x14ac:dyDescent="0.3">
      <c r="A537" s="20">
        <v>42134</v>
      </c>
      <c r="B537" s="31"/>
      <c r="C537" s="31"/>
      <c r="D537" s="31"/>
      <c r="E537" s="25"/>
      <c r="F537" s="26"/>
    </row>
    <row r="538" spans="1:6" ht="16.8" customHeight="1" x14ac:dyDescent="0.3">
      <c r="A538" s="20">
        <v>42135</v>
      </c>
      <c r="B538" s="31"/>
      <c r="C538" s="31"/>
      <c r="D538" s="31"/>
      <c r="E538" s="25"/>
      <c r="F538" s="26"/>
    </row>
    <row r="539" spans="1:6" ht="16.8" customHeight="1" x14ac:dyDescent="0.3">
      <c r="A539" s="20">
        <v>42136</v>
      </c>
      <c r="B539" s="31"/>
      <c r="C539" s="31"/>
      <c r="D539" s="31"/>
      <c r="E539" s="25"/>
      <c r="F539" s="26"/>
    </row>
    <row r="540" spans="1:6" ht="16.8" customHeight="1" x14ac:dyDescent="0.3">
      <c r="A540" s="20">
        <v>42137</v>
      </c>
      <c r="B540" s="31"/>
      <c r="C540" s="31"/>
      <c r="D540" s="31"/>
      <c r="E540" s="25"/>
      <c r="F540" s="26"/>
    </row>
    <row r="541" spans="1:6" ht="16.8" customHeight="1" x14ac:dyDescent="0.3">
      <c r="A541" s="20">
        <v>42138</v>
      </c>
      <c r="B541" s="31"/>
      <c r="C541" s="31"/>
      <c r="D541" s="31"/>
      <c r="E541" s="25"/>
      <c r="F541" s="26"/>
    </row>
    <row r="542" spans="1:6" ht="16.8" customHeight="1" x14ac:dyDescent="0.3">
      <c r="A542" s="20">
        <v>42139</v>
      </c>
      <c r="B542" s="31"/>
      <c r="C542" s="31"/>
      <c r="D542" s="31"/>
      <c r="E542" s="25"/>
      <c r="F542" s="26"/>
    </row>
    <row r="543" spans="1:6" ht="16.8" customHeight="1" x14ac:dyDescent="0.3">
      <c r="A543" s="20">
        <v>42140</v>
      </c>
      <c r="B543" s="31"/>
      <c r="C543" s="31"/>
      <c r="D543" s="31"/>
      <c r="E543" s="25"/>
      <c r="F543" s="26"/>
    </row>
    <row r="544" spans="1:6" ht="16.8" customHeight="1" x14ac:dyDescent="0.3">
      <c r="A544" s="20">
        <v>42141</v>
      </c>
      <c r="B544" s="31"/>
      <c r="C544" s="31"/>
      <c r="D544" s="31"/>
      <c r="E544" s="25"/>
      <c r="F544" s="26"/>
    </row>
    <row r="545" spans="1:6" ht="16.8" customHeight="1" x14ac:dyDescent="0.3">
      <c r="A545" s="20">
        <v>42142</v>
      </c>
      <c r="B545" s="31"/>
      <c r="C545" s="31"/>
      <c r="D545" s="31"/>
      <c r="E545" s="25"/>
      <c r="F545" s="26"/>
    </row>
    <row r="546" spans="1:6" ht="16.8" customHeight="1" x14ac:dyDescent="0.3">
      <c r="A546" s="20">
        <v>42143</v>
      </c>
      <c r="B546" s="31"/>
      <c r="C546" s="31"/>
      <c r="D546" s="31"/>
      <c r="E546" s="25"/>
      <c r="F546" s="26"/>
    </row>
    <row r="547" spans="1:6" ht="16.8" customHeight="1" x14ac:dyDescent="0.3">
      <c r="A547" s="20">
        <v>42144</v>
      </c>
      <c r="B547" s="31"/>
      <c r="C547" s="31"/>
      <c r="D547" s="31"/>
      <c r="E547" s="25"/>
      <c r="F547" s="26"/>
    </row>
    <row r="548" spans="1:6" ht="16.8" customHeight="1" x14ac:dyDescent="0.3">
      <c r="A548" s="20">
        <v>42145</v>
      </c>
      <c r="B548" s="31"/>
      <c r="C548" s="31"/>
      <c r="D548" s="31"/>
      <c r="E548" s="25"/>
      <c r="F548" s="26"/>
    </row>
    <row r="549" spans="1:6" ht="16.8" customHeight="1" x14ac:dyDescent="0.3">
      <c r="A549" s="20">
        <v>42146</v>
      </c>
      <c r="B549" s="31"/>
      <c r="C549" s="31"/>
      <c r="D549" s="31"/>
      <c r="E549" s="25"/>
      <c r="F549" s="26"/>
    </row>
    <row r="550" spans="1:6" ht="16.8" customHeight="1" x14ac:dyDescent="0.3">
      <c r="A550" s="20">
        <v>42147</v>
      </c>
      <c r="B550" s="31"/>
      <c r="C550" s="31"/>
      <c r="D550" s="31"/>
      <c r="E550" s="25"/>
      <c r="F550" s="26"/>
    </row>
    <row r="551" spans="1:6" ht="16.8" customHeight="1" x14ac:dyDescent="0.3">
      <c r="A551" s="20">
        <v>42148</v>
      </c>
      <c r="B551" s="31"/>
      <c r="C551" s="31"/>
      <c r="D551" s="31"/>
      <c r="E551" s="25"/>
      <c r="F551" s="26"/>
    </row>
    <row r="552" spans="1:6" ht="16.8" customHeight="1" x14ac:dyDescent="0.3">
      <c r="A552" s="20">
        <v>42149</v>
      </c>
      <c r="B552" s="31"/>
      <c r="C552" s="31"/>
      <c r="D552" s="31"/>
      <c r="E552" s="25"/>
      <c r="F552" s="26"/>
    </row>
    <row r="553" spans="1:6" ht="16.8" customHeight="1" x14ac:dyDescent="0.3">
      <c r="A553" s="20">
        <v>42150</v>
      </c>
      <c r="B553" s="31"/>
      <c r="C553" s="31"/>
      <c r="D553" s="31"/>
      <c r="E553" s="25"/>
      <c r="F553" s="26"/>
    </row>
    <row r="554" spans="1:6" ht="16.8" customHeight="1" x14ac:dyDescent="0.3">
      <c r="A554" s="20">
        <v>42151</v>
      </c>
      <c r="B554" s="31"/>
      <c r="C554" s="31"/>
      <c r="D554" s="31"/>
      <c r="E554" s="25"/>
      <c r="F554" s="26"/>
    </row>
    <row r="555" spans="1:6" ht="16.8" customHeight="1" x14ac:dyDescent="0.3">
      <c r="A555" s="20">
        <v>42152</v>
      </c>
      <c r="B555" s="31"/>
      <c r="C555" s="31"/>
      <c r="D555" s="31"/>
      <c r="E555" s="25"/>
      <c r="F555" s="26"/>
    </row>
    <row r="556" spans="1:6" ht="16.8" customHeight="1" x14ac:dyDescent="0.3">
      <c r="A556" s="20">
        <v>42153</v>
      </c>
      <c r="B556" s="31"/>
      <c r="C556" s="31"/>
      <c r="D556" s="31"/>
      <c r="E556" s="25"/>
      <c r="F556" s="26"/>
    </row>
    <row r="557" spans="1:6" ht="16.8" customHeight="1" x14ac:dyDescent="0.3">
      <c r="A557" s="20">
        <v>42154</v>
      </c>
      <c r="B557" s="31"/>
      <c r="C557" s="31"/>
      <c r="D557" s="31"/>
      <c r="E557" s="25"/>
      <c r="F557" s="26"/>
    </row>
    <row r="558" spans="1:6" ht="16.8" customHeight="1" x14ac:dyDescent="0.3">
      <c r="A558" s="20">
        <v>42155</v>
      </c>
      <c r="B558" s="31"/>
      <c r="C558" s="31"/>
      <c r="D558" s="31"/>
      <c r="E558" s="25"/>
      <c r="F558" s="26"/>
    </row>
    <row r="559" spans="1:6" ht="16.8" customHeight="1" x14ac:dyDescent="0.3">
      <c r="A559" s="20">
        <v>42156</v>
      </c>
      <c r="B559" s="31"/>
      <c r="C559" s="31"/>
      <c r="D559" s="31"/>
      <c r="E559" s="25"/>
      <c r="F559" s="26"/>
    </row>
    <row r="560" spans="1:6" ht="16.8" customHeight="1" x14ac:dyDescent="0.3">
      <c r="A560" s="20">
        <v>42157</v>
      </c>
      <c r="B560" s="31"/>
      <c r="C560" s="31"/>
      <c r="D560" s="31"/>
      <c r="E560" s="25"/>
      <c r="F560" s="26"/>
    </row>
    <row r="561" spans="1:6" ht="16.8" customHeight="1" x14ac:dyDescent="0.3">
      <c r="A561" s="20">
        <v>42158</v>
      </c>
      <c r="B561" s="31"/>
      <c r="C561" s="31"/>
      <c r="D561" s="31"/>
      <c r="E561" s="25"/>
      <c r="F561" s="26"/>
    </row>
    <row r="562" spans="1:6" ht="16.8" customHeight="1" x14ac:dyDescent="0.3">
      <c r="A562" s="20">
        <v>42159</v>
      </c>
      <c r="B562" s="31"/>
      <c r="C562" s="31"/>
      <c r="D562" s="31"/>
      <c r="E562" s="25"/>
      <c r="F562" s="26"/>
    </row>
    <row r="563" spans="1:6" ht="16.8" customHeight="1" x14ac:dyDescent="0.3">
      <c r="A563" s="20">
        <v>42160</v>
      </c>
      <c r="B563" s="31"/>
      <c r="C563" s="31"/>
      <c r="D563" s="31"/>
      <c r="E563" s="25"/>
      <c r="F563" s="26"/>
    </row>
    <row r="564" spans="1:6" ht="16.8" customHeight="1" x14ac:dyDescent="0.3">
      <c r="A564" s="20">
        <v>42161</v>
      </c>
      <c r="B564" s="31"/>
      <c r="C564" s="31"/>
      <c r="D564" s="31"/>
      <c r="E564" s="25"/>
      <c r="F564" s="26"/>
    </row>
    <row r="565" spans="1:6" ht="16.8" customHeight="1" x14ac:dyDescent="0.3">
      <c r="A565" s="20">
        <v>42162</v>
      </c>
      <c r="B565" s="31"/>
      <c r="C565" s="31"/>
      <c r="D565" s="31"/>
      <c r="E565" s="25"/>
      <c r="F565" s="26"/>
    </row>
    <row r="566" spans="1:6" ht="16.8" customHeight="1" x14ac:dyDescent="0.3">
      <c r="A566" s="20">
        <v>42163</v>
      </c>
      <c r="B566" s="31"/>
      <c r="C566" s="31"/>
      <c r="D566" s="31"/>
      <c r="E566" s="25"/>
      <c r="F566" s="26"/>
    </row>
    <row r="567" spans="1:6" ht="16.8" customHeight="1" x14ac:dyDescent="0.3">
      <c r="A567" s="20">
        <v>42164</v>
      </c>
      <c r="B567" s="31"/>
      <c r="C567" s="31"/>
      <c r="D567" s="31"/>
      <c r="E567" s="25"/>
      <c r="F567" s="26"/>
    </row>
    <row r="568" spans="1:6" ht="16.8" customHeight="1" x14ac:dyDescent="0.3">
      <c r="A568" s="20">
        <v>42165</v>
      </c>
      <c r="B568" s="31"/>
      <c r="C568" s="31"/>
      <c r="D568" s="31"/>
      <c r="E568" s="25"/>
      <c r="F568" s="26"/>
    </row>
    <row r="569" spans="1:6" ht="16.8" customHeight="1" x14ac:dyDescent="0.3">
      <c r="A569" s="20">
        <v>42166</v>
      </c>
      <c r="B569" s="31"/>
      <c r="C569" s="31"/>
      <c r="D569" s="31"/>
      <c r="E569" s="25"/>
      <c r="F569" s="26"/>
    </row>
    <row r="570" spans="1:6" ht="16.8" customHeight="1" x14ac:dyDescent="0.3">
      <c r="A570" s="20">
        <v>42167</v>
      </c>
      <c r="B570" s="31"/>
      <c r="C570" s="31"/>
      <c r="D570" s="31"/>
      <c r="E570" s="25"/>
      <c r="F570" s="26"/>
    </row>
    <row r="571" spans="1:6" ht="16.8" customHeight="1" x14ac:dyDescent="0.3">
      <c r="A571" s="20">
        <v>42168</v>
      </c>
      <c r="B571" s="31" t="s">
        <v>290</v>
      </c>
      <c r="C571" s="31" t="s">
        <v>63</v>
      </c>
      <c r="D571" s="31" t="s">
        <v>424</v>
      </c>
      <c r="E571" s="25">
        <v>45490</v>
      </c>
      <c r="F571" s="26" t="s">
        <v>1</v>
      </c>
    </row>
    <row r="572" spans="1:6" ht="16.8" customHeight="1" x14ac:dyDescent="0.3">
      <c r="A572" s="20">
        <v>42169</v>
      </c>
      <c r="B572" s="31"/>
      <c r="C572" s="31"/>
      <c r="D572" s="31"/>
      <c r="E572" s="25"/>
      <c r="F572" s="26"/>
    </row>
    <row r="573" spans="1:6" ht="16.8" customHeight="1" x14ac:dyDescent="0.3">
      <c r="A573" s="20">
        <v>42170</v>
      </c>
      <c r="B573" s="31"/>
      <c r="C573" s="31"/>
      <c r="D573" s="31"/>
      <c r="E573" s="25"/>
      <c r="F573" s="26"/>
    </row>
    <row r="574" spans="1:6" ht="16.8" customHeight="1" x14ac:dyDescent="0.3">
      <c r="A574" s="20">
        <v>42171</v>
      </c>
      <c r="B574" s="31"/>
      <c r="C574" s="31"/>
      <c r="D574" s="31"/>
      <c r="E574" s="25"/>
      <c r="F574" s="26"/>
    </row>
    <row r="575" spans="1:6" ht="16.8" customHeight="1" x14ac:dyDescent="0.3">
      <c r="A575" s="20">
        <v>42172</v>
      </c>
      <c r="B575" s="31"/>
      <c r="C575" s="31"/>
      <c r="D575" s="31"/>
      <c r="E575" s="25"/>
      <c r="F575" s="26"/>
    </row>
    <row r="576" spans="1:6" ht="16.8" customHeight="1" x14ac:dyDescent="0.3">
      <c r="A576" s="20">
        <v>42173</v>
      </c>
      <c r="B576" s="31"/>
      <c r="C576" s="31"/>
      <c r="D576" s="31"/>
      <c r="E576" s="25"/>
      <c r="F576" s="26"/>
    </row>
    <row r="577" spans="1:6" ht="16.8" customHeight="1" x14ac:dyDescent="0.3">
      <c r="A577" s="20">
        <v>42174</v>
      </c>
      <c r="B577" s="31"/>
      <c r="C577" s="31"/>
      <c r="D577" s="31"/>
      <c r="E577" s="25"/>
      <c r="F577" s="26"/>
    </row>
    <row r="578" spans="1:6" ht="16.8" customHeight="1" x14ac:dyDescent="0.3">
      <c r="A578" s="20">
        <v>42175</v>
      </c>
      <c r="B578" s="31"/>
      <c r="C578" s="31"/>
      <c r="D578" s="31"/>
      <c r="E578" s="25"/>
      <c r="F578" s="26"/>
    </row>
    <row r="579" spans="1:6" ht="16.8" customHeight="1" x14ac:dyDescent="0.3">
      <c r="A579" s="20">
        <v>42176</v>
      </c>
      <c r="B579" s="31"/>
      <c r="C579" s="31"/>
      <c r="D579" s="31"/>
      <c r="E579" s="25"/>
      <c r="F579" s="26"/>
    </row>
    <row r="580" spans="1:6" ht="16.8" customHeight="1" x14ac:dyDescent="0.3">
      <c r="A580" s="20">
        <v>42177</v>
      </c>
      <c r="B580" s="31"/>
      <c r="C580" s="31"/>
      <c r="D580" s="31"/>
      <c r="E580" s="25"/>
      <c r="F580" s="26"/>
    </row>
    <row r="581" spans="1:6" ht="16.8" customHeight="1" x14ac:dyDescent="0.3">
      <c r="A581" s="20">
        <v>42178</v>
      </c>
      <c r="B581" s="31"/>
      <c r="C581" s="31"/>
      <c r="D581" s="31"/>
      <c r="E581" s="25"/>
      <c r="F581" s="26"/>
    </row>
    <row r="582" spans="1:6" ht="16.8" customHeight="1" x14ac:dyDescent="0.3">
      <c r="A582" s="20">
        <v>42179</v>
      </c>
      <c r="B582" s="31"/>
      <c r="C582" s="31"/>
      <c r="D582" s="31"/>
      <c r="E582" s="25"/>
      <c r="F582" s="26"/>
    </row>
    <row r="583" spans="1:6" ht="16.8" customHeight="1" x14ac:dyDescent="0.3">
      <c r="A583" s="20">
        <v>42180</v>
      </c>
      <c r="B583" s="31"/>
      <c r="C583" s="31"/>
      <c r="D583" s="31"/>
      <c r="E583" s="25"/>
      <c r="F583" s="26"/>
    </row>
    <row r="584" spans="1:6" ht="16.8" customHeight="1" x14ac:dyDescent="0.3">
      <c r="A584" s="20">
        <v>42181</v>
      </c>
      <c r="B584" s="31"/>
      <c r="C584" s="31"/>
      <c r="D584" s="31"/>
      <c r="E584" s="25"/>
      <c r="F584" s="26"/>
    </row>
    <row r="585" spans="1:6" ht="16.8" customHeight="1" x14ac:dyDescent="0.3">
      <c r="A585" s="20">
        <v>42182</v>
      </c>
      <c r="B585" s="31"/>
      <c r="C585" s="31"/>
      <c r="D585" s="31"/>
      <c r="E585" s="25"/>
      <c r="F585" s="26"/>
    </row>
    <row r="586" spans="1:6" ht="16.8" customHeight="1" x14ac:dyDescent="0.3">
      <c r="A586" s="20">
        <v>42183</v>
      </c>
      <c r="B586" s="31"/>
      <c r="C586" s="31"/>
      <c r="D586" s="31"/>
      <c r="E586" s="25"/>
      <c r="F586" s="26"/>
    </row>
    <row r="587" spans="1:6" ht="16.8" customHeight="1" x14ac:dyDescent="0.3">
      <c r="A587" s="20">
        <v>42184</v>
      </c>
      <c r="B587" s="31"/>
      <c r="C587" s="31"/>
      <c r="D587" s="31"/>
      <c r="E587" s="25"/>
      <c r="F587" s="26"/>
    </row>
    <row r="588" spans="1:6" ht="16.8" customHeight="1" x14ac:dyDescent="0.3">
      <c r="A588" s="20">
        <v>42185</v>
      </c>
      <c r="B588" s="31"/>
      <c r="C588" s="31"/>
      <c r="D588" s="31"/>
      <c r="E588" s="25"/>
      <c r="F588" s="26"/>
    </row>
    <row r="589" spans="1:6" ht="16.8" customHeight="1" x14ac:dyDescent="0.3">
      <c r="A589" s="20">
        <v>42186</v>
      </c>
      <c r="B589" s="31"/>
      <c r="C589" s="31"/>
      <c r="D589" s="31"/>
      <c r="E589" s="25"/>
      <c r="F589" s="26"/>
    </row>
    <row r="590" spans="1:6" ht="16.8" customHeight="1" x14ac:dyDescent="0.3">
      <c r="A590" s="20">
        <v>42187</v>
      </c>
      <c r="B590" s="31"/>
      <c r="C590" s="31"/>
      <c r="D590" s="31"/>
      <c r="E590" s="25"/>
      <c r="F590" s="26"/>
    </row>
    <row r="591" spans="1:6" ht="16.8" customHeight="1" x14ac:dyDescent="0.3">
      <c r="A591" s="20">
        <v>42188</v>
      </c>
      <c r="B591" s="31"/>
      <c r="C591" s="31"/>
      <c r="D591" s="31"/>
      <c r="E591" s="25"/>
      <c r="F591" s="26"/>
    </row>
    <row r="592" spans="1:6" ht="16.8" customHeight="1" x14ac:dyDescent="0.3">
      <c r="A592" s="20">
        <v>42189</v>
      </c>
      <c r="B592" s="31"/>
      <c r="C592" s="31"/>
      <c r="D592" s="31"/>
      <c r="E592" s="25"/>
      <c r="F592" s="26"/>
    </row>
    <row r="593" spans="1:6" ht="16.8" customHeight="1" x14ac:dyDescent="0.3">
      <c r="A593" s="20">
        <v>42190</v>
      </c>
      <c r="B593" s="31"/>
      <c r="C593" s="31"/>
      <c r="D593" s="31"/>
      <c r="E593" s="25"/>
      <c r="F593" s="26"/>
    </row>
    <row r="594" spans="1:6" ht="16.8" customHeight="1" x14ac:dyDescent="0.3">
      <c r="A594" s="20">
        <v>42191</v>
      </c>
      <c r="B594" s="31"/>
      <c r="C594" s="31"/>
      <c r="D594" s="31"/>
      <c r="E594" s="25"/>
      <c r="F594" s="26"/>
    </row>
    <row r="595" spans="1:6" ht="16.8" customHeight="1" x14ac:dyDescent="0.3">
      <c r="A595" s="20">
        <v>42192</v>
      </c>
      <c r="B595" s="31"/>
      <c r="C595" s="31"/>
      <c r="D595" s="31"/>
      <c r="E595" s="25"/>
      <c r="F595" s="26"/>
    </row>
    <row r="596" spans="1:6" ht="16.8" customHeight="1" x14ac:dyDescent="0.3">
      <c r="A596" s="20">
        <v>42193</v>
      </c>
      <c r="B596" s="31"/>
      <c r="C596" s="31"/>
      <c r="D596" s="31"/>
      <c r="E596" s="25"/>
      <c r="F596" s="26"/>
    </row>
    <row r="597" spans="1:6" ht="16.8" customHeight="1" x14ac:dyDescent="0.3">
      <c r="A597" s="20">
        <v>42194</v>
      </c>
      <c r="B597" s="31"/>
      <c r="C597" s="31"/>
      <c r="D597" s="31"/>
      <c r="E597" s="25"/>
      <c r="F597" s="26"/>
    </row>
    <row r="598" spans="1:6" ht="16.8" customHeight="1" x14ac:dyDescent="0.3">
      <c r="A598" s="20">
        <v>42195</v>
      </c>
      <c r="B598" s="31"/>
      <c r="C598" s="31"/>
      <c r="D598" s="31"/>
      <c r="E598" s="25"/>
      <c r="F598" s="26"/>
    </row>
    <row r="599" spans="1:6" ht="16.8" customHeight="1" x14ac:dyDescent="0.3">
      <c r="A599" s="20">
        <v>42196</v>
      </c>
      <c r="B599" s="31"/>
      <c r="C599" s="31"/>
      <c r="D599" s="31"/>
      <c r="E599" s="25"/>
      <c r="F599" s="26"/>
    </row>
    <row r="600" spans="1:6" ht="16.8" customHeight="1" x14ac:dyDescent="0.3">
      <c r="A600" s="20">
        <v>42197</v>
      </c>
      <c r="B600" s="31"/>
      <c r="C600" s="31"/>
      <c r="D600" s="31"/>
      <c r="E600" s="25"/>
      <c r="F600" s="26"/>
    </row>
    <row r="601" spans="1:6" ht="16.8" customHeight="1" x14ac:dyDescent="0.3">
      <c r="A601" s="20">
        <v>42198</v>
      </c>
      <c r="B601" s="31"/>
      <c r="C601" s="31"/>
      <c r="D601" s="31"/>
      <c r="E601" s="25"/>
      <c r="F601" s="26"/>
    </row>
    <row r="602" spans="1:6" ht="16.8" customHeight="1" x14ac:dyDescent="0.3">
      <c r="A602" s="20">
        <v>42199</v>
      </c>
      <c r="B602" s="31"/>
      <c r="C602" s="31"/>
      <c r="D602" s="31"/>
      <c r="E602" s="25"/>
      <c r="F602" s="26"/>
    </row>
    <row r="603" spans="1:6" ht="16.8" customHeight="1" x14ac:dyDescent="0.3">
      <c r="A603" s="20">
        <v>42200</v>
      </c>
      <c r="B603" s="31"/>
      <c r="C603" s="31"/>
      <c r="D603" s="31"/>
      <c r="E603" s="25"/>
      <c r="F603" s="26"/>
    </row>
    <row r="604" spans="1:6" ht="16.8" customHeight="1" x14ac:dyDescent="0.3">
      <c r="A604" s="20">
        <v>42201</v>
      </c>
      <c r="B604" s="31"/>
      <c r="C604" s="31"/>
      <c r="D604" s="31"/>
      <c r="E604" s="25"/>
      <c r="F604" s="26"/>
    </row>
    <row r="605" spans="1:6" ht="16.8" customHeight="1" x14ac:dyDescent="0.3">
      <c r="A605" s="20">
        <v>42202</v>
      </c>
      <c r="B605" s="31"/>
      <c r="C605" s="31"/>
      <c r="D605" s="31"/>
      <c r="E605" s="25"/>
      <c r="F605" s="26"/>
    </row>
    <row r="606" spans="1:6" ht="16.8" customHeight="1" x14ac:dyDescent="0.3">
      <c r="A606" s="20">
        <v>42203</v>
      </c>
      <c r="B606" s="31"/>
      <c r="C606" s="31"/>
      <c r="D606" s="31"/>
      <c r="E606" s="25"/>
      <c r="F606" s="26"/>
    </row>
    <row r="607" spans="1:6" ht="16.8" customHeight="1" x14ac:dyDescent="0.3">
      <c r="A607" s="20">
        <v>42204</v>
      </c>
      <c r="B607" s="31"/>
      <c r="C607" s="31"/>
      <c r="D607" s="31"/>
      <c r="E607" s="25"/>
      <c r="F607" s="26"/>
    </row>
    <row r="608" spans="1:6" ht="16.8" customHeight="1" x14ac:dyDescent="0.3">
      <c r="A608" s="20">
        <v>42205</v>
      </c>
      <c r="B608" s="31"/>
      <c r="C608" s="31"/>
      <c r="D608" s="31"/>
      <c r="E608" s="25"/>
      <c r="F608" s="26"/>
    </row>
    <row r="609" spans="1:6" ht="16.8" customHeight="1" x14ac:dyDescent="0.3">
      <c r="A609" s="20">
        <v>42206</v>
      </c>
      <c r="B609" s="31"/>
      <c r="C609" s="31"/>
      <c r="D609" s="31"/>
      <c r="E609" s="25"/>
      <c r="F609" s="26"/>
    </row>
    <row r="610" spans="1:6" ht="16.8" customHeight="1" x14ac:dyDescent="0.3">
      <c r="A610" s="20">
        <v>42207</v>
      </c>
      <c r="B610" s="31"/>
      <c r="C610" s="31"/>
      <c r="D610" s="31"/>
      <c r="E610" s="25"/>
      <c r="F610" s="26"/>
    </row>
    <row r="611" spans="1:6" ht="16.8" customHeight="1" x14ac:dyDescent="0.3">
      <c r="A611" s="20">
        <v>42208</v>
      </c>
      <c r="B611" s="31"/>
      <c r="C611" s="31"/>
      <c r="D611" s="31"/>
      <c r="E611" s="25"/>
      <c r="F611" s="26"/>
    </row>
    <row r="612" spans="1:6" ht="16.8" customHeight="1" x14ac:dyDescent="0.3">
      <c r="A612" s="20">
        <v>42209</v>
      </c>
      <c r="B612" s="31"/>
      <c r="C612" s="31"/>
      <c r="D612" s="31"/>
      <c r="E612" s="25"/>
      <c r="F612" s="26"/>
    </row>
    <row r="613" spans="1:6" ht="16.8" customHeight="1" x14ac:dyDescent="0.3">
      <c r="A613" s="20">
        <v>42210</v>
      </c>
      <c r="B613" s="31"/>
      <c r="C613" s="31"/>
      <c r="D613" s="31"/>
      <c r="E613" s="25"/>
      <c r="F613" s="26"/>
    </row>
    <row r="614" spans="1:6" ht="16.8" customHeight="1" x14ac:dyDescent="0.3">
      <c r="A614" s="20">
        <v>42211</v>
      </c>
      <c r="B614" s="31"/>
      <c r="C614" s="31"/>
      <c r="D614" s="31"/>
      <c r="E614" s="25"/>
      <c r="F614" s="26"/>
    </row>
    <row r="615" spans="1:6" ht="16.8" customHeight="1" x14ac:dyDescent="0.3">
      <c r="A615" s="20">
        <v>42212</v>
      </c>
      <c r="B615" s="31"/>
      <c r="C615" s="31"/>
      <c r="D615" s="31"/>
      <c r="E615" s="25"/>
      <c r="F615" s="26"/>
    </row>
    <row r="616" spans="1:6" ht="16.8" customHeight="1" x14ac:dyDescent="0.3">
      <c r="A616" s="20">
        <v>42213</v>
      </c>
      <c r="B616" s="31"/>
      <c r="C616" s="31"/>
      <c r="D616" s="31"/>
      <c r="E616" s="25"/>
      <c r="F616" s="26"/>
    </row>
    <row r="617" spans="1:6" ht="16.8" customHeight="1" x14ac:dyDescent="0.3">
      <c r="A617" s="20">
        <v>42214</v>
      </c>
      <c r="B617" s="31"/>
      <c r="C617" s="31"/>
      <c r="D617" s="31"/>
      <c r="E617" s="25"/>
      <c r="F617" s="26"/>
    </row>
    <row r="618" spans="1:6" ht="16.8" customHeight="1" x14ac:dyDescent="0.3">
      <c r="A618" s="20">
        <v>42215</v>
      </c>
      <c r="B618" s="31"/>
      <c r="C618" s="31"/>
      <c r="D618" s="31"/>
      <c r="E618" s="25"/>
      <c r="F618" s="26"/>
    </row>
    <row r="619" spans="1:6" ht="16.8" customHeight="1" x14ac:dyDescent="0.3">
      <c r="A619" s="20">
        <v>42216</v>
      </c>
      <c r="B619" s="31"/>
      <c r="C619" s="31"/>
      <c r="D619" s="31"/>
      <c r="E619" s="25"/>
      <c r="F619" s="26"/>
    </row>
    <row r="620" spans="1:6" ht="16.8" customHeight="1" x14ac:dyDescent="0.3">
      <c r="A620" s="20">
        <v>42217</v>
      </c>
      <c r="B620" s="31"/>
      <c r="C620" s="31"/>
      <c r="D620" s="31"/>
      <c r="E620" s="25"/>
      <c r="F620" s="26"/>
    </row>
    <row r="621" spans="1:6" ht="16.8" customHeight="1" x14ac:dyDescent="0.3">
      <c r="A621" s="20">
        <v>42218</v>
      </c>
      <c r="B621" s="31"/>
      <c r="C621" s="31"/>
      <c r="D621" s="31"/>
      <c r="E621" s="25"/>
      <c r="F621" s="26"/>
    </row>
    <row r="622" spans="1:6" ht="16.8" customHeight="1" x14ac:dyDescent="0.3">
      <c r="A622" s="20">
        <v>42219</v>
      </c>
      <c r="B622" s="31" t="s">
        <v>262</v>
      </c>
      <c r="C622" s="31" t="s">
        <v>263</v>
      </c>
      <c r="D622" s="31" t="s">
        <v>121</v>
      </c>
      <c r="E622" s="25">
        <v>45575</v>
      </c>
      <c r="F622" s="26" t="s">
        <v>4</v>
      </c>
    </row>
    <row r="623" spans="1:6" ht="16.8" customHeight="1" x14ac:dyDescent="0.3">
      <c r="A623" s="20">
        <v>42220</v>
      </c>
      <c r="B623" s="31"/>
      <c r="C623" s="31"/>
      <c r="D623" s="31"/>
      <c r="E623" s="25"/>
      <c r="F623" s="26"/>
    </row>
    <row r="624" spans="1:6" ht="16.8" customHeight="1" x14ac:dyDescent="0.3">
      <c r="A624" s="20">
        <v>42221</v>
      </c>
      <c r="B624" s="31"/>
      <c r="C624" s="31"/>
      <c r="D624" s="31"/>
      <c r="E624" s="25"/>
      <c r="F624" s="26"/>
    </row>
    <row r="625" spans="1:6" ht="16.8" customHeight="1" x14ac:dyDescent="0.3">
      <c r="A625" s="20">
        <v>42222</v>
      </c>
      <c r="B625" s="31"/>
      <c r="C625" s="31"/>
      <c r="D625" s="31"/>
      <c r="E625" s="25"/>
      <c r="F625" s="26"/>
    </row>
    <row r="626" spans="1:6" ht="16.8" customHeight="1" x14ac:dyDescent="0.3">
      <c r="A626" s="20">
        <v>42223</v>
      </c>
      <c r="B626" s="31"/>
      <c r="C626" s="31"/>
      <c r="D626" s="31"/>
      <c r="E626" s="25"/>
      <c r="F626" s="26"/>
    </row>
    <row r="627" spans="1:6" ht="16.8" customHeight="1" x14ac:dyDescent="0.3">
      <c r="A627" s="20">
        <v>42224</v>
      </c>
      <c r="B627" s="31"/>
      <c r="C627" s="31"/>
      <c r="D627" s="31"/>
      <c r="E627" s="25"/>
      <c r="F627" s="26"/>
    </row>
    <row r="628" spans="1:6" ht="16.8" customHeight="1" x14ac:dyDescent="0.3">
      <c r="A628" s="20">
        <v>42225</v>
      </c>
      <c r="B628" s="31"/>
      <c r="C628" s="31"/>
      <c r="D628" s="31"/>
      <c r="E628" s="25"/>
      <c r="F628" s="26"/>
    </row>
    <row r="629" spans="1:6" ht="16.8" customHeight="1" x14ac:dyDescent="0.3">
      <c r="A629" s="20">
        <v>42226</v>
      </c>
      <c r="B629" s="31"/>
      <c r="C629" s="31"/>
      <c r="D629" s="31"/>
      <c r="E629" s="25"/>
      <c r="F629" s="26"/>
    </row>
    <row r="630" spans="1:6" ht="16.8" customHeight="1" x14ac:dyDescent="0.3">
      <c r="A630" s="20">
        <v>42227</v>
      </c>
      <c r="B630" s="31"/>
      <c r="C630" s="31"/>
      <c r="D630" s="31"/>
      <c r="E630" s="25"/>
      <c r="F630" s="26"/>
    </row>
    <row r="631" spans="1:6" ht="16.8" customHeight="1" x14ac:dyDescent="0.3">
      <c r="A631" s="20">
        <v>42228</v>
      </c>
      <c r="B631" s="31"/>
      <c r="C631" s="31"/>
      <c r="D631" s="31"/>
      <c r="E631" s="25"/>
      <c r="F631" s="26"/>
    </row>
    <row r="632" spans="1:6" ht="16.8" customHeight="1" x14ac:dyDescent="0.3">
      <c r="A632" s="20">
        <v>42229</v>
      </c>
      <c r="B632" s="31"/>
      <c r="C632" s="31"/>
      <c r="D632" s="31"/>
      <c r="E632" s="25"/>
      <c r="F632" s="26"/>
    </row>
    <row r="633" spans="1:6" ht="16.8" customHeight="1" x14ac:dyDescent="0.3">
      <c r="A633" s="20">
        <v>42230</v>
      </c>
      <c r="B633" s="31"/>
      <c r="C633" s="31"/>
      <c r="D633" s="31"/>
      <c r="E633" s="25"/>
      <c r="F633" s="26"/>
    </row>
    <row r="634" spans="1:6" ht="16.8" customHeight="1" x14ac:dyDescent="0.3">
      <c r="A634" s="20">
        <v>42231</v>
      </c>
      <c r="B634" s="31"/>
      <c r="C634" s="31"/>
      <c r="D634" s="31"/>
      <c r="E634" s="25"/>
      <c r="F634" s="26"/>
    </row>
    <row r="635" spans="1:6" ht="16.8" customHeight="1" x14ac:dyDescent="0.3">
      <c r="A635" s="20">
        <v>42232</v>
      </c>
      <c r="B635" s="31"/>
      <c r="C635" s="31"/>
      <c r="D635" s="31"/>
      <c r="E635" s="25"/>
      <c r="F635" s="26"/>
    </row>
    <row r="636" spans="1:6" ht="16.8" customHeight="1" x14ac:dyDescent="0.3">
      <c r="A636" s="20">
        <v>42233</v>
      </c>
      <c r="B636" s="31"/>
      <c r="C636" s="31"/>
      <c r="D636" s="31"/>
      <c r="E636" s="25"/>
      <c r="F636" s="26"/>
    </row>
    <row r="637" spans="1:6" ht="16.8" customHeight="1" x14ac:dyDescent="0.3">
      <c r="A637" s="20">
        <v>42234</v>
      </c>
      <c r="B637" s="31"/>
      <c r="C637" s="31"/>
      <c r="D637" s="31"/>
      <c r="E637" s="25"/>
      <c r="F637" s="26"/>
    </row>
    <row r="638" spans="1:6" ht="16.8" customHeight="1" x14ac:dyDescent="0.3">
      <c r="A638" s="20">
        <v>42235</v>
      </c>
      <c r="B638" s="31"/>
      <c r="C638" s="31"/>
      <c r="D638" s="31"/>
      <c r="E638" s="25"/>
      <c r="F638" s="26"/>
    </row>
    <row r="639" spans="1:6" ht="16.8" customHeight="1" x14ac:dyDescent="0.3">
      <c r="A639" s="20">
        <v>42236</v>
      </c>
      <c r="B639" s="31"/>
      <c r="C639" s="31"/>
      <c r="D639" s="31"/>
      <c r="E639" s="25"/>
      <c r="F639" s="26"/>
    </row>
    <row r="640" spans="1:6" ht="16.8" customHeight="1" x14ac:dyDescent="0.3">
      <c r="A640" s="20">
        <v>42237</v>
      </c>
      <c r="B640" s="31"/>
      <c r="C640" s="31"/>
      <c r="D640" s="31"/>
      <c r="E640" s="25"/>
      <c r="F640" s="26"/>
    </row>
    <row r="641" spans="1:6" ht="16.8" customHeight="1" x14ac:dyDescent="0.3">
      <c r="A641" s="20">
        <v>42238</v>
      </c>
      <c r="B641" s="31"/>
      <c r="C641" s="31"/>
      <c r="D641" s="31"/>
      <c r="E641" s="25"/>
      <c r="F641" s="26"/>
    </row>
    <row r="642" spans="1:6" ht="16.8" customHeight="1" x14ac:dyDescent="0.3">
      <c r="A642" s="20">
        <v>42239</v>
      </c>
      <c r="B642" s="31"/>
      <c r="C642" s="31"/>
      <c r="D642" s="31"/>
      <c r="E642" s="25"/>
      <c r="F642" s="26"/>
    </row>
    <row r="643" spans="1:6" ht="16.8" customHeight="1" x14ac:dyDescent="0.3">
      <c r="A643" s="20">
        <v>42240</v>
      </c>
      <c r="B643" s="31"/>
      <c r="C643" s="31"/>
      <c r="D643" s="31"/>
      <c r="E643" s="25"/>
      <c r="F643" s="26"/>
    </row>
    <row r="644" spans="1:6" ht="16.8" customHeight="1" x14ac:dyDescent="0.3">
      <c r="A644" s="20">
        <v>42241</v>
      </c>
      <c r="B644" s="31"/>
      <c r="C644" s="31"/>
      <c r="D644" s="31"/>
      <c r="E644" s="25"/>
      <c r="F644" s="26"/>
    </row>
    <row r="645" spans="1:6" ht="16.8" customHeight="1" x14ac:dyDescent="0.3">
      <c r="A645" s="20">
        <v>42242</v>
      </c>
      <c r="B645" s="31"/>
      <c r="C645" s="31"/>
      <c r="D645" s="31"/>
      <c r="E645" s="25"/>
      <c r="F645" s="26"/>
    </row>
    <row r="646" spans="1:6" ht="16.8" customHeight="1" x14ac:dyDescent="0.3">
      <c r="A646" s="20">
        <v>42243</v>
      </c>
      <c r="B646" s="31"/>
      <c r="C646" s="31"/>
      <c r="D646" s="31"/>
      <c r="E646" s="25"/>
      <c r="F646" s="26"/>
    </row>
    <row r="647" spans="1:6" ht="16.8" customHeight="1" x14ac:dyDescent="0.3">
      <c r="A647" s="20">
        <v>42244</v>
      </c>
      <c r="B647" s="31"/>
      <c r="C647" s="31"/>
      <c r="D647" s="31"/>
      <c r="E647" s="25"/>
      <c r="F647" s="26"/>
    </row>
    <row r="648" spans="1:6" ht="16.8" customHeight="1" x14ac:dyDescent="0.3">
      <c r="A648" s="20">
        <v>42245</v>
      </c>
      <c r="B648" s="31"/>
      <c r="C648" s="31"/>
      <c r="D648" s="31"/>
      <c r="E648" s="25"/>
      <c r="F648" s="26"/>
    </row>
    <row r="649" spans="1:6" ht="16.8" customHeight="1" x14ac:dyDescent="0.3">
      <c r="A649" s="20">
        <v>42246</v>
      </c>
      <c r="B649" s="31"/>
      <c r="C649" s="31"/>
      <c r="D649" s="31"/>
      <c r="E649" s="25"/>
      <c r="F649" s="26"/>
    </row>
    <row r="650" spans="1:6" ht="16.8" customHeight="1" x14ac:dyDescent="0.3">
      <c r="A650" s="20">
        <v>42247</v>
      </c>
      <c r="B650" s="31"/>
      <c r="C650" s="31"/>
      <c r="D650" s="31"/>
      <c r="E650" s="25"/>
      <c r="F650" s="26"/>
    </row>
    <row r="651" spans="1:6" ht="16.8" customHeight="1" x14ac:dyDescent="0.3">
      <c r="A651" s="20">
        <v>42248</v>
      </c>
      <c r="B651" s="31"/>
      <c r="C651" s="31"/>
      <c r="D651" s="31"/>
      <c r="E651" s="25"/>
      <c r="F651" s="26"/>
    </row>
    <row r="652" spans="1:6" ht="16.8" customHeight="1" x14ac:dyDescent="0.3">
      <c r="A652" s="20">
        <v>42249</v>
      </c>
      <c r="B652" s="31"/>
      <c r="C652" s="31"/>
      <c r="D652" s="31"/>
      <c r="E652" s="25"/>
      <c r="F652" s="26"/>
    </row>
    <row r="653" spans="1:6" ht="16.8" customHeight="1" x14ac:dyDescent="0.3">
      <c r="A653" s="20">
        <v>42250</v>
      </c>
      <c r="B653" s="31"/>
      <c r="C653" s="31"/>
      <c r="D653" s="31"/>
      <c r="E653" s="25"/>
      <c r="F653" s="26"/>
    </row>
    <row r="654" spans="1:6" ht="16.8" customHeight="1" x14ac:dyDescent="0.3">
      <c r="A654" s="20">
        <v>42251</v>
      </c>
      <c r="B654" s="31"/>
      <c r="C654" s="31"/>
      <c r="D654" s="31"/>
      <c r="E654" s="25"/>
      <c r="F654" s="26"/>
    </row>
    <row r="655" spans="1:6" ht="16.8" customHeight="1" x14ac:dyDescent="0.3">
      <c r="A655" s="20">
        <v>42252</v>
      </c>
      <c r="B655" s="31"/>
      <c r="C655" s="31"/>
      <c r="D655" s="31"/>
      <c r="E655" s="25"/>
      <c r="F655" s="26"/>
    </row>
    <row r="656" spans="1:6" ht="16.8" customHeight="1" x14ac:dyDescent="0.3">
      <c r="A656" s="20">
        <v>42253</v>
      </c>
      <c r="B656" s="31"/>
      <c r="C656" s="31"/>
      <c r="D656" s="31"/>
      <c r="E656" s="25"/>
      <c r="F656" s="26"/>
    </row>
    <row r="657" spans="1:6" ht="16.8" customHeight="1" x14ac:dyDescent="0.3">
      <c r="A657" s="20">
        <v>42254</v>
      </c>
      <c r="B657" s="31"/>
      <c r="C657" s="31"/>
      <c r="D657" s="31"/>
      <c r="E657" s="25"/>
      <c r="F657" s="26"/>
    </row>
    <row r="658" spans="1:6" ht="16.8" customHeight="1" x14ac:dyDescent="0.3">
      <c r="A658" s="20">
        <v>42255</v>
      </c>
      <c r="B658" s="31"/>
      <c r="C658" s="31"/>
      <c r="D658" s="31"/>
      <c r="E658" s="25"/>
      <c r="F658" s="26"/>
    </row>
    <row r="659" spans="1:6" ht="16.8" customHeight="1" x14ac:dyDescent="0.3">
      <c r="A659" s="20">
        <v>42256</v>
      </c>
      <c r="B659" s="31"/>
      <c r="C659" s="31"/>
      <c r="D659" s="31"/>
      <c r="E659" s="25"/>
      <c r="F659" s="26"/>
    </row>
    <row r="660" spans="1:6" ht="16.8" customHeight="1" x14ac:dyDescent="0.3">
      <c r="A660" s="20">
        <v>42257</v>
      </c>
      <c r="B660" s="31"/>
      <c r="C660" s="31"/>
      <c r="D660" s="31"/>
      <c r="E660" s="25"/>
      <c r="F660" s="26"/>
    </row>
    <row r="661" spans="1:6" ht="16.8" customHeight="1" x14ac:dyDescent="0.3">
      <c r="A661" s="20">
        <v>42258</v>
      </c>
      <c r="B661" s="31"/>
      <c r="C661" s="31"/>
      <c r="D661" s="31"/>
      <c r="E661" s="25"/>
      <c r="F661" s="26"/>
    </row>
    <row r="662" spans="1:6" ht="16.8" customHeight="1" x14ac:dyDescent="0.3">
      <c r="A662" s="20">
        <v>42259</v>
      </c>
      <c r="B662" s="31"/>
      <c r="C662" s="31"/>
      <c r="D662" s="31"/>
      <c r="E662" s="25"/>
      <c r="F662" s="26"/>
    </row>
    <row r="663" spans="1:6" ht="16.8" customHeight="1" x14ac:dyDescent="0.3">
      <c r="A663" s="20">
        <v>42260</v>
      </c>
      <c r="B663" s="31"/>
      <c r="C663" s="31"/>
      <c r="D663" s="31"/>
      <c r="E663" s="25"/>
      <c r="F663" s="26"/>
    </row>
    <row r="664" spans="1:6" ht="16.8" customHeight="1" x14ac:dyDescent="0.3">
      <c r="A664" s="20">
        <v>42261</v>
      </c>
      <c r="B664" s="31"/>
      <c r="C664" s="31"/>
      <c r="D664" s="31"/>
      <c r="E664" s="25"/>
      <c r="F664" s="26"/>
    </row>
    <row r="665" spans="1:6" ht="16.8" customHeight="1" x14ac:dyDescent="0.3">
      <c r="A665" s="20">
        <v>42262</v>
      </c>
      <c r="B665" s="31"/>
      <c r="C665" s="31"/>
      <c r="D665" s="31"/>
      <c r="E665" s="25"/>
      <c r="F665" s="26"/>
    </row>
    <row r="666" spans="1:6" ht="16.8" customHeight="1" x14ac:dyDescent="0.3">
      <c r="A666" s="20">
        <v>42263</v>
      </c>
      <c r="B666" s="31"/>
      <c r="C666" s="31"/>
      <c r="D666" s="31"/>
      <c r="E666" s="25"/>
      <c r="F666" s="26"/>
    </row>
    <row r="667" spans="1:6" ht="16.8" customHeight="1" x14ac:dyDescent="0.3">
      <c r="A667" s="20">
        <v>42264</v>
      </c>
      <c r="B667" s="31"/>
      <c r="C667" s="31"/>
      <c r="D667" s="31"/>
      <c r="E667" s="25"/>
      <c r="F667" s="26"/>
    </row>
    <row r="668" spans="1:6" ht="16.8" customHeight="1" x14ac:dyDescent="0.3">
      <c r="A668" s="20">
        <v>42265</v>
      </c>
      <c r="B668" s="31"/>
      <c r="C668" s="31"/>
      <c r="D668" s="31"/>
      <c r="E668" s="25"/>
      <c r="F668" s="26"/>
    </row>
    <row r="669" spans="1:6" ht="16.8" customHeight="1" x14ac:dyDescent="0.3">
      <c r="A669" s="20">
        <v>42266</v>
      </c>
      <c r="B669" s="31"/>
      <c r="C669" s="31"/>
      <c r="D669" s="31"/>
      <c r="E669" s="25"/>
      <c r="F669" s="26"/>
    </row>
    <row r="670" spans="1:6" ht="16.8" customHeight="1" x14ac:dyDescent="0.3">
      <c r="A670" s="20">
        <v>42267</v>
      </c>
      <c r="B670" s="31"/>
      <c r="C670" s="31"/>
      <c r="D670" s="31"/>
      <c r="E670" s="25"/>
      <c r="F670" s="26"/>
    </row>
    <row r="671" spans="1:6" ht="16.8" customHeight="1" x14ac:dyDescent="0.3">
      <c r="A671" s="20">
        <v>42268</v>
      </c>
      <c r="B671" s="31"/>
      <c r="C671" s="31"/>
      <c r="D671" s="31"/>
      <c r="E671" s="25"/>
      <c r="F671" s="26"/>
    </row>
    <row r="672" spans="1:6" ht="16.8" customHeight="1" x14ac:dyDescent="0.3">
      <c r="A672" s="20">
        <v>42269</v>
      </c>
      <c r="B672" s="31"/>
      <c r="C672" s="31"/>
      <c r="D672" s="31"/>
      <c r="E672" s="25"/>
      <c r="F672" s="26"/>
    </row>
    <row r="673" spans="1:6" ht="16.8" customHeight="1" x14ac:dyDescent="0.3">
      <c r="A673" s="20">
        <v>42270</v>
      </c>
      <c r="B673" s="31"/>
      <c r="C673" s="31"/>
      <c r="D673" s="31"/>
      <c r="E673" s="25"/>
      <c r="F673" s="26"/>
    </row>
    <row r="674" spans="1:6" ht="16.8" customHeight="1" x14ac:dyDescent="0.3">
      <c r="A674" s="20">
        <v>42271</v>
      </c>
      <c r="B674" s="31"/>
      <c r="C674" s="31"/>
      <c r="D674" s="31"/>
      <c r="E674" s="25"/>
      <c r="F674" s="26"/>
    </row>
    <row r="675" spans="1:6" ht="16.8" customHeight="1" x14ac:dyDescent="0.3">
      <c r="A675" s="20">
        <v>42272</v>
      </c>
      <c r="B675" s="31"/>
      <c r="C675" s="31"/>
      <c r="D675" s="31"/>
      <c r="E675" s="25"/>
      <c r="F675" s="26"/>
    </row>
    <row r="676" spans="1:6" ht="16.8" customHeight="1" x14ac:dyDescent="0.3">
      <c r="A676" s="20">
        <v>42273</v>
      </c>
      <c r="B676" s="31"/>
      <c r="C676" s="31"/>
      <c r="D676" s="31"/>
      <c r="E676" s="25"/>
      <c r="F676" s="26"/>
    </row>
    <row r="677" spans="1:6" ht="16.8" customHeight="1" x14ac:dyDescent="0.3">
      <c r="A677" s="20">
        <v>42274</v>
      </c>
      <c r="B677" s="31"/>
      <c r="C677" s="31"/>
      <c r="D677" s="31"/>
      <c r="E677" s="25"/>
      <c r="F677" s="26"/>
    </row>
    <row r="678" spans="1:6" ht="16.8" customHeight="1" x14ac:dyDescent="0.3">
      <c r="A678" s="20">
        <v>42275</v>
      </c>
      <c r="B678" s="31"/>
      <c r="C678" s="31"/>
      <c r="D678" s="31"/>
      <c r="E678" s="25"/>
      <c r="F678" s="26"/>
    </row>
    <row r="679" spans="1:6" ht="16.8" customHeight="1" x14ac:dyDescent="0.3">
      <c r="A679" s="20">
        <v>42276</v>
      </c>
      <c r="B679" s="31" t="s">
        <v>41</v>
      </c>
      <c r="C679" s="31"/>
      <c r="D679" s="31" t="s">
        <v>425</v>
      </c>
      <c r="E679" s="25">
        <v>45369</v>
      </c>
      <c r="F679" s="26" t="s">
        <v>4</v>
      </c>
    </row>
    <row r="680" spans="1:6" ht="16.8" customHeight="1" x14ac:dyDescent="0.3">
      <c r="A680" s="20">
        <v>42277</v>
      </c>
      <c r="B680" s="31"/>
      <c r="C680" s="31"/>
      <c r="D680" s="31"/>
      <c r="E680" s="25"/>
      <c r="F680" s="26"/>
    </row>
    <row r="681" spans="1:6" ht="16.8" customHeight="1" x14ac:dyDescent="0.3">
      <c r="A681" s="20">
        <v>42278</v>
      </c>
      <c r="B681" s="31"/>
      <c r="C681" s="31"/>
      <c r="D681" s="31"/>
      <c r="E681" s="25"/>
      <c r="F681" s="26"/>
    </row>
    <row r="682" spans="1:6" ht="16.8" customHeight="1" x14ac:dyDescent="0.3">
      <c r="A682" s="20">
        <v>42279</v>
      </c>
      <c r="B682" s="31"/>
      <c r="C682" s="31"/>
      <c r="D682" s="31"/>
      <c r="E682" s="25"/>
      <c r="F682" s="26"/>
    </row>
    <row r="683" spans="1:6" ht="16.8" customHeight="1" x14ac:dyDescent="0.3">
      <c r="A683" s="20">
        <v>42280</v>
      </c>
      <c r="B683" s="31" t="s">
        <v>426</v>
      </c>
      <c r="C683" s="31" t="s">
        <v>427</v>
      </c>
      <c r="D683" s="31" t="s">
        <v>428</v>
      </c>
      <c r="E683" s="25">
        <v>45580</v>
      </c>
      <c r="F683" s="26" t="s">
        <v>4</v>
      </c>
    </row>
    <row r="684" spans="1:6" ht="16.8" customHeight="1" x14ac:dyDescent="0.3">
      <c r="A684" s="20">
        <v>42281</v>
      </c>
      <c r="B684" s="31"/>
      <c r="C684" s="31"/>
      <c r="D684" s="31"/>
      <c r="E684" s="25"/>
      <c r="F684" s="26"/>
    </row>
    <row r="685" spans="1:6" ht="16.8" customHeight="1" x14ac:dyDescent="0.3">
      <c r="A685" s="20">
        <v>42282</v>
      </c>
      <c r="B685" s="31"/>
      <c r="C685" s="31"/>
      <c r="D685" s="31"/>
      <c r="E685" s="25"/>
      <c r="F685" s="26"/>
    </row>
    <row r="686" spans="1:6" ht="16.8" customHeight="1" x14ac:dyDescent="0.3">
      <c r="A686" s="20">
        <v>42283</v>
      </c>
      <c r="B686" s="31"/>
      <c r="C686" s="31"/>
      <c r="D686" s="31"/>
      <c r="E686" s="25"/>
      <c r="F686" s="26"/>
    </row>
    <row r="687" spans="1:6" ht="16.8" customHeight="1" x14ac:dyDescent="0.3">
      <c r="A687" s="20">
        <v>42284</v>
      </c>
      <c r="B687" s="31"/>
      <c r="C687" s="31"/>
      <c r="D687" s="31"/>
      <c r="E687" s="25"/>
      <c r="F687" s="26"/>
    </row>
    <row r="688" spans="1:6" ht="16.8" customHeight="1" x14ac:dyDescent="0.3">
      <c r="A688" s="20">
        <v>42285</v>
      </c>
      <c r="B688" s="31"/>
      <c r="C688" s="31"/>
      <c r="D688" s="31"/>
      <c r="E688" s="25"/>
      <c r="F688" s="26"/>
    </row>
    <row r="689" spans="1:6" ht="16.8" customHeight="1" x14ac:dyDescent="0.3">
      <c r="A689" s="20">
        <v>42286</v>
      </c>
      <c r="B689" s="31"/>
      <c r="C689" s="31"/>
      <c r="D689" s="31"/>
      <c r="E689" s="25"/>
      <c r="F689" s="26"/>
    </row>
    <row r="690" spans="1:6" ht="16.8" customHeight="1" x14ac:dyDescent="0.3">
      <c r="A690" s="20">
        <v>42287</v>
      </c>
      <c r="B690" s="31"/>
      <c r="C690" s="31"/>
      <c r="D690" s="31"/>
      <c r="E690" s="25"/>
      <c r="F690" s="26"/>
    </row>
    <row r="691" spans="1:6" ht="16.8" customHeight="1" x14ac:dyDescent="0.3">
      <c r="A691" s="20">
        <v>42288</v>
      </c>
      <c r="B691" s="31"/>
      <c r="C691" s="31"/>
      <c r="D691" s="31"/>
      <c r="E691" s="25"/>
      <c r="F691" s="26"/>
    </row>
    <row r="692" spans="1:6" ht="16.8" customHeight="1" x14ac:dyDescent="0.3">
      <c r="A692" s="20">
        <v>42289</v>
      </c>
      <c r="B692" s="31"/>
      <c r="C692" s="31"/>
      <c r="D692" s="31"/>
      <c r="E692" s="25"/>
      <c r="F692" s="26"/>
    </row>
    <row r="693" spans="1:6" ht="16.8" customHeight="1" x14ac:dyDescent="0.3">
      <c r="A693" s="20">
        <v>42290</v>
      </c>
      <c r="B693" s="31"/>
      <c r="C693" s="31"/>
      <c r="D693" s="31"/>
      <c r="E693" s="25"/>
      <c r="F693" s="26"/>
    </row>
    <row r="694" spans="1:6" ht="16.8" customHeight="1" x14ac:dyDescent="0.3">
      <c r="A694" s="20">
        <v>42291</v>
      </c>
      <c r="B694" s="31"/>
      <c r="C694" s="31"/>
      <c r="D694" s="31"/>
      <c r="E694" s="25"/>
      <c r="F694" s="26"/>
    </row>
    <row r="695" spans="1:6" ht="16.8" customHeight="1" x14ac:dyDescent="0.3">
      <c r="A695" s="20">
        <v>42292</v>
      </c>
      <c r="B695" s="31"/>
      <c r="C695" s="31"/>
      <c r="D695" s="31"/>
      <c r="E695" s="25"/>
      <c r="F695" s="26"/>
    </row>
    <row r="696" spans="1:6" ht="16.8" customHeight="1" x14ac:dyDescent="0.3">
      <c r="A696" s="20">
        <v>42293</v>
      </c>
      <c r="B696" s="31"/>
      <c r="C696" s="31"/>
      <c r="D696" s="31"/>
      <c r="E696" s="25"/>
      <c r="F696" s="26"/>
    </row>
    <row r="697" spans="1:6" ht="16.8" customHeight="1" x14ac:dyDescent="0.3">
      <c r="A697" s="20">
        <v>42294</v>
      </c>
      <c r="B697" s="31"/>
      <c r="C697" s="31"/>
      <c r="D697" s="31"/>
      <c r="E697" s="25"/>
      <c r="F697" s="26"/>
    </row>
    <row r="698" spans="1:6" ht="16.8" customHeight="1" x14ac:dyDescent="0.3">
      <c r="A698" s="20">
        <v>42295</v>
      </c>
      <c r="B698" s="31"/>
      <c r="C698" s="31"/>
      <c r="D698" s="31"/>
      <c r="E698" s="25"/>
      <c r="F698" s="26"/>
    </row>
    <row r="699" spans="1:6" ht="16.8" customHeight="1" x14ac:dyDescent="0.3">
      <c r="A699" s="20">
        <v>42296</v>
      </c>
      <c r="B699" s="31"/>
      <c r="C699" s="31"/>
      <c r="D699" s="31"/>
      <c r="E699" s="25"/>
      <c r="F699" s="26"/>
    </row>
    <row r="700" spans="1:6" ht="16.8" customHeight="1" x14ac:dyDescent="0.3">
      <c r="A700" s="20">
        <v>42297</v>
      </c>
      <c r="B700" s="31"/>
      <c r="C700" s="31"/>
      <c r="D700" s="31"/>
      <c r="E700" s="25"/>
      <c r="F700" s="26"/>
    </row>
    <row r="701" spans="1:6" ht="16.8" customHeight="1" x14ac:dyDescent="0.3">
      <c r="A701" s="20">
        <v>42298</v>
      </c>
      <c r="B701" s="31" t="s">
        <v>429</v>
      </c>
      <c r="C701" s="31" t="s">
        <v>91</v>
      </c>
      <c r="D701" s="31" t="s">
        <v>430</v>
      </c>
      <c r="E701" s="25">
        <v>45565</v>
      </c>
      <c r="F701" s="26" t="s">
        <v>2</v>
      </c>
    </row>
    <row r="702" spans="1:6" ht="16.8" customHeight="1" x14ac:dyDescent="0.3">
      <c r="A702" s="20">
        <v>42299</v>
      </c>
      <c r="B702" s="31"/>
      <c r="C702" s="31"/>
      <c r="D702" s="31"/>
      <c r="E702" s="25"/>
      <c r="F702" s="26"/>
    </row>
    <row r="703" spans="1:6" ht="16.8" customHeight="1" x14ac:dyDescent="0.3">
      <c r="A703" s="20">
        <v>42300</v>
      </c>
      <c r="B703" s="31"/>
      <c r="C703" s="31"/>
      <c r="D703" s="31"/>
      <c r="E703" s="25"/>
      <c r="F703" s="26"/>
    </row>
    <row r="704" spans="1:6" ht="16.8" customHeight="1" x14ac:dyDescent="0.3">
      <c r="A704" s="20">
        <v>42301</v>
      </c>
      <c r="B704" s="31" t="s">
        <v>41</v>
      </c>
      <c r="C704" s="31" t="s">
        <v>431</v>
      </c>
      <c r="D704" s="31" t="s">
        <v>98</v>
      </c>
      <c r="E704" s="25">
        <v>45484</v>
      </c>
      <c r="F704" s="26" t="s">
        <v>4</v>
      </c>
    </row>
    <row r="705" spans="1:6" ht="16.8" customHeight="1" x14ac:dyDescent="0.3">
      <c r="A705" s="20">
        <v>42302</v>
      </c>
      <c r="B705" s="31"/>
      <c r="C705" s="31"/>
      <c r="D705" s="31"/>
      <c r="E705" s="25"/>
      <c r="F705" s="26"/>
    </row>
    <row r="706" spans="1:6" ht="16.8" customHeight="1" x14ac:dyDescent="0.3">
      <c r="A706" s="20">
        <v>42303</v>
      </c>
      <c r="B706" s="31"/>
      <c r="C706" s="31"/>
      <c r="D706" s="31"/>
      <c r="E706" s="25"/>
      <c r="F706" s="26"/>
    </row>
    <row r="707" spans="1:6" ht="16.8" customHeight="1" x14ac:dyDescent="0.3">
      <c r="A707" s="20">
        <v>42304</v>
      </c>
      <c r="B707" s="31"/>
      <c r="C707" s="31"/>
      <c r="D707" s="31"/>
      <c r="E707" s="25"/>
      <c r="F707" s="26"/>
    </row>
    <row r="708" spans="1:6" ht="16.8" customHeight="1" x14ac:dyDescent="0.3">
      <c r="A708" s="20">
        <v>42305</v>
      </c>
      <c r="B708" s="31"/>
      <c r="C708" s="31"/>
      <c r="D708" s="31"/>
      <c r="E708" s="25"/>
      <c r="F708" s="26"/>
    </row>
    <row r="709" spans="1:6" ht="16.8" customHeight="1" x14ac:dyDescent="0.3">
      <c r="A709" s="20">
        <v>42306</v>
      </c>
      <c r="B709" s="31"/>
      <c r="C709" s="31"/>
      <c r="D709" s="31"/>
      <c r="E709" s="25"/>
      <c r="F709" s="26"/>
    </row>
    <row r="710" spans="1:6" ht="16.8" customHeight="1" x14ac:dyDescent="0.3">
      <c r="A710" s="20">
        <v>42307</v>
      </c>
      <c r="B710" s="31" t="s">
        <v>432</v>
      </c>
      <c r="C710" s="31" t="s">
        <v>433</v>
      </c>
      <c r="D710" s="31" t="s">
        <v>377</v>
      </c>
      <c r="E710" s="25">
        <v>45474</v>
      </c>
      <c r="F710" s="26" t="s">
        <v>1</v>
      </c>
    </row>
    <row r="711" spans="1:6" ht="16.8" customHeight="1" x14ac:dyDescent="0.3">
      <c r="A711" s="20">
        <v>42308</v>
      </c>
      <c r="B711" s="31"/>
      <c r="C711" s="31"/>
      <c r="D711" s="31"/>
      <c r="E711" s="25"/>
      <c r="F711" s="26"/>
    </row>
    <row r="712" spans="1:6" ht="16.8" customHeight="1" x14ac:dyDescent="0.3">
      <c r="A712" s="20">
        <v>42309</v>
      </c>
      <c r="B712" s="31"/>
      <c r="C712" s="31"/>
      <c r="D712" s="31"/>
      <c r="E712" s="25"/>
      <c r="F712" s="26"/>
    </row>
    <row r="713" spans="1:6" ht="16.8" customHeight="1" x14ac:dyDescent="0.3">
      <c r="A713" s="20">
        <v>42310</v>
      </c>
      <c r="B713" s="31"/>
      <c r="C713" s="31"/>
      <c r="D713" s="31"/>
      <c r="E713" s="25"/>
      <c r="F713" s="26"/>
    </row>
    <row r="714" spans="1:6" ht="16.8" customHeight="1" x14ac:dyDescent="0.3">
      <c r="A714" s="20">
        <v>42311</v>
      </c>
      <c r="B714" s="31"/>
      <c r="C714" s="31"/>
      <c r="D714" s="31"/>
      <c r="E714" s="25"/>
      <c r="F714" s="26"/>
    </row>
    <row r="715" spans="1:6" ht="16.8" customHeight="1" x14ac:dyDescent="0.3">
      <c r="A715" s="20">
        <v>42312</v>
      </c>
      <c r="B715" s="31"/>
      <c r="C715" s="31"/>
      <c r="D715" s="31"/>
      <c r="E715" s="25"/>
      <c r="F715" s="26"/>
    </row>
    <row r="716" spans="1:6" ht="16.8" customHeight="1" x14ac:dyDescent="0.3">
      <c r="A716" s="20">
        <v>42313</v>
      </c>
      <c r="B716" s="31"/>
      <c r="C716" s="31"/>
      <c r="D716" s="31"/>
      <c r="E716" s="25"/>
      <c r="F716" s="26"/>
    </row>
    <row r="717" spans="1:6" ht="16.8" customHeight="1" x14ac:dyDescent="0.3">
      <c r="A717" s="20">
        <v>42314</v>
      </c>
      <c r="B717" s="31"/>
      <c r="C717" s="31"/>
      <c r="D717" s="31"/>
      <c r="E717" s="25"/>
      <c r="F717" s="26"/>
    </row>
    <row r="718" spans="1:6" ht="16.8" customHeight="1" x14ac:dyDescent="0.3">
      <c r="A718" s="20">
        <v>42315</v>
      </c>
      <c r="B718" s="31"/>
      <c r="C718" s="31"/>
      <c r="D718" s="31"/>
      <c r="E718" s="25"/>
      <c r="F718" s="26"/>
    </row>
    <row r="719" spans="1:6" ht="16.8" customHeight="1" x14ac:dyDescent="0.3">
      <c r="A719" s="20">
        <v>42316</v>
      </c>
      <c r="B719" s="31"/>
      <c r="C719" s="31"/>
      <c r="D719" s="31"/>
      <c r="E719" s="25"/>
      <c r="F719" s="26"/>
    </row>
    <row r="720" spans="1:6" ht="16.8" customHeight="1" x14ac:dyDescent="0.3">
      <c r="A720" s="20">
        <v>42317</v>
      </c>
      <c r="B720" s="31"/>
      <c r="C720" s="31"/>
      <c r="D720" s="31"/>
      <c r="E720" s="25"/>
      <c r="F720" s="26"/>
    </row>
    <row r="721" spans="1:6" ht="16.8" customHeight="1" x14ac:dyDescent="0.3">
      <c r="A721" s="20">
        <v>42318</v>
      </c>
      <c r="B721" s="31"/>
      <c r="C721" s="31"/>
      <c r="D721" s="31"/>
      <c r="E721" s="25"/>
      <c r="F721" s="26"/>
    </row>
    <row r="722" spans="1:6" ht="16.8" customHeight="1" x14ac:dyDescent="0.3">
      <c r="A722" s="20">
        <v>42319</v>
      </c>
      <c r="B722" s="31"/>
      <c r="C722" s="31"/>
      <c r="D722" s="31"/>
      <c r="E722" s="25"/>
      <c r="F722" s="26"/>
    </row>
    <row r="723" spans="1:6" ht="16.8" customHeight="1" x14ac:dyDescent="0.3">
      <c r="A723" s="20">
        <v>42320</v>
      </c>
      <c r="B723" s="31"/>
      <c r="C723" s="31"/>
      <c r="D723" s="31"/>
      <c r="E723" s="25"/>
      <c r="F723" s="26"/>
    </row>
    <row r="724" spans="1:6" ht="16.8" customHeight="1" x14ac:dyDescent="0.3">
      <c r="A724" s="20">
        <v>42321</v>
      </c>
      <c r="B724" s="31"/>
      <c r="C724" s="31"/>
      <c r="D724" s="31"/>
      <c r="E724" s="25"/>
      <c r="F724" s="26"/>
    </row>
    <row r="725" spans="1:6" ht="16.8" customHeight="1" x14ac:dyDescent="0.3">
      <c r="A725" s="20">
        <v>42322</v>
      </c>
      <c r="B725" s="31"/>
      <c r="C725" s="31"/>
      <c r="D725" s="31"/>
      <c r="E725" s="25"/>
      <c r="F725" s="26"/>
    </row>
    <row r="726" spans="1:6" ht="16.8" customHeight="1" x14ac:dyDescent="0.3">
      <c r="A726" s="20">
        <v>42323</v>
      </c>
      <c r="B726" s="31"/>
      <c r="C726" s="31"/>
      <c r="D726" s="31"/>
      <c r="E726" s="25"/>
      <c r="F726" s="26"/>
    </row>
    <row r="727" spans="1:6" ht="16.8" customHeight="1" x14ac:dyDescent="0.3">
      <c r="A727" s="20">
        <v>42324</v>
      </c>
      <c r="B727" s="31"/>
      <c r="C727" s="31"/>
      <c r="D727" s="31"/>
      <c r="E727" s="25"/>
      <c r="F727" s="26"/>
    </row>
    <row r="728" spans="1:6" ht="16.8" customHeight="1" x14ac:dyDescent="0.3">
      <c r="A728" s="20">
        <v>42325</v>
      </c>
      <c r="B728" s="31"/>
      <c r="C728" s="31"/>
      <c r="D728" s="31"/>
      <c r="E728" s="25"/>
      <c r="F728" s="26"/>
    </row>
    <row r="729" spans="1:6" ht="16.8" customHeight="1" x14ac:dyDescent="0.3">
      <c r="A729" s="20">
        <v>42326</v>
      </c>
      <c r="B729" s="31"/>
      <c r="C729" s="31"/>
      <c r="D729" s="31"/>
      <c r="E729" s="25"/>
      <c r="F729" s="26"/>
    </row>
    <row r="730" spans="1:6" ht="16.8" customHeight="1" x14ac:dyDescent="0.3">
      <c r="A730" s="20">
        <v>42327</v>
      </c>
      <c r="B730" s="31"/>
      <c r="C730" s="31"/>
      <c r="D730" s="31"/>
      <c r="E730" s="25"/>
      <c r="F730" s="26"/>
    </row>
    <row r="731" spans="1:6" ht="16.8" customHeight="1" x14ac:dyDescent="0.3">
      <c r="A731" s="20">
        <v>42328</v>
      </c>
      <c r="B731" s="31"/>
      <c r="C731" s="31"/>
      <c r="D731" s="31"/>
      <c r="E731" s="25"/>
      <c r="F731" s="26"/>
    </row>
    <row r="732" spans="1:6" ht="16.8" customHeight="1" x14ac:dyDescent="0.3">
      <c r="A732" s="20">
        <v>42329</v>
      </c>
      <c r="B732" s="31"/>
      <c r="C732" s="31"/>
      <c r="D732" s="31"/>
      <c r="E732" s="25"/>
      <c r="F732" s="26"/>
    </row>
    <row r="733" spans="1:6" ht="16.8" customHeight="1" x14ac:dyDescent="0.3">
      <c r="A733" s="20">
        <v>42330</v>
      </c>
      <c r="B733" s="31"/>
      <c r="C733" s="31"/>
      <c r="D733" s="31"/>
      <c r="E733" s="25"/>
      <c r="F733" s="26"/>
    </row>
    <row r="734" spans="1:6" ht="16.8" customHeight="1" x14ac:dyDescent="0.3">
      <c r="A734" s="20">
        <v>42331</v>
      </c>
      <c r="B734" s="31"/>
      <c r="C734" s="31"/>
      <c r="D734" s="31"/>
      <c r="E734" s="25"/>
      <c r="F734" s="26"/>
    </row>
    <row r="735" spans="1:6" ht="16.8" customHeight="1" x14ac:dyDescent="0.3">
      <c r="A735" s="20">
        <v>42332</v>
      </c>
      <c r="B735" s="31"/>
      <c r="C735" s="31"/>
      <c r="D735" s="31"/>
      <c r="E735" s="25"/>
      <c r="F735" s="26"/>
    </row>
    <row r="736" spans="1:6" ht="16.8" customHeight="1" x14ac:dyDescent="0.3">
      <c r="A736" s="20">
        <v>42333</v>
      </c>
      <c r="B736" s="31"/>
      <c r="C736" s="31"/>
      <c r="D736" s="31"/>
      <c r="E736" s="25"/>
      <c r="F736" s="26"/>
    </row>
    <row r="737" spans="1:6" ht="16.8" customHeight="1" x14ac:dyDescent="0.3">
      <c r="A737" s="20">
        <v>42334</v>
      </c>
      <c r="B737" s="31"/>
      <c r="C737" s="31"/>
      <c r="D737" s="31"/>
      <c r="E737" s="25"/>
      <c r="F737" s="26"/>
    </row>
    <row r="738" spans="1:6" ht="16.8" customHeight="1" x14ac:dyDescent="0.3">
      <c r="A738" s="20">
        <v>42335</v>
      </c>
      <c r="B738" s="31"/>
      <c r="C738" s="31"/>
      <c r="D738" s="31"/>
      <c r="E738" s="25"/>
      <c r="F738" s="26"/>
    </row>
    <row r="739" spans="1:6" ht="16.8" customHeight="1" x14ac:dyDescent="0.3">
      <c r="A739" s="20">
        <v>42336</v>
      </c>
      <c r="B739" s="31"/>
      <c r="C739" s="31"/>
      <c r="D739" s="31"/>
      <c r="E739" s="25"/>
      <c r="F739" s="26"/>
    </row>
    <row r="740" spans="1:6" ht="16.8" customHeight="1" x14ac:dyDescent="0.3">
      <c r="A740" s="20">
        <v>42337</v>
      </c>
      <c r="B740" s="31"/>
      <c r="C740" s="31"/>
      <c r="D740" s="31"/>
      <c r="E740" s="25"/>
      <c r="F740" s="26"/>
    </row>
    <row r="741" spans="1:6" ht="16.8" customHeight="1" x14ac:dyDescent="0.3">
      <c r="A741" s="20">
        <v>42338</v>
      </c>
      <c r="B741" s="31"/>
      <c r="C741" s="31"/>
      <c r="D741" s="31"/>
      <c r="E741" s="25"/>
      <c r="F741" s="26"/>
    </row>
    <row r="742" spans="1:6" ht="16.8" customHeight="1" x14ac:dyDescent="0.3">
      <c r="A742" s="20">
        <v>42339</v>
      </c>
      <c r="B742" s="31"/>
      <c r="C742" s="31"/>
      <c r="D742" s="31"/>
      <c r="E742" s="25"/>
      <c r="F742" s="26"/>
    </row>
    <row r="743" spans="1:6" ht="16.8" customHeight="1" x14ac:dyDescent="0.3">
      <c r="A743" s="20">
        <v>42340</v>
      </c>
      <c r="B743" s="31"/>
      <c r="C743" s="31"/>
      <c r="D743" s="31"/>
      <c r="E743" s="25"/>
      <c r="F743" s="26"/>
    </row>
    <row r="744" spans="1:6" ht="16.8" customHeight="1" x14ac:dyDescent="0.3">
      <c r="A744" s="20">
        <v>42341</v>
      </c>
      <c r="B744" s="31"/>
      <c r="C744" s="31"/>
      <c r="D744" s="31"/>
      <c r="E744" s="25"/>
      <c r="F744" s="26"/>
    </row>
    <row r="745" spans="1:6" ht="16.8" customHeight="1" x14ac:dyDescent="0.3">
      <c r="A745" s="20">
        <v>42342</v>
      </c>
      <c r="B745" s="31"/>
      <c r="C745" s="31"/>
      <c r="D745" s="31"/>
      <c r="E745" s="25"/>
      <c r="F745" s="26"/>
    </row>
    <row r="746" spans="1:6" ht="16.8" customHeight="1" x14ac:dyDescent="0.3">
      <c r="A746" s="20">
        <v>42343</v>
      </c>
      <c r="B746" s="31"/>
      <c r="C746" s="31"/>
      <c r="D746" s="31"/>
      <c r="E746" s="25"/>
      <c r="F746" s="26"/>
    </row>
    <row r="747" spans="1:6" ht="16.8" customHeight="1" x14ac:dyDescent="0.3">
      <c r="A747" s="20">
        <v>42344</v>
      </c>
      <c r="B747" s="31"/>
      <c r="C747" s="31"/>
      <c r="D747" s="31"/>
      <c r="E747" s="25"/>
      <c r="F747" s="26"/>
    </row>
    <row r="748" spans="1:6" ht="16.8" customHeight="1" x14ac:dyDescent="0.3">
      <c r="A748" s="20">
        <v>42345</v>
      </c>
      <c r="B748" s="31"/>
      <c r="C748" s="31"/>
      <c r="D748" s="31"/>
      <c r="E748" s="25"/>
      <c r="F748" s="26"/>
    </row>
    <row r="749" spans="1:6" ht="16.8" customHeight="1" x14ac:dyDescent="0.3">
      <c r="A749" s="20">
        <v>42346</v>
      </c>
      <c r="B749" s="31"/>
      <c r="C749" s="31"/>
      <c r="D749" s="31"/>
      <c r="E749" s="25"/>
      <c r="F749" s="26"/>
    </row>
    <row r="750" spans="1:6" ht="16.8" customHeight="1" x14ac:dyDescent="0.3">
      <c r="A750" s="20">
        <v>42347</v>
      </c>
      <c r="B750" s="31"/>
      <c r="C750" s="31"/>
      <c r="D750" s="31"/>
      <c r="E750" s="25"/>
      <c r="F750" s="26"/>
    </row>
    <row r="751" spans="1:6" ht="16.8" customHeight="1" x14ac:dyDescent="0.3">
      <c r="A751" s="20">
        <v>42348</v>
      </c>
      <c r="B751" s="31"/>
      <c r="C751" s="31"/>
      <c r="D751" s="31"/>
      <c r="E751" s="25"/>
      <c r="F751" s="26"/>
    </row>
    <row r="752" spans="1:6" ht="16.8" customHeight="1" x14ac:dyDescent="0.3">
      <c r="A752" s="20">
        <v>42349</v>
      </c>
      <c r="B752" s="31"/>
      <c r="C752" s="31"/>
      <c r="D752" s="31"/>
      <c r="E752" s="25"/>
      <c r="F752" s="26"/>
    </row>
    <row r="753" spans="1:6" ht="16.8" customHeight="1" x14ac:dyDescent="0.3">
      <c r="A753" s="20">
        <v>42350</v>
      </c>
      <c r="B753" s="31"/>
      <c r="C753" s="31"/>
      <c r="D753" s="31"/>
      <c r="E753" s="25"/>
      <c r="F753" s="26"/>
    </row>
    <row r="754" spans="1:6" ht="16.8" customHeight="1" x14ac:dyDescent="0.3">
      <c r="A754" s="20">
        <v>42351</v>
      </c>
      <c r="B754" s="31"/>
      <c r="C754" s="31"/>
      <c r="D754" s="31"/>
      <c r="E754" s="25"/>
      <c r="F754" s="26"/>
    </row>
    <row r="755" spans="1:6" ht="16.8" customHeight="1" x14ac:dyDescent="0.3">
      <c r="A755" s="20">
        <v>42352</v>
      </c>
      <c r="B755" s="31"/>
      <c r="C755" s="31"/>
      <c r="D755" s="31"/>
      <c r="E755" s="25"/>
      <c r="F755" s="26"/>
    </row>
    <row r="756" spans="1:6" ht="16.8" customHeight="1" x14ac:dyDescent="0.3">
      <c r="A756" s="20">
        <v>42353</v>
      </c>
      <c r="B756" s="31"/>
      <c r="C756" s="31"/>
      <c r="D756" s="31"/>
      <c r="E756" s="25"/>
      <c r="F756" s="26"/>
    </row>
    <row r="757" spans="1:6" ht="16.8" customHeight="1" x14ac:dyDescent="0.3">
      <c r="A757" s="20">
        <v>42354</v>
      </c>
      <c r="B757" s="31"/>
      <c r="C757" s="31"/>
      <c r="D757" s="31"/>
      <c r="E757" s="25"/>
      <c r="F757" s="26"/>
    </row>
    <row r="758" spans="1:6" ht="16.8" customHeight="1" x14ac:dyDescent="0.3">
      <c r="A758" s="20">
        <v>42355</v>
      </c>
      <c r="B758" s="31"/>
      <c r="C758" s="31"/>
      <c r="D758" s="31"/>
      <c r="E758" s="25"/>
      <c r="F758" s="26"/>
    </row>
    <row r="759" spans="1:6" ht="16.8" customHeight="1" x14ac:dyDescent="0.3">
      <c r="A759" s="20">
        <v>42356</v>
      </c>
      <c r="B759" s="31"/>
      <c r="C759" s="31"/>
      <c r="D759" s="31"/>
      <c r="E759" s="25"/>
      <c r="F759" s="26"/>
    </row>
    <row r="760" spans="1:6" ht="16.8" customHeight="1" x14ac:dyDescent="0.3">
      <c r="A760" s="20">
        <v>42357</v>
      </c>
      <c r="B760" s="31"/>
      <c r="C760" s="31"/>
      <c r="D760" s="31"/>
      <c r="E760" s="25"/>
      <c r="F760" s="26"/>
    </row>
    <row r="761" spans="1:6" ht="16.8" customHeight="1" x14ac:dyDescent="0.3">
      <c r="A761" s="20">
        <v>42358</v>
      </c>
      <c r="B761" s="31"/>
      <c r="C761" s="31"/>
      <c r="D761" s="31"/>
      <c r="E761" s="25"/>
      <c r="F761" s="26"/>
    </row>
    <row r="762" spans="1:6" ht="16.8" customHeight="1" x14ac:dyDescent="0.3">
      <c r="A762" s="20">
        <v>42359</v>
      </c>
      <c r="B762" s="31"/>
      <c r="C762" s="31"/>
      <c r="D762" s="31"/>
      <c r="E762" s="25"/>
      <c r="F762" s="26"/>
    </row>
    <row r="763" spans="1:6" ht="16.8" customHeight="1" x14ac:dyDescent="0.3">
      <c r="A763" s="20">
        <v>42360</v>
      </c>
      <c r="B763" s="31"/>
      <c r="C763" s="31"/>
      <c r="D763" s="31"/>
      <c r="E763" s="25"/>
      <c r="F763" s="26"/>
    </row>
    <row r="764" spans="1:6" ht="16.8" customHeight="1" x14ac:dyDescent="0.3">
      <c r="A764" s="20">
        <v>42361</v>
      </c>
      <c r="B764" s="31"/>
      <c r="C764" s="31"/>
      <c r="D764" s="31"/>
      <c r="E764" s="25"/>
      <c r="F764" s="26"/>
    </row>
    <row r="765" spans="1:6" ht="16.8" customHeight="1" x14ac:dyDescent="0.3">
      <c r="A765" s="20">
        <v>42362</v>
      </c>
      <c r="B765" s="31"/>
      <c r="C765" s="31"/>
      <c r="D765" s="31"/>
      <c r="E765" s="25"/>
      <c r="F765" s="26"/>
    </row>
    <row r="766" spans="1:6" ht="16.8" customHeight="1" x14ac:dyDescent="0.3">
      <c r="A766" s="20">
        <v>42363</v>
      </c>
      <c r="B766" s="31"/>
      <c r="C766" s="31"/>
      <c r="D766" s="31"/>
      <c r="E766" s="25"/>
      <c r="F766" s="26"/>
    </row>
    <row r="767" spans="1:6" ht="16.8" customHeight="1" x14ac:dyDescent="0.3">
      <c r="A767" s="20">
        <v>42364</v>
      </c>
      <c r="B767" s="31"/>
      <c r="C767" s="31"/>
      <c r="D767" s="31"/>
      <c r="E767" s="25"/>
      <c r="F767" s="26"/>
    </row>
    <row r="768" spans="1:6" ht="16.8" customHeight="1" x14ac:dyDescent="0.3">
      <c r="A768" s="20">
        <v>42365</v>
      </c>
      <c r="B768" s="31"/>
      <c r="C768" s="31"/>
      <c r="D768" s="31"/>
      <c r="E768" s="25"/>
      <c r="F768" s="26"/>
    </row>
    <row r="769" spans="1:6" ht="16.8" customHeight="1" x14ac:dyDescent="0.3">
      <c r="A769" s="20">
        <v>42366</v>
      </c>
      <c r="B769" s="31"/>
      <c r="C769" s="31"/>
      <c r="D769" s="31"/>
      <c r="E769" s="25"/>
      <c r="F769" s="26"/>
    </row>
    <row r="770" spans="1:6" ht="16.8" customHeight="1" x14ac:dyDescent="0.3">
      <c r="A770" s="20">
        <v>42367</v>
      </c>
      <c r="B770" s="31"/>
      <c r="C770" s="31"/>
      <c r="D770" s="31"/>
      <c r="E770" s="25"/>
      <c r="F770" s="26"/>
    </row>
    <row r="771" spans="1:6" ht="16.8" customHeight="1" x14ac:dyDescent="0.3">
      <c r="A771" s="20">
        <v>42368</v>
      </c>
      <c r="B771" s="31"/>
      <c r="C771" s="31"/>
      <c r="D771" s="31"/>
      <c r="E771" s="25"/>
      <c r="F771" s="26"/>
    </row>
    <row r="772" spans="1:6" ht="16.8" customHeight="1" x14ac:dyDescent="0.3">
      <c r="A772" s="20">
        <v>42369</v>
      </c>
      <c r="B772" s="31" t="s">
        <v>434</v>
      </c>
      <c r="C772" s="31" t="s">
        <v>435</v>
      </c>
      <c r="D772" s="31" t="s">
        <v>121</v>
      </c>
      <c r="E772" s="25">
        <v>45448</v>
      </c>
      <c r="F772" s="26" t="s">
        <v>4</v>
      </c>
    </row>
    <row r="773" spans="1:6" ht="16.8" customHeight="1" x14ac:dyDescent="0.3">
      <c r="A773" s="20">
        <v>42370</v>
      </c>
      <c r="B773" s="31"/>
      <c r="C773" s="31"/>
      <c r="D773" s="31"/>
      <c r="E773" s="25"/>
      <c r="F773" s="26"/>
    </row>
    <row r="774" spans="1:6" ht="16.8" customHeight="1" x14ac:dyDescent="0.3">
      <c r="A774" s="20">
        <v>42371</v>
      </c>
      <c r="B774" s="31"/>
      <c r="C774" s="31"/>
      <c r="D774" s="31"/>
      <c r="E774" s="25"/>
      <c r="F774" s="26"/>
    </row>
    <row r="775" spans="1:6" ht="16.8" customHeight="1" x14ac:dyDescent="0.3">
      <c r="A775" s="20">
        <v>42372</v>
      </c>
      <c r="B775" s="31"/>
      <c r="C775" s="31"/>
      <c r="D775" s="31"/>
      <c r="E775" s="25"/>
      <c r="F775" s="26"/>
    </row>
    <row r="776" spans="1:6" ht="16.8" customHeight="1" x14ac:dyDescent="0.3">
      <c r="A776" s="20">
        <v>42373</v>
      </c>
      <c r="B776" s="31"/>
      <c r="C776" s="31"/>
      <c r="D776" s="31"/>
      <c r="E776" s="25"/>
      <c r="F776" s="26"/>
    </row>
    <row r="777" spans="1:6" ht="16.8" customHeight="1" x14ac:dyDescent="0.3">
      <c r="A777" s="20">
        <v>42374</v>
      </c>
      <c r="B777" s="31"/>
      <c r="C777" s="31"/>
      <c r="D777" s="31"/>
      <c r="E777" s="25"/>
      <c r="F777" s="26"/>
    </row>
    <row r="778" spans="1:6" ht="16.8" customHeight="1" x14ac:dyDescent="0.3">
      <c r="A778" s="20">
        <v>42375</v>
      </c>
      <c r="B778" s="31"/>
      <c r="C778" s="31"/>
      <c r="D778" s="31"/>
      <c r="E778" s="25"/>
      <c r="F778" s="26"/>
    </row>
    <row r="779" spans="1:6" ht="16.8" customHeight="1" x14ac:dyDescent="0.3">
      <c r="A779" s="20">
        <v>42376</v>
      </c>
      <c r="B779" s="31"/>
      <c r="C779" s="31"/>
      <c r="D779" s="31"/>
      <c r="E779" s="25"/>
      <c r="F779" s="26"/>
    </row>
    <row r="780" spans="1:6" ht="16.8" customHeight="1" x14ac:dyDescent="0.3">
      <c r="A780" s="20">
        <v>42377</v>
      </c>
      <c r="B780" s="31"/>
      <c r="C780" s="31"/>
      <c r="D780" s="31"/>
      <c r="E780" s="25"/>
      <c r="F780" s="26"/>
    </row>
    <row r="781" spans="1:6" ht="16.8" customHeight="1" x14ac:dyDescent="0.3">
      <c r="A781" s="20">
        <v>42378</v>
      </c>
      <c r="B781" s="31"/>
      <c r="C781" s="31"/>
      <c r="D781" s="31"/>
      <c r="E781" s="25"/>
      <c r="F781" s="26"/>
    </row>
    <row r="782" spans="1:6" ht="16.8" customHeight="1" x14ac:dyDescent="0.3">
      <c r="A782" s="20">
        <v>42379</v>
      </c>
      <c r="B782" s="31"/>
      <c r="C782" s="31"/>
      <c r="D782" s="31"/>
      <c r="E782" s="25"/>
      <c r="F782" s="26"/>
    </row>
    <row r="783" spans="1:6" ht="16.8" customHeight="1" x14ac:dyDescent="0.3">
      <c r="A783" s="20">
        <v>42380</v>
      </c>
      <c r="B783" s="31"/>
      <c r="C783" s="31"/>
      <c r="D783" s="31"/>
      <c r="E783" s="25"/>
      <c r="F783" s="26"/>
    </row>
    <row r="784" spans="1:6" ht="16.8" customHeight="1" x14ac:dyDescent="0.3">
      <c r="A784" s="20">
        <v>42381</v>
      </c>
      <c r="B784" s="31"/>
      <c r="C784" s="31"/>
      <c r="D784" s="31"/>
      <c r="E784" s="25"/>
      <c r="F784" s="26"/>
    </row>
    <row r="785" spans="1:6" ht="16.8" customHeight="1" x14ac:dyDescent="0.3">
      <c r="A785" s="20">
        <v>42382</v>
      </c>
      <c r="B785" s="31"/>
      <c r="C785" s="31"/>
      <c r="D785" s="31"/>
      <c r="E785" s="25"/>
      <c r="F785" s="26"/>
    </row>
    <row r="786" spans="1:6" ht="16.8" customHeight="1" x14ac:dyDescent="0.3">
      <c r="A786" s="20">
        <v>42383</v>
      </c>
      <c r="B786" s="31"/>
      <c r="C786" s="31"/>
      <c r="D786" s="31"/>
      <c r="E786" s="25"/>
      <c r="F786" s="26"/>
    </row>
    <row r="787" spans="1:6" ht="16.8" customHeight="1" x14ac:dyDescent="0.3">
      <c r="A787" s="20">
        <v>42384</v>
      </c>
      <c r="B787" s="31"/>
      <c r="C787" s="31"/>
      <c r="D787" s="31"/>
      <c r="E787" s="25"/>
      <c r="F787" s="26"/>
    </row>
    <row r="788" spans="1:6" ht="16.8" customHeight="1" x14ac:dyDescent="0.3">
      <c r="A788" s="20">
        <v>42385</v>
      </c>
      <c r="B788" s="31" t="s">
        <v>229</v>
      </c>
      <c r="C788" s="31" t="s">
        <v>436</v>
      </c>
      <c r="D788" s="31" t="s">
        <v>98</v>
      </c>
      <c r="E788" s="25">
        <v>45509.61136574074</v>
      </c>
      <c r="F788" s="26" t="s">
        <v>4</v>
      </c>
    </row>
    <row r="789" spans="1:6" ht="16.8" customHeight="1" x14ac:dyDescent="0.3">
      <c r="A789" s="20">
        <v>42386</v>
      </c>
      <c r="B789" s="31"/>
      <c r="C789" s="31"/>
      <c r="D789" s="31"/>
      <c r="E789" s="25"/>
      <c r="F789" s="26"/>
    </row>
    <row r="790" spans="1:6" ht="16.8" customHeight="1" x14ac:dyDescent="0.3">
      <c r="A790" s="20">
        <v>42387</v>
      </c>
      <c r="B790" s="31"/>
      <c r="C790" s="31"/>
      <c r="D790" s="31"/>
      <c r="E790" s="25"/>
      <c r="F790" s="26"/>
    </row>
    <row r="791" spans="1:6" ht="16.8" customHeight="1" x14ac:dyDescent="0.3">
      <c r="A791" s="20">
        <v>42388</v>
      </c>
      <c r="B791" s="31"/>
      <c r="C791" s="31"/>
      <c r="D791" s="31"/>
      <c r="E791" s="25"/>
      <c r="F791" s="26"/>
    </row>
    <row r="792" spans="1:6" ht="16.8" customHeight="1" x14ac:dyDescent="0.3">
      <c r="A792" s="20">
        <v>42389</v>
      </c>
      <c r="B792" s="31" t="s">
        <v>292</v>
      </c>
      <c r="C792" s="31" t="s">
        <v>75</v>
      </c>
      <c r="D792" s="31" t="s">
        <v>437</v>
      </c>
      <c r="E792" s="25">
        <v>45341</v>
      </c>
      <c r="F792" s="26" t="s">
        <v>2</v>
      </c>
    </row>
    <row r="793" spans="1:6" ht="16.8" customHeight="1" x14ac:dyDescent="0.3">
      <c r="A793" s="20">
        <v>42390</v>
      </c>
      <c r="B793" s="31"/>
      <c r="C793" s="31"/>
      <c r="D793" s="31"/>
      <c r="E793" s="25"/>
      <c r="F793" s="26"/>
    </row>
    <row r="794" spans="1:6" ht="16.8" customHeight="1" x14ac:dyDescent="0.3">
      <c r="A794" s="20">
        <v>42391</v>
      </c>
      <c r="B794" s="31"/>
      <c r="C794" s="31"/>
      <c r="D794" s="31"/>
      <c r="E794" s="25"/>
      <c r="F794" s="26"/>
    </row>
    <row r="795" spans="1:6" ht="16.8" customHeight="1" x14ac:dyDescent="0.3">
      <c r="A795" s="20">
        <v>42392</v>
      </c>
      <c r="B795" s="31"/>
      <c r="C795" s="31"/>
      <c r="D795" s="31"/>
      <c r="E795" s="25"/>
      <c r="F795" s="26"/>
    </row>
    <row r="796" spans="1:6" ht="16.8" customHeight="1" x14ac:dyDescent="0.3">
      <c r="A796" s="20">
        <v>42393</v>
      </c>
      <c r="B796" s="31"/>
      <c r="C796" s="31"/>
      <c r="D796" s="31"/>
      <c r="E796" s="25"/>
      <c r="F796" s="26"/>
    </row>
    <row r="797" spans="1:6" ht="16.8" customHeight="1" x14ac:dyDescent="0.3">
      <c r="A797" s="20">
        <v>42394</v>
      </c>
      <c r="B797" s="31"/>
      <c r="C797" s="31"/>
      <c r="D797" s="31"/>
      <c r="E797" s="25"/>
      <c r="F797" s="26"/>
    </row>
    <row r="798" spans="1:6" ht="16.8" customHeight="1" x14ac:dyDescent="0.3">
      <c r="A798" s="20">
        <v>42395</v>
      </c>
      <c r="B798" s="31"/>
      <c r="C798" s="31"/>
      <c r="D798" s="31"/>
      <c r="E798" s="25"/>
      <c r="F798" s="26"/>
    </row>
    <row r="799" spans="1:6" ht="16.8" customHeight="1" x14ac:dyDescent="0.3">
      <c r="A799" s="20">
        <v>42396</v>
      </c>
      <c r="B799" s="31"/>
      <c r="C799" s="31"/>
      <c r="D799" s="31"/>
      <c r="E799" s="25"/>
      <c r="F799" s="26"/>
    </row>
    <row r="800" spans="1:6" ht="16.8" customHeight="1" x14ac:dyDescent="0.3">
      <c r="A800" s="20">
        <v>42397</v>
      </c>
      <c r="B800" s="31"/>
      <c r="C800" s="31"/>
      <c r="D800" s="31"/>
      <c r="E800" s="25"/>
      <c r="F800" s="26"/>
    </row>
    <row r="801" spans="1:6" ht="16.8" customHeight="1" x14ac:dyDescent="0.3">
      <c r="A801" s="20">
        <v>42398</v>
      </c>
      <c r="B801" s="31"/>
      <c r="C801" s="31"/>
      <c r="D801" s="31"/>
      <c r="E801" s="25"/>
      <c r="F801" s="26"/>
    </row>
    <row r="802" spans="1:6" ht="16.8" customHeight="1" x14ac:dyDescent="0.3">
      <c r="A802" s="20">
        <v>42399</v>
      </c>
      <c r="B802" s="31"/>
      <c r="C802" s="31"/>
      <c r="D802" s="31"/>
      <c r="E802" s="25"/>
      <c r="F802" s="26"/>
    </row>
    <row r="803" spans="1:6" ht="16.8" customHeight="1" x14ac:dyDescent="0.3">
      <c r="A803" s="20">
        <v>42400</v>
      </c>
      <c r="B803" s="31"/>
      <c r="C803" s="31"/>
      <c r="D803" s="31"/>
      <c r="E803" s="25"/>
      <c r="F803" s="26"/>
    </row>
    <row r="804" spans="1:6" ht="16.8" customHeight="1" x14ac:dyDescent="0.3">
      <c r="A804" s="20">
        <v>42401</v>
      </c>
      <c r="B804" s="31"/>
      <c r="C804" s="31"/>
      <c r="D804" s="31"/>
      <c r="E804" s="25"/>
      <c r="F804" s="26"/>
    </row>
    <row r="805" spans="1:6" ht="16.8" customHeight="1" x14ac:dyDescent="0.3">
      <c r="A805" s="20">
        <v>42402</v>
      </c>
      <c r="B805" s="31"/>
      <c r="C805" s="31"/>
      <c r="D805" s="31"/>
      <c r="E805" s="25"/>
      <c r="F805" s="26"/>
    </row>
    <row r="806" spans="1:6" ht="16.8" customHeight="1" x14ac:dyDescent="0.3">
      <c r="A806" s="20">
        <v>42403</v>
      </c>
      <c r="B806" s="31"/>
      <c r="C806" s="31"/>
      <c r="D806" s="31"/>
      <c r="E806" s="25"/>
      <c r="F806" s="26"/>
    </row>
    <row r="807" spans="1:6" ht="16.8" customHeight="1" x14ac:dyDescent="0.3">
      <c r="A807" s="20">
        <v>42404</v>
      </c>
      <c r="B807" s="31"/>
      <c r="C807" s="31"/>
      <c r="D807" s="31"/>
      <c r="E807" s="25"/>
      <c r="F807" s="26"/>
    </row>
    <row r="808" spans="1:6" ht="16.8" customHeight="1" x14ac:dyDescent="0.3">
      <c r="A808" s="20">
        <v>42405</v>
      </c>
      <c r="B808" s="31"/>
      <c r="C808" s="31"/>
      <c r="D808" s="31"/>
      <c r="E808" s="25"/>
      <c r="F808" s="26"/>
    </row>
    <row r="809" spans="1:6" ht="16.8" customHeight="1" x14ac:dyDescent="0.3">
      <c r="A809" s="20">
        <v>42406</v>
      </c>
      <c r="B809" s="31"/>
      <c r="C809" s="31"/>
      <c r="D809" s="31"/>
      <c r="E809" s="25"/>
      <c r="F809" s="26"/>
    </row>
    <row r="810" spans="1:6" ht="16.8" customHeight="1" x14ac:dyDescent="0.3">
      <c r="A810" s="20">
        <v>42407</v>
      </c>
      <c r="B810" s="31"/>
      <c r="C810" s="31"/>
      <c r="D810" s="31"/>
      <c r="E810" s="25"/>
      <c r="F810" s="26"/>
    </row>
    <row r="811" spans="1:6" ht="16.8" customHeight="1" x14ac:dyDescent="0.3">
      <c r="A811" s="20">
        <v>42408</v>
      </c>
      <c r="B811" s="31"/>
      <c r="C811" s="31"/>
      <c r="D811" s="31"/>
      <c r="E811" s="25"/>
      <c r="F811" s="26"/>
    </row>
    <row r="812" spans="1:6" ht="16.8" customHeight="1" x14ac:dyDescent="0.3">
      <c r="A812" s="20">
        <v>42409</v>
      </c>
      <c r="B812" s="31"/>
      <c r="C812" s="31"/>
      <c r="D812" s="31"/>
      <c r="E812" s="25"/>
      <c r="F812" s="26"/>
    </row>
    <row r="813" spans="1:6" ht="16.8" customHeight="1" x14ac:dyDescent="0.3">
      <c r="A813" s="20">
        <v>42410</v>
      </c>
      <c r="B813" s="31"/>
      <c r="C813" s="31"/>
      <c r="D813" s="31"/>
      <c r="E813" s="25"/>
      <c r="F813" s="26"/>
    </row>
    <row r="814" spans="1:6" ht="16.8" customHeight="1" x14ac:dyDescent="0.3">
      <c r="A814" s="20">
        <v>42411</v>
      </c>
      <c r="B814" s="31"/>
      <c r="C814" s="31"/>
      <c r="D814" s="31"/>
      <c r="E814" s="25"/>
      <c r="F814" s="26"/>
    </row>
    <row r="815" spans="1:6" ht="16.8" customHeight="1" x14ac:dyDescent="0.3">
      <c r="A815" s="20">
        <v>42412</v>
      </c>
      <c r="B815" s="31"/>
      <c r="C815" s="31"/>
      <c r="D815" s="31"/>
      <c r="E815" s="25"/>
      <c r="F815" s="26"/>
    </row>
    <row r="816" spans="1:6" ht="16.8" customHeight="1" x14ac:dyDescent="0.3">
      <c r="A816" s="20">
        <v>42413</v>
      </c>
      <c r="B816" s="31"/>
      <c r="C816" s="31"/>
      <c r="D816" s="31"/>
      <c r="E816" s="25"/>
      <c r="F816" s="26"/>
    </row>
    <row r="817" spans="1:6" ht="16.8" customHeight="1" x14ac:dyDescent="0.3">
      <c r="A817" s="20">
        <v>42414</v>
      </c>
      <c r="B817" s="31"/>
      <c r="C817" s="31"/>
      <c r="D817" s="31"/>
      <c r="E817" s="25"/>
      <c r="F817" s="26"/>
    </row>
    <row r="818" spans="1:6" ht="16.8" customHeight="1" x14ac:dyDescent="0.3">
      <c r="A818" s="20">
        <v>42415</v>
      </c>
      <c r="B818" s="31"/>
      <c r="C818" s="31"/>
      <c r="D818" s="31"/>
      <c r="E818" s="25"/>
      <c r="F818" s="26"/>
    </row>
    <row r="819" spans="1:6" ht="16.8" customHeight="1" x14ac:dyDescent="0.3">
      <c r="A819" s="20">
        <v>42416</v>
      </c>
      <c r="B819" s="31"/>
      <c r="C819" s="31"/>
      <c r="D819" s="31"/>
      <c r="E819" s="25"/>
      <c r="F819" s="26"/>
    </row>
    <row r="820" spans="1:6" ht="16.8" customHeight="1" x14ac:dyDescent="0.3">
      <c r="A820" s="20">
        <v>42417</v>
      </c>
      <c r="B820" s="31"/>
      <c r="C820" s="31"/>
      <c r="D820" s="31"/>
      <c r="E820" s="25"/>
      <c r="F820" s="26"/>
    </row>
    <row r="821" spans="1:6" ht="16.8" customHeight="1" x14ac:dyDescent="0.3">
      <c r="A821" s="20">
        <v>42418</v>
      </c>
      <c r="B821" s="31"/>
      <c r="C821" s="31"/>
      <c r="D821" s="31"/>
      <c r="E821" s="25"/>
      <c r="F821" s="26"/>
    </row>
    <row r="822" spans="1:6" ht="16.8" customHeight="1" x14ac:dyDescent="0.3">
      <c r="A822" s="20">
        <v>42419</v>
      </c>
      <c r="B822" s="31"/>
      <c r="C822" s="31"/>
      <c r="D822" s="31"/>
      <c r="E822" s="25"/>
      <c r="F822" s="26"/>
    </row>
    <row r="823" spans="1:6" ht="16.8" customHeight="1" x14ac:dyDescent="0.3">
      <c r="A823" s="20">
        <v>42420</v>
      </c>
      <c r="B823" s="31"/>
      <c r="C823" s="31"/>
      <c r="D823" s="31"/>
      <c r="E823" s="25"/>
      <c r="F823" s="26"/>
    </row>
    <row r="824" spans="1:6" ht="16.8" customHeight="1" x14ac:dyDescent="0.3">
      <c r="A824" s="20">
        <v>42421</v>
      </c>
      <c r="B824" s="31"/>
      <c r="C824" s="31"/>
      <c r="D824" s="31"/>
      <c r="E824" s="25"/>
      <c r="F824" s="26"/>
    </row>
    <row r="825" spans="1:6" ht="16.8" customHeight="1" x14ac:dyDescent="0.3">
      <c r="A825" s="20">
        <v>42422</v>
      </c>
      <c r="B825" s="31"/>
      <c r="C825" s="31"/>
      <c r="D825" s="31"/>
      <c r="E825" s="25"/>
      <c r="F825" s="26"/>
    </row>
    <row r="826" spans="1:6" ht="16.8" customHeight="1" x14ac:dyDescent="0.3">
      <c r="A826" s="20">
        <v>42423</v>
      </c>
      <c r="B826" s="31"/>
      <c r="C826" s="31"/>
      <c r="D826" s="31"/>
      <c r="E826" s="25"/>
      <c r="F826" s="26"/>
    </row>
    <row r="827" spans="1:6" ht="16.8" customHeight="1" x14ac:dyDescent="0.3">
      <c r="A827" s="20">
        <v>42424</v>
      </c>
      <c r="B827" s="31"/>
      <c r="C827" s="31"/>
      <c r="D827" s="31"/>
      <c r="E827" s="25"/>
      <c r="F827" s="26"/>
    </row>
    <row r="828" spans="1:6" ht="16.8" customHeight="1" x14ac:dyDescent="0.3">
      <c r="A828" s="20">
        <v>42425</v>
      </c>
      <c r="B828" s="31"/>
      <c r="C828" s="31"/>
      <c r="D828" s="31"/>
      <c r="E828" s="25"/>
      <c r="F828" s="26"/>
    </row>
    <row r="829" spans="1:6" ht="16.8" customHeight="1" x14ac:dyDescent="0.3">
      <c r="A829" s="20">
        <v>42426</v>
      </c>
      <c r="B829" s="31"/>
      <c r="C829" s="31"/>
      <c r="D829" s="31"/>
      <c r="E829" s="25"/>
      <c r="F829" s="26"/>
    </row>
    <row r="830" spans="1:6" ht="16.8" customHeight="1" x14ac:dyDescent="0.3">
      <c r="A830" s="20">
        <v>42427</v>
      </c>
      <c r="B830" s="31"/>
      <c r="C830" s="31"/>
      <c r="D830" s="31"/>
      <c r="E830" s="25"/>
      <c r="F830" s="26"/>
    </row>
    <row r="831" spans="1:6" ht="16.8" customHeight="1" x14ac:dyDescent="0.3">
      <c r="A831" s="20">
        <v>42428</v>
      </c>
      <c r="B831" s="31"/>
      <c r="C831" s="31"/>
      <c r="D831" s="31"/>
      <c r="E831" s="25"/>
      <c r="F831" s="26"/>
    </row>
    <row r="832" spans="1:6" ht="16.8" customHeight="1" x14ac:dyDescent="0.3">
      <c r="A832" s="20">
        <v>42429</v>
      </c>
      <c r="B832" s="31"/>
      <c r="C832" s="31"/>
      <c r="D832" s="31"/>
      <c r="E832" s="25"/>
      <c r="F832" s="26"/>
    </row>
    <row r="833" spans="1:6" ht="16.8" customHeight="1" x14ac:dyDescent="0.3">
      <c r="A833" s="20">
        <v>42430</v>
      </c>
      <c r="B833" s="31"/>
      <c r="C833" s="31"/>
      <c r="D833" s="31"/>
      <c r="E833" s="25"/>
      <c r="F833" s="26"/>
    </row>
    <row r="834" spans="1:6" ht="16.8" customHeight="1" x14ac:dyDescent="0.3">
      <c r="A834" s="20">
        <v>42431</v>
      </c>
      <c r="B834" s="31"/>
      <c r="C834" s="31"/>
      <c r="D834" s="31"/>
      <c r="E834" s="25"/>
      <c r="F834" s="26"/>
    </row>
    <row r="835" spans="1:6" ht="16.8" customHeight="1" x14ac:dyDescent="0.3">
      <c r="A835" s="20">
        <v>42432</v>
      </c>
      <c r="B835" s="31"/>
      <c r="C835" s="31"/>
      <c r="D835" s="31"/>
      <c r="E835" s="25"/>
      <c r="F835" s="26"/>
    </row>
    <row r="836" spans="1:6" ht="16.8" customHeight="1" x14ac:dyDescent="0.3">
      <c r="A836" s="20">
        <v>42433</v>
      </c>
      <c r="B836" s="31"/>
      <c r="C836" s="31"/>
      <c r="D836" s="31"/>
      <c r="E836" s="25"/>
      <c r="F836" s="26"/>
    </row>
    <row r="837" spans="1:6" ht="16.8" customHeight="1" x14ac:dyDescent="0.3">
      <c r="A837" s="20">
        <v>42434</v>
      </c>
      <c r="B837" s="31"/>
      <c r="C837" s="31"/>
      <c r="D837" s="31"/>
      <c r="E837" s="25"/>
      <c r="F837" s="26"/>
    </row>
    <row r="838" spans="1:6" ht="16.8" customHeight="1" x14ac:dyDescent="0.3">
      <c r="A838" s="20">
        <v>42435</v>
      </c>
      <c r="B838" s="31"/>
      <c r="C838" s="31"/>
      <c r="D838" s="31"/>
      <c r="E838" s="25"/>
      <c r="F838" s="26"/>
    </row>
    <row r="839" spans="1:6" ht="16.8" customHeight="1" x14ac:dyDescent="0.3">
      <c r="A839" s="20">
        <v>42436</v>
      </c>
      <c r="B839" s="31"/>
      <c r="C839" s="31"/>
      <c r="D839" s="31"/>
      <c r="E839" s="25"/>
      <c r="F839" s="26"/>
    </row>
    <row r="840" spans="1:6" ht="16.8" customHeight="1" x14ac:dyDescent="0.3">
      <c r="A840" s="20">
        <v>42437</v>
      </c>
      <c r="B840" s="31"/>
      <c r="C840" s="31"/>
      <c r="D840" s="31"/>
      <c r="E840" s="25"/>
      <c r="F840" s="26"/>
    </row>
    <row r="841" spans="1:6" ht="16.8" customHeight="1" x14ac:dyDescent="0.3">
      <c r="A841" s="20">
        <v>42438</v>
      </c>
      <c r="B841" s="31"/>
      <c r="C841" s="31"/>
      <c r="D841" s="31"/>
      <c r="E841" s="25"/>
      <c r="F841" s="26"/>
    </row>
    <row r="842" spans="1:6" ht="16.8" customHeight="1" x14ac:dyDescent="0.3">
      <c r="A842" s="20">
        <v>42439</v>
      </c>
      <c r="B842" s="31"/>
      <c r="C842" s="31"/>
      <c r="D842" s="31"/>
      <c r="E842" s="25"/>
      <c r="F842" s="26"/>
    </row>
    <row r="843" spans="1:6" ht="16.8" customHeight="1" x14ac:dyDescent="0.3">
      <c r="A843" s="20">
        <v>42440</v>
      </c>
      <c r="B843" s="31"/>
      <c r="C843" s="31"/>
      <c r="D843" s="31"/>
      <c r="E843" s="25"/>
      <c r="F843" s="26"/>
    </row>
    <row r="844" spans="1:6" ht="16.8" customHeight="1" x14ac:dyDescent="0.3">
      <c r="A844" s="20">
        <v>42441</v>
      </c>
      <c r="B844" s="31"/>
      <c r="C844" s="31"/>
      <c r="D844" s="31"/>
      <c r="E844" s="25"/>
      <c r="F844" s="26"/>
    </row>
    <row r="845" spans="1:6" ht="16.8" customHeight="1" x14ac:dyDescent="0.3">
      <c r="A845" s="20">
        <v>42442</v>
      </c>
      <c r="B845" s="31"/>
      <c r="C845" s="31"/>
      <c r="D845" s="31"/>
      <c r="E845" s="25"/>
      <c r="F845" s="26"/>
    </row>
    <row r="846" spans="1:6" ht="16.8" customHeight="1" x14ac:dyDescent="0.3">
      <c r="A846" s="20">
        <v>42443</v>
      </c>
      <c r="B846" s="31"/>
      <c r="C846" s="31"/>
      <c r="D846" s="31"/>
      <c r="E846" s="25"/>
      <c r="F846" s="26"/>
    </row>
    <row r="847" spans="1:6" ht="16.8" customHeight="1" x14ac:dyDescent="0.3">
      <c r="A847" s="20">
        <v>42444</v>
      </c>
      <c r="B847" s="31"/>
      <c r="C847" s="31"/>
      <c r="D847" s="31"/>
      <c r="E847" s="25"/>
      <c r="F847" s="26"/>
    </row>
    <row r="848" spans="1:6" ht="16.8" customHeight="1" x14ac:dyDescent="0.3">
      <c r="A848" s="20">
        <v>42445</v>
      </c>
      <c r="B848" s="31"/>
      <c r="C848" s="31"/>
      <c r="D848" s="31"/>
      <c r="E848" s="25"/>
      <c r="F848" s="26"/>
    </row>
    <row r="849" spans="1:6" ht="16.8" customHeight="1" x14ac:dyDescent="0.3">
      <c r="A849" s="20">
        <v>42446</v>
      </c>
      <c r="B849" s="31" t="s">
        <v>438</v>
      </c>
      <c r="C849" s="31" t="s">
        <v>334</v>
      </c>
      <c r="D849" s="31" t="s">
        <v>121</v>
      </c>
      <c r="E849" s="25">
        <v>45371</v>
      </c>
      <c r="F849" s="26" t="s">
        <v>4</v>
      </c>
    </row>
    <row r="850" spans="1:6" ht="16.8" customHeight="1" x14ac:dyDescent="0.3">
      <c r="A850" s="20">
        <v>42447</v>
      </c>
      <c r="B850" s="31"/>
      <c r="C850" s="31"/>
      <c r="D850" s="31"/>
      <c r="E850" s="25"/>
      <c r="F850" s="26"/>
    </row>
    <row r="851" spans="1:6" ht="16.8" customHeight="1" x14ac:dyDescent="0.3">
      <c r="A851" s="20">
        <v>42448</v>
      </c>
      <c r="B851" s="31"/>
      <c r="C851" s="31"/>
      <c r="D851" s="31"/>
      <c r="E851" s="25"/>
      <c r="F851" s="26"/>
    </row>
    <row r="852" spans="1:6" ht="16.8" customHeight="1" x14ac:dyDescent="0.3">
      <c r="A852" s="20">
        <v>42449</v>
      </c>
      <c r="B852" s="31"/>
      <c r="C852" s="31"/>
      <c r="D852" s="31"/>
      <c r="E852" s="25"/>
      <c r="F852" s="26"/>
    </row>
    <row r="853" spans="1:6" ht="16.8" customHeight="1" x14ac:dyDescent="0.3">
      <c r="A853" s="20">
        <v>42450</v>
      </c>
      <c r="B853" s="31"/>
      <c r="C853" s="31"/>
      <c r="D853" s="31"/>
      <c r="E853" s="25"/>
      <c r="F853" s="26"/>
    </row>
    <row r="854" spans="1:6" ht="16.8" customHeight="1" x14ac:dyDescent="0.3">
      <c r="A854" s="20">
        <v>42451</v>
      </c>
      <c r="B854" s="31"/>
      <c r="C854" s="31"/>
      <c r="D854" s="31"/>
      <c r="E854" s="25"/>
      <c r="F854" s="26"/>
    </row>
    <row r="855" spans="1:6" ht="16.8" customHeight="1" x14ac:dyDescent="0.3">
      <c r="A855" s="20">
        <v>42452</v>
      </c>
      <c r="B855" s="31"/>
      <c r="C855" s="31"/>
      <c r="D855" s="31"/>
      <c r="E855" s="25"/>
      <c r="F855" s="26"/>
    </row>
    <row r="856" spans="1:6" ht="16.8" customHeight="1" x14ac:dyDescent="0.3">
      <c r="A856" s="20">
        <v>42453</v>
      </c>
      <c r="B856" s="31"/>
      <c r="C856" s="31"/>
      <c r="D856" s="31"/>
      <c r="E856" s="25"/>
      <c r="F856" s="26"/>
    </row>
    <row r="857" spans="1:6" ht="16.8" customHeight="1" x14ac:dyDescent="0.3">
      <c r="A857" s="20">
        <v>42454</v>
      </c>
      <c r="B857" s="31"/>
      <c r="C857" s="31"/>
      <c r="D857" s="31"/>
      <c r="E857" s="25"/>
      <c r="F857" s="26"/>
    </row>
    <row r="858" spans="1:6" ht="16.8" customHeight="1" x14ac:dyDescent="0.3">
      <c r="A858" s="20">
        <v>42455</v>
      </c>
      <c r="B858" s="31"/>
      <c r="C858" s="31"/>
      <c r="D858" s="31"/>
      <c r="E858" s="25"/>
      <c r="F858" s="26"/>
    </row>
    <row r="859" spans="1:6" ht="16.8" customHeight="1" x14ac:dyDescent="0.3">
      <c r="A859" s="20">
        <v>42456</v>
      </c>
      <c r="B859" s="31"/>
      <c r="C859" s="31"/>
      <c r="D859" s="31"/>
      <c r="E859" s="25"/>
      <c r="F859" s="26"/>
    </row>
    <row r="860" spans="1:6" ht="16.8" customHeight="1" x14ac:dyDescent="0.3">
      <c r="A860" s="20">
        <v>42457</v>
      </c>
      <c r="B860" s="31"/>
      <c r="C860" s="31"/>
      <c r="D860" s="31"/>
      <c r="E860" s="25"/>
      <c r="F860" s="26"/>
    </row>
    <row r="861" spans="1:6" ht="16.8" customHeight="1" x14ac:dyDescent="0.3">
      <c r="A861" s="20">
        <v>42458</v>
      </c>
      <c r="B861" s="31"/>
      <c r="C861" s="31"/>
      <c r="D861" s="31"/>
      <c r="E861" s="25"/>
      <c r="F861" s="26"/>
    </row>
    <row r="862" spans="1:6" ht="16.8" customHeight="1" x14ac:dyDescent="0.3">
      <c r="A862" s="20">
        <v>42459</v>
      </c>
      <c r="B862" s="31"/>
      <c r="C862" s="31"/>
      <c r="D862" s="31"/>
      <c r="E862" s="25"/>
      <c r="F862" s="26"/>
    </row>
    <row r="863" spans="1:6" ht="16.8" customHeight="1" x14ac:dyDescent="0.3">
      <c r="A863" s="20">
        <v>42460</v>
      </c>
      <c r="B863" s="31"/>
      <c r="C863" s="31"/>
      <c r="D863" s="31"/>
      <c r="E863" s="25"/>
      <c r="F863" s="26"/>
    </row>
    <row r="864" spans="1:6" ht="16.8" customHeight="1" x14ac:dyDescent="0.3">
      <c r="A864" s="20">
        <v>42461</v>
      </c>
      <c r="B864" s="31"/>
      <c r="C864" s="31"/>
      <c r="D864" s="31"/>
      <c r="E864" s="25"/>
      <c r="F864" s="26"/>
    </row>
    <row r="865" spans="1:6" ht="16.8" customHeight="1" x14ac:dyDescent="0.3">
      <c r="A865" s="20">
        <v>42462</v>
      </c>
      <c r="B865" s="31"/>
      <c r="C865" s="31"/>
      <c r="D865" s="31"/>
      <c r="E865" s="25"/>
      <c r="F865" s="26"/>
    </row>
    <row r="866" spans="1:6" ht="16.8" customHeight="1" x14ac:dyDescent="0.3">
      <c r="A866" s="20">
        <v>42463</v>
      </c>
      <c r="B866" s="31"/>
      <c r="C866" s="31"/>
      <c r="D866" s="31"/>
      <c r="E866" s="25"/>
      <c r="F866" s="26"/>
    </row>
    <row r="867" spans="1:6" ht="16.8" customHeight="1" x14ac:dyDescent="0.3">
      <c r="A867" s="20">
        <v>42464</v>
      </c>
      <c r="B867" s="31"/>
      <c r="C867" s="31"/>
      <c r="D867" s="31"/>
      <c r="E867" s="25"/>
      <c r="F867" s="26"/>
    </row>
    <row r="868" spans="1:6" ht="16.8" customHeight="1" x14ac:dyDescent="0.3">
      <c r="A868" s="20">
        <v>42465</v>
      </c>
      <c r="B868" s="31"/>
      <c r="C868" s="31"/>
      <c r="D868" s="31"/>
      <c r="E868" s="25"/>
      <c r="F868" s="26"/>
    </row>
    <row r="869" spans="1:6" ht="16.8" customHeight="1" x14ac:dyDescent="0.3">
      <c r="A869" s="20">
        <v>42466</v>
      </c>
      <c r="B869" s="31"/>
      <c r="C869" s="31"/>
      <c r="D869" s="31"/>
      <c r="E869" s="25"/>
      <c r="F869" s="26"/>
    </row>
    <row r="870" spans="1:6" ht="16.8" customHeight="1" x14ac:dyDescent="0.3">
      <c r="A870" s="20">
        <v>42467</v>
      </c>
      <c r="B870" s="31"/>
      <c r="C870" s="31"/>
      <c r="D870" s="31"/>
      <c r="E870" s="25"/>
      <c r="F870" s="26"/>
    </row>
    <row r="871" spans="1:6" ht="16.8" customHeight="1" x14ac:dyDescent="0.3">
      <c r="A871" s="20">
        <v>42468</v>
      </c>
      <c r="B871" s="31"/>
      <c r="C871" s="31"/>
      <c r="D871" s="31"/>
      <c r="E871" s="25"/>
      <c r="F871" s="26"/>
    </row>
    <row r="872" spans="1:6" ht="16.8" customHeight="1" x14ac:dyDescent="0.3">
      <c r="A872" s="20">
        <v>42469</v>
      </c>
      <c r="B872" s="31" t="s">
        <v>439</v>
      </c>
      <c r="C872" s="31" t="s">
        <v>440</v>
      </c>
      <c r="D872" s="31" t="s">
        <v>98</v>
      </c>
      <c r="E872" s="25">
        <v>45474</v>
      </c>
      <c r="F872" s="26" t="s">
        <v>4</v>
      </c>
    </row>
    <row r="873" spans="1:6" ht="16.8" customHeight="1" x14ac:dyDescent="0.3">
      <c r="A873" s="20">
        <v>42470</v>
      </c>
      <c r="B873" s="31"/>
      <c r="C873" s="31"/>
      <c r="D873" s="31"/>
      <c r="E873" s="25"/>
      <c r="F873" s="26"/>
    </row>
    <row r="874" spans="1:6" ht="16.8" customHeight="1" x14ac:dyDescent="0.3">
      <c r="A874" s="20">
        <v>42471</v>
      </c>
      <c r="B874" s="31"/>
      <c r="C874" s="31"/>
      <c r="D874" s="31"/>
      <c r="E874" s="25"/>
      <c r="F874" s="26"/>
    </row>
    <row r="875" spans="1:6" ht="16.8" customHeight="1" x14ac:dyDescent="0.3">
      <c r="A875" s="20">
        <v>42472</v>
      </c>
      <c r="B875" s="31" t="s">
        <v>441</v>
      </c>
      <c r="C875" s="31" t="s">
        <v>442</v>
      </c>
      <c r="D875" s="31" t="s">
        <v>410</v>
      </c>
      <c r="E875" s="25">
        <v>45378</v>
      </c>
      <c r="F875" s="26" t="s">
        <v>1</v>
      </c>
    </row>
    <row r="876" spans="1:6" ht="16.8" customHeight="1" x14ac:dyDescent="0.3">
      <c r="A876" s="20">
        <v>42473</v>
      </c>
      <c r="B876" s="31"/>
      <c r="C876" s="31"/>
      <c r="D876" s="31"/>
      <c r="E876" s="25"/>
      <c r="F876" s="26"/>
    </row>
    <row r="877" spans="1:6" ht="16.8" customHeight="1" x14ac:dyDescent="0.3">
      <c r="A877" s="20">
        <v>42474</v>
      </c>
      <c r="B877" s="31"/>
      <c r="C877" s="31"/>
      <c r="D877" s="31"/>
      <c r="E877" s="25"/>
      <c r="F877" s="26"/>
    </row>
    <row r="878" spans="1:6" ht="16.8" customHeight="1" x14ac:dyDescent="0.3">
      <c r="A878" s="20">
        <v>42475</v>
      </c>
      <c r="B878" s="32"/>
      <c r="C878" s="35"/>
      <c r="D878" s="35"/>
      <c r="E878" s="27"/>
      <c r="F878" s="26"/>
    </row>
    <row r="879" spans="1:6" ht="16.8" customHeight="1" x14ac:dyDescent="0.3">
      <c r="A879" s="20">
        <v>42476</v>
      </c>
      <c r="B879" s="31" t="s">
        <v>10</v>
      </c>
      <c r="C879" s="31"/>
      <c r="D879" s="31"/>
      <c r="E879" s="25"/>
      <c r="F879" s="26"/>
    </row>
    <row r="880" spans="1:6" ht="16.8" customHeight="1" x14ac:dyDescent="0.3">
      <c r="A880" s="20">
        <v>42477</v>
      </c>
      <c r="B880" s="31"/>
      <c r="C880" s="31"/>
      <c r="D880" s="31"/>
      <c r="E880" s="25"/>
      <c r="F880" s="26"/>
    </row>
    <row r="881" spans="1:6" ht="16.8" customHeight="1" x14ac:dyDescent="0.3">
      <c r="A881" s="20">
        <v>42478</v>
      </c>
      <c r="B881" s="31"/>
      <c r="C881" s="31"/>
      <c r="D881" s="31"/>
      <c r="E881" s="25"/>
      <c r="F881" s="26"/>
    </row>
    <row r="882" spans="1:6" ht="16.8" customHeight="1" x14ac:dyDescent="0.3">
      <c r="A882" s="20">
        <v>42479</v>
      </c>
      <c r="B882" s="31"/>
      <c r="C882" s="31"/>
      <c r="D882" s="31"/>
      <c r="E882" s="25"/>
      <c r="F882" s="26"/>
    </row>
    <row r="883" spans="1:6" ht="16.8" customHeight="1" x14ac:dyDescent="0.3">
      <c r="A883" s="20">
        <v>42480</v>
      </c>
      <c r="B883" s="31"/>
      <c r="C883" s="31"/>
      <c r="D883" s="31"/>
      <c r="E883" s="25"/>
      <c r="F883" s="26"/>
    </row>
    <row r="884" spans="1:6" ht="16.8" customHeight="1" x14ac:dyDescent="0.3">
      <c r="A884" s="20">
        <v>42481</v>
      </c>
      <c r="B884" s="31"/>
      <c r="C884" s="31"/>
      <c r="D884" s="31"/>
      <c r="E884" s="25"/>
      <c r="F884" s="26"/>
    </row>
    <row r="885" spans="1:6" ht="16.8" customHeight="1" x14ac:dyDescent="0.3">
      <c r="A885" s="20">
        <v>42482</v>
      </c>
      <c r="B885" s="31"/>
      <c r="C885" s="31"/>
      <c r="D885" s="31"/>
      <c r="E885" s="25"/>
      <c r="F885" s="26"/>
    </row>
    <row r="886" spans="1:6" ht="16.8" customHeight="1" x14ac:dyDescent="0.3">
      <c r="A886" s="20">
        <v>42483</v>
      </c>
      <c r="B886" s="31"/>
      <c r="C886" s="31"/>
      <c r="D886" s="31"/>
      <c r="E886" s="25"/>
      <c r="F886" s="26"/>
    </row>
    <row r="887" spans="1:6" ht="16.8" customHeight="1" x14ac:dyDescent="0.3">
      <c r="A887" s="20">
        <v>42484</v>
      </c>
      <c r="B887" s="31"/>
      <c r="C887" s="31"/>
      <c r="D887" s="31"/>
      <c r="E887" s="25"/>
      <c r="F887" s="26"/>
    </row>
    <row r="888" spans="1:6" ht="16.8" customHeight="1" x14ac:dyDescent="0.3">
      <c r="A888" s="20">
        <v>42485</v>
      </c>
      <c r="B888" s="31" t="s">
        <v>41</v>
      </c>
      <c r="C888" s="31" t="s">
        <v>181</v>
      </c>
      <c r="D888" s="31" t="s">
        <v>183</v>
      </c>
      <c r="E888" s="25">
        <v>45530.532835648148</v>
      </c>
      <c r="F888" s="26" t="s">
        <v>4</v>
      </c>
    </row>
    <row r="889" spans="1:6" ht="16.8" customHeight="1" x14ac:dyDescent="0.3">
      <c r="A889" s="20">
        <v>42486</v>
      </c>
      <c r="B889" s="31"/>
      <c r="C889" s="31"/>
      <c r="D889" s="31"/>
      <c r="E889" s="25"/>
      <c r="F889" s="26"/>
    </row>
    <row r="890" spans="1:6" ht="16.8" customHeight="1" x14ac:dyDescent="0.3">
      <c r="A890" s="20">
        <v>42487</v>
      </c>
      <c r="B890" s="31"/>
      <c r="C890" s="31"/>
      <c r="D890" s="31"/>
      <c r="E890" s="25"/>
      <c r="F890" s="26"/>
    </row>
    <row r="891" spans="1:6" ht="16.8" customHeight="1" x14ac:dyDescent="0.3">
      <c r="A891" s="20">
        <v>42488</v>
      </c>
      <c r="B891" s="31"/>
      <c r="C891" s="31"/>
      <c r="D891" s="31"/>
      <c r="E891" s="25"/>
      <c r="F891" s="26"/>
    </row>
    <row r="892" spans="1:6" ht="16.8" customHeight="1" x14ac:dyDescent="0.3">
      <c r="A892" s="20">
        <v>42489</v>
      </c>
      <c r="B892" s="31"/>
      <c r="C892" s="31"/>
      <c r="D892" s="31"/>
      <c r="E892" s="25"/>
      <c r="F892" s="26"/>
    </row>
    <row r="893" spans="1:6" ht="16.8" customHeight="1" x14ac:dyDescent="0.3">
      <c r="A893" s="20">
        <v>42490</v>
      </c>
      <c r="B893" s="31" t="s">
        <v>443</v>
      </c>
      <c r="C893" s="31" t="s">
        <v>444</v>
      </c>
      <c r="D893" s="31" t="s">
        <v>445</v>
      </c>
      <c r="E893" s="25">
        <v>45407</v>
      </c>
      <c r="F893" s="26" t="s">
        <v>1</v>
      </c>
    </row>
    <row r="894" spans="1:6" ht="16.8" customHeight="1" x14ac:dyDescent="0.3">
      <c r="A894" s="20">
        <v>42491</v>
      </c>
      <c r="B894" s="31"/>
      <c r="C894" s="31"/>
      <c r="D894" s="31"/>
      <c r="E894" s="25"/>
      <c r="F894" s="26"/>
    </row>
    <row r="895" spans="1:6" ht="16.8" customHeight="1" x14ac:dyDescent="0.3">
      <c r="A895" s="20">
        <v>42492</v>
      </c>
      <c r="B895" s="31"/>
      <c r="C895" s="31"/>
      <c r="D895" s="31"/>
      <c r="E895" s="25"/>
      <c r="F895" s="26"/>
    </row>
    <row r="896" spans="1:6" ht="16.8" customHeight="1" x14ac:dyDescent="0.3">
      <c r="A896" s="20">
        <v>42493</v>
      </c>
      <c r="B896" s="31"/>
      <c r="C896" s="31"/>
      <c r="D896" s="31"/>
      <c r="E896" s="25"/>
      <c r="F896" s="26"/>
    </row>
    <row r="897" spans="1:6" ht="16.8" customHeight="1" x14ac:dyDescent="0.3">
      <c r="A897" s="20">
        <v>42494</v>
      </c>
      <c r="B897" s="31"/>
      <c r="C897" s="31"/>
      <c r="D897" s="31"/>
      <c r="E897" s="25"/>
      <c r="F897" s="26"/>
    </row>
    <row r="898" spans="1:6" ht="16.8" customHeight="1" x14ac:dyDescent="0.3">
      <c r="A898" s="20">
        <v>42495</v>
      </c>
      <c r="B898" s="31"/>
      <c r="C898" s="31"/>
      <c r="D898" s="31"/>
      <c r="E898" s="25"/>
      <c r="F898" s="26"/>
    </row>
    <row r="899" spans="1:6" ht="16.8" customHeight="1" x14ac:dyDescent="0.3">
      <c r="A899" s="20">
        <v>42496</v>
      </c>
      <c r="B899" s="31"/>
      <c r="C899" s="31"/>
      <c r="D899" s="31"/>
      <c r="E899" s="25"/>
      <c r="F899" s="26"/>
    </row>
    <row r="900" spans="1:6" ht="16.8" customHeight="1" x14ac:dyDescent="0.3">
      <c r="A900" s="20">
        <v>42497</v>
      </c>
      <c r="B900" s="31"/>
      <c r="C900" s="31"/>
      <c r="D900" s="31"/>
      <c r="E900" s="25"/>
      <c r="F900" s="26"/>
    </row>
    <row r="901" spans="1:6" ht="16.8" customHeight="1" x14ac:dyDescent="0.3">
      <c r="A901" s="20">
        <v>42498</v>
      </c>
      <c r="B901" s="31"/>
      <c r="C901" s="31"/>
      <c r="D901" s="31"/>
      <c r="E901" s="25"/>
      <c r="F901" s="26"/>
    </row>
    <row r="902" spans="1:6" ht="16.8" customHeight="1" x14ac:dyDescent="0.3">
      <c r="A902" s="20">
        <v>42499</v>
      </c>
      <c r="B902" s="31"/>
      <c r="C902" s="31"/>
      <c r="D902" s="31"/>
      <c r="E902" s="25"/>
      <c r="F902" s="26"/>
    </row>
    <row r="903" spans="1:6" ht="16.8" customHeight="1" x14ac:dyDescent="0.3">
      <c r="A903" s="20">
        <v>42500</v>
      </c>
      <c r="B903" s="31"/>
      <c r="C903" s="31"/>
      <c r="D903" s="31"/>
      <c r="E903" s="25"/>
      <c r="F903" s="26"/>
    </row>
    <row r="904" spans="1:6" ht="16.8" customHeight="1" x14ac:dyDescent="0.3">
      <c r="A904" s="20">
        <v>42501</v>
      </c>
      <c r="B904" s="31"/>
      <c r="C904" s="31"/>
      <c r="D904" s="31"/>
      <c r="E904" s="25"/>
      <c r="F904" s="26"/>
    </row>
    <row r="905" spans="1:6" ht="16.8" customHeight="1" x14ac:dyDescent="0.3">
      <c r="A905" s="20">
        <v>42502</v>
      </c>
      <c r="B905" s="31"/>
      <c r="C905" s="31"/>
      <c r="D905" s="31"/>
      <c r="E905" s="25"/>
      <c r="F905" s="26"/>
    </row>
    <row r="906" spans="1:6" ht="16.8" customHeight="1" x14ac:dyDescent="0.3">
      <c r="A906" s="20">
        <v>42503</v>
      </c>
      <c r="B906" s="31"/>
      <c r="C906" s="31"/>
      <c r="D906" s="31"/>
      <c r="E906" s="25"/>
      <c r="F906" s="26"/>
    </row>
    <row r="907" spans="1:6" ht="16.8" customHeight="1" x14ac:dyDescent="0.3">
      <c r="A907" s="20">
        <v>42504</v>
      </c>
      <c r="B907" s="31"/>
      <c r="C907" s="31"/>
      <c r="D907" s="31"/>
      <c r="E907" s="25"/>
      <c r="F907" s="26"/>
    </row>
    <row r="908" spans="1:6" ht="16.8" customHeight="1" x14ac:dyDescent="0.3">
      <c r="A908" s="20">
        <v>42505</v>
      </c>
      <c r="B908" s="31"/>
      <c r="C908" s="31"/>
      <c r="D908" s="31"/>
      <c r="E908" s="25"/>
      <c r="F908" s="26"/>
    </row>
    <row r="909" spans="1:6" ht="16.8" customHeight="1" x14ac:dyDescent="0.3">
      <c r="A909" s="20">
        <v>42506</v>
      </c>
      <c r="B909" s="31"/>
      <c r="C909" s="31"/>
      <c r="D909" s="31"/>
      <c r="E909" s="25"/>
      <c r="F909" s="26"/>
    </row>
    <row r="910" spans="1:6" ht="16.8" customHeight="1" x14ac:dyDescent="0.3">
      <c r="A910" s="20">
        <v>42507</v>
      </c>
      <c r="B910" s="31"/>
      <c r="C910" s="31"/>
      <c r="D910" s="31"/>
      <c r="E910" s="25"/>
      <c r="F910" s="26"/>
    </row>
    <row r="911" spans="1:6" ht="16.8" customHeight="1" x14ac:dyDescent="0.3">
      <c r="A911" s="20">
        <v>42508</v>
      </c>
      <c r="B911" s="31"/>
      <c r="C911" s="31"/>
      <c r="D911" s="31"/>
      <c r="E911" s="25"/>
      <c r="F911" s="26"/>
    </row>
    <row r="912" spans="1:6" ht="16.8" customHeight="1" x14ac:dyDescent="0.3">
      <c r="A912" s="20">
        <v>42509</v>
      </c>
      <c r="B912" s="31"/>
      <c r="C912" s="31"/>
      <c r="D912" s="31"/>
      <c r="E912" s="25"/>
      <c r="F912" s="26"/>
    </row>
    <row r="913" spans="1:6" ht="16.8" customHeight="1" x14ac:dyDescent="0.3">
      <c r="A913" s="20">
        <v>42510</v>
      </c>
      <c r="B913" s="31"/>
      <c r="C913" s="31"/>
      <c r="D913" s="31"/>
      <c r="E913" s="25"/>
      <c r="F913" s="26"/>
    </row>
    <row r="914" spans="1:6" ht="16.8" customHeight="1" x14ac:dyDescent="0.3">
      <c r="A914" s="20">
        <v>42511</v>
      </c>
      <c r="B914" s="31"/>
      <c r="C914" s="31"/>
      <c r="D914" s="31"/>
      <c r="E914" s="25"/>
      <c r="F914" s="26"/>
    </row>
    <row r="915" spans="1:6" ht="16.8" customHeight="1" x14ac:dyDescent="0.3">
      <c r="A915" s="20">
        <v>42512</v>
      </c>
      <c r="B915" s="31"/>
      <c r="C915" s="31"/>
      <c r="D915" s="31"/>
      <c r="E915" s="25"/>
      <c r="F915" s="26"/>
    </row>
    <row r="916" spans="1:6" ht="16.8" customHeight="1" x14ac:dyDescent="0.3">
      <c r="A916" s="20">
        <v>42513</v>
      </c>
      <c r="B916" s="31"/>
      <c r="C916" s="31"/>
      <c r="D916" s="31"/>
      <c r="E916" s="25"/>
      <c r="F916" s="26"/>
    </row>
    <row r="917" spans="1:6" ht="16.8" customHeight="1" x14ac:dyDescent="0.3">
      <c r="A917" s="20">
        <v>42514</v>
      </c>
      <c r="B917" s="31"/>
      <c r="C917" s="31"/>
      <c r="D917" s="31"/>
      <c r="E917" s="25"/>
      <c r="F917" s="26"/>
    </row>
    <row r="918" spans="1:6" ht="16.8" customHeight="1" x14ac:dyDescent="0.3">
      <c r="A918" s="20">
        <v>42515</v>
      </c>
      <c r="B918" s="31"/>
      <c r="C918" s="31"/>
      <c r="D918" s="31"/>
      <c r="E918" s="25"/>
      <c r="F918" s="26"/>
    </row>
    <row r="919" spans="1:6" ht="16.8" customHeight="1" x14ac:dyDescent="0.3">
      <c r="A919" s="20">
        <v>42516</v>
      </c>
      <c r="B919" s="31"/>
      <c r="C919" s="31"/>
      <c r="D919" s="31"/>
      <c r="E919" s="25"/>
      <c r="F919" s="26"/>
    </row>
    <row r="920" spans="1:6" ht="16.8" customHeight="1" x14ac:dyDescent="0.3">
      <c r="A920" s="20">
        <v>42517</v>
      </c>
      <c r="B920" s="31"/>
      <c r="C920" s="31"/>
      <c r="D920" s="31"/>
      <c r="E920" s="25"/>
      <c r="F920" s="26"/>
    </row>
    <row r="921" spans="1:6" ht="16.8" customHeight="1" x14ac:dyDescent="0.3">
      <c r="A921" s="20">
        <v>42518</v>
      </c>
      <c r="B921" s="31"/>
      <c r="C921" s="31"/>
      <c r="D921" s="31"/>
      <c r="E921" s="25"/>
      <c r="F921" s="26"/>
    </row>
    <row r="922" spans="1:6" ht="16.8" customHeight="1" x14ac:dyDescent="0.3">
      <c r="A922" s="20">
        <v>42519</v>
      </c>
      <c r="B922" s="31"/>
      <c r="C922" s="31"/>
      <c r="D922" s="31"/>
      <c r="E922" s="25"/>
      <c r="F922" s="26"/>
    </row>
    <row r="923" spans="1:6" ht="16.8" customHeight="1" x14ac:dyDescent="0.3">
      <c r="A923" s="20">
        <v>42520</v>
      </c>
      <c r="B923" s="31"/>
      <c r="C923" s="31"/>
      <c r="D923" s="31"/>
      <c r="E923" s="25"/>
      <c r="F923" s="26"/>
    </row>
    <row r="924" spans="1:6" ht="16.8" customHeight="1" x14ac:dyDescent="0.3">
      <c r="A924" s="20">
        <v>42521</v>
      </c>
      <c r="B924" s="31"/>
      <c r="C924" s="31"/>
      <c r="D924" s="31"/>
      <c r="E924" s="25"/>
      <c r="F924" s="26"/>
    </row>
    <row r="925" spans="1:6" ht="16.8" customHeight="1" x14ac:dyDescent="0.3">
      <c r="A925" s="20">
        <v>42522</v>
      </c>
      <c r="B925" s="31"/>
      <c r="C925" s="31"/>
      <c r="D925" s="31"/>
      <c r="E925" s="25"/>
      <c r="F925" s="26"/>
    </row>
    <row r="926" spans="1:6" ht="16.8" customHeight="1" x14ac:dyDescent="0.3">
      <c r="A926" s="20">
        <v>42523</v>
      </c>
      <c r="B926" s="31"/>
      <c r="C926" s="31"/>
      <c r="D926" s="31"/>
      <c r="E926" s="25"/>
      <c r="F926" s="26"/>
    </row>
    <row r="927" spans="1:6" ht="16.8" customHeight="1" x14ac:dyDescent="0.3">
      <c r="A927" s="20">
        <v>42524</v>
      </c>
      <c r="B927" s="31"/>
      <c r="C927" s="31"/>
      <c r="D927" s="31"/>
      <c r="E927" s="25"/>
      <c r="F927" s="26"/>
    </row>
    <row r="928" spans="1:6" ht="16.8" customHeight="1" x14ac:dyDescent="0.3">
      <c r="A928" s="20">
        <v>42525</v>
      </c>
      <c r="B928" s="31"/>
      <c r="C928" s="31"/>
      <c r="D928" s="31"/>
      <c r="E928" s="25"/>
      <c r="F928" s="26"/>
    </row>
    <row r="929" spans="1:6" ht="16.8" customHeight="1" x14ac:dyDescent="0.3">
      <c r="A929" s="20">
        <v>42526</v>
      </c>
      <c r="B929" s="31"/>
      <c r="C929" s="31"/>
      <c r="D929" s="31"/>
      <c r="E929" s="25"/>
      <c r="F929" s="26"/>
    </row>
    <row r="930" spans="1:6" ht="16.8" customHeight="1" x14ac:dyDescent="0.3">
      <c r="A930" s="20">
        <v>42527</v>
      </c>
      <c r="B930" s="31"/>
      <c r="C930" s="31"/>
      <c r="D930" s="31"/>
      <c r="E930" s="25"/>
      <c r="F930" s="26"/>
    </row>
    <row r="931" spans="1:6" ht="16.8" customHeight="1" x14ac:dyDescent="0.3">
      <c r="A931" s="20">
        <v>42528</v>
      </c>
      <c r="B931" s="31"/>
      <c r="C931" s="31"/>
      <c r="D931" s="31"/>
      <c r="E931" s="25"/>
      <c r="F931" s="26"/>
    </row>
    <row r="932" spans="1:6" ht="16.8" customHeight="1" x14ac:dyDescent="0.3">
      <c r="A932" s="20">
        <v>42529</v>
      </c>
      <c r="B932" s="31"/>
      <c r="C932" s="31"/>
      <c r="D932" s="31"/>
      <c r="E932" s="25"/>
      <c r="F932" s="26"/>
    </row>
    <row r="933" spans="1:6" ht="16.8" customHeight="1" x14ac:dyDescent="0.3">
      <c r="A933" s="20">
        <v>42530</v>
      </c>
      <c r="B933" s="31"/>
      <c r="C933" s="31"/>
      <c r="D933" s="31"/>
      <c r="E933" s="25"/>
      <c r="F933" s="26"/>
    </row>
    <row r="934" spans="1:6" ht="16.8" customHeight="1" x14ac:dyDescent="0.3">
      <c r="A934" s="20">
        <v>42531</v>
      </c>
      <c r="B934" s="31"/>
      <c r="C934" s="31"/>
      <c r="D934" s="31"/>
      <c r="E934" s="25"/>
      <c r="F934" s="26"/>
    </row>
    <row r="935" spans="1:6" ht="16.8" customHeight="1" x14ac:dyDescent="0.3">
      <c r="A935" s="20">
        <v>42532</v>
      </c>
      <c r="B935" s="31"/>
      <c r="C935" s="31"/>
      <c r="D935" s="31"/>
      <c r="E935" s="25"/>
      <c r="F935" s="26"/>
    </row>
    <row r="936" spans="1:6" ht="16.8" customHeight="1" x14ac:dyDescent="0.3">
      <c r="A936" s="20">
        <v>42533</v>
      </c>
      <c r="B936" s="31"/>
      <c r="C936" s="31"/>
      <c r="D936" s="31"/>
      <c r="E936" s="25"/>
      <c r="F936" s="26"/>
    </row>
    <row r="937" spans="1:6" ht="16.8" customHeight="1" x14ac:dyDescent="0.3">
      <c r="A937" s="20">
        <v>42534</v>
      </c>
      <c r="B937" s="31"/>
      <c r="C937" s="31"/>
      <c r="D937" s="31"/>
      <c r="E937" s="25"/>
      <c r="F937" s="26"/>
    </row>
    <row r="938" spans="1:6" ht="16.8" customHeight="1" x14ac:dyDescent="0.3">
      <c r="A938" s="20">
        <v>42535</v>
      </c>
      <c r="B938" s="31"/>
      <c r="C938" s="31"/>
      <c r="D938" s="31"/>
      <c r="E938" s="25"/>
      <c r="F938" s="26"/>
    </row>
    <row r="939" spans="1:6" ht="16.8" customHeight="1" x14ac:dyDescent="0.3">
      <c r="A939" s="20">
        <v>42536</v>
      </c>
      <c r="B939" s="31" t="s">
        <v>446</v>
      </c>
      <c r="C939" s="31" t="s">
        <v>75</v>
      </c>
      <c r="D939" s="31" t="s">
        <v>121</v>
      </c>
      <c r="E939" s="25">
        <v>45554</v>
      </c>
      <c r="F939" s="26" t="s">
        <v>4</v>
      </c>
    </row>
    <row r="940" spans="1:6" ht="16.8" customHeight="1" x14ac:dyDescent="0.3">
      <c r="A940" s="20">
        <v>42537</v>
      </c>
      <c r="B940" s="31"/>
      <c r="C940" s="31"/>
      <c r="D940" s="31"/>
      <c r="E940" s="25"/>
      <c r="F940" s="26"/>
    </row>
    <row r="941" spans="1:6" ht="16.8" customHeight="1" x14ac:dyDescent="0.3">
      <c r="A941" s="20">
        <v>42538</v>
      </c>
      <c r="B941" s="31"/>
      <c r="C941" s="31"/>
      <c r="D941" s="31"/>
      <c r="E941" s="25"/>
      <c r="F941" s="26"/>
    </row>
    <row r="942" spans="1:6" ht="16.8" customHeight="1" x14ac:dyDescent="0.3">
      <c r="A942" s="20">
        <v>42539</v>
      </c>
      <c r="B942" s="31"/>
      <c r="C942" s="31"/>
      <c r="D942" s="31"/>
      <c r="E942" s="25"/>
      <c r="F942" s="26"/>
    </row>
    <row r="943" spans="1:6" ht="16.8" customHeight="1" x14ac:dyDescent="0.3">
      <c r="A943" s="20">
        <v>42540</v>
      </c>
      <c r="B943" s="31"/>
      <c r="C943" s="31"/>
      <c r="D943" s="31"/>
      <c r="E943" s="25"/>
      <c r="F943" s="26"/>
    </row>
    <row r="944" spans="1:6" ht="16.8" customHeight="1" x14ac:dyDescent="0.3">
      <c r="A944" s="20">
        <v>42541</v>
      </c>
      <c r="B944" s="31"/>
      <c r="C944" s="31"/>
      <c r="D944" s="31"/>
      <c r="E944" s="25"/>
      <c r="F944" s="26"/>
    </row>
    <row r="945" spans="1:6" ht="16.8" customHeight="1" x14ac:dyDescent="0.3">
      <c r="A945" s="20">
        <v>42542</v>
      </c>
      <c r="B945" s="31" t="s">
        <v>41</v>
      </c>
      <c r="C945" s="31" t="s">
        <v>447</v>
      </c>
      <c r="D945" s="31" t="s">
        <v>98</v>
      </c>
      <c r="E945" s="25">
        <v>45554</v>
      </c>
      <c r="F945" s="26" t="s">
        <v>4</v>
      </c>
    </row>
    <row r="946" spans="1:6" ht="16.8" customHeight="1" x14ac:dyDescent="0.3">
      <c r="A946" s="20">
        <v>42543</v>
      </c>
      <c r="B946" s="31"/>
      <c r="C946" s="31"/>
      <c r="D946" s="31"/>
      <c r="E946" s="25"/>
      <c r="F946" s="26"/>
    </row>
    <row r="947" spans="1:6" ht="16.8" customHeight="1" x14ac:dyDescent="0.3">
      <c r="A947" s="20">
        <v>42544</v>
      </c>
      <c r="B947" s="31"/>
      <c r="C947" s="31"/>
      <c r="D947" s="31"/>
      <c r="E947" s="25"/>
      <c r="F947" s="26"/>
    </row>
    <row r="948" spans="1:6" ht="16.8" customHeight="1" x14ac:dyDescent="0.3">
      <c r="A948" s="20">
        <v>42545</v>
      </c>
      <c r="B948" s="31"/>
      <c r="C948" s="31"/>
      <c r="D948" s="31"/>
      <c r="E948" s="25"/>
      <c r="F948" s="26"/>
    </row>
    <row r="949" spans="1:6" ht="16.8" customHeight="1" x14ac:dyDescent="0.3">
      <c r="A949" s="20">
        <v>42546</v>
      </c>
      <c r="B949" s="31"/>
      <c r="C949" s="31"/>
      <c r="D949" s="31"/>
      <c r="E949" s="25"/>
      <c r="F949" s="26"/>
    </row>
    <row r="950" spans="1:6" ht="16.8" customHeight="1" x14ac:dyDescent="0.3">
      <c r="A950" s="20">
        <v>42547</v>
      </c>
      <c r="B950" s="31"/>
      <c r="C950" s="31"/>
      <c r="D950" s="31"/>
      <c r="E950" s="25"/>
      <c r="F950" s="26"/>
    </row>
    <row r="951" spans="1:6" ht="16.8" customHeight="1" x14ac:dyDescent="0.3">
      <c r="A951" s="20">
        <v>42548</v>
      </c>
      <c r="B951" s="31"/>
      <c r="C951" s="31"/>
      <c r="D951" s="31"/>
      <c r="E951" s="25"/>
      <c r="F951" s="26"/>
    </row>
    <row r="952" spans="1:6" ht="16.8" customHeight="1" x14ac:dyDescent="0.3">
      <c r="A952" s="20">
        <v>42549</v>
      </c>
      <c r="B952" s="31"/>
      <c r="C952" s="31"/>
      <c r="D952" s="31"/>
      <c r="E952" s="25"/>
      <c r="F952" s="26"/>
    </row>
    <row r="953" spans="1:6" ht="16.8" customHeight="1" x14ac:dyDescent="0.3">
      <c r="A953" s="20">
        <v>42550</v>
      </c>
      <c r="B953" s="31"/>
      <c r="C953" s="31"/>
      <c r="D953" s="31"/>
      <c r="E953" s="25"/>
      <c r="F953" s="26"/>
    </row>
    <row r="954" spans="1:6" ht="16.8" customHeight="1" x14ac:dyDescent="0.3">
      <c r="A954" s="20">
        <v>42551</v>
      </c>
      <c r="B954" s="31"/>
      <c r="C954" s="31"/>
      <c r="D954" s="31"/>
      <c r="E954" s="25"/>
      <c r="F954" s="26"/>
    </row>
    <row r="955" spans="1:6" ht="16.8" customHeight="1" x14ac:dyDescent="0.3">
      <c r="A955" s="20">
        <v>42552</v>
      </c>
      <c r="B955" s="31" t="s">
        <v>448</v>
      </c>
      <c r="C955" s="31" t="s">
        <v>133</v>
      </c>
      <c r="D955" s="31" t="s">
        <v>449</v>
      </c>
      <c r="E955" s="25">
        <v>45587</v>
      </c>
      <c r="F955" s="26" t="s">
        <v>1</v>
      </c>
    </row>
    <row r="956" spans="1:6" ht="16.8" customHeight="1" x14ac:dyDescent="0.3">
      <c r="A956" s="20">
        <v>42553</v>
      </c>
      <c r="B956" s="31"/>
      <c r="C956" s="31"/>
      <c r="D956" s="31"/>
      <c r="E956" s="25"/>
      <c r="F956" s="26"/>
    </row>
    <row r="957" spans="1:6" ht="16.8" customHeight="1" x14ac:dyDescent="0.3">
      <c r="A957" s="20">
        <v>42554</v>
      </c>
      <c r="B957" s="31"/>
      <c r="C957" s="31"/>
      <c r="D957" s="31"/>
      <c r="E957" s="25"/>
      <c r="F957" s="26"/>
    </row>
    <row r="958" spans="1:6" ht="16.8" customHeight="1" x14ac:dyDescent="0.3">
      <c r="A958" s="20">
        <v>42555</v>
      </c>
      <c r="B958" s="31"/>
      <c r="C958" s="31"/>
      <c r="D958" s="31"/>
      <c r="E958" s="25"/>
      <c r="F958" s="26"/>
    </row>
    <row r="959" spans="1:6" ht="16.8" customHeight="1" x14ac:dyDescent="0.3">
      <c r="A959" s="20">
        <v>42556</v>
      </c>
      <c r="B959" s="31"/>
      <c r="C959" s="31"/>
      <c r="D959" s="31"/>
      <c r="E959" s="25"/>
      <c r="F959" s="26"/>
    </row>
    <row r="960" spans="1:6" ht="16.8" customHeight="1" x14ac:dyDescent="0.3">
      <c r="A960" s="20">
        <v>42557</v>
      </c>
      <c r="B960" s="31"/>
      <c r="C960" s="31"/>
      <c r="D960" s="31"/>
      <c r="E960" s="25"/>
      <c r="F960" s="26"/>
    </row>
    <row r="961" spans="1:6" ht="16.8" customHeight="1" x14ac:dyDescent="0.3">
      <c r="A961" s="20">
        <v>42558</v>
      </c>
      <c r="B961" s="31"/>
      <c r="C961" s="31"/>
      <c r="D961" s="31"/>
      <c r="E961" s="25"/>
      <c r="F961" s="26"/>
    </row>
    <row r="962" spans="1:6" ht="16.8" customHeight="1" x14ac:dyDescent="0.3">
      <c r="A962" s="20">
        <v>42559</v>
      </c>
      <c r="B962" s="31"/>
      <c r="C962" s="31"/>
      <c r="D962" s="31"/>
      <c r="E962" s="25"/>
      <c r="F962" s="26"/>
    </row>
    <row r="963" spans="1:6" ht="16.8" customHeight="1" x14ac:dyDescent="0.3">
      <c r="A963" s="20">
        <v>42560</v>
      </c>
      <c r="B963" s="31" t="s">
        <v>41</v>
      </c>
      <c r="C963" s="31" t="s">
        <v>156</v>
      </c>
      <c r="D963" s="31" t="s">
        <v>415</v>
      </c>
      <c r="E963" s="25">
        <v>45559</v>
      </c>
      <c r="F963" s="26" t="s">
        <v>4</v>
      </c>
    </row>
    <row r="964" spans="1:6" ht="16.8" customHeight="1" x14ac:dyDescent="0.3">
      <c r="A964" s="20">
        <v>42561</v>
      </c>
      <c r="B964" s="31"/>
      <c r="C964" s="31"/>
      <c r="D964" s="31"/>
      <c r="E964" s="25"/>
      <c r="F964" s="26"/>
    </row>
    <row r="965" spans="1:6" ht="16.8" customHeight="1" x14ac:dyDescent="0.3">
      <c r="A965" s="20">
        <v>42562</v>
      </c>
      <c r="B965" s="31"/>
      <c r="C965" s="31"/>
      <c r="D965" s="31"/>
      <c r="E965" s="25"/>
      <c r="F965" s="26"/>
    </row>
    <row r="966" spans="1:6" ht="16.8" customHeight="1" x14ac:dyDescent="0.3">
      <c r="A966" s="20">
        <v>42563</v>
      </c>
      <c r="B966" s="31"/>
      <c r="C966" s="31"/>
      <c r="D966" s="31"/>
      <c r="E966" s="25"/>
      <c r="F966" s="26"/>
    </row>
    <row r="967" spans="1:6" ht="16.8" customHeight="1" x14ac:dyDescent="0.3">
      <c r="A967" s="20">
        <v>42564</v>
      </c>
      <c r="B967" s="31"/>
      <c r="C967" s="31"/>
      <c r="D967" s="31"/>
      <c r="E967" s="25"/>
      <c r="F967" s="26"/>
    </row>
    <row r="968" spans="1:6" ht="16.8" customHeight="1" x14ac:dyDescent="0.3">
      <c r="A968" s="20">
        <v>42565</v>
      </c>
      <c r="B968" s="31"/>
      <c r="C968" s="31"/>
      <c r="D968" s="31"/>
      <c r="E968" s="25"/>
      <c r="F968" s="26"/>
    </row>
    <row r="969" spans="1:6" ht="16.8" customHeight="1" x14ac:dyDescent="0.3">
      <c r="A969" s="20">
        <v>42566</v>
      </c>
      <c r="B969" s="31"/>
      <c r="C969" s="31"/>
      <c r="D969" s="31"/>
      <c r="E969" s="25"/>
      <c r="F969" s="26"/>
    </row>
    <row r="970" spans="1:6" ht="16.8" customHeight="1" x14ac:dyDescent="0.3">
      <c r="A970" s="20">
        <v>42567</v>
      </c>
      <c r="B970" s="31"/>
      <c r="C970" s="31"/>
      <c r="D970" s="31"/>
      <c r="E970" s="25"/>
      <c r="F970" s="26"/>
    </row>
    <row r="971" spans="1:6" ht="16.8" customHeight="1" x14ac:dyDescent="0.3">
      <c r="A971" s="20">
        <v>42568</v>
      </c>
      <c r="B971" s="31"/>
      <c r="C971" s="31"/>
      <c r="D971" s="31"/>
      <c r="E971" s="25"/>
      <c r="F971" s="26"/>
    </row>
    <row r="972" spans="1:6" ht="16.8" customHeight="1" x14ac:dyDescent="0.3">
      <c r="A972" s="20">
        <v>42569</v>
      </c>
      <c r="B972" s="31"/>
      <c r="C972" s="31"/>
      <c r="D972" s="31"/>
      <c r="E972" s="25"/>
      <c r="F972" s="26"/>
    </row>
    <row r="973" spans="1:6" ht="16.8" customHeight="1" x14ac:dyDescent="0.3">
      <c r="A973" s="20">
        <v>42570</v>
      </c>
      <c r="B973" s="31"/>
      <c r="C973" s="31"/>
      <c r="D973" s="31"/>
      <c r="E973" s="25"/>
      <c r="F973" s="26"/>
    </row>
    <row r="974" spans="1:6" ht="16.8" customHeight="1" x14ac:dyDescent="0.3">
      <c r="A974" s="20">
        <v>42571</v>
      </c>
      <c r="B974" s="31" t="s">
        <v>450</v>
      </c>
      <c r="C974" s="31" t="s">
        <v>133</v>
      </c>
      <c r="D974" s="31" t="s">
        <v>145</v>
      </c>
      <c r="E974" s="25">
        <v>45587</v>
      </c>
      <c r="F974" s="26" t="s">
        <v>1</v>
      </c>
    </row>
    <row r="975" spans="1:6" ht="16.8" customHeight="1" x14ac:dyDescent="0.3">
      <c r="A975" s="20">
        <v>42572</v>
      </c>
      <c r="B975" s="31"/>
      <c r="C975" s="31"/>
      <c r="D975" s="31"/>
      <c r="E975" s="25"/>
      <c r="F975" s="26"/>
    </row>
    <row r="976" spans="1:6" ht="16.8" customHeight="1" x14ac:dyDescent="0.3">
      <c r="A976" s="20">
        <v>42573</v>
      </c>
      <c r="B976" s="31"/>
      <c r="C976" s="31"/>
      <c r="D976" s="31"/>
      <c r="E976" s="25"/>
      <c r="F976" s="26"/>
    </row>
    <row r="977" spans="1:6" ht="16.8" customHeight="1" x14ac:dyDescent="0.3">
      <c r="A977" s="20">
        <v>42574</v>
      </c>
      <c r="B977" s="31"/>
      <c r="C977" s="31"/>
      <c r="D977" s="31"/>
      <c r="E977" s="25"/>
      <c r="F977" s="26"/>
    </row>
    <row r="978" spans="1:6" ht="16.8" customHeight="1" x14ac:dyDescent="0.3">
      <c r="A978" s="20">
        <v>42575</v>
      </c>
      <c r="B978" s="31"/>
      <c r="C978" s="31"/>
      <c r="D978" s="31"/>
      <c r="E978" s="25"/>
      <c r="F978" s="26"/>
    </row>
    <row r="979" spans="1:6" ht="16.8" customHeight="1" x14ac:dyDescent="0.3">
      <c r="A979" s="20">
        <v>42576</v>
      </c>
      <c r="B979" s="31"/>
      <c r="C979" s="31"/>
      <c r="D979" s="31"/>
      <c r="E979" s="25"/>
      <c r="F979" s="26"/>
    </row>
    <row r="980" spans="1:6" ht="16.8" customHeight="1" x14ac:dyDescent="0.3">
      <c r="A980" s="20">
        <v>42577</v>
      </c>
      <c r="B980" s="31"/>
      <c r="C980" s="31"/>
      <c r="D980" s="31"/>
      <c r="E980" s="25"/>
      <c r="F980" s="26"/>
    </row>
    <row r="981" spans="1:6" ht="16.8" customHeight="1" x14ac:dyDescent="0.3">
      <c r="A981" s="20">
        <v>42578</v>
      </c>
      <c r="B981" s="31"/>
      <c r="C981" s="31"/>
      <c r="D981" s="31"/>
      <c r="E981" s="25"/>
      <c r="F981" s="26"/>
    </row>
    <row r="982" spans="1:6" ht="16.8" customHeight="1" x14ac:dyDescent="0.3">
      <c r="A982" s="20">
        <v>42579</v>
      </c>
      <c r="B982" s="31"/>
      <c r="C982" s="31"/>
      <c r="D982" s="31"/>
      <c r="E982" s="25"/>
      <c r="F982" s="26"/>
    </row>
    <row r="983" spans="1:6" ht="16.8" customHeight="1" x14ac:dyDescent="0.3">
      <c r="A983" s="20">
        <v>42580</v>
      </c>
      <c r="B983" s="31"/>
      <c r="C983" s="31"/>
      <c r="D983" s="31"/>
      <c r="E983" s="25"/>
      <c r="F983" s="26"/>
    </row>
    <row r="984" spans="1:6" ht="16.8" customHeight="1" x14ac:dyDescent="0.3">
      <c r="A984" s="20">
        <v>42581</v>
      </c>
      <c r="B984" s="31"/>
      <c r="C984" s="31"/>
      <c r="D984" s="31"/>
      <c r="E984" s="25"/>
      <c r="F984" s="26"/>
    </row>
    <row r="985" spans="1:6" ht="16.8" customHeight="1" x14ac:dyDescent="0.3">
      <c r="A985" s="20">
        <v>42582</v>
      </c>
      <c r="B985" s="31"/>
      <c r="C985" s="31"/>
      <c r="D985" s="31"/>
      <c r="E985" s="25"/>
      <c r="F985" s="26"/>
    </row>
    <row r="986" spans="1:6" ht="16.8" customHeight="1" x14ac:dyDescent="0.3">
      <c r="A986" s="20">
        <v>42583</v>
      </c>
      <c r="B986" s="31"/>
      <c r="C986" s="31"/>
      <c r="D986" s="31"/>
      <c r="E986" s="25"/>
      <c r="F986" s="26"/>
    </row>
    <row r="987" spans="1:6" ht="16.8" customHeight="1" x14ac:dyDescent="0.3">
      <c r="A987" s="20">
        <v>42584</v>
      </c>
      <c r="B987" s="31"/>
      <c r="C987" s="31"/>
      <c r="D987" s="31"/>
      <c r="E987" s="25"/>
      <c r="F987" s="26"/>
    </row>
    <row r="988" spans="1:6" ht="16.8" customHeight="1" x14ac:dyDescent="0.3">
      <c r="A988" s="20">
        <v>42585</v>
      </c>
      <c r="B988" s="31"/>
      <c r="C988" s="31"/>
      <c r="D988" s="31"/>
      <c r="E988" s="25"/>
      <c r="F988" s="26"/>
    </row>
    <row r="989" spans="1:6" ht="16.8" customHeight="1" x14ac:dyDescent="0.3">
      <c r="A989" s="20">
        <v>42586</v>
      </c>
      <c r="B989" s="31"/>
      <c r="C989" s="31"/>
      <c r="D989" s="31"/>
      <c r="E989" s="25"/>
      <c r="F989" s="26"/>
    </row>
    <row r="990" spans="1:6" ht="16.8" customHeight="1" x14ac:dyDescent="0.3">
      <c r="A990" s="20">
        <v>42587</v>
      </c>
      <c r="B990" s="31"/>
      <c r="C990" s="31"/>
      <c r="D990" s="31"/>
      <c r="E990" s="25"/>
      <c r="F990" s="26"/>
    </row>
    <row r="991" spans="1:6" ht="16.8" customHeight="1" x14ac:dyDescent="0.3">
      <c r="A991" s="20">
        <v>42588</v>
      </c>
      <c r="B991" s="31"/>
      <c r="C991" s="31"/>
      <c r="D991" s="31"/>
      <c r="E991" s="25"/>
      <c r="F991" s="26"/>
    </row>
    <row r="992" spans="1:6" ht="16.8" customHeight="1" x14ac:dyDescent="0.3">
      <c r="A992" s="20">
        <v>42589</v>
      </c>
      <c r="B992" s="31"/>
      <c r="C992" s="31"/>
      <c r="D992" s="31"/>
      <c r="E992" s="25"/>
      <c r="F992" s="26"/>
    </row>
    <row r="993" spans="1:6" ht="16.8" customHeight="1" x14ac:dyDescent="0.3">
      <c r="A993" s="20">
        <v>42590</v>
      </c>
      <c r="B993" s="31"/>
      <c r="C993" s="31"/>
      <c r="D993" s="31"/>
      <c r="E993" s="25"/>
      <c r="F993" s="26"/>
    </row>
    <row r="994" spans="1:6" ht="16.8" customHeight="1" x14ac:dyDescent="0.3">
      <c r="A994" s="20">
        <v>42591</v>
      </c>
      <c r="B994" s="31"/>
      <c r="C994" s="31"/>
      <c r="D994" s="31"/>
      <c r="E994" s="25"/>
      <c r="F994" s="26"/>
    </row>
    <row r="995" spans="1:6" ht="16.8" customHeight="1" x14ac:dyDescent="0.3">
      <c r="A995" s="20">
        <v>42592</v>
      </c>
      <c r="B995" s="31"/>
      <c r="C995" s="31"/>
      <c r="D995" s="31"/>
      <c r="E995" s="25"/>
      <c r="F995" s="26"/>
    </row>
    <row r="996" spans="1:6" ht="16.8" customHeight="1" x14ac:dyDescent="0.3">
      <c r="A996" s="20">
        <v>42593</v>
      </c>
      <c r="B996" s="31"/>
      <c r="C996" s="31"/>
      <c r="D996" s="31"/>
      <c r="E996" s="25"/>
      <c r="F996" s="26"/>
    </row>
    <row r="997" spans="1:6" ht="16.8" customHeight="1" x14ac:dyDescent="0.3">
      <c r="A997" s="20">
        <v>42594</v>
      </c>
      <c r="B997" s="32"/>
      <c r="C997" s="35"/>
      <c r="D997" s="35"/>
      <c r="E997" s="27"/>
      <c r="F997" s="26"/>
    </row>
    <row r="998" spans="1:6" ht="16.8" customHeight="1" x14ac:dyDescent="0.3">
      <c r="A998" s="20">
        <v>42595</v>
      </c>
      <c r="B998" s="31" t="s">
        <v>10</v>
      </c>
      <c r="C998" s="31"/>
      <c r="D998" s="31"/>
      <c r="E998" s="25"/>
      <c r="F998" s="26"/>
    </row>
    <row r="999" spans="1:6" ht="16.8" customHeight="1" x14ac:dyDescent="0.3">
      <c r="A999" s="20">
        <v>42596</v>
      </c>
      <c r="B999" s="31"/>
      <c r="C999" s="31"/>
      <c r="D999" s="31"/>
      <c r="E999" s="25"/>
      <c r="F999" s="26"/>
    </row>
    <row r="1000" spans="1:6" ht="16.8" customHeight="1" x14ac:dyDescent="0.3">
      <c r="A1000" s="20">
        <v>42597</v>
      </c>
      <c r="B1000" s="31"/>
      <c r="C1000" s="31"/>
      <c r="D1000" s="31"/>
      <c r="E1000" s="25"/>
      <c r="F1000" s="26"/>
    </row>
    <row r="1001" spans="1:6" ht="16.8" customHeight="1" x14ac:dyDescent="0.3">
      <c r="A1001" s="20">
        <v>42598</v>
      </c>
      <c r="B1001" s="31"/>
      <c r="C1001" s="31"/>
      <c r="D1001" s="31"/>
      <c r="E1001" s="25"/>
      <c r="F1001" s="26"/>
    </row>
    <row r="1002" spans="1:6" ht="16.8" customHeight="1" x14ac:dyDescent="0.3">
      <c r="A1002" s="20">
        <v>42599</v>
      </c>
      <c r="B1002" s="31"/>
      <c r="C1002" s="31"/>
      <c r="D1002" s="31"/>
      <c r="E1002" s="25"/>
      <c r="F1002" s="26"/>
    </row>
    <row r="1003" spans="1:6" ht="16.8" customHeight="1" x14ac:dyDescent="0.3">
      <c r="A1003" s="20">
        <v>42600</v>
      </c>
      <c r="B1003" s="31"/>
      <c r="C1003" s="31"/>
      <c r="D1003" s="31"/>
      <c r="E1003" s="25"/>
      <c r="F1003" s="26"/>
    </row>
    <row r="1004" spans="1:6" ht="16.8" customHeight="1" x14ac:dyDescent="0.3">
      <c r="A1004" s="20">
        <v>42601</v>
      </c>
      <c r="B1004" s="31"/>
      <c r="C1004" s="31"/>
      <c r="D1004" s="31"/>
      <c r="E1004" s="25"/>
      <c r="F1004" s="26"/>
    </row>
    <row r="1005" spans="1:6" ht="16.8" customHeight="1" x14ac:dyDescent="0.3">
      <c r="A1005" s="20">
        <v>42602</v>
      </c>
      <c r="B1005" s="31"/>
      <c r="C1005" s="31"/>
      <c r="D1005" s="31"/>
      <c r="E1005" s="25"/>
      <c r="F1005" s="26"/>
    </row>
    <row r="1006" spans="1:6" ht="16.8" customHeight="1" x14ac:dyDescent="0.3">
      <c r="A1006" s="20">
        <v>42603</v>
      </c>
      <c r="B1006" s="31"/>
      <c r="C1006" s="31"/>
      <c r="D1006" s="31"/>
      <c r="E1006" s="25"/>
      <c r="F1006" s="26"/>
    </row>
    <row r="1007" spans="1:6" ht="16.8" customHeight="1" x14ac:dyDescent="0.3">
      <c r="A1007" s="20">
        <v>42604</v>
      </c>
      <c r="B1007" s="31"/>
      <c r="C1007" s="31"/>
      <c r="D1007" s="31"/>
      <c r="E1007" s="25"/>
      <c r="F1007" s="26"/>
    </row>
    <row r="1008" spans="1:6" ht="16.8" customHeight="1" x14ac:dyDescent="0.3">
      <c r="A1008" s="20">
        <v>42605</v>
      </c>
      <c r="B1008" s="31"/>
      <c r="C1008" s="31"/>
      <c r="D1008" s="31"/>
      <c r="E1008" s="25"/>
      <c r="F1008" s="26"/>
    </row>
    <row r="1009" spans="1:6" ht="16.8" customHeight="1" x14ac:dyDescent="0.3">
      <c r="A1009" s="20">
        <v>42606</v>
      </c>
      <c r="B1009" s="31"/>
      <c r="C1009" s="31"/>
      <c r="D1009" s="31"/>
      <c r="E1009" s="25"/>
      <c r="F1009" s="26"/>
    </row>
    <row r="1010" spans="1:6" ht="16.8" customHeight="1" x14ac:dyDescent="0.3">
      <c r="A1010" s="20">
        <v>42607</v>
      </c>
      <c r="B1010" s="31"/>
      <c r="C1010" s="31"/>
      <c r="D1010" s="31"/>
      <c r="E1010" s="25"/>
      <c r="F1010" s="26"/>
    </row>
    <row r="1011" spans="1:6" ht="16.8" customHeight="1" x14ac:dyDescent="0.3">
      <c r="A1011" s="20">
        <v>42608</v>
      </c>
      <c r="B1011" s="31"/>
      <c r="C1011" s="31"/>
      <c r="D1011" s="31"/>
      <c r="E1011" s="25"/>
      <c r="F1011" s="26"/>
    </row>
    <row r="1012" spans="1:6" ht="16.8" customHeight="1" x14ac:dyDescent="0.3">
      <c r="A1012" s="20">
        <v>42609</v>
      </c>
      <c r="B1012" s="31"/>
      <c r="C1012" s="31"/>
      <c r="D1012" s="31"/>
      <c r="E1012" s="25"/>
      <c r="F1012" s="26"/>
    </row>
    <row r="1013" spans="1:6" ht="16.8" customHeight="1" x14ac:dyDescent="0.3">
      <c r="A1013" s="20">
        <v>42610</v>
      </c>
      <c r="B1013" s="31"/>
      <c r="C1013" s="31"/>
      <c r="D1013" s="31"/>
      <c r="E1013" s="25"/>
      <c r="F1013" s="26"/>
    </row>
    <row r="1014" spans="1:6" ht="16.8" customHeight="1" x14ac:dyDescent="0.3">
      <c r="A1014" s="20">
        <v>42611</v>
      </c>
      <c r="B1014" s="31"/>
      <c r="C1014" s="31"/>
      <c r="D1014" s="31"/>
      <c r="E1014" s="25"/>
      <c r="F1014" s="26"/>
    </row>
    <row r="1015" spans="1:6" ht="16.8" customHeight="1" x14ac:dyDescent="0.3">
      <c r="A1015" s="20">
        <v>42612</v>
      </c>
      <c r="B1015" s="31"/>
      <c r="C1015" s="31"/>
      <c r="D1015" s="31"/>
      <c r="E1015" s="25"/>
      <c r="F1015" s="26"/>
    </row>
    <row r="1016" spans="1:6" ht="16.8" customHeight="1" x14ac:dyDescent="0.3">
      <c r="A1016" s="20">
        <v>42613</v>
      </c>
      <c r="B1016" s="31"/>
      <c r="C1016" s="31"/>
      <c r="D1016" s="31"/>
      <c r="E1016" s="25"/>
      <c r="F1016" s="26"/>
    </row>
    <row r="1017" spans="1:6" ht="16.8" customHeight="1" x14ac:dyDescent="0.3">
      <c r="A1017" s="20">
        <v>42614</v>
      </c>
      <c r="B1017" s="31"/>
      <c r="C1017" s="31"/>
      <c r="D1017" s="31"/>
      <c r="E1017" s="25"/>
      <c r="F1017" s="26"/>
    </row>
    <row r="1018" spans="1:6" ht="16.8" customHeight="1" x14ac:dyDescent="0.3">
      <c r="A1018" s="20">
        <v>42615</v>
      </c>
      <c r="B1018" s="31"/>
      <c r="C1018" s="31"/>
      <c r="D1018" s="31"/>
      <c r="E1018" s="25"/>
      <c r="F1018" s="26"/>
    </row>
    <row r="1019" spans="1:6" ht="16.8" customHeight="1" x14ac:dyDescent="0.3">
      <c r="A1019" s="20">
        <v>42616</v>
      </c>
      <c r="B1019" s="31"/>
      <c r="C1019" s="31"/>
      <c r="D1019" s="31"/>
      <c r="E1019" s="25"/>
      <c r="F1019" s="26"/>
    </row>
    <row r="1020" spans="1:6" ht="16.8" customHeight="1" x14ac:dyDescent="0.3">
      <c r="A1020" s="20">
        <v>42617</v>
      </c>
      <c r="B1020" s="31"/>
      <c r="C1020" s="31"/>
      <c r="D1020" s="31"/>
      <c r="E1020" s="25"/>
      <c r="F1020" s="26"/>
    </row>
    <row r="1021" spans="1:6" ht="16.8" customHeight="1" x14ac:dyDescent="0.3">
      <c r="A1021" s="20">
        <v>42618</v>
      </c>
      <c r="B1021" s="31"/>
      <c r="C1021" s="31"/>
      <c r="D1021" s="31"/>
      <c r="E1021" s="25"/>
      <c r="F1021" s="26"/>
    </row>
    <row r="1022" spans="1:6" ht="16.8" customHeight="1" x14ac:dyDescent="0.3">
      <c r="A1022" s="20">
        <v>42619</v>
      </c>
      <c r="B1022" s="31"/>
      <c r="C1022" s="31"/>
      <c r="D1022" s="31"/>
      <c r="E1022" s="25"/>
      <c r="F1022" s="26"/>
    </row>
    <row r="1023" spans="1:6" ht="16.8" customHeight="1" x14ac:dyDescent="0.3">
      <c r="A1023" s="20">
        <v>42620</v>
      </c>
      <c r="B1023" s="31"/>
      <c r="C1023" s="31"/>
      <c r="D1023" s="31"/>
      <c r="E1023" s="25"/>
      <c r="F1023" s="26"/>
    </row>
    <row r="1024" spans="1:6" ht="16.8" customHeight="1" x14ac:dyDescent="0.3">
      <c r="A1024" s="20">
        <v>42621</v>
      </c>
      <c r="B1024" s="31"/>
      <c r="C1024" s="31"/>
      <c r="D1024" s="31"/>
      <c r="E1024" s="25"/>
      <c r="F1024" s="26"/>
    </row>
    <row r="1025" spans="1:6" ht="16.8" customHeight="1" x14ac:dyDescent="0.3">
      <c r="A1025" s="20">
        <v>42622</v>
      </c>
      <c r="B1025" s="31"/>
      <c r="C1025" s="31"/>
      <c r="D1025" s="31"/>
      <c r="E1025" s="25"/>
      <c r="F1025" s="26"/>
    </row>
    <row r="1026" spans="1:6" ht="16.8" customHeight="1" x14ac:dyDescent="0.3">
      <c r="A1026" s="20">
        <v>42623</v>
      </c>
      <c r="B1026" s="31"/>
      <c r="C1026" s="31"/>
      <c r="D1026" s="31"/>
      <c r="E1026" s="25"/>
      <c r="F1026" s="26"/>
    </row>
    <row r="1027" spans="1:6" ht="16.8" customHeight="1" x14ac:dyDescent="0.3">
      <c r="A1027" s="20">
        <v>42624</v>
      </c>
      <c r="B1027" s="31"/>
      <c r="C1027" s="31"/>
      <c r="D1027" s="31"/>
      <c r="E1027" s="25"/>
      <c r="F1027" s="26"/>
    </row>
    <row r="1028" spans="1:6" ht="16.8" customHeight="1" x14ac:dyDescent="0.3">
      <c r="A1028" s="20">
        <v>42625</v>
      </c>
      <c r="B1028" s="31"/>
      <c r="C1028" s="31"/>
      <c r="D1028" s="31"/>
      <c r="E1028" s="25"/>
      <c r="F1028" s="26"/>
    </row>
    <row r="1029" spans="1:6" ht="16.8" customHeight="1" x14ac:dyDescent="0.3">
      <c r="A1029" s="20">
        <v>42626</v>
      </c>
      <c r="B1029" s="31" t="s">
        <v>36</v>
      </c>
      <c r="C1029" s="31" t="s">
        <v>37</v>
      </c>
      <c r="D1029" s="31" t="s">
        <v>451</v>
      </c>
      <c r="E1029" s="25">
        <v>45470</v>
      </c>
      <c r="F1029" s="26" t="s">
        <v>2</v>
      </c>
    </row>
    <row r="1030" spans="1:6" ht="16.8" customHeight="1" x14ac:dyDescent="0.3">
      <c r="A1030" s="20">
        <v>42627</v>
      </c>
      <c r="B1030" s="31" t="s">
        <v>450</v>
      </c>
      <c r="C1030" s="31" t="s">
        <v>254</v>
      </c>
      <c r="D1030" s="31" t="s">
        <v>452</v>
      </c>
      <c r="E1030" s="25">
        <v>45398</v>
      </c>
      <c r="F1030" s="26" t="s">
        <v>4</v>
      </c>
    </row>
    <row r="1031" spans="1:6" ht="16.8" customHeight="1" x14ac:dyDescent="0.3">
      <c r="A1031" s="20">
        <v>42628</v>
      </c>
      <c r="B1031" s="31"/>
      <c r="C1031" s="31"/>
      <c r="D1031" s="31"/>
      <c r="E1031" s="25"/>
      <c r="F1031" s="26"/>
    </row>
    <row r="1032" spans="1:6" ht="16.8" customHeight="1" x14ac:dyDescent="0.3">
      <c r="A1032" s="20">
        <v>42629</v>
      </c>
      <c r="B1032" s="31"/>
      <c r="C1032" s="31"/>
      <c r="D1032" s="31"/>
      <c r="E1032" s="25"/>
      <c r="F1032" s="26"/>
    </row>
    <row r="1033" spans="1:6" ht="16.8" customHeight="1" x14ac:dyDescent="0.3">
      <c r="A1033" s="20">
        <v>42630</v>
      </c>
      <c r="B1033" s="31"/>
      <c r="C1033" s="31"/>
      <c r="D1033" s="31"/>
      <c r="E1033" s="25"/>
      <c r="F1033" s="26"/>
    </row>
    <row r="1034" spans="1:6" ht="16.8" customHeight="1" x14ac:dyDescent="0.3">
      <c r="A1034" s="20">
        <v>42631</v>
      </c>
      <c r="B1034" s="31" t="s">
        <v>41</v>
      </c>
      <c r="C1034" s="31" t="s">
        <v>453</v>
      </c>
      <c r="D1034" s="31" t="s">
        <v>98</v>
      </c>
      <c r="E1034" s="25">
        <v>45553</v>
      </c>
      <c r="F1034" s="26" t="s">
        <v>4</v>
      </c>
    </row>
    <row r="1035" spans="1:6" ht="16.8" customHeight="1" x14ac:dyDescent="0.3">
      <c r="A1035" s="20">
        <v>42632</v>
      </c>
      <c r="B1035" s="31"/>
      <c r="C1035" s="31"/>
      <c r="D1035" s="31"/>
      <c r="E1035" s="25"/>
      <c r="F1035" s="26"/>
    </row>
    <row r="1036" spans="1:6" ht="16.8" customHeight="1" x14ac:dyDescent="0.3">
      <c r="A1036" s="20">
        <v>42633</v>
      </c>
      <c r="B1036" s="31"/>
      <c r="C1036" s="31"/>
      <c r="D1036" s="31"/>
      <c r="E1036" s="25"/>
      <c r="F1036" s="26"/>
    </row>
    <row r="1037" spans="1:6" ht="16.8" customHeight="1" x14ac:dyDescent="0.3">
      <c r="A1037" s="20">
        <v>42634</v>
      </c>
      <c r="B1037" s="31"/>
      <c r="C1037" s="31"/>
      <c r="D1037" s="31"/>
      <c r="E1037" s="25"/>
      <c r="F1037" s="26"/>
    </row>
    <row r="1038" spans="1:6" ht="16.8" customHeight="1" x14ac:dyDescent="0.3">
      <c r="A1038" s="20">
        <v>42635</v>
      </c>
      <c r="B1038" s="31"/>
      <c r="C1038" s="31"/>
      <c r="D1038" s="31"/>
      <c r="E1038" s="25"/>
      <c r="F1038" s="26"/>
    </row>
    <row r="1039" spans="1:6" ht="16.8" customHeight="1" x14ac:dyDescent="0.3">
      <c r="A1039" s="20">
        <v>42636</v>
      </c>
      <c r="B1039" s="31" t="s">
        <v>454</v>
      </c>
      <c r="C1039" s="31" t="s">
        <v>455</v>
      </c>
      <c r="D1039" s="31" t="s">
        <v>456</v>
      </c>
      <c r="E1039" s="25">
        <v>45448</v>
      </c>
      <c r="F1039" s="26" t="s">
        <v>4</v>
      </c>
    </row>
    <row r="1040" spans="1:6" ht="16.8" customHeight="1" x14ac:dyDescent="0.3">
      <c r="A1040" s="20">
        <v>42637</v>
      </c>
      <c r="B1040" s="31"/>
      <c r="C1040" s="31"/>
      <c r="D1040" s="31"/>
      <c r="E1040" s="25"/>
      <c r="F1040" s="26"/>
    </row>
    <row r="1041" spans="1:6" ht="16.8" customHeight="1" x14ac:dyDescent="0.3">
      <c r="A1041" s="20">
        <v>42638</v>
      </c>
      <c r="B1041" s="31"/>
      <c r="C1041" s="31"/>
      <c r="D1041" s="31"/>
      <c r="E1041" s="25"/>
      <c r="F1041" s="26"/>
    </row>
    <row r="1042" spans="1:6" ht="16.8" customHeight="1" x14ac:dyDescent="0.3">
      <c r="A1042" s="20">
        <v>42639</v>
      </c>
      <c r="B1042" s="31"/>
      <c r="C1042" s="31"/>
      <c r="D1042" s="31"/>
      <c r="E1042" s="25"/>
      <c r="F1042" s="26"/>
    </row>
    <row r="1043" spans="1:6" ht="16.8" customHeight="1" x14ac:dyDescent="0.3">
      <c r="A1043" s="20">
        <v>42640</v>
      </c>
      <c r="B1043" s="31"/>
      <c r="C1043" s="31"/>
      <c r="D1043" s="31"/>
      <c r="E1043" s="25"/>
      <c r="F1043" s="26"/>
    </row>
    <row r="1044" spans="1:6" ht="16.8" customHeight="1" x14ac:dyDescent="0.3">
      <c r="A1044" s="20">
        <v>42641</v>
      </c>
      <c r="B1044" s="31"/>
      <c r="C1044" s="31"/>
      <c r="D1044" s="31"/>
      <c r="E1044" s="25"/>
      <c r="F1044" s="26"/>
    </row>
    <row r="1045" spans="1:6" ht="16.8" customHeight="1" x14ac:dyDescent="0.3">
      <c r="A1045" s="20">
        <v>42642</v>
      </c>
      <c r="B1045" s="31" t="s">
        <v>457</v>
      </c>
      <c r="C1045" s="31" t="s">
        <v>458</v>
      </c>
      <c r="D1045" s="31" t="s">
        <v>459</v>
      </c>
      <c r="E1045" s="25">
        <v>45559</v>
      </c>
      <c r="F1045" s="26" t="s">
        <v>4</v>
      </c>
    </row>
    <row r="1046" spans="1:6" ht="16.8" customHeight="1" x14ac:dyDescent="0.3">
      <c r="A1046" s="20">
        <v>42643</v>
      </c>
      <c r="B1046" s="31"/>
      <c r="C1046" s="31"/>
      <c r="D1046" s="31"/>
      <c r="E1046" s="25"/>
      <c r="F1046" s="26"/>
    </row>
    <row r="1047" spans="1:6" ht="16.8" customHeight="1" x14ac:dyDescent="0.3">
      <c r="A1047" s="20">
        <v>42644</v>
      </c>
      <c r="B1047" s="31" t="s">
        <v>460</v>
      </c>
      <c r="C1047" s="31" t="s">
        <v>461</v>
      </c>
      <c r="D1047" s="31" t="s">
        <v>462</v>
      </c>
      <c r="E1047" s="25">
        <v>45559</v>
      </c>
      <c r="F1047" s="26" t="s">
        <v>4</v>
      </c>
    </row>
    <row r="1048" spans="1:6" ht="16.8" customHeight="1" x14ac:dyDescent="0.3">
      <c r="A1048" s="20">
        <v>42645</v>
      </c>
      <c r="B1048" s="31"/>
      <c r="C1048" s="31"/>
      <c r="D1048" s="31"/>
      <c r="E1048" s="25"/>
      <c r="F1048" s="26"/>
    </row>
    <row r="1049" spans="1:6" ht="16.8" customHeight="1" x14ac:dyDescent="0.3">
      <c r="A1049" s="20">
        <v>42646</v>
      </c>
      <c r="B1049" s="31"/>
      <c r="C1049" s="31"/>
      <c r="D1049" s="31"/>
      <c r="E1049" s="25"/>
      <c r="F1049" s="26"/>
    </row>
    <row r="1050" spans="1:6" ht="16.8" customHeight="1" x14ac:dyDescent="0.3">
      <c r="A1050" s="20">
        <v>42647</v>
      </c>
      <c r="B1050" s="31"/>
      <c r="C1050" s="31"/>
      <c r="D1050" s="31"/>
      <c r="E1050" s="25"/>
      <c r="F1050" s="26"/>
    </row>
    <row r="1051" spans="1:6" ht="16.8" customHeight="1" x14ac:dyDescent="0.3">
      <c r="A1051" s="20">
        <v>42648</v>
      </c>
      <c r="B1051" s="31"/>
      <c r="C1051" s="31"/>
      <c r="D1051" s="31"/>
      <c r="E1051" s="25"/>
      <c r="F1051" s="26"/>
    </row>
    <row r="1052" spans="1:6" ht="16.8" customHeight="1" x14ac:dyDescent="0.3">
      <c r="A1052" s="20">
        <v>42649</v>
      </c>
      <c r="B1052" s="31"/>
      <c r="C1052" s="31"/>
      <c r="D1052" s="31"/>
      <c r="E1052" s="25"/>
      <c r="F1052" s="26"/>
    </row>
    <row r="1053" spans="1:6" ht="16.8" customHeight="1" x14ac:dyDescent="0.3">
      <c r="A1053" s="20">
        <v>42650</v>
      </c>
      <c r="B1053" s="31"/>
      <c r="C1053" s="31"/>
      <c r="D1053" s="31"/>
      <c r="E1053" s="25"/>
      <c r="F1053" s="26"/>
    </row>
    <row r="1054" spans="1:6" ht="16.8" customHeight="1" x14ac:dyDescent="0.3">
      <c r="A1054" s="20">
        <v>42651</v>
      </c>
      <c r="B1054" s="31"/>
      <c r="C1054" s="31"/>
      <c r="D1054" s="31"/>
      <c r="E1054" s="25"/>
      <c r="F1054" s="26"/>
    </row>
    <row r="1055" spans="1:6" ht="16.8" customHeight="1" x14ac:dyDescent="0.3">
      <c r="A1055" s="20">
        <v>42652</v>
      </c>
      <c r="B1055" s="31"/>
      <c r="C1055" s="31"/>
      <c r="D1055" s="31"/>
      <c r="E1055" s="25"/>
      <c r="F1055" s="26"/>
    </row>
    <row r="1056" spans="1:6" ht="16.8" customHeight="1" x14ac:dyDescent="0.3">
      <c r="A1056" s="20">
        <v>42653</v>
      </c>
      <c r="B1056" s="31"/>
      <c r="C1056" s="31"/>
      <c r="D1056" s="31"/>
      <c r="E1056" s="25"/>
      <c r="F1056" s="26"/>
    </row>
    <row r="1057" spans="1:6" ht="16.8" customHeight="1" x14ac:dyDescent="0.3">
      <c r="A1057" s="20">
        <v>42654</v>
      </c>
      <c r="B1057" s="31"/>
      <c r="C1057" s="31"/>
      <c r="D1057" s="31"/>
      <c r="E1057" s="25"/>
      <c r="F1057" s="26"/>
    </row>
    <row r="1058" spans="1:6" ht="16.8" customHeight="1" x14ac:dyDescent="0.3">
      <c r="A1058" s="20">
        <v>42655</v>
      </c>
      <c r="B1058" s="31"/>
      <c r="C1058" s="31"/>
      <c r="D1058" s="31"/>
      <c r="E1058" s="25"/>
      <c r="F1058" s="26"/>
    </row>
    <row r="1059" spans="1:6" ht="16.8" customHeight="1" x14ac:dyDescent="0.3">
      <c r="A1059" s="20">
        <v>42656</v>
      </c>
      <c r="B1059" s="31"/>
      <c r="C1059" s="31"/>
      <c r="D1059" s="31"/>
      <c r="E1059" s="25"/>
      <c r="F1059" s="26"/>
    </row>
    <row r="1060" spans="1:6" ht="16.8" customHeight="1" x14ac:dyDescent="0.3">
      <c r="A1060" s="20">
        <v>42657</v>
      </c>
      <c r="B1060" s="31"/>
      <c r="C1060" s="31"/>
      <c r="D1060" s="31"/>
      <c r="E1060" s="25"/>
      <c r="F1060" s="26"/>
    </row>
    <row r="1061" spans="1:6" ht="16.8" customHeight="1" x14ac:dyDescent="0.3">
      <c r="A1061" s="20">
        <v>42658</v>
      </c>
      <c r="B1061" s="31"/>
      <c r="C1061" s="31"/>
      <c r="D1061" s="31"/>
      <c r="E1061" s="25"/>
      <c r="F1061" s="26"/>
    </row>
    <row r="1062" spans="1:6" ht="16.8" customHeight="1" x14ac:dyDescent="0.3">
      <c r="A1062" s="20">
        <v>42659</v>
      </c>
      <c r="B1062" s="31" t="s">
        <v>79</v>
      </c>
      <c r="C1062" s="31" t="s">
        <v>75</v>
      </c>
      <c r="D1062" s="31" t="s">
        <v>145</v>
      </c>
      <c r="E1062" s="25">
        <v>45559</v>
      </c>
      <c r="F1062" s="26" t="s">
        <v>8</v>
      </c>
    </row>
    <row r="1063" spans="1:6" ht="16.8" customHeight="1" x14ac:dyDescent="0.3">
      <c r="A1063" s="20">
        <v>42660</v>
      </c>
      <c r="B1063" s="31"/>
      <c r="C1063" s="31"/>
      <c r="D1063" s="31"/>
      <c r="E1063" s="25"/>
      <c r="F1063" s="26"/>
    </row>
    <row r="1064" spans="1:6" ht="16.8" customHeight="1" x14ac:dyDescent="0.3">
      <c r="A1064" s="20">
        <v>42661</v>
      </c>
      <c r="B1064" s="31"/>
      <c r="C1064" s="31"/>
      <c r="D1064" s="31"/>
      <c r="E1064" s="25"/>
      <c r="F1064" s="26"/>
    </row>
    <row r="1065" spans="1:6" ht="16.8" customHeight="1" x14ac:dyDescent="0.3">
      <c r="A1065" s="20">
        <v>42662</v>
      </c>
      <c r="B1065" s="31" t="s">
        <v>74</v>
      </c>
      <c r="C1065" s="31" t="s">
        <v>367</v>
      </c>
      <c r="D1065" s="31" t="s">
        <v>463</v>
      </c>
      <c r="E1065" s="25">
        <v>45397</v>
      </c>
      <c r="F1065" s="26" t="s">
        <v>4</v>
      </c>
    </row>
    <row r="1066" spans="1:6" ht="16.8" customHeight="1" x14ac:dyDescent="0.3">
      <c r="A1066" s="20">
        <v>42663</v>
      </c>
      <c r="B1066" s="31"/>
      <c r="C1066" s="31"/>
      <c r="D1066" s="31"/>
      <c r="E1066" s="25"/>
      <c r="F1066" s="26"/>
    </row>
    <row r="1067" spans="1:6" ht="16.8" customHeight="1" x14ac:dyDescent="0.3">
      <c r="A1067" s="20">
        <v>42664</v>
      </c>
      <c r="B1067" s="31"/>
      <c r="C1067" s="31"/>
      <c r="D1067" s="31"/>
      <c r="E1067" s="25"/>
      <c r="F1067" s="26"/>
    </row>
    <row r="1068" spans="1:6" ht="16.8" customHeight="1" x14ac:dyDescent="0.3">
      <c r="A1068" s="20">
        <v>42665</v>
      </c>
      <c r="B1068" s="31" t="s">
        <v>246</v>
      </c>
      <c r="C1068" s="31" t="s">
        <v>464</v>
      </c>
      <c r="D1068" s="31" t="s">
        <v>146</v>
      </c>
      <c r="E1068" s="25">
        <v>45484</v>
      </c>
      <c r="F1068" s="26" t="s">
        <v>1</v>
      </c>
    </row>
    <row r="1069" spans="1:6" ht="16.8" customHeight="1" x14ac:dyDescent="0.3">
      <c r="A1069" s="20">
        <v>42666</v>
      </c>
      <c r="B1069" s="31" t="s">
        <v>465</v>
      </c>
      <c r="C1069" s="31" t="s">
        <v>466</v>
      </c>
      <c r="D1069" s="31" t="s">
        <v>467</v>
      </c>
      <c r="E1069" s="25">
        <v>45483</v>
      </c>
      <c r="F1069" s="26" t="s">
        <v>2</v>
      </c>
    </row>
    <row r="1070" spans="1:6" ht="16.8" customHeight="1" x14ac:dyDescent="0.3">
      <c r="A1070" s="20">
        <v>42667</v>
      </c>
      <c r="B1070" s="31" t="s">
        <v>468</v>
      </c>
      <c r="C1070" s="31" t="s">
        <v>314</v>
      </c>
      <c r="D1070" s="31" t="s">
        <v>469</v>
      </c>
      <c r="E1070" s="25">
        <v>45398</v>
      </c>
      <c r="F1070" s="26" t="s">
        <v>4</v>
      </c>
    </row>
    <row r="1071" spans="1:6" ht="16.8" customHeight="1" x14ac:dyDescent="0.3">
      <c r="A1071" s="20">
        <v>42668</v>
      </c>
      <c r="B1071" s="31" t="s">
        <v>470</v>
      </c>
      <c r="C1071" s="31" t="s">
        <v>431</v>
      </c>
      <c r="D1071" s="31" t="s">
        <v>98</v>
      </c>
      <c r="E1071" s="25">
        <v>45559</v>
      </c>
      <c r="F1071" s="26" t="s">
        <v>4</v>
      </c>
    </row>
    <row r="1072" spans="1:6" ht="16.8" customHeight="1" x14ac:dyDescent="0.3">
      <c r="A1072" s="20">
        <v>42669</v>
      </c>
      <c r="B1072" s="31"/>
      <c r="C1072" s="31"/>
      <c r="D1072" s="31"/>
      <c r="E1072" s="25"/>
      <c r="F1072" s="26"/>
    </row>
    <row r="1073" spans="1:6" ht="16.8" customHeight="1" x14ac:dyDescent="0.3">
      <c r="A1073" s="20">
        <v>42670</v>
      </c>
      <c r="B1073" s="31"/>
      <c r="C1073" s="31"/>
      <c r="D1073" s="31"/>
      <c r="E1073" s="25"/>
      <c r="F1073" s="26"/>
    </row>
    <row r="1074" spans="1:6" ht="16.8" customHeight="1" x14ac:dyDescent="0.3">
      <c r="A1074" s="20">
        <v>42671</v>
      </c>
      <c r="B1074" s="31"/>
      <c r="C1074" s="31"/>
      <c r="D1074" s="31"/>
      <c r="E1074" s="25"/>
      <c r="F1074" s="26"/>
    </row>
    <row r="1075" spans="1:6" ht="16.8" customHeight="1" x14ac:dyDescent="0.3">
      <c r="A1075" s="20">
        <v>42672</v>
      </c>
      <c r="B1075" s="31"/>
      <c r="C1075" s="31"/>
      <c r="D1075" s="31"/>
      <c r="E1075" s="25"/>
      <c r="F1075" s="26"/>
    </row>
    <row r="1076" spans="1:6" ht="16.8" customHeight="1" x14ac:dyDescent="0.3">
      <c r="A1076" s="20">
        <v>42673</v>
      </c>
      <c r="B1076" s="31"/>
      <c r="C1076" s="31"/>
      <c r="D1076" s="31"/>
      <c r="E1076" s="25"/>
      <c r="F1076" s="26"/>
    </row>
    <row r="1077" spans="1:6" ht="16.8" customHeight="1" x14ac:dyDescent="0.3">
      <c r="A1077" s="20">
        <v>42674</v>
      </c>
      <c r="B1077" s="31"/>
      <c r="C1077" s="31"/>
      <c r="D1077" s="31"/>
      <c r="E1077" s="25"/>
      <c r="F1077" s="26"/>
    </row>
    <row r="1078" spans="1:6" ht="16.8" customHeight="1" x14ac:dyDescent="0.3">
      <c r="A1078" s="20">
        <v>42675</v>
      </c>
      <c r="B1078" s="31"/>
      <c r="C1078" s="31"/>
      <c r="D1078" s="31"/>
      <c r="E1078" s="25"/>
      <c r="F1078" s="26"/>
    </row>
    <row r="1079" spans="1:6" ht="16.8" customHeight="1" x14ac:dyDescent="0.3">
      <c r="A1079" s="20">
        <v>42676</v>
      </c>
      <c r="B1079" s="31"/>
      <c r="C1079" s="31"/>
      <c r="D1079" s="31"/>
      <c r="E1079" s="25"/>
      <c r="F1079" s="26"/>
    </row>
    <row r="1080" spans="1:6" ht="16.8" customHeight="1" x14ac:dyDescent="0.3">
      <c r="A1080" s="20">
        <v>42677</v>
      </c>
      <c r="B1080" s="31"/>
      <c r="C1080" s="31"/>
      <c r="D1080" s="31"/>
      <c r="E1080" s="25"/>
      <c r="F1080" s="26"/>
    </row>
    <row r="1081" spans="1:6" ht="16.8" customHeight="1" x14ac:dyDescent="0.3">
      <c r="A1081" s="20">
        <v>42678</v>
      </c>
      <c r="B1081" s="31"/>
      <c r="C1081" s="31"/>
      <c r="D1081" s="31"/>
      <c r="E1081" s="25"/>
      <c r="F1081" s="26"/>
    </row>
    <row r="1082" spans="1:6" ht="16.8" customHeight="1" x14ac:dyDescent="0.3">
      <c r="A1082" s="20">
        <v>42679</v>
      </c>
      <c r="B1082" s="31"/>
      <c r="C1082" s="31"/>
      <c r="D1082" s="31"/>
      <c r="E1082" s="25"/>
      <c r="F1082" s="26"/>
    </row>
    <row r="1083" spans="1:6" ht="16.8" customHeight="1" x14ac:dyDescent="0.3">
      <c r="A1083" s="20">
        <v>42680</v>
      </c>
      <c r="B1083" s="31"/>
      <c r="C1083" s="31"/>
      <c r="D1083" s="31"/>
      <c r="E1083" s="25"/>
      <c r="F1083" s="26"/>
    </row>
    <row r="1084" spans="1:6" ht="16.8" customHeight="1" x14ac:dyDescent="0.3">
      <c r="A1084" s="20">
        <v>42681</v>
      </c>
      <c r="B1084" s="31" t="s">
        <v>74</v>
      </c>
      <c r="C1084" s="31" t="s">
        <v>367</v>
      </c>
      <c r="D1084" s="31" t="s">
        <v>471</v>
      </c>
      <c r="E1084" s="25">
        <v>45617</v>
      </c>
      <c r="F1084" s="26" t="s">
        <v>2</v>
      </c>
    </row>
    <row r="1085" spans="1:6" ht="16.8" customHeight="1" x14ac:dyDescent="0.3">
      <c r="A1085" s="20">
        <v>42682</v>
      </c>
      <c r="B1085" s="31"/>
      <c r="C1085" s="31"/>
      <c r="D1085" s="31"/>
      <c r="E1085" s="25"/>
      <c r="F1085" s="26"/>
    </row>
    <row r="1086" spans="1:6" ht="16.8" customHeight="1" x14ac:dyDescent="0.3">
      <c r="A1086" s="20">
        <v>42683</v>
      </c>
      <c r="B1086" s="31"/>
      <c r="C1086" s="31"/>
      <c r="D1086" s="31"/>
      <c r="E1086" s="25"/>
      <c r="F1086" s="26"/>
    </row>
    <row r="1087" spans="1:6" ht="16.8" customHeight="1" x14ac:dyDescent="0.3">
      <c r="A1087" s="20">
        <v>42684</v>
      </c>
      <c r="B1087" s="31"/>
      <c r="C1087" s="31"/>
      <c r="D1087" s="31"/>
      <c r="E1087" s="25"/>
      <c r="F1087" s="26"/>
    </row>
    <row r="1088" spans="1:6" ht="16.8" customHeight="1" x14ac:dyDescent="0.3">
      <c r="A1088" s="20">
        <v>42685</v>
      </c>
      <c r="B1088" s="31"/>
      <c r="C1088" s="31"/>
      <c r="D1088" s="31"/>
      <c r="E1088" s="25"/>
      <c r="F1088" s="26"/>
    </row>
    <row r="1089" spans="1:6" ht="16.8" customHeight="1" x14ac:dyDescent="0.3">
      <c r="A1089" s="20">
        <v>42686</v>
      </c>
      <c r="B1089" s="31"/>
      <c r="C1089" s="31"/>
      <c r="D1089" s="31"/>
      <c r="E1089" s="25"/>
      <c r="F1089" s="26"/>
    </row>
    <row r="1090" spans="1:6" ht="16.8" customHeight="1" x14ac:dyDescent="0.3">
      <c r="A1090" s="20">
        <v>42687</v>
      </c>
      <c r="B1090" s="31"/>
      <c r="C1090" s="31"/>
      <c r="D1090" s="31"/>
      <c r="E1090" s="25"/>
      <c r="F1090" s="26"/>
    </row>
    <row r="1091" spans="1:6" ht="16.8" customHeight="1" x14ac:dyDescent="0.3">
      <c r="A1091" s="20">
        <v>42688</v>
      </c>
      <c r="B1091" s="31" t="s">
        <v>41</v>
      </c>
      <c r="C1091" s="31" t="s">
        <v>472</v>
      </c>
      <c r="D1091" s="31" t="s">
        <v>473</v>
      </c>
      <c r="E1091" s="25">
        <v>45561</v>
      </c>
      <c r="F1091" s="26" t="s">
        <v>2</v>
      </c>
    </row>
    <row r="1092" spans="1:6" ht="16.8" customHeight="1" x14ac:dyDescent="0.3">
      <c r="A1092" s="20">
        <v>42689</v>
      </c>
      <c r="B1092" s="31"/>
      <c r="C1092" s="31"/>
      <c r="D1092" s="31"/>
      <c r="E1092" s="25"/>
      <c r="F1092" s="26"/>
    </row>
    <row r="1093" spans="1:6" ht="16.8" customHeight="1" x14ac:dyDescent="0.3">
      <c r="A1093" s="20">
        <v>42690</v>
      </c>
      <c r="B1093" s="31"/>
      <c r="C1093" s="31"/>
      <c r="D1093" s="31"/>
      <c r="E1093" s="25"/>
      <c r="F1093" s="26"/>
    </row>
    <row r="1094" spans="1:6" ht="16.8" customHeight="1" x14ac:dyDescent="0.3">
      <c r="A1094" s="20">
        <v>42691</v>
      </c>
      <c r="B1094" s="31"/>
      <c r="C1094" s="31"/>
      <c r="D1094" s="31"/>
      <c r="E1094" s="25"/>
      <c r="F1094" s="26"/>
    </row>
    <row r="1095" spans="1:6" ht="16.8" customHeight="1" x14ac:dyDescent="0.3">
      <c r="A1095" s="20">
        <v>42692</v>
      </c>
      <c r="B1095" s="31"/>
      <c r="C1095" s="31"/>
      <c r="D1095" s="31"/>
      <c r="E1095" s="25"/>
      <c r="F1095" s="26"/>
    </row>
    <row r="1096" spans="1:6" ht="16.8" customHeight="1" x14ac:dyDescent="0.3">
      <c r="A1096" s="20">
        <v>42693</v>
      </c>
      <c r="B1096" s="31"/>
      <c r="C1096" s="31"/>
      <c r="D1096" s="31"/>
      <c r="E1096" s="25"/>
      <c r="F1096" s="26"/>
    </row>
    <row r="1097" spans="1:6" ht="16.8" customHeight="1" x14ac:dyDescent="0.3">
      <c r="A1097" s="20">
        <v>42694</v>
      </c>
      <c r="B1097" s="31"/>
      <c r="C1097" s="31"/>
      <c r="D1097" s="31"/>
      <c r="E1097" s="25"/>
      <c r="F1097" s="26"/>
    </row>
    <row r="1098" spans="1:6" ht="16.8" customHeight="1" x14ac:dyDescent="0.3">
      <c r="A1098" s="20">
        <v>42695</v>
      </c>
      <c r="B1098" s="31"/>
      <c r="C1098" s="31"/>
      <c r="D1098" s="31"/>
      <c r="E1098" s="25"/>
      <c r="F1098" s="26"/>
    </row>
    <row r="1099" spans="1:6" ht="16.8" customHeight="1" x14ac:dyDescent="0.3">
      <c r="A1099" s="20">
        <v>42696</v>
      </c>
      <c r="B1099" s="31"/>
      <c r="C1099" s="31"/>
      <c r="D1099" s="31"/>
      <c r="E1099" s="25"/>
      <c r="F1099" s="26"/>
    </row>
    <row r="1100" spans="1:6" ht="16.8" customHeight="1" x14ac:dyDescent="0.3">
      <c r="A1100" s="20">
        <v>42697</v>
      </c>
      <c r="B1100" s="31" t="s">
        <v>474</v>
      </c>
      <c r="C1100" s="31" t="s">
        <v>45</v>
      </c>
      <c r="D1100" s="31" t="s">
        <v>98</v>
      </c>
      <c r="E1100" s="25">
        <v>45460</v>
      </c>
      <c r="F1100" s="26" t="s">
        <v>4</v>
      </c>
    </row>
    <row r="1101" spans="1:6" ht="16.8" customHeight="1" x14ac:dyDescent="0.3">
      <c r="A1101" s="20">
        <v>42698</v>
      </c>
      <c r="B1101" s="31"/>
      <c r="C1101" s="31"/>
      <c r="D1101" s="31"/>
      <c r="E1101" s="25"/>
      <c r="F1101" s="26"/>
    </row>
    <row r="1102" spans="1:6" ht="16.8" customHeight="1" x14ac:dyDescent="0.3">
      <c r="A1102" s="20">
        <v>42699</v>
      </c>
      <c r="B1102" s="31" t="s">
        <v>475</v>
      </c>
      <c r="C1102" s="31" t="s">
        <v>106</v>
      </c>
      <c r="D1102" s="31"/>
      <c r="E1102" s="25"/>
      <c r="F1102" s="26"/>
    </row>
    <row r="1103" spans="1:6" ht="16.8" customHeight="1" x14ac:dyDescent="0.3">
      <c r="A1103" s="20">
        <v>42700</v>
      </c>
      <c r="B1103" s="31" t="s">
        <v>476</v>
      </c>
      <c r="C1103" s="31" t="s">
        <v>477</v>
      </c>
      <c r="D1103" s="31" t="s">
        <v>467</v>
      </c>
      <c r="E1103" s="25">
        <v>45506</v>
      </c>
      <c r="F1103" s="26" t="s">
        <v>2</v>
      </c>
    </row>
    <row r="1104" spans="1:6" ht="16.8" customHeight="1" x14ac:dyDescent="0.3">
      <c r="A1104" s="20">
        <v>42701</v>
      </c>
      <c r="B1104" s="31" t="s">
        <v>478</v>
      </c>
      <c r="C1104" s="31" t="s">
        <v>232</v>
      </c>
      <c r="D1104" s="31" t="s">
        <v>467</v>
      </c>
      <c r="E1104" s="25">
        <v>45506</v>
      </c>
      <c r="F1104" s="26" t="s">
        <v>2</v>
      </c>
    </row>
    <row r="1105" spans="1:6" ht="16.8" customHeight="1" x14ac:dyDescent="0.3">
      <c r="A1105" s="20">
        <v>42702</v>
      </c>
      <c r="B1105" s="31"/>
      <c r="C1105" s="31"/>
      <c r="D1105" s="31"/>
      <c r="E1105" s="25"/>
      <c r="F1105" s="26"/>
    </row>
    <row r="1106" spans="1:6" ht="16.8" customHeight="1" x14ac:dyDescent="0.3">
      <c r="A1106" s="20">
        <v>42703</v>
      </c>
      <c r="B1106" s="31" t="s">
        <v>479</v>
      </c>
      <c r="C1106" s="31" t="s">
        <v>118</v>
      </c>
      <c r="D1106" s="31" t="s">
        <v>480</v>
      </c>
      <c r="E1106" s="25">
        <v>45418</v>
      </c>
      <c r="F1106" s="26" t="s">
        <v>1</v>
      </c>
    </row>
    <row r="1107" spans="1:6" ht="16.8" customHeight="1" x14ac:dyDescent="0.3">
      <c r="A1107" s="20">
        <v>42704</v>
      </c>
      <c r="B1107" s="31" t="s">
        <v>481</v>
      </c>
      <c r="C1107" s="31"/>
      <c r="D1107" s="31" t="s">
        <v>462</v>
      </c>
      <c r="E1107" s="25">
        <v>45435</v>
      </c>
      <c r="F1107" s="26" t="s">
        <v>1</v>
      </c>
    </row>
    <row r="1108" spans="1:6" ht="16.8" customHeight="1" x14ac:dyDescent="0.3">
      <c r="A1108" s="20">
        <v>42705</v>
      </c>
      <c r="B1108" s="31"/>
      <c r="C1108" s="31"/>
      <c r="D1108" s="31"/>
      <c r="E1108" s="25"/>
      <c r="F1108" s="26" t="s">
        <v>10</v>
      </c>
    </row>
    <row r="1109" spans="1:6" ht="16.8" customHeight="1" x14ac:dyDescent="0.3">
      <c r="A1109" s="20">
        <v>42706</v>
      </c>
      <c r="B1109" s="31" t="s">
        <v>482</v>
      </c>
      <c r="C1109" s="31" t="s">
        <v>179</v>
      </c>
      <c r="D1109" s="31" t="s">
        <v>483</v>
      </c>
      <c r="E1109" s="25">
        <v>45414</v>
      </c>
      <c r="F1109" s="26" t="s">
        <v>1</v>
      </c>
    </row>
    <row r="1110" spans="1:6" ht="16.8" customHeight="1" x14ac:dyDescent="0.3">
      <c r="A1110" s="20">
        <v>42707</v>
      </c>
      <c r="B1110" s="31" t="s">
        <v>306</v>
      </c>
      <c r="C1110" s="31" t="s">
        <v>63</v>
      </c>
      <c r="D1110" s="31" t="s">
        <v>484</v>
      </c>
      <c r="E1110" s="25">
        <v>45509.708344907405</v>
      </c>
      <c r="F1110" s="26" t="s">
        <v>1</v>
      </c>
    </row>
    <row r="1111" spans="1:6" ht="16.8" customHeight="1" x14ac:dyDescent="0.3">
      <c r="A1111" s="20">
        <v>42708</v>
      </c>
      <c r="B1111" s="31" t="s">
        <v>86</v>
      </c>
      <c r="C1111" s="31" t="s">
        <v>45</v>
      </c>
      <c r="D1111" s="31" t="s">
        <v>485</v>
      </c>
      <c r="E1111" s="25">
        <v>45419</v>
      </c>
      <c r="F1111" s="26" t="s">
        <v>1</v>
      </c>
    </row>
    <row r="1112" spans="1:6" ht="16.8" customHeight="1" x14ac:dyDescent="0.3">
      <c r="A1112" s="20">
        <v>42709</v>
      </c>
      <c r="B1112" s="31" t="s">
        <v>409</v>
      </c>
      <c r="C1112" s="31" t="s">
        <v>63</v>
      </c>
      <c r="D1112" s="31" t="s">
        <v>215</v>
      </c>
      <c r="E1112" s="25">
        <v>45418</v>
      </c>
      <c r="F1112" s="26" t="s">
        <v>1</v>
      </c>
    </row>
    <row r="1113" spans="1:6" ht="16.8" customHeight="1" x14ac:dyDescent="0.3">
      <c r="A1113" s="20">
        <v>42710</v>
      </c>
      <c r="B1113" s="31" t="s">
        <v>486</v>
      </c>
      <c r="C1113" s="31" t="s">
        <v>487</v>
      </c>
      <c r="D1113" s="31" t="s">
        <v>488</v>
      </c>
      <c r="E1113" s="25">
        <v>45425</v>
      </c>
      <c r="F1113" s="26" t="s">
        <v>1</v>
      </c>
    </row>
    <row r="1114" spans="1:6" ht="16.8" customHeight="1" x14ac:dyDescent="0.3">
      <c r="A1114" s="20">
        <v>42711</v>
      </c>
      <c r="B1114" s="31" t="s">
        <v>486</v>
      </c>
      <c r="C1114" s="31" t="s">
        <v>487</v>
      </c>
      <c r="D1114" s="31" t="s">
        <v>55</v>
      </c>
      <c r="E1114" s="25">
        <v>45406</v>
      </c>
      <c r="F1114" s="26" t="s">
        <v>1</v>
      </c>
    </row>
    <row r="1115" spans="1:6" ht="16.8" customHeight="1" x14ac:dyDescent="0.3">
      <c r="A1115" s="20">
        <v>42712</v>
      </c>
      <c r="B1115" s="31" t="s">
        <v>144</v>
      </c>
      <c r="C1115" s="31" t="s">
        <v>489</v>
      </c>
      <c r="D1115" s="31"/>
      <c r="E1115" s="25">
        <v>45406</v>
      </c>
      <c r="F1115" s="26" t="s">
        <v>1</v>
      </c>
    </row>
    <row r="1116" spans="1:6" ht="16.8" customHeight="1" x14ac:dyDescent="0.3">
      <c r="A1116" s="20">
        <v>42713</v>
      </c>
      <c r="B1116" s="31" t="s">
        <v>490</v>
      </c>
      <c r="C1116" s="31" t="s">
        <v>217</v>
      </c>
      <c r="D1116" s="31" t="s">
        <v>491</v>
      </c>
      <c r="E1116" s="25">
        <v>45415</v>
      </c>
      <c r="F1116" s="26" t="s">
        <v>3</v>
      </c>
    </row>
    <row r="1117" spans="1:6" ht="16.8" customHeight="1" x14ac:dyDescent="0.3">
      <c r="A1117" s="20">
        <v>42714</v>
      </c>
      <c r="B1117" s="31" t="s">
        <v>490</v>
      </c>
      <c r="C1117" s="31" t="s">
        <v>217</v>
      </c>
      <c r="D1117" s="31" t="s">
        <v>492</v>
      </c>
      <c r="E1117" s="25">
        <v>45415</v>
      </c>
      <c r="F1117" s="26" t="s">
        <v>3</v>
      </c>
    </row>
    <row r="1118" spans="1:6" ht="16.8" customHeight="1" x14ac:dyDescent="0.3">
      <c r="A1118" s="20">
        <v>42715</v>
      </c>
      <c r="B1118" s="31" t="s">
        <v>490</v>
      </c>
      <c r="C1118" s="31" t="s">
        <v>217</v>
      </c>
      <c r="D1118" s="31" t="s">
        <v>493</v>
      </c>
      <c r="E1118" s="25">
        <v>45415</v>
      </c>
      <c r="F1118" s="26" t="s">
        <v>3</v>
      </c>
    </row>
    <row r="1119" spans="1:6" ht="16.8" customHeight="1" x14ac:dyDescent="0.3">
      <c r="A1119" s="20">
        <v>42716</v>
      </c>
      <c r="B1119" s="31" t="s">
        <v>399</v>
      </c>
      <c r="C1119" s="31" t="s">
        <v>494</v>
      </c>
      <c r="D1119" s="31" t="s">
        <v>495</v>
      </c>
      <c r="E1119" s="25">
        <v>45435</v>
      </c>
      <c r="F1119" s="26" t="s">
        <v>1</v>
      </c>
    </row>
    <row r="1120" spans="1:6" ht="16.8" customHeight="1" x14ac:dyDescent="0.3">
      <c r="A1120" s="20">
        <v>42717</v>
      </c>
      <c r="B1120" s="31" t="s">
        <v>496</v>
      </c>
      <c r="C1120" s="31" t="s">
        <v>497</v>
      </c>
      <c r="D1120" s="31" t="s">
        <v>121</v>
      </c>
      <c r="E1120" s="25">
        <v>45414</v>
      </c>
      <c r="F1120" s="26" t="s">
        <v>4</v>
      </c>
    </row>
    <row r="1121" spans="1:6" ht="16.8" customHeight="1" x14ac:dyDescent="0.3">
      <c r="A1121" s="20">
        <v>42718</v>
      </c>
      <c r="B1121" s="31"/>
      <c r="C1121" s="31"/>
      <c r="D1121" s="31"/>
      <c r="E1121" s="25"/>
      <c r="F1121" s="26"/>
    </row>
    <row r="1122" spans="1:6" ht="16.8" customHeight="1" x14ac:dyDescent="0.3">
      <c r="A1122" s="20">
        <v>42719</v>
      </c>
      <c r="B1122" s="31" t="s">
        <v>498</v>
      </c>
      <c r="C1122" s="31" t="s">
        <v>75</v>
      </c>
      <c r="D1122" s="31" t="s">
        <v>58</v>
      </c>
      <c r="E1122" s="25">
        <v>45418</v>
      </c>
      <c r="F1122" s="26" t="s">
        <v>1</v>
      </c>
    </row>
    <row r="1123" spans="1:6" ht="16.8" customHeight="1" x14ac:dyDescent="0.3">
      <c r="A1123" s="20">
        <v>42720</v>
      </c>
      <c r="B1123" s="31"/>
      <c r="C1123" s="31"/>
      <c r="D1123" s="31"/>
      <c r="E1123" s="25"/>
      <c r="F1123" s="26"/>
    </row>
    <row r="1124" spans="1:6" ht="16.8" customHeight="1" x14ac:dyDescent="0.3">
      <c r="A1124" s="20">
        <v>42721</v>
      </c>
      <c r="B1124" s="31" t="s">
        <v>41</v>
      </c>
      <c r="C1124" s="31" t="s">
        <v>75</v>
      </c>
      <c r="D1124" s="31" t="s">
        <v>499</v>
      </c>
      <c r="E1124" s="25">
        <v>45561</v>
      </c>
      <c r="F1124" s="26" t="s">
        <v>4</v>
      </c>
    </row>
    <row r="1125" spans="1:6" ht="16.8" customHeight="1" x14ac:dyDescent="0.3">
      <c r="A1125" s="20">
        <v>42722</v>
      </c>
      <c r="B1125" s="31"/>
      <c r="C1125" s="31"/>
      <c r="D1125" s="31"/>
      <c r="E1125" s="25"/>
      <c r="F1125" s="26"/>
    </row>
    <row r="1126" spans="1:6" ht="16.8" customHeight="1" x14ac:dyDescent="0.3">
      <c r="A1126" s="20">
        <v>42723</v>
      </c>
      <c r="B1126" s="31"/>
      <c r="C1126" s="31"/>
      <c r="D1126" s="31"/>
      <c r="E1126" s="25"/>
      <c r="F1126" s="26"/>
    </row>
    <row r="1127" spans="1:6" ht="16.8" customHeight="1" x14ac:dyDescent="0.3">
      <c r="A1127" s="20">
        <v>42724</v>
      </c>
      <c r="B1127" s="31"/>
      <c r="C1127" s="31"/>
      <c r="D1127" s="31"/>
      <c r="E1127" s="25"/>
      <c r="F1127" s="26"/>
    </row>
    <row r="1128" spans="1:6" ht="16.8" customHeight="1" x14ac:dyDescent="0.3">
      <c r="A1128" s="20">
        <v>42725</v>
      </c>
      <c r="B1128" s="31" t="s">
        <v>500</v>
      </c>
      <c r="C1128" s="31"/>
      <c r="D1128" s="31" t="s">
        <v>501</v>
      </c>
      <c r="E1128" s="25">
        <v>45408</v>
      </c>
      <c r="F1128" s="26" t="s">
        <v>1</v>
      </c>
    </row>
    <row r="1129" spans="1:6" ht="16.8" customHeight="1" x14ac:dyDescent="0.3">
      <c r="A1129" s="20">
        <v>42726</v>
      </c>
      <c r="B1129" s="31" t="s">
        <v>502</v>
      </c>
      <c r="C1129" s="31" t="s">
        <v>32</v>
      </c>
      <c r="D1129" s="31" t="s">
        <v>159</v>
      </c>
      <c r="E1129" s="25">
        <v>45415</v>
      </c>
      <c r="F1129" s="26" t="s">
        <v>1</v>
      </c>
    </row>
    <row r="1130" spans="1:6" ht="16.8" customHeight="1" x14ac:dyDescent="0.3">
      <c r="A1130" s="20">
        <v>42727</v>
      </c>
      <c r="B1130" s="31" t="s">
        <v>246</v>
      </c>
      <c r="C1130" s="31" t="s">
        <v>464</v>
      </c>
      <c r="D1130" s="31" t="s">
        <v>503</v>
      </c>
      <c r="E1130" s="25">
        <v>45435</v>
      </c>
      <c r="F1130" s="26" t="s">
        <v>1</v>
      </c>
    </row>
    <row r="1131" spans="1:6" ht="16.8" customHeight="1" x14ac:dyDescent="0.3">
      <c r="A1131" s="20">
        <v>42728</v>
      </c>
      <c r="B1131" s="31" t="s">
        <v>504</v>
      </c>
      <c r="C1131" s="31" t="s">
        <v>379</v>
      </c>
      <c r="D1131" s="31" t="s">
        <v>505</v>
      </c>
      <c r="E1131" s="25">
        <v>45418</v>
      </c>
      <c r="F1131" s="26" t="s">
        <v>1</v>
      </c>
    </row>
    <row r="1132" spans="1:6" ht="16.8" customHeight="1" x14ac:dyDescent="0.3">
      <c r="A1132" s="20">
        <v>42729</v>
      </c>
      <c r="B1132" s="31"/>
      <c r="C1132" s="31"/>
      <c r="D1132" s="31"/>
      <c r="E1132" s="25"/>
      <c r="F1132" s="26"/>
    </row>
    <row r="1133" spans="1:6" ht="16.8" customHeight="1" x14ac:dyDescent="0.3">
      <c r="A1133" s="20">
        <v>42730</v>
      </c>
      <c r="B1133" s="31"/>
      <c r="C1133" s="31"/>
      <c r="D1133" s="31"/>
      <c r="E1133" s="25"/>
      <c r="F1133" s="26"/>
    </row>
    <row r="1134" spans="1:6" ht="16.8" customHeight="1" x14ac:dyDescent="0.3">
      <c r="A1134" s="20">
        <v>42731</v>
      </c>
      <c r="B1134" s="31"/>
      <c r="C1134" s="31"/>
      <c r="D1134" s="31"/>
      <c r="E1134" s="25"/>
      <c r="F1134" s="26"/>
    </row>
    <row r="1135" spans="1:6" ht="16.8" customHeight="1" x14ac:dyDescent="0.3">
      <c r="A1135" s="20">
        <v>42732</v>
      </c>
      <c r="B1135" s="31"/>
      <c r="C1135" s="31"/>
      <c r="D1135" s="31"/>
      <c r="E1135" s="25"/>
      <c r="F1135" s="26"/>
    </row>
    <row r="1136" spans="1:6" ht="16.8" customHeight="1" x14ac:dyDescent="0.3">
      <c r="A1136" s="20">
        <v>42733</v>
      </c>
      <c r="B1136" s="31"/>
      <c r="C1136" s="31"/>
      <c r="D1136" s="31"/>
      <c r="E1136" s="25"/>
      <c r="F1136" s="26"/>
    </row>
    <row r="1137" spans="1:6" ht="16.8" customHeight="1" x14ac:dyDescent="0.3">
      <c r="A1137" s="20">
        <v>42734</v>
      </c>
      <c r="B1137" s="31"/>
      <c r="C1137" s="31"/>
      <c r="D1137" s="31"/>
      <c r="E1137" s="25"/>
      <c r="F1137" s="26"/>
    </row>
    <row r="1138" spans="1:6" ht="16.8" customHeight="1" x14ac:dyDescent="0.3">
      <c r="A1138" s="20">
        <v>42735</v>
      </c>
      <c r="B1138" s="31"/>
      <c r="C1138" s="31"/>
      <c r="D1138" s="31"/>
      <c r="E1138" s="25"/>
      <c r="F1138" s="26"/>
    </row>
    <row r="1139" spans="1:6" ht="16.8" customHeight="1" x14ac:dyDescent="0.3">
      <c r="A1139" s="20">
        <v>42736</v>
      </c>
      <c r="B1139" s="31"/>
      <c r="C1139" s="31"/>
      <c r="D1139" s="31"/>
      <c r="E1139" s="25"/>
      <c r="F1139" s="26"/>
    </row>
    <row r="1140" spans="1:6" ht="16.8" customHeight="1" x14ac:dyDescent="0.3">
      <c r="A1140" s="20">
        <v>42737</v>
      </c>
      <c r="B1140" s="31" t="s">
        <v>506</v>
      </c>
      <c r="C1140" s="31" t="s">
        <v>507</v>
      </c>
      <c r="D1140" s="31" t="s">
        <v>121</v>
      </c>
      <c r="E1140" s="25">
        <v>45559</v>
      </c>
      <c r="F1140" s="26" t="s">
        <v>4</v>
      </c>
    </row>
    <row r="1141" spans="1:6" ht="16.8" customHeight="1" x14ac:dyDescent="0.3">
      <c r="A1141" s="20">
        <v>42738</v>
      </c>
      <c r="B1141" s="31"/>
      <c r="C1141" s="31"/>
      <c r="D1141" s="31"/>
      <c r="E1141" s="25"/>
      <c r="F1141" s="26"/>
    </row>
    <row r="1142" spans="1:6" ht="16.8" customHeight="1" x14ac:dyDescent="0.3">
      <c r="A1142" s="20">
        <v>42739</v>
      </c>
      <c r="B1142" s="31"/>
      <c r="C1142" s="31"/>
      <c r="D1142" s="31"/>
      <c r="E1142" s="25"/>
      <c r="F1142" s="26"/>
    </row>
    <row r="1143" spans="1:6" ht="16.8" customHeight="1" x14ac:dyDescent="0.3">
      <c r="A1143" s="20">
        <v>42740</v>
      </c>
      <c r="B1143" s="31"/>
      <c r="C1143" s="31"/>
      <c r="D1143" s="31"/>
      <c r="E1143" s="25"/>
      <c r="F1143" s="26"/>
    </row>
    <row r="1144" spans="1:6" ht="16.8" customHeight="1" x14ac:dyDescent="0.3">
      <c r="A1144" s="20">
        <v>42741</v>
      </c>
      <c r="B1144" s="31" t="s">
        <v>481</v>
      </c>
      <c r="C1144" s="31" t="s">
        <v>508</v>
      </c>
      <c r="D1144" s="31" t="s">
        <v>98</v>
      </c>
      <c r="E1144" s="25">
        <v>45462</v>
      </c>
      <c r="F1144" s="26" t="s">
        <v>4</v>
      </c>
    </row>
    <row r="1145" spans="1:6" ht="16.8" customHeight="1" x14ac:dyDescent="0.3">
      <c r="A1145" s="20">
        <v>42742</v>
      </c>
      <c r="B1145" s="31"/>
      <c r="C1145" s="31"/>
      <c r="D1145" s="31"/>
      <c r="E1145" s="25"/>
      <c r="F1145" s="26"/>
    </row>
    <row r="1146" spans="1:6" ht="16.8" customHeight="1" x14ac:dyDescent="0.3">
      <c r="A1146" s="20">
        <v>42743</v>
      </c>
      <c r="B1146" s="31"/>
      <c r="C1146" s="31"/>
      <c r="D1146" s="31"/>
      <c r="E1146" s="25"/>
      <c r="F1146" s="26"/>
    </row>
    <row r="1147" spans="1:6" ht="16.8" customHeight="1" x14ac:dyDescent="0.3">
      <c r="A1147" s="20">
        <v>42744</v>
      </c>
      <c r="B1147" s="31"/>
      <c r="C1147" s="31"/>
      <c r="D1147" s="31"/>
      <c r="E1147" s="25"/>
      <c r="F1147" s="26"/>
    </row>
    <row r="1148" spans="1:6" ht="16.8" customHeight="1" x14ac:dyDescent="0.3">
      <c r="A1148" s="20">
        <v>42745</v>
      </c>
      <c r="B1148" s="31" t="s">
        <v>509</v>
      </c>
      <c r="C1148" s="31" t="s">
        <v>440</v>
      </c>
      <c r="D1148" s="31" t="s">
        <v>510</v>
      </c>
      <c r="E1148" s="25"/>
      <c r="F1148" s="26" t="s">
        <v>1</v>
      </c>
    </row>
    <row r="1149" spans="1:6" ht="16.8" customHeight="1" x14ac:dyDescent="0.3">
      <c r="A1149" s="20">
        <v>42746</v>
      </c>
      <c r="B1149" s="31"/>
      <c r="C1149" s="31"/>
      <c r="D1149" s="31"/>
      <c r="E1149" s="25"/>
      <c r="F1149" s="26"/>
    </row>
    <row r="1150" spans="1:6" ht="16.8" customHeight="1" x14ac:dyDescent="0.3">
      <c r="A1150" s="20">
        <v>42747</v>
      </c>
      <c r="B1150" s="31"/>
      <c r="C1150" s="31"/>
      <c r="D1150" s="31"/>
      <c r="E1150" s="25"/>
      <c r="F1150" s="26" t="s">
        <v>10</v>
      </c>
    </row>
    <row r="1151" spans="1:6" ht="16.8" customHeight="1" x14ac:dyDescent="0.3">
      <c r="A1151" s="20">
        <v>42748</v>
      </c>
      <c r="B1151" s="31"/>
      <c r="C1151" s="31"/>
      <c r="D1151" s="31"/>
      <c r="E1151" s="25"/>
      <c r="F1151" s="26"/>
    </row>
    <row r="1152" spans="1:6" ht="16.8" customHeight="1" x14ac:dyDescent="0.3">
      <c r="A1152" s="20">
        <v>42749</v>
      </c>
      <c r="B1152" s="31" t="s">
        <v>511</v>
      </c>
      <c r="C1152" s="31" t="s">
        <v>512</v>
      </c>
      <c r="D1152" s="31" t="s">
        <v>513</v>
      </c>
      <c r="E1152" s="25">
        <v>45559</v>
      </c>
      <c r="F1152" s="26" t="s">
        <v>1</v>
      </c>
    </row>
    <row r="1153" spans="1:6" ht="16.8" customHeight="1" x14ac:dyDescent="0.3">
      <c r="A1153" s="20">
        <v>42750</v>
      </c>
      <c r="B1153" s="31"/>
      <c r="C1153" s="31"/>
      <c r="D1153" s="31"/>
      <c r="E1153" s="25"/>
      <c r="F1153" s="26"/>
    </row>
    <row r="1154" spans="1:6" ht="16.8" customHeight="1" x14ac:dyDescent="0.3">
      <c r="A1154" s="20">
        <v>42751</v>
      </c>
      <c r="B1154" s="31"/>
      <c r="C1154" s="31"/>
      <c r="D1154" s="31"/>
      <c r="E1154" s="25"/>
      <c r="F1154" s="26"/>
    </row>
    <row r="1155" spans="1:6" ht="16.8" customHeight="1" x14ac:dyDescent="0.3">
      <c r="A1155" s="20">
        <v>42752</v>
      </c>
      <c r="B1155" s="31"/>
      <c r="C1155" s="31"/>
      <c r="D1155" s="31"/>
      <c r="E1155" s="25"/>
      <c r="F1155" s="26"/>
    </row>
    <row r="1156" spans="1:6" ht="16.8" customHeight="1" x14ac:dyDescent="0.3">
      <c r="A1156" s="20">
        <v>42753</v>
      </c>
      <c r="B1156" s="31"/>
      <c r="C1156" s="31"/>
      <c r="D1156" s="31"/>
      <c r="E1156" s="25"/>
      <c r="F1156" s="26"/>
    </row>
    <row r="1157" spans="1:6" ht="16.8" customHeight="1" x14ac:dyDescent="0.3">
      <c r="A1157" s="20">
        <v>42754</v>
      </c>
      <c r="B1157" s="31"/>
      <c r="C1157" s="31"/>
      <c r="D1157" s="31"/>
      <c r="E1157" s="25"/>
      <c r="F1157" s="26"/>
    </row>
    <row r="1158" spans="1:6" ht="16.8" customHeight="1" x14ac:dyDescent="0.3">
      <c r="A1158" s="20">
        <v>42755</v>
      </c>
      <c r="B1158" s="31"/>
      <c r="C1158" s="31"/>
      <c r="D1158" s="31"/>
      <c r="E1158" s="25"/>
      <c r="F1158" s="26"/>
    </row>
    <row r="1159" spans="1:6" ht="16.8" customHeight="1" x14ac:dyDescent="0.3">
      <c r="A1159" s="20">
        <v>42756</v>
      </c>
      <c r="B1159" s="31"/>
      <c r="C1159" s="31"/>
      <c r="D1159" s="31"/>
      <c r="E1159" s="25"/>
      <c r="F1159" s="26"/>
    </row>
    <row r="1160" spans="1:6" ht="16.8" customHeight="1" x14ac:dyDescent="0.3">
      <c r="A1160" s="20">
        <v>42757</v>
      </c>
      <c r="B1160" s="31"/>
      <c r="C1160" s="31"/>
      <c r="D1160" s="31"/>
      <c r="E1160" s="25"/>
      <c r="F1160" s="26"/>
    </row>
    <row r="1161" spans="1:6" ht="16.8" customHeight="1" x14ac:dyDescent="0.3">
      <c r="A1161" s="20">
        <v>42758</v>
      </c>
      <c r="B1161" s="31"/>
      <c r="C1161" s="31"/>
      <c r="D1161" s="31"/>
      <c r="E1161" s="25"/>
      <c r="F1161" s="26"/>
    </row>
    <row r="1162" spans="1:6" ht="16.8" customHeight="1" x14ac:dyDescent="0.3">
      <c r="A1162" s="20">
        <v>42759</v>
      </c>
      <c r="B1162" s="31"/>
      <c r="C1162" s="31"/>
      <c r="D1162" s="31"/>
      <c r="E1162" s="25"/>
      <c r="F1162" s="26"/>
    </row>
    <row r="1163" spans="1:6" ht="16.8" customHeight="1" x14ac:dyDescent="0.3">
      <c r="A1163" s="20">
        <v>42760</v>
      </c>
      <c r="B1163" s="31" t="s">
        <v>514</v>
      </c>
      <c r="C1163" s="31"/>
      <c r="D1163" s="31" t="s">
        <v>146</v>
      </c>
      <c r="E1163" s="25">
        <v>45467</v>
      </c>
      <c r="F1163" s="26" t="s">
        <v>1</v>
      </c>
    </row>
    <row r="1164" spans="1:6" ht="16.8" customHeight="1" x14ac:dyDescent="0.3">
      <c r="A1164" s="20">
        <v>42761</v>
      </c>
      <c r="B1164" s="31"/>
      <c r="C1164" s="31"/>
      <c r="D1164" s="31"/>
      <c r="E1164" s="25"/>
      <c r="F1164" s="26"/>
    </row>
    <row r="1165" spans="1:6" ht="16.8" customHeight="1" x14ac:dyDescent="0.3">
      <c r="A1165" s="20">
        <v>42762</v>
      </c>
      <c r="B1165" s="31"/>
      <c r="C1165" s="31"/>
      <c r="D1165" s="31"/>
      <c r="E1165" s="25"/>
      <c r="F1165" s="26"/>
    </row>
    <row r="1166" spans="1:6" ht="16.8" customHeight="1" x14ac:dyDescent="0.3">
      <c r="A1166" s="20">
        <v>42763</v>
      </c>
      <c r="B1166" s="31"/>
      <c r="C1166" s="31"/>
      <c r="D1166" s="31"/>
      <c r="E1166" s="25"/>
      <c r="F1166" s="26"/>
    </row>
    <row r="1167" spans="1:6" ht="16.8" customHeight="1" x14ac:dyDescent="0.3">
      <c r="A1167" s="20">
        <v>42764</v>
      </c>
      <c r="B1167" s="31"/>
      <c r="C1167" s="31"/>
      <c r="D1167" s="31"/>
      <c r="E1167" s="25"/>
      <c r="F1167" s="26"/>
    </row>
    <row r="1168" spans="1:6" ht="16.8" customHeight="1" x14ac:dyDescent="0.3">
      <c r="A1168" s="20">
        <v>42765</v>
      </c>
      <c r="B1168" s="31"/>
      <c r="C1168" s="31"/>
      <c r="D1168" s="31"/>
      <c r="E1168" s="25"/>
      <c r="F1168" s="26"/>
    </row>
    <row r="1169" spans="1:6" ht="16.8" customHeight="1" x14ac:dyDescent="0.3">
      <c r="A1169" s="20">
        <v>42766</v>
      </c>
      <c r="B1169" s="31"/>
      <c r="C1169" s="31"/>
      <c r="D1169" s="31"/>
      <c r="E1169" s="25"/>
      <c r="F1169" s="26"/>
    </row>
    <row r="1170" spans="1:6" ht="16.8" customHeight="1" x14ac:dyDescent="0.3">
      <c r="A1170" s="20">
        <v>42767</v>
      </c>
      <c r="B1170" s="31"/>
      <c r="C1170" s="31"/>
      <c r="D1170" s="31"/>
      <c r="E1170" s="25"/>
      <c r="F1170" s="26"/>
    </row>
    <row r="1171" spans="1:6" ht="16.8" customHeight="1" x14ac:dyDescent="0.3">
      <c r="A1171" s="20">
        <v>42768</v>
      </c>
      <c r="B1171" s="31"/>
      <c r="C1171" s="31"/>
      <c r="D1171" s="31"/>
      <c r="E1171" s="25"/>
      <c r="F1171" s="26"/>
    </row>
    <row r="1172" spans="1:6" ht="16.8" customHeight="1" x14ac:dyDescent="0.3">
      <c r="A1172" s="20">
        <v>42769</v>
      </c>
      <c r="B1172" s="31" t="s">
        <v>41</v>
      </c>
      <c r="C1172" s="31"/>
      <c r="D1172" s="31" t="s">
        <v>515</v>
      </c>
      <c r="E1172" s="25">
        <v>45559</v>
      </c>
      <c r="F1172" s="26" t="s">
        <v>4</v>
      </c>
    </row>
    <row r="1173" spans="1:6" ht="16.8" customHeight="1" x14ac:dyDescent="0.3">
      <c r="A1173" s="20">
        <v>42770</v>
      </c>
      <c r="B1173" s="31" t="s">
        <v>516</v>
      </c>
      <c r="C1173" s="31" t="s">
        <v>293</v>
      </c>
      <c r="D1173" s="31" t="s">
        <v>121</v>
      </c>
      <c r="E1173" s="25">
        <v>45464</v>
      </c>
      <c r="F1173" s="26" t="s">
        <v>4</v>
      </c>
    </row>
    <row r="1174" spans="1:6" ht="16.8" customHeight="1" x14ac:dyDescent="0.3">
      <c r="A1174" s="20">
        <v>42771</v>
      </c>
      <c r="B1174" s="31" t="s">
        <v>516</v>
      </c>
      <c r="C1174" s="31" t="s">
        <v>63</v>
      </c>
      <c r="D1174" s="31" t="s">
        <v>517</v>
      </c>
      <c r="E1174" s="25">
        <v>45544</v>
      </c>
      <c r="F1174" s="26" t="s">
        <v>4</v>
      </c>
    </row>
    <row r="1175" spans="1:6" ht="16.8" customHeight="1" x14ac:dyDescent="0.3">
      <c r="A1175" s="20">
        <v>42772</v>
      </c>
      <c r="B1175" s="31" t="s">
        <v>41</v>
      </c>
      <c r="C1175" s="31" t="s">
        <v>227</v>
      </c>
      <c r="D1175" s="31" t="s">
        <v>485</v>
      </c>
      <c r="E1175" s="25">
        <v>45427</v>
      </c>
      <c r="F1175" s="26" t="s">
        <v>4</v>
      </c>
    </row>
    <row r="1176" spans="1:6" ht="16.8" customHeight="1" x14ac:dyDescent="0.3">
      <c r="A1176" s="20">
        <v>42773</v>
      </c>
      <c r="B1176" s="31" t="s">
        <v>309</v>
      </c>
      <c r="C1176" s="31" t="s">
        <v>63</v>
      </c>
      <c r="D1176" s="31"/>
      <c r="E1176" s="25">
        <v>45427</v>
      </c>
      <c r="F1176" s="26" t="s">
        <v>4</v>
      </c>
    </row>
    <row r="1177" spans="1:6" ht="16.8" customHeight="1" x14ac:dyDescent="0.3">
      <c r="A1177" s="20">
        <v>42774</v>
      </c>
      <c r="B1177" s="31" t="s">
        <v>41</v>
      </c>
      <c r="C1177" s="31" t="s">
        <v>181</v>
      </c>
      <c r="D1177" s="31" t="s">
        <v>58</v>
      </c>
      <c r="E1177" s="25">
        <v>45427</v>
      </c>
      <c r="F1177" s="26" t="s">
        <v>4</v>
      </c>
    </row>
    <row r="1178" spans="1:6" ht="16.8" customHeight="1" x14ac:dyDescent="0.3">
      <c r="A1178" s="20">
        <v>42775</v>
      </c>
      <c r="B1178" s="31" t="s">
        <v>90</v>
      </c>
      <c r="C1178" s="31"/>
      <c r="D1178" s="31" t="s">
        <v>27</v>
      </c>
      <c r="E1178" s="25">
        <v>45427</v>
      </c>
      <c r="F1178" s="26" t="s">
        <v>1</v>
      </c>
    </row>
    <row r="1179" spans="1:6" ht="16.8" customHeight="1" x14ac:dyDescent="0.3">
      <c r="A1179" s="20">
        <v>42776</v>
      </c>
      <c r="B1179" s="31" t="s">
        <v>518</v>
      </c>
      <c r="C1179" s="31"/>
      <c r="D1179" s="31" t="s">
        <v>519</v>
      </c>
      <c r="E1179" s="25">
        <v>45427</v>
      </c>
      <c r="F1179" s="26" t="s">
        <v>1</v>
      </c>
    </row>
    <row r="1180" spans="1:6" ht="16.8" customHeight="1" x14ac:dyDescent="0.3">
      <c r="A1180" s="20">
        <v>42777</v>
      </c>
      <c r="B1180" s="31" t="s">
        <v>294</v>
      </c>
      <c r="C1180" s="31"/>
      <c r="D1180" s="31" t="s">
        <v>27</v>
      </c>
      <c r="E1180" s="25">
        <v>45427</v>
      </c>
      <c r="F1180" s="26" t="s">
        <v>1</v>
      </c>
    </row>
    <row r="1181" spans="1:6" ht="16.8" customHeight="1" x14ac:dyDescent="0.3">
      <c r="A1181" s="20">
        <v>42778</v>
      </c>
      <c r="B1181" s="31" t="s">
        <v>520</v>
      </c>
      <c r="C1181" s="31" t="s">
        <v>167</v>
      </c>
      <c r="D1181" s="31"/>
      <c r="E1181" s="25">
        <v>45428</v>
      </c>
      <c r="F1181" s="26" t="s">
        <v>1</v>
      </c>
    </row>
    <row r="1182" spans="1:6" ht="16.8" customHeight="1" x14ac:dyDescent="0.3">
      <c r="A1182" s="20">
        <v>42779</v>
      </c>
      <c r="B1182" s="31" t="s">
        <v>521</v>
      </c>
      <c r="C1182" s="31" t="s">
        <v>32</v>
      </c>
      <c r="D1182" s="31" t="s">
        <v>522</v>
      </c>
      <c r="E1182" s="25">
        <v>45464</v>
      </c>
      <c r="F1182" s="26" t="s">
        <v>4</v>
      </c>
    </row>
    <row r="1183" spans="1:6" ht="16.8" customHeight="1" x14ac:dyDescent="0.3">
      <c r="A1183" s="20">
        <v>42780</v>
      </c>
      <c r="B1183" s="31"/>
      <c r="C1183" s="31"/>
      <c r="D1183" s="31"/>
      <c r="E1183" s="25"/>
      <c r="F1183" s="26"/>
    </row>
    <row r="1184" spans="1:6" ht="16.8" customHeight="1" x14ac:dyDescent="0.3">
      <c r="A1184" s="20">
        <v>42781</v>
      </c>
      <c r="B1184" s="31"/>
      <c r="C1184" s="31"/>
      <c r="D1184" s="31"/>
      <c r="E1184" s="25"/>
      <c r="F1184" s="26"/>
    </row>
    <row r="1185" spans="1:6" ht="16.8" customHeight="1" x14ac:dyDescent="0.3">
      <c r="A1185" s="20">
        <v>42782</v>
      </c>
      <c r="B1185" s="31"/>
      <c r="C1185" s="31"/>
      <c r="D1185" s="31"/>
      <c r="E1185" s="25"/>
      <c r="F1185" s="26"/>
    </row>
    <row r="1186" spans="1:6" ht="16.8" customHeight="1" x14ac:dyDescent="0.3">
      <c r="A1186" s="20">
        <v>42783</v>
      </c>
      <c r="B1186" s="31"/>
      <c r="C1186" s="31"/>
      <c r="D1186" s="31"/>
      <c r="E1186" s="25"/>
      <c r="F1186" s="26"/>
    </row>
    <row r="1187" spans="1:6" ht="16.8" customHeight="1" x14ac:dyDescent="0.3">
      <c r="A1187" s="20">
        <v>42784</v>
      </c>
      <c r="B1187" s="32"/>
      <c r="C1187" s="35"/>
      <c r="D1187" s="35"/>
      <c r="E1187" s="27"/>
      <c r="F1187" s="26"/>
    </row>
    <row r="1188" spans="1:6" ht="16.8" customHeight="1" x14ac:dyDescent="0.3">
      <c r="A1188" s="20">
        <v>42785</v>
      </c>
      <c r="B1188" s="31" t="s">
        <v>10</v>
      </c>
      <c r="C1188" s="31"/>
      <c r="D1188" s="31"/>
      <c r="E1188" s="25"/>
      <c r="F1188" s="26"/>
    </row>
    <row r="1189" spans="1:6" ht="16.8" customHeight="1" x14ac:dyDescent="0.3">
      <c r="A1189" s="20">
        <v>42786</v>
      </c>
      <c r="B1189" s="31"/>
      <c r="C1189" s="31"/>
      <c r="D1189" s="31"/>
      <c r="E1189" s="25"/>
      <c r="F1189" s="26"/>
    </row>
    <row r="1190" spans="1:6" ht="16.8" customHeight="1" x14ac:dyDescent="0.3">
      <c r="A1190" s="20">
        <v>42787</v>
      </c>
      <c r="B1190" s="31"/>
      <c r="C1190" s="31"/>
      <c r="D1190" s="31"/>
      <c r="E1190" s="25"/>
      <c r="F1190" s="26"/>
    </row>
    <row r="1191" spans="1:6" ht="16.8" customHeight="1" x14ac:dyDescent="0.3">
      <c r="A1191" s="20">
        <v>42788</v>
      </c>
      <c r="B1191" s="31"/>
      <c r="C1191" s="31"/>
      <c r="D1191" s="31"/>
      <c r="E1191" s="25"/>
      <c r="F1191" s="26"/>
    </row>
    <row r="1192" spans="1:6" ht="16.8" customHeight="1" x14ac:dyDescent="0.3">
      <c r="A1192" s="20">
        <v>42789</v>
      </c>
      <c r="B1192" s="31"/>
      <c r="C1192" s="31"/>
      <c r="D1192" s="31"/>
      <c r="E1192" s="25"/>
      <c r="F1192" s="26"/>
    </row>
    <row r="1193" spans="1:6" ht="16.8" customHeight="1" x14ac:dyDescent="0.3">
      <c r="A1193" s="20">
        <v>42790</v>
      </c>
      <c r="B1193" s="31"/>
      <c r="C1193" s="31"/>
      <c r="D1193" s="31"/>
      <c r="E1193" s="25"/>
      <c r="F1193" s="26"/>
    </row>
    <row r="1194" spans="1:6" ht="16.8" customHeight="1" x14ac:dyDescent="0.3">
      <c r="A1194" s="20">
        <v>42791</v>
      </c>
      <c r="B1194" s="31"/>
      <c r="C1194" s="31"/>
      <c r="D1194" s="31"/>
      <c r="E1194" s="25"/>
      <c r="F1194" s="26"/>
    </row>
    <row r="1195" spans="1:6" ht="16.8" customHeight="1" x14ac:dyDescent="0.3">
      <c r="A1195" s="20">
        <v>42792</v>
      </c>
      <c r="B1195" s="31"/>
      <c r="C1195" s="31"/>
      <c r="D1195" s="31"/>
      <c r="E1195" s="25"/>
      <c r="F1195" s="26"/>
    </row>
    <row r="1196" spans="1:6" ht="16.8" customHeight="1" x14ac:dyDescent="0.3">
      <c r="A1196" s="20">
        <v>42793</v>
      </c>
      <c r="B1196" s="31" t="s">
        <v>74</v>
      </c>
      <c r="C1196" s="31" t="s">
        <v>75</v>
      </c>
      <c r="D1196" s="31" t="s">
        <v>2564</v>
      </c>
      <c r="E1196" s="25">
        <v>45840</v>
      </c>
      <c r="F1196" s="26" t="s">
        <v>2077</v>
      </c>
    </row>
    <row r="1197" spans="1:6" ht="16.8" customHeight="1" x14ac:dyDescent="0.3">
      <c r="A1197" s="20">
        <v>42794</v>
      </c>
      <c r="B1197" s="31"/>
      <c r="C1197" s="31"/>
      <c r="D1197" s="31"/>
      <c r="E1197" s="25"/>
      <c r="F1197" s="26"/>
    </row>
    <row r="1198" spans="1:6" ht="16.8" customHeight="1" x14ac:dyDescent="0.3">
      <c r="A1198" s="20">
        <v>42795</v>
      </c>
      <c r="B1198" s="31"/>
      <c r="C1198" s="31"/>
      <c r="D1198" s="31"/>
      <c r="E1198" s="25"/>
      <c r="F1198" s="26"/>
    </row>
    <row r="1199" spans="1:6" ht="16.8" customHeight="1" x14ac:dyDescent="0.3">
      <c r="A1199" s="20">
        <v>42796</v>
      </c>
      <c r="B1199" s="31"/>
      <c r="C1199" s="31"/>
      <c r="D1199" s="31"/>
      <c r="E1199" s="25"/>
      <c r="F1199" s="26"/>
    </row>
    <row r="1200" spans="1:6" ht="16.8" customHeight="1" x14ac:dyDescent="0.3">
      <c r="A1200" s="20">
        <v>42797</v>
      </c>
      <c r="B1200" s="31"/>
      <c r="C1200" s="31"/>
      <c r="D1200" s="31"/>
      <c r="E1200" s="25"/>
      <c r="F1200" s="26"/>
    </row>
    <row r="1201" spans="1:6" ht="16.8" customHeight="1" x14ac:dyDescent="0.3">
      <c r="A1201" s="20">
        <v>42798</v>
      </c>
      <c r="B1201" s="31"/>
      <c r="C1201" s="31"/>
      <c r="D1201" s="31"/>
      <c r="E1201" s="25"/>
      <c r="F1201" s="26"/>
    </row>
    <row r="1202" spans="1:6" ht="16.8" customHeight="1" x14ac:dyDescent="0.3">
      <c r="A1202" s="20">
        <v>42799</v>
      </c>
      <c r="B1202" s="31"/>
      <c r="C1202" s="31"/>
      <c r="D1202" s="31"/>
      <c r="E1202" s="25"/>
      <c r="F1202" s="26"/>
    </row>
    <row r="1203" spans="1:6" ht="16.8" customHeight="1" x14ac:dyDescent="0.3">
      <c r="A1203" s="20">
        <v>42800</v>
      </c>
      <c r="B1203" s="31"/>
      <c r="C1203" s="31"/>
      <c r="D1203" s="31"/>
      <c r="E1203" s="25"/>
      <c r="F1203" s="26"/>
    </row>
    <row r="1204" spans="1:6" ht="16.8" customHeight="1" x14ac:dyDescent="0.3">
      <c r="A1204" s="20">
        <v>42801</v>
      </c>
      <c r="B1204" s="31"/>
      <c r="C1204" s="31"/>
      <c r="D1204" s="31"/>
      <c r="E1204" s="25"/>
      <c r="F1204" s="26"/>
    </row>
    <row r="1205" spans="1:6" ht="16.8" customHeight="1" x14ac:dyDescent="0.3">
      <c r="A1205" s="20">
        <v>42802</v>
      </c>
      <c r="B1205" s="31"/>
      <c r="C1205" s="31"/>
      <c r="D1205" s="31"/>
      <c r="E1205" s="25"/>
      <c r="F1205" s="26"/>
    </row>
    <row r="1206" spans="1:6" ht="16.8" customHeight="1" x14ac:dyDescent="0.3">
      <c r="A1206" s="20">
        <v>42803</v>
      </c>
      <c r="B1206" s="31"/>
      <c r="C1206" s="31"/>
      <c r="D1206" s="31"/>
      <c r="E1206" s="25"/>
      <c r="F1206" s="26"/>
    </row>
    <row r="1207" spans="1:6" ht="16.8" customHeight="1" x14ac:dyDescent="0.3">
      <c r="A1207" s="20">
        <v>42804</v>
      </c>
      <c r="B1207" s="31"/>
      <c r="C1207" s="31"/>
      <c r="D1207" s="31"/>
      <c r="E1207" s="25"/>
      <c r="F1207" s="26"/>
    </row>
    <row r="1208" spans="1:6" ht="16.8" customHeight="1" x14ac:dyDescent="0.3">
      <c r="A1208" s="20">
        <v>42805</v>
      </c>
      <c r="B1208" s="31" t="s">
        <v>523</v>
      </c>
      <c r="C1208" s="31" t="s">
        <v>524</v>
      </c>
      <c r="D1208" s="31" t="s">
        <v>525</v>
      </c>
      <c r="E1208" s="25">
        <v>45448</v>
      </c>
      <c r="F1208" s="26" t="s">
        <v>1</v>
      </c>
    </row>
    <row r="1209" spans="1:6" ht="16.8" customHeight="1" x14ac:dyDescent="0.3">
      <c r="A1209" s="20">
        <v>42806</v>
      </c>
      <c r="B1209" s="31"/>
      <c r="C1209" s="31"/>
      <c r="D1209" s="31"/>
      <c r="E1209" s="25"/>
      <c r="F1209" s="26"/>
    </row>
    <row r="1210" spans="1:6" ht="16.8" customHeight="1" x14ac:dyDescent="0.3">
      <c r="A1210" s="20">
        <v>42807</v>
      </c>
      <c r="B1210" s="31"/>
      <c r="C1210" s="31"/>
      <c r="D1210" s="31"/>
      <c r="E1210" s="25"/>
      <c r="F1210" s="26"/>
    </row>
    <row r="1211" spans="1:6" ht="16.8" customHeight="1" x14ac:dyDescent="0.3">
      <c r="A1211" s="20">
        <v>42808</v>
      </c>
      <c r="B1211" s="31" t="s">
        <v>105</v>
      </c>
      <c r="C1211" s="31" t="s">
        <v>526</v>
      </c>
      <c r="D1211" s="31" t="s">
        <v>98</v>
      </c>
      <c r="E1211" s="25">
        <v>45464</v>
      </c>
      <c r="F1211" s="26" t="s">
        <v>4</v>
      </c>
    </row>
    <row r="1212" spans="1:6" ht="16.8" customHeight="1" x14ac:dyDescent="0.3">
      <c r="A1212" s="20">
        <v>42809</v>
      </c>
      <c r="B1212" s="31"/>
      <c r="C1212" s="31"/>
      <c r="D1212" s="31"/>
      <c r="E1212" s="25"/>
      <c r="F1212" s="26"/>
    </row>
    <row r="1213" spans="1:6" ht="16.8" customHeight="1" x14ac:dyDescent="0.3">
      <c r="A1213" s="20">
        <v>42810</v>
      </c>
      <c r="B1213" s="31"/>
      <c r="C1213" s="31"/>
      <c r="D1213" s="31"/>
      <c r="E1213" s="25"/>
      <c r="F1213" s="26"/>
    </row>
    <row r="1214" spans="1:6" ht="16.8" customHeight="1" x14ac:dyDescent="0.3">
      <c r="A1214" s="20">
        <v>42811</v>
      </c>
      <c r="B1214" s="31"/>
      <c r="C1214" s="31"/>
      <c r="D1214" s="31"/>
      <c r="E1214" s="25"/>
      <c r="F1214" s="26"/>
    </row>
    <row r="1215" spans="1:6" ht="16.8" customHeight="1" x14ac:dyDescent="0.3">
      <c r="A1215" s="20">
        <v>42812</v>
      </c>
      <c r="B1215" s="31"/>
      <c r="C1215" s="31"/>
      <c r="D1215" s="31"/>
      <c r="E1215" s="25"/>
      <c r="F1215" s="26"/>
    </row>
    <row r="1216" spans="1:6" ht="16.8" customHeight="1" x14ac:dyDescent="0.3">
      <c r="A1216" s="20">
        <v>42813</v>
      </c>
      <c r="B1216" s="31"/>
      <c r="C1216" s="31"/>
      <c r="D1216" s="31"/>
      <c r="E1216" s="25"/>
      <c r="F1216" s="26"/>
    </row>
    <row r="1217" spans="1:6" ht="16.8" customHeight="1" x14ac:dyDescent="0.3">
      <c r="A1217" s="20">
        <v>42814</v>
      </c>
      <c r="B1217" s="31"/>
      <c r="C1217" s="31"/>
      <c r="D1217" s="31"/>
      <c r="E1217" s="25"/>
      <c r="F1217" s="26"/>
    </row>
    <row r="1218" spans="1:6" ht="16.8" customHeight="1" x14ac:dyDescent="0.3">
      <c r="A1218" s="20">
        <v>42815</v>
      </c>
      <c r="B1218" s="31"/>
      <c r="C1218" s="31"/>
      <c r="D1218" s="31"/>
      <c r="E1218" s="25"/>
      <c r="F1218" s="26"/>
    </row>
    <row r="1219" spans="1:6" ht="16.8" customHeight="1" x14ac:dyDescent="0.3">
      <c r="A1219" s="20">
        <v>42816</v>
      </c>
      <c r="B1219" s="31"/>
      <c r="C1219" s="31"/>
      <c r="D1219" s="31"/>
      <c r="E1219" s="25"/>
      <c r="F1219" s="26"/>
    </row>
    <row r="1220" spans="1:6" ht="16.8" customHeight="1" x14ac:dyDescent="0.3">
      <c r="A1220" s="20">
        <v>42817</v>
      </c>
      <c r="B1220" s="31" t="s">
        <v>527</v>
      </c>
      <c r="C1220" s="31"/>
      <c r="D1220" s="31" t="s">
        <v>27</v>
      </c>
      <c r="E1220" s="25">
        <v>45435</v>
      </c>
      <c r="F1220" s="26" t="s">
        <v>1</v>
      </c>
    </row>
    <row r="1221" spans="1:6" ht="16.8" customHeight="1" x14ac:dyDescent="0.3">
      <c r="A1221" s="20">
        <v>42818</v>
      </c>
      <c r="B1221" s="31" t="s">
        <v>96</v>
      </c>
      <c r="C1221" s="31" t="s">
        <v>436</v>
      </c>
      <c r="D1221" s="31" t="s">
        <v>27</v>
      </c>
      <c r="E1221" s="25">
        <v>45484</v>
      </c>
      <c r="F1221" s="26" t="s">
        <v>4</v>
      </c>
    </row>
    <row r="1222" spans="1:6" ht="16.8" customHeight="1" x14ac:dyDescent="0.3">
      <c r="A1222" s="20">
        <v>42819</v>
      </c>
      <c r="B1222" s="31" t="s">
        <v>511</v>
      </c>
      <c r="C1222" s="31" t="s">
        <v>528</v>
      </c>
      <c r="D1222" s="31" t="s">
        <v>512</v>
      </c>
      <c r="E1222" s="25">
        <v>45435</v>
      </c>
      <c r="F1222" s="26" t="s">
        <v>1</v>
      </c>
    </row>
    <row r="1223" spans="1:6" ht="16.8" customHeight="1" x14ac:dyDescent="0.3">
      <c r="A1223" s="20">
        <v>42820</v>
      </c>
      <c r="B1223" s="31"/>
      <c r="C1223" s="31"/>
      <c r="D1223" s="31"/>
      <c r="E1223" s="25"/>
      <c r="F1223" s="26"/>
    </row>
    <row r="1224" spans="1:6" ht="16.8" customHeight="1" x14ac:dyDescent="0.3">
      <c r="A1224" s="20">
        <v>42821</v>
      </c>
      <c r="B1224" s="31" t="s">
        <v>41</v>
      </c>
      <c r="C1224" s="31" t="s">
        <v>529</v>
      </c>
      <c r="D1224" s="31" t="s">
        <v>530</v>
      </c>
      <c r="E1224" s="25">
        <v>45541</v>
      </c>
      <c r="F1224" s="26" t="s">
        <v>4</v>
      </c>
    </row>
    <row r="1225" spans="1:6" ht="16.8" customHeight="1" x14ac:dyDescent="0.3">
      <c r="A1225" s="20">
        <v>42822</v>
      </c>
      <c r="B1225" s="31" t="s">
        <v>325</v>
      </c>
      <c r="C1225" s="31" t="s">
        <v>75</v>
      </c>
      <c r="D1225" s="31" t="s">
        <v>40</v>
      </c>
      <c r="E1225" s="25">
        <v>45433</v>
      </c>
      <c r="F1225" s="26" t="s">
        <v>1</v>
      </c>
    </row>
    <row r="1226" spans="1:6" ht="16.8" customHeight="1" x14ac:dyDescent="0.3">
      <c r="A1226" s="20">
        <v>42823</v>
      </c>
      <c r="B1226" s="31" t="s">
        <v>86</v>
      </c>
      <c r="C1226" s="31" t="s">
        <v>148</v>
      </c>
      <c r="D1226" s="31" t="s">
        <v>40</v>
      </c>
      <c r="E1226" s="25">
        <v>45436</v>
      </c>
      <c r="F1226" s="26" t="s">
        <v>2</v>
      </c>
    </row>
    <row r="1227" spans="1:6" ht="16.8" customHeight="1" x14ac:dyDescent="0.3">
      <c r="A1227" s="20">
        <v>42824</v>
      </c>
      <c r="B1227" s="31" t="s">
        <v>231</v>
      </c>
      <c r="C1227" s="31" t="s">
        <v>531</v>
      </c>
      <c r="D1227" s="31" t="s">
        <v>532</v>
      </c>
      <c r="E1227" s="25">
        <v>45433</v>
      </c>
      <c r="F1227" s="26" t="s">
        <v>1</v>
      </c>
    </row>
    <row r="1228" spans="1:6" ht="16.8" customHeight="1" x14ac:dyDescent="0.3">
      <c r="A1228" s="20">
        <v>42825</v>
      </c>
      <c r="B1228" s="31" t="s">
        <v>56</v>
      </c>
      <c r="C1228" s="31" t="s">
        <v>533</v>
      </c>
      <c r="D1228" s="31" t="s">
        <v>534</v>
      </c>
      <c r="E1228" s="25">
        <v>45429</v>
      </c>
      <c r="F1228" s="26" t="s">
        <v>1</v>
      </c>
    </row>
    <row r="1229" spans="1:6" ht="16.8" customHeight="1" x14ac:dyDescent="0.3">
      <c r="A1229" s="20">
        <v>42826</v>
      </c>
      <c r="B1229" s="31"/>
      <c r="C1229" s="31"/>
      <c r="D1229" s="31"/>
      <c r="E1229" s="25"/>
      <c r="F1229" s="26"/>
    </row>
    <row r="1230" spans="1:6" ht="16.8" customHeight="1" x14ac:dyDescent="0.3">
      <c r="A1230" s="20">
        <v>42827</v>
      </c>
      <c r="B1230" s="31" t="s">
        <v>535</v>
      </c>
      <c r="C1230" s="31" t="s">
        <v>536</v>
      </c>
      <c r="D1230" s="31" t="s">
        <v>537</v>
      </c>
      <c r="E1230" s="25">
        <v>45453</v>
      </c>
      <c r="F1230" s="26" t="s">
        <v>2</v>
      </c>
    </row>
    <row r="1231" spans="1:6" ht="16.8" customHeight="1" x14ac:dyDescent="0.3">
      <c r="A1231" s="20">
        <v>42828</v>
      </c>
      <c r="B1231" s="31" t="s">
        <v>86</v>
      </c>
      <c r="C1231" s="31" t="s">
        <v>45</v>
      </c>
      <c r="D1231" s="31" t="s">
        <v>538</v>
      </c>
      <c r="E1231" s="25">
        <v>45427</v>
      </c>
      <c r="F1231" s="26" t="s">
        <v>4</v>
      </c>
    </row>
    <row r="1232" spans="1:6" ht="16.8" customHeight="1" x14ac:dyDescent="0.3">
      <c r="A1232" s="20">
        <v>42829</v>
      </c>
      <c r="B1232" s="31" t="s">
        <v>516</v>
      </c>
      <c r="C1232" s="31"/>
      <c r="D1232" s="31" t="s">
        <v>380</v>
      </c>
      <c r="E1232" s="25">
        <v>45442</v>
      </c>
      <c r="F1232" s="26" t="s">
        <v>2</v>
      </c>
    </row>
    <row r="1233" spans="1:6" ht="16.8" customHeight="1" x14ac:dyDescent="0.3">
      <c r="A1233" s="20">
        <v>42830</v>
      </c>
      <c r="B1233" s="31" t="s">
        <v>539</v>
      </c>
      <c r="C1233" s="31" t="s">
        <v>540</v>
      </c>
      <c r="D1233" s="31" t="s">
        <v>126</v>
      </c>
      <c r="E1233" s="25">
        <v>45541</v>
      </c>
      <c r="F1233" s="26" t="s">
        <v>1</v>
      </c>
    </row>
    <row r="1234" spans="1:6" ht="16.8" customHeight="1" x14ac:dyDescent="0.3">
      <c r="A1234" s="20">
        <v>42831</v>
      </c>
      <c r="B1234" s="31" t="s">
        <v>71</v>
      </c>
      <c r="C1234" s="31" t="s">
        <v>541</v>
      </c>
      <c r="D1234" s="31" t="s">
        <v>542</v>
      </c>
      <c r="E1234" s="25">
        <v>45447</v>
      </c>
      <c r="F1234" s="26" t="s">
        <v>2</v>
      </c>
    </row>
    <row r="1235" spans="1:6" ht="16.8" customHeight="1" x14ac:dyDescent="0.3">
      <c r="A1235" s="20">
        <v>42832</v>
      </c>
      <c r="B1235" s="31"/>
      <c r="C1235" s="31"/>
      <c r="D1235" s="31"/>
      <c r="E1235" s="25"/>
      <c r="F1235" s="26"/>
    </row>
    <row r="1236" spans="1:6" ht="16.8" customHeight="1" x14ac:dyDescent="0.3">
      <c r="A1236" s="20">
        <v>42833</v>
      </c>
      <c r="B1236" s="31" t="s">
        <v>543</v>
      </c>
      <c r="C1236" s="31" t="s">
        <v>544</v>
      </c>
      <c r="D1236" s="31" t="s">
        <v>545</v>
      </c>
      <c r="E1236" s="25">
        <v>45433</v>
      </c>
      <c r="F1236" s="26" t="s">
        <v>1</v>
      </c>
    </row>
    <row r="1237" spans="1:6" ht="16.8" customHeight="1" x14ac:dyDescent="0.3">
      <c r="A1237" s="20">
        <v>42834</v>
      </c>
      <c r="B1237" s="31"/>
      <c r="C1237" s="31"/>
      <c r="D1237" s="31"/>
      <c r="E1237" s="25"/>
      <c r="F1237" s="26"/>
    </row>
    <row r="1238" spans="1:6" ht="16.8" customHeight="1" x14ac:dyDescent="0.3">
      <c r="A1238" s="20">
        <v>42835</v>
      </c>
      <c r="B1238" s="31" t="s">
        <v>239</v>
      </c>
      <c r="C1238" s="31" t="s">
        <v>546</v>
      </c>
      <c r="D1238" s="31" t="s">
        <v>58</v>
      </c>
      <c r="E1238" s="25">
        <v>45450</v>
      </c>
      <c r="F1238" s="26" t="s">
        <v>1</v>
      </c>
    </row>
    <row r="1239" spans="1:6" ht="16.8" customHeight="1" x14ac:dyDescent="0.3">
      <c r="A1239" s="20">
        <v>42836</v>
      </c>
      <c r="B1239" s="31"/>
      <c r="C1239" s="31"/>
      <c r="D1239" s="31"/>
      <c r="E1239" s="25"/>
      <c r="F1239" s="26"/>
    </row>
    <row r="1240" spans="1:6" ht="16.8" customHeight="1" x14ac:dyDescent="0.3">
      <c r="A1240" s="20">
        <v>42837</v>
      </c>
      <c r="B1240" s="31" t="s">
        <v>547</v>
      </c>
      <c r="C1240" s="31" t="s">
        <v>548</v>
      </c>
      <c r="D1240" s="31" t="s">
        <v>549</v>
      </c>
      <c r="E1240" s="25">
        <v>45433</v>
      </c>
      <c r="F1240" s="26" t="s">
        <v>1</v>
      </c>
    </row>
    <row r="1241" spans="1:6" ht="16.8" customHeight="1" x14ac:dyDescent="0.3">
      <c r="A1241" s="20">
        <v>42838</v>
      </c>
      <c r="B1241" s="31" t="s">
        <v>550</v>
      </c>
      <c r="C1241" s="31"/>
      <c r="D1241" s="31"/>
      <c r="E1241" s="25">
        <v>45482</v>
      </c>
      <c r="F1241" s="26" t="s">
        <v>1</v>
      </c>
    </row>
    <row r="1242" spans="1:6" ht="16.8" customHeight="1" x14ac:dyDescent="0.3">
      <c r="A1242" s="20">
        <v>42839</v>
      </c>
      <c r="B1242" s="31" t="s">
        <v>551</v>
      </c>
      <c r="C1242" s="31" t="s">
        <v>552</v>
      </c>
      <c r="D1242" s="31" t="s">
        <v>553</v>
      </c>
      <c r="E1242" s="25">
        <v>45435</v>
      </c>
      <c r="F1242" s="26" t="s">
        <v>1</v>
      </c>
    </row>
    <row r="1243" spans="1:6" ht="16.8" customHeight="1" x14ac:dyDescent="0.3">
      <c r="A1243" s="20">
        <v>42840</v>
      </c>
      <c r="B1243" s="31" t="s">
        <v>225</v>
      </c>
      <c r="C1243" s="31"/>
      <c r="D1243" s="31" t="s">
        <v>554</v>
      </c>
      <c r="E1243" s="25">
        <v>45435</v>
      </c>
      <c r="F1243" s="26" t="s">
        <v>1</v>
      </c>
    </row>
    <row r="1244" spans="1:6" ht="16.8" customHeight="1" x14ac:dyDescent="0.3">
      <c r="A1244" s="20">
        <v>42841</v>
      </c>
      <c r="B1244" s="31" t="s">
        <v>555</v>
      </c>
      <c r="C1244" s="31"/>
      <c r="D1244" s="31" t="s">
        <v>556</v>
      </c>
      <c r="E1244" s="25">
        <v>45484</v>
      </c>
      <c r="F1244" s="26" t="s">
        <v>2</v>
      </c>
    </row>
    <row r="1245" spans="1:6" ht="16.8" customHeight="1" x14ac:dyDescent="0.3">
      <c r="A1245" s="20">
        <v>42842</v>
      </c>
      <c r="B1245" s="31" t="s">
        <v>41</v>
      </c>
      <c r="C1245" s="31" t="s">
        <v>412</v>
      </c>
      <c r="D1245" s="31" t="s">
        <v>557</v>
      </c>
      <c r="E1245" s="25">
        <v>45436</v>
      </c>
      <c r="F1245" s="26" t="s">
        <v>4</v>
      </c>
    </row>
    <row r="1246" spans="1:6" ht="16.8" customHeight="1" x14ac:dyDescent="0.3">
      <c r="A1246" s="20">
        <v>42843</v>
      </c>
      <c r="B1246" s="31" t="s">
        <v>155</v>
      </c>
      <c r="C1246" s="31" t="s">
        <v>75</v>
      </c>
      <c r="D1246" s="31" t="s">
        <v>558</v>
      </c>
      <c r="E1246" s="25">
        <v>45492</v>
      </c>
      <c r="F1246" s="26" t="s">
        <v>5</v>
      </c>
    </row>
    <row r="1247" spans="1:6" ht="16.8" customHeight="1" x14ac:dyDescent="0.3">
      <c r="A1247" s="20">
        <v>42844</v>
      </c>
      <c r="B1247" s="31" t="s">
        <v>559</v>
      </c>
      <c r="C1247" s="31" t="s">
        <v>45</v>
      </c>
      <c r="D1247" s="31" t="s">
        <v>558</v>
      </c>
      <c r="E1247" s="25">
        <v>45488</v>
      </c>
      <c r="F1247" s="26" t="s">
        <v>5</v>
      </c>
    </row>
    <row r="1248" spans="1:6" ht="16.8" customHeight="1" x14ac:dyDescent="0.3">
      <c r="A1248" s="20">
        <v>42845</v>
      </c>
      <c r="B1248" s="31"/>
      <c r="C1248" s="31"/>
      <c r="D1248" s="31"/>
      <c r="E1248" s="25"/>
      <c r="F1248" s="26"/>
    </row>
    <row r="1249" spans="1:6" ht="16.8" customHeight="1" x14ac:dyDescent="0.3">
      <c r="A1249" s="20">
        <v>42846</v>
      </c>
      <c r="B1249" s="31" t="s">
        <v>41</v>
      </c>
      <c r="C1249" s="31" t="s">
        <v>45</v>
      </c>
      <c r="D1249" s="31" t="s">
        <v>558</v>
      </c>
      <c r="E1249" s="25">
        <v>45525</v>
      </c>
      <c r="F1249" s="26" t="s">
        <v>5</v>
      </c>
    </row>
    <row r="1250" spans="1:6" ht="16.8" customHeight="1" x14ac:dyDescent="0.3">
      <c r="A1250" s="20">
        <v>42847</v>
      </c>
      <c r="B1250" s="31" t="s">
        <v>86</v>
      </c>
      <c r="C1250" s="31" t="s">
        <v>45</v>
      </c>
      <c r="D1250" s="31" t="s">
        <v>558</v>
      </c>
      <c r="E1250" s="25">
        <v>45453</v>
      </c>
      <c r="F1250" s="26" t="s">
        <v>5</v>
      </c>
    </row>
    <row r="1251" spans="1:6" ht="16.8" customHeight="1" x14ac:dyDescent="0.3">
      <c r="A1251" s="20">
        <v>42848</v>
      </c>
      <c r="B1251" s="31" t="s">
        <v>560</v>
      </c>
      <c r="C1251" s="31" t="s">
        <v>45</v>
      </c>
      <c r="D1251" s="31" t="s">
        <v>558</v>
      </c>
      <c r="E1251" s="25">
        <v>45510</v>
      </c>
      <c r="F1251" s="26" t="s">
        <v>5</v>
      </c>
    </row>
    <row r="1252" spans="1:6" ht="16.8" customHeight="1" x14ac:dyDescent="0.3">
      <c r="A1252" s="20">
        <v>42849</v>
      </c>
      <c r="B1252" s="31" t="s">
        <v>325</v>
      </c>
      <c r="C1252" s="31" t="s">
        <v>75</v>
      </c>
      <c r="D1252" s="31" t="s">
        <v>558</v>
      </c>
      <c r="E1252" s="25">
        <v>45544</v>
      </c>
      <c r="F1252" s="26" t="s">
        <v>5</v>
      </c>
    </row>
    <row r="1253" spans="1:6" ht="16.8" customHeight="1" x14ac:dyDescent="0.3">
      <c r="A1253" s="20">
        <v>42850</v>
      </c>
      <c r="B1253" s="31" t="s">
        <v>561</v>
      </c>
      <c r="C1253" s="31" t="s">
        <v>75</v>
      </c>
      <c r="D1253" s="31" t="s">
        <v>558</v>
      </c>
      <c r="E1253" s="25">
        <v>45505</v>
      </c>
      <c r="F1253" s="26" t="s">
        <v>5</v>
      </c>
    </row>
    <row r="1254" spans="1:6" ht="16.8" customHeight="1" x14ac:dyDescent="0.3">
      <c r="A1254" s="20">
        <v>42851</v>
      </c>
      <c r="B1254" s="31" t="s">
        <v>562</v>
      </c>
      <c r="C1254" s="31" t="s">
        <v>563</v>
      </c>
      <c r="D1254" s="31" t="s">
        <v>564</v>
      </c>
      <c r="E1254" s="25">
        <v>45565</v>
      </c>
      <c r="F1254" s="26" t="s">
        <v>5</v>
      </c>
    </row>
    <row r="1255" spans="1:6" ht="16.8" customHeight="1" x14ac:dyDescent="0.3">
      <c r="A1255" s="20">
        <v>42852</v>
      </c>
      <c r="B1255" s="31" t="s">
        <v>286</v>
      </c>
      <c r="C1255" s="31" t="s">
        <v>45</v>
      </c>
      <c r="D1255" s="31" t="s">
        <v>558</v>
      </c>
      <c r="E1255" s="25">
        <v>45463</v>
      </c>
      <c r="F1255" s="26" t="s">
        <v>5</v>
      </c>
    </row>
    <row r="1256" spans="1:6" ht="16.8" customHeight="1" x14ac:dyDescent="0.3">
      <c r="A1256" s="20">
        <v>42853</v>
      </c>
      <c r="B1256" s="31" t="s">
        <v>79</v>
      </c>
      <c r="C1256" s="31" t="s">
        <v>75</v>
      </c>
      <c r="D1256" s="31" t="s">
        <v>558</v>
      </c>
      <c r="E1256" s="25">
        <v>45530.492337962962</v>
      </c>
      <c r="F1256" s="26" t="s">
        <v>5</v>
      </c>
    </row>
    <row r="1257" spans="1:6" ht="16.8" customHeight="1" x14ac:dyDescent="0.3">
      <c r="A1257" s="20">
        <v>42854</v>
      </c>
      <c r="B1257" s="31" t="s">
        <v>446</v>
      </c>
      <c r="C1257" s="31"/>
      <c r="D1257" s="31" t="s">
        <v>558</v>
      </c>
      <c r="E1257" s="25">
        <v>45525</v>
      </c>
      <c r="F1257" s="26" t="s">
        <v>5</v>
      </c>
    </row>
    <row r="1258" spans="1:6" ht="16.8" customHeight="1" x14ac:dyDescent="0.3">
      <c r="A1258" s="20">
        <v>42855</v>
      </c>
      <c r="B1258" s="31" t="s">
        <v>498</v>
      </c>
      <c r="C1258" s="31" t="s">
        <v>75</v>
      </c>
      <c r="D1258" s="31" t="s">
        <v>558</v>
      </c>
      <c r="E1258" s="25">
        <v>45525</v>
      </c>
      <c r="F1258" s="26" t="s">
        <v>5</v>
      </c>
    </row>
    <row r="1259" spans="1:6" ht="16.8" customHeight="1" x14ac:dyDescent="0.3">
      <c r="A1259" s="20">
        <v>42856</v>
      </c>
      <c r="B1259" s="31" t="s">
        <v>309</v>
      </c>
      <c r="C1259" s="31" t="s">
        <v>45</v>
      </c>
      <c r="D1259" s="31" t="s">
        <v>558</v>
      </c>
      <c r="E1259" s="25">
        <v>45459</v>
      </c>
      <c r="F1259" s="26" t="s">
        <v>5</v>
      </c>
    </row>
    <row r="1260" spans="1:6" ht="16.8" customHeight="1" x14ac:dyDescent="0.3">
      <c r="A1260" s="20">
        <v>42857</v>
      </c>
      <c r="B1260" s="31" t="s">
        <v>262</v>
      </c>
      <c r="C1260" s="31" t="s">
        <v>565</v>
      </c>
      <c r="D1260" s="31" t="s">
        <v>566</v>
      </c>
      <c r="E1260" s="25">
        <v>45484</v>
      </c>
      <c r="F1260" s="26" t="s">
        <v>2</v>
      </c>
    </row>
    <row r="1261" spans="1:6" ht="16.8" customHeight="1" x14ac:dyDescent="0.3">
      <c r="A1261" s="20">
        <v>42858</v>
      </c>
      <c r="B1261" s="31" t="s">
        <v>567</v>
      </c>
      <c r="C1261" s="31" t="s">
        <v>568</v>
      </c>
      <c r="D1261" s="31" t="s">
        <v>569</v>
      </c>
      <c r="E1261" s="25">
        <v>45450</v>
      </c>
      <c r="F1261" s="26" t="s">
        <v>1</v>
      </c>
    </row>
    <row r="1262" spans="1:6" ht="16.8" customHeight="1" x14ac:dyDescent="0.3">
      <c r="A1262" s="20">
        <v>42859</v>
      </c>
      <c r="B1262" s="31" t="s">
        <v>570</v>
      </c>
      <c r="C1262" s="31" t="s">
        <v>249</v>
      </c>
      <c r="D1262" s="31" t="s">
        <v>571</v>
      </c>
      <c r="E1262" s="25">
        <v>45450</v>
      </c>
      <c r="F1262" s="26" t="s">
        <v>1</v>
      </c>
    </row>
    <row r="1263" spans="1:6" ht="16.8" customHeight="1" x14ac:dyDescent="0.3">
      <c r="A1263" s="20">
        <v>42860</v>
      </c>
      <c r="B1263" s="31" t="s">
        <v>325</v>
      </c>
      <c r="C1263" s="31" t="s">
        <v>572</v>
      </c>
      <c r="D1263" s="31" t="s">
        <v>437</v>
      </c>
      <c r="E1263" s="25">
        <v>45442</v>
      </c>
      <c r="F1263" s="26" t="s">
        <v>1</v>
      </c>
    </row>
    <row r="1264" spans="1:6" ht="16.8" customHeight="1" x14ac:dyDescent="0.3">
      <c r="A1264" s="20">
        <v>42861</v>
      </c>
      <c r="B1264" s="31" t="s">
        <v>573</v>
      </c>
      <c r="C1264" s="31" t="s">
        <v>574</v>
      </c>
      <c r="D1264" s="31" t="s">
        <v>121</v>
      </c>
      <c r="E1264" s="25">
        <v>45448</v>
      </c>
      <c r="F1264" s="26" t="s">
        <v>4</v>
      </c>
    </row>
    <row r="1265" spans="1:6" ht="16.8" customHeight="1" x14ac:dyDescent="0.3">
      <c r="A1265" s="20">
        <v>42862</v>
      </c>
      <c r="B1265" s="31" t="s">
        <v>251</v>
      </c>
      <c r="C1265" s="31"/>
      <c r="D1265" s="31" t="s">
        <v>575</v>
      </c>
      <c r="E1265" s="25">
        <v>45435</v>
      </c>
      <c r="F1265" s="26" t="s">
        <v>1</v>
      </c>
    </row>
    <row r="1266" spans="1:6" ht="16.8" customHeight="1" x14ac:dyDescent="0.3">
      <c r="A1266" s="20">
        <v>42863</v>
      </c>
      <c r="B1266" s="31" t="s">
        <v>576</v>
      </c>
      <c r="C1266" s="31"/>
      <c r="D1266" s="31" t="s">
        <v>577</v>
      </c>
      <c r="E1266" s="25">
        <v>45442</v>
      </c>
      <c r="F1266" s="26" t="s">
        <v>1</v>
      </c>
    </row>
    <row r="1267" spans="1:6" ht="16.8" customHeight="1" x14ac:dyDescent="0.3">
      <c r="A1267" s="20">
        <v>42864</v>
      </c>
      <c r="B1267" s="31" t="s">
        <v>339</v>
      </c>
      <c r="C1267" s="31" t="s">
        <v>106</v>
      </c>
      <c r="D1267" s="31" t="s">
        <v>578</v>
      </c>
      <c r="E1267" s="25">
        <v>45435</v>
      </c>
      <c r="F1267" s="26" t="s">
        <v>1</v>
      </c>
    </row>
    <row r="1268" spans="1:6" ht="16.8" customHeight="1" x14ac:dyDescent="0.3">
      <c r="A1268" s="20">
        <v>42865</v>
      </c>
      <c r="B1268" s="31" t="s">
        <v>74</v>
      </c>
      <c r="C1268" s="31" t="s">
        <v>579</v>
      </c>
      <c r="D1268" s="31" t="s">
        <v>580</v>
      </c>
      <c r="E1268" s="25">
        <v>45453</v>
      </c>
      <c r="F1268" s="26" t="s">
        <v>2</v>
      </c>
    </row>
    <row r="1269" spans="1:6" ht="16.8" customHeight="1" x14ac:dyDescent="0.3">
      <c r="A1269" s="20">
        <v>42866</v>
      </c>
      <c r="B1269" s="31"/>
      <c r="C1269" s="31"/>
      <c r="D1269" s="31"/>
      <c r="E1269" s="25"/>
      <c r="F1269" s="26"/>
    </row>
    <row r="1270" spans="1:6" ht="16.8" customHeight="1" x14ac:dyDescent="0.3">
      <c r="A1270" s="20">
        <v>42867</v>
      </c>
      <c r="B1270" s="31" t="s">
        <v>62</v>
      </c>
      <c r="C1270" s="31"/>
      <c r="D1270" s="31" t="s">
        <v>27</v>
      </c>
      <c r="E1270" s="25">
        <v>45478</v>
      </c>
      <c r="F1270" s="26" t="s">
        <v>1</v>
      </c>
    </row>
    <row r="1271" spans="1:6" ht="16.8" customHeight="1" x14ac:dyDescent="0.3">
      <c r="A1271" s="20">
        <v>42868</v>
      </c>
      <c r="B1271" s="31" t="s">
        <v>581</v>
      </c>
      <c r="C1271" s="31"/>
      <c r="D1271" s="31" t="s">
        <v>582</v>
      </c>
      <c r="E1271" s="25">
        <v>45448</v>
      </c>
      <c r="F1271" s="26" t="s">
        <v>1</v>
      </c>
    </row>
    <row r="1272" spans="1:6" ht="16.8" customHeight="1" x14ac:dyDescent="0.3">
      <c r="A1272" s="20">
        <v>42869</v>
      </c>
      <c r="B1272" s="31"/>
      <c r="C1272" s="31"/>
      <c r="D1272" s="31"/>
      <c r="E1272" s="25"/>
      <c r="F1272" s="26"/>
    </row>
    <row r="1273" spans="1:6" ht="16.8" customHeight="1" x14ac:dyDescent="0.3">
      <c r="A1273" s="20">
        <v>42870</v>
      </c>
      <c r="B1273" s="31" t="s">
        <v>180</v>
      </c>
      <c r="C1273" s="31" t="s">
        <v>181</v>
      </c>
      <c r="D1273" s="31" t="s">
        <v>583</v>
      </c>
      <c r="E1273" s="25">
        <v>45462</v>
      </c>
      <c r="F1273" s="26" t="s">
        <v>1</v>
      </c>
    </row>
    <row r="1274" spans="1:6" ht="16.8" customHeight="1" x14ac:dyDescent="0.3">
      <c r="A1274" s="20">
        <v>42871</v>
      </c>
      <c r="B1274" s="31" t="s">
        <v>584</v>
      </c>
      <c r="C1274" s="31"/>
      <c r="D1274" s="31" t="s">
        <v>585</v>
      </c>
      <c r="E1274" s="25">
        <v>45442</v>
      </c>
      <c r="F1274" s="26" t="s">
        <v>1</v>
      </c>
    </row>
    <row r="1275" spans="1:6" ht="16.8" customHeight="1" x14ac:dyDescent="0.3">
      <c r="A1275" s="20">
        <v>42872</v>
      </c>
      <c r="B1275" s="31"/>
      <c r="C1275" s="31"/>
      <c r="D1275" s="31"/>
      <c r="E1275" s="25"/>
      <c r="F1275" s="26"/>
    </row>
    <row r="1276" spans="1:6" ht="16.8" customHeight="1" x14ac:dyDescent="0.3">
      <c r="A1276" s="20">
        <v>42873</v>
      </c>
      <c r="B1276" s="31"/>
      <c r="C1276" s="31"/>
      <c r="D1276" s="31"/>
      <c r="E1276" s="25"/>
      <c r="F1276" s="26"/>
    </row>
    <row r="1277" spans="1:6" ht="16.8" customHeight="1" x14ac:dyDescent="0.3">
      <c r="A1277" s="20">
        <v>42874</v>
      </c>
      <c r="B1277" s="31"/>
      <c r="C1277" s="31"/>
      <c r="D1277" s="31"/>
      <c r="E1277" s="25"/>
      <c r="F1277" s="26"/>
    </row>
    <row r="1278" spans="1:6" ht="16.8" customHeight="1" x14ac:dyDescent="0.3">
      <c r="A1278" s="20">
        <v>42875</v>
      </c>
      <c r="B1278" s="31"/>
      <c r="C1278" s="31"/>
      <c r="D1278" s="31"/>
      <c r="E1278" s="25"/>
      <c r="F1278" s="26"/>
    </row>
    <row r="1279" spans="1:6" ht="16.8" customHeight="1" x14ac:dyDescent="0.3">
      <c r="A1279" s="20">
        <v>42876</v>
      </c>
      <c r="B1279" s="31" t="s">
        <v>482</v>
      </c>
      <c r="C1279" s="31" t="s">
        <v>586</v>
      </c>
      <c r="D1279" s="31" t="s">
        <v>121</v>
      </c>
      <c r="E1279" s="25">
        <v>45482</v>
      </c>
      <c r="F1279" s="26" t="s">
        <v>4</v>
      </c>
    </row>
    <row r="1280" spans="1:6" ht="16.8" customHeight="1" x14ac:dyDescent="0.3">
      <c r="A1280" s="20">
        <v>42877</v>
      </c>
      <c r="B1280" s="31" t="s">
        <v>482</v>
      </c>
      <c r="C1280" s="31" t="s">
        <v>587</v>
      </c>
      <c r="D1280" s="31" t="s">
        <v>121</v>
      </c>
      <c r="E1280" s="25">
        <v>45464</v>
      </c>
      <c r="F1280" s="26" t="s">
        <v>4</v>
      </c>
    </row>
    <row r="1281" spans="1:6" ht="16.8" customHeight="1" x14ac:dyDescent="0.3">
      <c r="A1281" s="20">
        <v>42878</v>
      </c>
      <c r="B1281" s="31"/>
      <c r="C1281" s="31"/>
      <c r="D1281" s="31"/>
      <c r="E1281" s="25"/>
      <c r="F1281" s="26"/>
    </row>
    <row r="1282" spans="1:6" ht="16.8" customHeight="1" x14ac:dyDescent="0.3">
      <c r="A1282" s="20">
        <v>42879</v>
      </c>
      <c r="B1282" s="31"/>
      <c r="C1282" s="31"/>
      <c r="D1282" s="31"/>
      <c r="E1282" s="25"/>
      <c r="F1282" s="26"/>
    </row>
    <row r="1283" spans="1:6" ht="16.8" customHeight="1" x14ac:dyDescent="0.3">
      <c r="A1283" s="20">
        <v>42880</v>
      </c>
      <c r="B1283" s="31" t="s">
        <v>426</v>
      </c>
      <c r="C1283" s="31" t="s">
        <v>588</v>
      </c>
      <c r="D1283" s="31" t="s">
        <v>589</v>
      </c>
      <c r="E1283" s="25">
        <v>45565</v>
      </c>
      <c r="F1283" s="26" t="s">
        <v>4</v>
      </c>
    </row>
    <row r="1284" spans="1:6" ht="16.8" customHeight="1" x14ac:dyDescent="0.3">
      <c r="A1284" s="20">
        <v>42881</v>
      </c>
      <c r="B1284" s="31" t="s">
        <v>474</v>
      </c>
      <c r="C1284" s="31"/>
      <c r="D1284" s="31" t="s">
        <v>590</v>
      </c>
      <c r="E1284" s="25">
        <v>45461</v>
      </c>
      <c r="F1284" s="26" t="s">
        <v>3</v>
      </c>
    </row>
    <row r="1285" spans="1:6" ht="16.8" customHeight="1" x14ac:dyDescent="0.3">
      <c r="A1285" s="20">
        <v>42882</v>
      </c>
      <c r="B1285" s="31"/>
      <c r="C1285" s="31"/>
      <c r="D1285" s="31"/>
      <c r="E1285" s="25"/>
      <c r="F1285" s="26" t="s">
        <v>10</v>
      </c>
    </row>
    <row r="1286" spans="1:6" ht="16.8" customHeight="1" x14ac:dyDescent="0.3">
      <c r="A1286" s="20">
        <v>42883</v>
      </c>
      <c r="B1286" s="31" t="s">
        <v>591</v>
      </c>
      <c r="C1286" s="31" t="s">
        <v>200</v>
      </c>
      <c r="D1286" s="31" t="s">
        <v>592</v>
      </c>
      <c r="E1286" s="25"/>
      <c r="F1286" s="26"/>
    </row>
    <row r="1287" spans="1:6" ht="16.8" customHeight="1" x14ac:dyDescent="0.3">
      <c r="A1287" s="20">
        <v>42884</v>
      </c>
      <c r="B1287" s="31" t="s">
        <v>328</v>
      </c>
      <c r="C1287" s="31"/>
      <c r="D1287" s="31" t="s">
        <v>593</v>
      </c>
      <c r="E1287" s="25">
        <v>45442</v>
      </c>
      <c r="F1287" s="26" t="s">
        <v>1</v>
      </c>
    </row>
    <row r="1288" spans="1:6" ht="16.8" customHeight="1" x14ac:dyDescent="0.3">
      <c r="A1288" s="20">
        <v>42885</v>
      </c>
      <c r="B1288" s="31" t="s">
        <v>594</v>
      </c>
      <c r="C1288" s="31" t="s">
        <v>263</v>
      </c>
      <c r="D1288" s="31" t="s">
        <v>595</v>
      </c>
      <c r="E1288" s="25">
        <v>45490</v>
      </c>
      <c r="F1288" s="26" t="s">
        <v>2</v>
      </c>
    </row>
    <row r="1289" spans="1:6" ht="16.8" customHeight="1" x14ac:dyDescent="0.3">
      <c r="A1289" s="20">
        <v>42886</v>
      </c>
      <c r="B1289" s="31" t="s">
        <v>594</v>
      </c>
      <c r="C1289" s="31" t="s">
        <v>596</v>
      </c>
      <c r="D1289" s="31" t="s">
        <v>597</v>
      </c>
      <c r="E1289" s="25">
        <v>45453</v>
      </c>
      <c r="F1289" s="26" t="s">
        <v>2</v>
      </c>
    </row>
    <row r="1290" spans="1:6" ht="16.8" customHeight="1" x14ac:dyDescent="0.3">
      <c r="A1290" s="20">
        <v>42887</v>
      </c>
      <c r="B1290" s="31"/>
      <c r="C1290" s="31"/>
      <c r="D1290" s="31"/>
      <c r="E1290" s="25"/>
      <c r="F1290" s="26"/>
    </row>
    <row r="1291" spans="1:6" ht="16.8" customHeight="1" x14ac:dyDescent="0.3">
      <c r="A1291" s="20">
        <v>42888</v>
      </c>
      <c r="B1291" s="31" t="s">
        <v>41</v>
      </c>
      <c r="C1291" s="31" t="s">
        <v>447</v>
      </c>
      <c r="D1291" s="31" t="s">
        <v>98</v>
      </c>
      <c r="E1291" s="25">
        <v>45559</v>
      </c>
      <c r="F1291" s="26" t="s">
        <v>4</v>
      </c>
    </row>
    <row r="1292" spans="1:6" ht="16.8" customHeight="1" x14ac:dyDescent="0.3">
      <c r="A1292" s="20">
        <v>42889</v>
      </c>
      <c r="B1292" s="31"/>
      <c r="C1292" s="31"/>
      <c r="D1292" s="31"/>
      <c r="E1292" s="25"/>
      <c r="F1292" s="26"/>
    </row>
    <row r="1293" spans="1:6" ht="16.8" customHeight="1" x14ac:dyDescent="0.3">
      <c r="A1293" s="20">
        <v>42890</v>
      </c>
      <c r="B1293" s="31"/>
      <c r="C1293" s="31"/>
      <c r="D1293" s="31"/>
      <c r="E1293" s="25"/>
      <c r="F1293" s="26"/>
    </row>
    <row r="1294" spans="1:6" ht="16.8" customHeight="1" x14ac:dyDescent="0.3">
      <c r="A1294" s="20">
        <v>42891</v>
      </c>
      <c r="B1294" s="31" t="s">
        <v>141</v>
      </c>
      <c r="C1294" s="31" t="s">
        <v>133</v>
      </c>
      <c r="D1294" s="31" t="s">
        <v>598</v>
      </c>
      <c r="E1294" s="25">
        <v>45448</v>
      </c>
      <c r="F1294" s="26" t="s">
        <v>1</v>
      </c>
    </row>
    <row r="1295" spans="1:6" ht="16.8" customHeight="1" x14ac:dyDescent="0.3">
      <c r="A1295" s="20">
        <v>42892</v>
      </c>
      <c r="B1295" s="31" t="s">
        <v>457</v>
      </c>
      <c r="C1295" s="31" t="s">
        <v>599</v>
      </c>
      <c r="D1295" s="31" t="s">
        <v>121</v>
      </c>
      <c r="E1295" s="25">
        <v>45453</v>
      </c>
      <c r="F1295" s="26" t="s">
        <v>4</v>
      </c>
    </row>
    <row r="1296" spans="1:6" ht="16.8" customHeight="1" x14ac:dyDescent="0.3">
      <c r="A1296" s="20">
        <v>42893</v>
      </c>
      <c r="B1296" s="31" t="s">
        <v>600</v>
      </c>
      <c r="C1296" s="31" t="s">
        <v>497</v>
      </c>
      <c r="D1296" s="31" t="s">
        <v>601</v>
      </c>
      <c r="E1296" s="25">
        <v>45448</v>
      </c>
      <c r="F1296" s="26" t="s">
        <v>1</v>
      </c>
    </row>
    <row r="1297" spans="1:6" ht="16.8" customHeight="1" x14ac:dyDescent="0.3">
      <c r="A1297" s="20">
        <v>42894</v>
      </c>
      <c r="B1297" s="31" t="s">
        <v>602</v>
      </c>
      <c r="C1297" s="31" t="s">
        <v>179</v>
      </c>
      <c r="D1297" s="31"/>
      <c r="E1297" s="25">
        <v>45442</v>
      </c>
      <c r="F1297" s="26" t="s">
        <v>2</v>
      </c>
    </row>
    <row r="1298" spans="1:6" ht="16.8" customHeight="1" x14ac:dyDescent="0.3">
      <c r="A1298" s="20">
        <v>42895</v>
      </c>
      <c r="B1298" s="31" t="s">
        <v>90</v>
      </c>
      <c r="C1298" s="31" t="s">
        <v>91</v>
      </c>
      <c r="D1298" s="31" t="s">
        <v>603</v>
      </c>
      <c r="E1298" s="25">
        <v>45450</v>
      </c>
      <c r="F1298" s="26" t="s">
        <v>1</v>
      </c>
    </row>
    <row r="1299" spans="1:6" ht="16.8" customHeight="1" x14ac:dyDescent="0.3">
      <c r="A1299" s="20">
        <v>42896</v>
      </c>
      <c r="B1299" s="31" t="s">
        <v>523</v>
      </c>
      <c r="C1299" s="31" t="s">
        <v>604</v>
      </c>
      <c r="D1299" s="31" t="s">
        <v>605</v>
      </c>
      <c r="E1299" s="25">
        <v>45448</v>
      </c>
      <c r="F1299" s="26" t="s">
        <v>8</v>
      </c>
    </row>
    <row r="1300" spans="1:6" ht="16.8" customHeight="1" x14ac:dyDescent="0.3">
      <c r="A1300" s="20">
        <v>42897</v>
      </c>
      <c r="B1300" s="31" t="s">
        <v>439</v>
      </c>
      <c r="C1300" s="31" t="s">
        <v>440</v>
      </c>
      <c r="D1300" s="31" t="s">
        <v>134</v>
      </c>
      <c r="E1300" s="25">
        <v>45706</v>
      </c>
      <c r="F1300" s="26" t="s">
        <v>4</v>
      </c>
    </row>
    <row r="1301" spans="1:6" ht="16.8" customHeight="1" x14ac:dyDescent="0.3">
      <c r="A1301" s="20">
        <v>42898</v>
      </c>
      <c r="B1301" s="31" t="s">
        <v>41</v>
      </c>
      <c r="C1301" s="31" t="s">
        <v>412</v>
      </c>
      <c r="D1301" s="31" t="s">
        <v>606</v>
      </c>
      <c r="E1301" s="25">
        <v>45561</v>
      </c>
      <c r="F1301" s="26" t="s">
        <v>4</v>
      </c>
    </row>
    <row r="1302" spans="1:6" ht="16.8" customHeight="1" x14ac:dyDescent="0.3">
      <c r="A1302" s="20">
        <v>42899</v>
      </c>
      <c r="B1302" s="31" t="s">
        <v>65</v>
      </c>
      <c r="C1302" s="31" t="s">
        <v>148</v>
      </c>
      <c r="D1302" s="31" t="s">
        <v>607</v>
      </c>
      <c r="E1302" s="25">
        <v>45464</v>
      </c>
      <c r="F1302" s="26" t="s">
        <v>1</v>
      </c>
    </row>
    <row r="1303" spans="1:6" ht="16.8" customHeight="1" x14ac:dyDescent="0.3">
      <c r="A1303" s="20">
        <v>42900</v>
      </c>
      <c r="B1303" s="31" t="s">
        <v>608</v>
      </c>
      <c r="C1303" s="31" t="s">
        <v>133</v>
      </c>
      <c r="D1303" s="31" t="s">
        <v>609</v>
      </c>
      <c r="E1303" s="25">
        <v>45450</v>
      </c>
      <c r="F1303" s="26" t="s">
        <v>1</v>
      </c>
    </row>
    <row r="1304" spans="1:6" ht="16.8" customHeight="1" x14ac:dyDescent="0.3">
      <c r="A1304" s="20">
        <v>42901</v>
      </c>
      <c r="B1304" s="31"/>
      <c r="C1304" s="31"/>
      <c r="D1304" s="31"/>
      <c r="E1304" s="25"/>
      <c r="F1304" s="26"/>
    </row>
    <row r="1305" spans="1:6" ht="16.8" customHeight="1" x14ac:dyDescent="0.3">
      <c r="A1305" s="20">
        <v>42902</v>
      </c>
      <c r="B1305" s="31"/>
      <c r="C1305" s="31"/>
      <c r="D1305" s="31"/>
      <c r="E1305" s="25"/>
      <c r="F1305" s="26"/>
    </row>
    <row r="1306" spans="1:6" ht="16.8" customHeight="1" x14ac:dyDescent="0.3">
      <c r="A1306" s="20">
        <v>42903</v>
      </c>
      <c r="B1306" s="31"/>
      <c r="C1306" s="31"/>
      <c r="D1306" s="31"/>
      <c r="E1306" s="25"/>
      <c r="F1306" s="26"/>
    </row>
    <row r="1307" spans="1:6" ht="16.8" customHeight="1" x14ac:dyDescent="0.3">
      <c r="A1307" s="20">
        <v>42904</v>
      </c>
      <c r="B1307" s="31" t="s">
        <v>610</v>
      </c>
      <c r="C1307" s="31"/>
      <c r="D1307" s="31" t="s">
        <v>27</v>
      </c>
      <c r="E1307" s="25">
        <v>45450</v>
      </c>
      <c r="F1307" s="26" t="s">
        <v>1</v>
      </c>
    </row>
    <row r="1308" spans="1:6" ht="16.8" customHeight="1" x14ac:dyDescent="0.3">
      <c r="A1308" s="20">
        <v>42905</v>
      </c>
      <c r="B1308" s="31" t="s">
        <v>611</v>
      </c>
      <c r="C1308" s="31" t="s">
        <v>612</v>
      </c>
      <c r="D1308" s="31" t="s">
        <v>613</v>
      </c>
      <c r="E1308" s="25">
        <v>45559</v>
      </c>
      <c r="F1308" s="26" t="s">
        <v>2</v>
      </c>
    </row>
    <row r="1309" spans="1:6" ht="16.8" customHeight="1" x14ac:dyDescent="0.3">
      <c r="A1309" s="20">
        <v>42906</v>
      </c>
      <c r="B1309" s="31"/>
      <c r="C1309" s="31"/>
      <c r="D1309" s="31"/>
      <c r="E1309" s="25"/>
      <c r="F1309" s="26"/>
    </row>
    <row r="1310" spans="1:6" ht="16.8" customHeight="1" x14ac:dyDescent="0.3">
      <c r="A1310" s="20">
        <v>42907</v>
      </c>
      <c r="B1310" s="31" t="s">
        <v>614</v>
      </c>
      <c r="C1310" s="31" t="s">
        <v>227</v>
      </c>
      <c r="D1310" s="31" t="s">
        <v>615</v>
      </c>
      <c r="E1310" s="25">
        <v>45450</v>
      </c>
      <c r="F1310" s="26" t="s">
        <v>1</v>
      </c>
    </row>
    <row r="1311" spans="1:6" ht="16.8" customHeight="1" x14ac:dyDescent="0.3">
      <c r="A1311" s="20">
        <v>42908</v>
      </c>
      <c r="B1311" s="31"/>
      <c r="C1311" s="31"/>
      <c r="D1311" s="31"/>
      <c r="E1311" s="25"/>
      <c r="F1311" s="26" t="s">
        <v>10</v>
      </c>
    </row>
    <row r="1312" spans="1:6" ht="16.8" customHeight="1" x14ac:dyDescent="0.3">
      <c r="A1312" s="20">
        <v>42909</v>
      </c>
      <c r="B1312" s="31" t="s">
        <v>616</v>
      </c>
      <c r="C1312" s="31" t="s">
        <v>179</v>
      </c>
      <c r="D1312" s="31" t="s">
        <v>617</v>
      </c>
      <c r="E1312" s="25">
        <v>45530</v>
      </c>
      <c r="F1312" s="26" t="s">
        <v>1</v>
      </c>
    </row>
    <row r="1313" spans="1:6" ht="16.8" customHeight="1" x14ac:dyDescent="0.3">
      <c r="A1313" s="20">
        <v>42910</v>
      </c>
      <c r="B1313" s="31" t="s">
        <v>594</v>
      </c>
      <c r="C1313" s="31" t="s">
        <v>263</v>
      </c>
      <c r="D1313" s="31" t="s">
        <v>618</v>
      </c>
      <c r="E1313" s="25">
        <v>45490</v>
      </c>
      <c r="F1313" s="26" t="s">
        <v>2</v>
      </c>
    </row>
    <row r="1314" spans="1:6" ht="16.8" customHeight="1" x14ac:dyDescent="0.3">
      <c r="A1314" s="20">
        <v>42911</v>
      </c>
      <c r="B1314" s="31" t="s">
        <v>619</v>
      </c>
      <c r="C1314" s="31" t="s">
        <v>232</v>
      </c>
      <c r="D1314" s="31" t="s">
        <v>620</v>
      </c>
      <c r="E1314" s="25">
        <v>45482</v>
      </c>
      <c r="F1314" s="26" t="s">
        <v>2</v>
      </c>
    </row>
    <row r="1315" spans="1:6" ht="16.8" customHeight="1" x14ac:dyDescent="0.3">
      <c r="A1315" s="20">
        <v>42912</v>
      </c>
      <c r="B1315" s="31"/>
      <c r="C1315" s="31"/>
      <c r="D1315" s="31"/>
      <c r="E1315" s="25"/>
      <c r="F1315" s="26"/>
    </row>
    <row r="1316" spans="1:6" ht="16.8" customHeight="1" x14ac:dyDescent="0.3">
      <c r="A1316" s="20">
        <v>42913</v>
      </c>
      <c r="B1316" s="31" t="s">
        <v>239</v>
      </c>
      <c r="C1316" s="31" t="s">
        <v>240</v>
      </c>
      <c r="D1316" s="31" t="s">
        <v>621</v>
      </c>
      <c r="E1316" s="25">
        <v>45544</v>
      </c>
      <c r="F1316" s="26" t="s">
        <v>1</v>
      </c>
    </row>
    <row r="1317" spans="1:6" ht="16.8" customHeight="1" x14ac:dyDescent="0.3">
      <c r="A1317" s="20">
        <v>42914</v>
      </c>
      <c r="B1317" s="31" t="s">
        <v>342</v>
      </c>
      <c r="C1317" s="31"/>
      <c r="D1317" s="31" t="s">
        <v>462</v>
      </c>
      <c r="E1317" s="25">
        <v>45450</v>
      </c>
      <c r="F1317" s="26" t="s">
        <v>8</v>
      </c>
    </row>
    <row r="1318" spans="1:6" ht="16.8" customHeight="1" x14ac:dyDescent="0.3">
      <c r="A1318" s="20">
        <v>42915</v>
      </c>
      <c r="B1318" s="31" t="s">
        <v>622</v>
      </c>
      <c r="C1318" s="31" t="s">
        <v>623</v>
      </c>
      <c r="D1318" s="31" t="s">
        <v>624</v>
      </c>
      <c r="E1318" s="25">
        <v>45448</v>
      </c>
      <c r="F1318" s="26" t="s">
        <v>1</v>
      </c>
    </row>
    <row r="1319" spans="1:6" ht="16.8" customHeight="1" x14ac:dyDescent="0.3">
      <c r="A1319" s="20">
        <v>42916</v>
      </c>
      <c r="B1319" s="31"/>
      <c r="C1319" s="31"/>
      <c r="D1319" s="31"/>
      <c r="E1319" s="25"/>
      <c r="F1319" s="26"/>
    </row>
    <row r="1320" spans="1:6" ht="16.8" customHeight="1" x14ac:dyDescent="0.3">
      <c r="A1320" s="20">
        <v>42917</v>
      </c>
      <c r="B1320" s="31"/>
      <c r="C1320" s="31"/>
      <c r="D1320" s="31"/>
      <c r="E1320" s="25"/>
      <c r="F1320" s="26"/>
    </row>
    <row r="1321" spans="1:6" ht="16.8" customHeight="1" x14ac:dyDescent="0.3">
      <c r="A1321" s="20">
        <v>42918</v>
      </c>
      <c r="B1321" s="31"/>
      <c r="C1321" s="31"/>
      <c r="D1321" s="31"/>
      <c r="E1321" s="25"/>
      <c r="F1321" s="26"/>
    </row>
    <row r="1322" spans="1:6" ht="16.8" customHeight="1" x14ac:dyDescent="0.3">
      <c r="A1322" s="20">
        <v>42919</v>
      </c>
      <c r="B1322" s="31" t="s">
        <v>86</v>
      </c>
      <c r="C1322" s="31" t="s">
        <v>45</v>
      </c>
      <c r="D1322" s="31" t="s">
        <v>58</v>
      </c>
      <c r="E1322" s="25">
        <v>45457</v>
      </c>
      <c r="F1322" s="26" t="s">
        <v>1</v>
      </c>
    </row>
    <row r="1323" spans="1:6" ht="16.8" customHeight="1" x14ac:dyDescent="0.3">
      <c r="A1323" s="20">
        <v>42920</v>
      </c>
      <c r="B1323" s="31" t="s">
        <v>195</v>
      </c>
      <c r="C1323" s="31" t="s">
        <v>625</v>
      </c>
      <c r="D1323" s="31" t="s">
        <v>626</v>
      </c>
      <c r="E1323" s="25">
        <v>45482</v>
      </c>
      <c r="F1323" s="26" t="s">
        <v>2</v>
      </c>
    </row>
    <row r="1324" spans="1:6" ht="16.8" customHeight="1" x14ac:dyDescent="0.3">
      <c r="A1324" s="20">
        <v>42921</v>
      </c>
      <c r="B1324" s="31" t="s">
        <v>627</v>
      </c>
      <c r="C1324" s="31" t="s">
        <v>628</v>
      </c>
      <c r="D1324" s="31" t="s">
        <v>554</v>
      </c>
      <c r="E1324" s="25">
        <v>45448</v>
      </c>
      <c r="F1324" s="26" t="s">
        <v>1</v>
      </c>
    </row>
    <row r="1325" spans="1:6" ht="16.8" customHeight="1" x14ac:dyDescent="0.3">
      <c r="A1325" s="20">
        <v>42922</v>
      </c>
      <c r="B1325" s="31" t="s">
        <v>291</v>
      </c>
      <c r="C1325" s="31" t="s">
        <v>629</v>
      </c>
      <c r="D1325" s="31" t="s">
        <v>121</v>
      </c>
      <c r="E1325" s="25">
        <v>45490</v>
      </c>
      <c r="F1325" s="26" t="s">
        <v>4</v>
      </c>
    </row>
    <row r="1326" spans="1:6" ht="16.8" customHeight="1" x14ac:dyDescent="0.3">
      <c r="A1326" s="20">
        <v>42923</v>
      </c>
      <c r="B1326" s="31" t="s">
        <v>576</v>
      </c>
      <c r="C1326" s="31"/>
      <c r="D1326" s="31" t="s">
        <v>585</v>
      </c>
      <c r="E1326" s="25">
        <v>45448</v>
      </c>
      <c r="F1326" s="26" t="s">
        <v>1</v>
      </c>
    </row>
    <row r="1327" spans="1:6" ht="16.8" customHeight="1" x14ac:dyDescent="0.3">
      <c r="A1327" s="20">
        <v>42924</v>
      </c>
      <c r="B1327" s="31" t="s">
        <v>630</v>
      </c>
      <c r="C1327" s="31" t="s">
        <v>631</v>
      </c>
      <c r="D1327" s="31" t="s">
        <v>632</v>
      </c>
      <c r="E1327" s="25">
        <v>45587</v>
      </c>
      <c r="F1327" s="26" t="s">
        <v>1</v>
      </c>
    </row>
    <row r="1328" spans="1:6" ht="16.8" customHeight="1" x14ac:dyDescent="0.3">
      <c r="A1328" s="20">
        <v>42925</v>
      </c>
      <c r="B1328" s="31" t="s">
        <v>187</v>
      </c>
      <c r="C1328" s="31" t="s">
        <v>106</v>
      </c>
      <c r="D1328" s="31" t="s">
        <v>633</v>
      </c>
      <c r="E1328" s="25">
        <v>45448</v>
      </c>
      <c r="F1328" s="26" t="s">
        <v>1</v>
      </c>
    </row>
    <row r="1329" spans="1:6" ht="16.8" customHeight="1" x14ac:dyDescent="0.3">
      <c r="A1329" s="20">
        <v>42926</v>
      </c>
      <c r="B1329" s="31" t="s">
        <v>150</v>
      </c>
      <c r="C1329" s="31" t="s">
        <v>497</v>
      </c>
      <c r="D1329" s="31" t="s">
        <v>634</v>
      </c>
      <c r="E1329" s="25">
        <v>45450</v>
      </c>
      <c r="F1329" s="26" t="s">
        <v>1</v>
      </c>
    </row>
    <row r="1330" spans="1:6" ht="16.8" customHeight="1" x14ac:dyDescent="0.3">
      <c r="A1330" s="20">
        <v>42927</v>
      </c>
      <c r="B1330" s="31" t="s">
        <v>635</v>
      </c>
      <c r="C1330" s="31" t="s">
        <v>636</v>
      </c>
      <c r="D1330" s="31" t="s">
        <v>637</v>
      </c>
      <c r="E1330" s="25">
        <v>45462</v>
      </c>
      <c r="F1330" s="26" t="s">
        <v>4</v>
      </c>
    </row>
    <row r="1331" spans="1:6" ht="16.8" customHeight="1" x14ac:dyDescent="0.3">
      <c r="A1331" s="20">
        <v>42928</v>
      </c>
      <c r="B1331" s="31" t="s">
        <v>638</v>
      </c>
      <c r="C1331" s="31"/>
      <c r="D1331" s="31" t="s">
        <v>554</v>
      </c>
      <c r="E1331" s="25">
        <v>45448</v>
      </c>
      <c r="F1331" s="26" t="s">
        <v>1</v>
      </c>
    </row>
    <row r="1332" spans="1:6" ht="16.8" customHeight="1" x14ac:dyDescent="0.3">
      <c r="A1332" s="20">
        <v>42929</v>
      </c>
      <c r="B1332" s="31" t="s">
        <v>639</v>
      </c>
      <c r="C1332" s="31" t="s">
        <v>106</v>
      </c>
      <c r="D1332" s="31" t="s">
        <v>640</v>
      </c>
      <c r="E1332" s="25">
        <v>45530</v>
      </c>
      <c r="F1332" s="26" t="s">
        <v>1</v>
      </c>
    </row>
    <row r="1333" spans="1:6" ht="16.8" customHeight="1" x14ac:dyDescent="0.3">
      <c r="A1333" s="20">
        <v>42930</v>
      </c>
      <c r="B1333" s="31" t="s">
        <v>460</v>
      </c>
      <c r="C1333" s="31" t="s">
        <v>461</v>
      </c>
      <c r="D1333" s="31" t="s">
        <v>641</v>
      </c>
      <c r="E1333" s="25">
        <v>45559</v>
      </c>
      <c r="F1333" s="26" t="s">
        <v>4</v>
      </c>
    </row>
    <row r="1334" spans="1:6" ht="16.8" customHeight="1" x14ac:dyDescent="0.3">
      <c r="A1334" s="20">
        <v>42931</v>
      </c>
      <c r="B1334" s="31"/>
      <c r="C1334" s="31"/>
      <c r="D1334" s="31"/>
      <c r="E1334" s="25"/>
      <c r="F1334" s="26"/>
    </row>
    <row r="1335" spans="1:6" ht="16.8" customHeight="1" x14ac:dyDescent="0.3">
      <c r="A1335" s="20">
        <v>42932</v>
      </c>
      <c r="B1335" s="31"/>
      <c r="C1335" s="31"/>
      <c r="D1335" s="31"/>
      <c r="E1335" s="25"/>
      <c r="F1335" s="26"/>
    </row>
    <row r="1336" spans="1:6" ht="16.8" customHeight="1" x14ac:dyDescent="0.3">
      <c r="A1336" s="20">
        <v>42933</v>
      </c>
      <c r="B1336" s="31" t="s">
        <v>71</v>
      </c>
      <c r="C1336" s="31" t="s">
        <v>642</v>
      </c>
      <c r="D1336" s="31" t="s">
        <v>643</v>
      </c>
      <c r="E1336" s="25">
        <v>45450</v>
      </c>
      <c r="F1336" s="26" t="s">
        <v>1</v>
      </c>
    </row>
    <row r="1337" spans="1:6" ht="16.8" customHeight="1" x14ac:dyDescent="0.3">
      <c r="A1337" s="20">
        <v>42934</v>
      </c>
      <c r="B1337" s="31" t="s">
        <v>644</v>
      </c>
      <c r="C1337" s="31"/>
      <c r="D1337" s="31" t="s">
        <v>645</v>
      </c>
      <c r="E1337" s="25">
        <v>45450</v>
      </c>
      <c r="F1337" s="26" t="s">
        <v>1</v>
      </c>
    </row>
    <row r="1338" spans="1:6" ht="16.8" customHeight="1" x14ac:dyDescent="0.3">
      <c r="A1338" s="20">
        <v>42935</v>
      </c>
      <c r="B1338" s="31" t="s">
        <v>187</v>
      </c>
      <c r="C1338" s="31" t="s">
        <v>148</v>
      </c>
      <c r="D1338" s="31" t="s">
        <v>646</v>
      </c>
      <c r="E1338" s="25">
        <v>45453</v>
      </c>
      <c r="F1338" s="26" t="s">
        <v>3</v>
      </c>
    </row>
    <row r="1339" spans="1:6" ht="16.8" customHeight="1" x14ac:dyDescent="0.3">
      <c r="A1339" s="20">
        <v>42936</v>
      </c>
      <c r="B1339" s="31"/>
      <c r="C1339" s="31"/>
      <c r="D1339" s="31"/>
      <c r="E1339" s="25"/>
      <c r="F1339" s="26"/>
    </row>
    <row r="1340" spans="1:6" ht="16.8" customHeight="1" x14ac:dyDescent="0.3">
      <c r="A1340" s="20">
        <v>42937</v>
      </c>
      <c r="B1340" s="31"/>
      <c r="C1340" s="31"/>
      <c r="D1340" s="31"/>
      <c r="E1340" s="25"/>
      <c r="F1340" s="26"/>
    </row>
    <row r="1341" spans="1:6" ht="16.8" customHeight="1" x14ac:dyDescent="0.3">
      <c r="A1341" s="20">
        <v>42938</v>
      </c>
      <c r="B1341" s="31" t="s">
        <v>647</v>
      </c>
      <c r="C1341" s="31" t="s">
        <v>648</v>
      </c>
      <c r="D1341" s="31" t="s">
        <v>649</v>
      </c>
      <c r="E1341" s="25">
        <v>45457</v>
      </c>
      <c r="F1341" s="26" t="s">
        <v>1</v>
      </c>
    </row>
    <row r="1342" spans="1:6" ht="16.8" customHeight="1" x14ac:dyDescent="0.3">
      <c r="A1342" s="20">
        <v>42939</v>
      </c>
      <c r="B1342" s="31" t="s">
        <v>439</v>
      </c>
      <c r="C1342" s="31" t="s">
        <v>650</v>
      </c>
      <c r="D1342" s="31" t="s">
        <v>649</v>
      </c>
      <c r="E1342" s="25">
        <v>45457</v>
      </c>
      <c r="F1342" s="26" t="s">
        <v>2</v>
      </c>
    </row>
    <row r="1343" spans="1:6" ht="16.8" customHeight="1" x14ac:dyDescent="0.3">
      <c r="A1343" s="20">
        <v>42940</v>
      </c>
      <c r="B1343" s="31" t="s">
        <v>49</v>
      </c>
      <c r="C1343" s="31" t="s">
        <v>148</v>
      </c>
      <c r="D1343" s="31" t="s">
        <v>651</v>
      </c>
      <c r="E1343" s="25">
        <v>45450</v>
      </c>
      <c r="F1343" s="26" t="s">
        <v>1</v>
      </c>
    </row>
    <row r="1344" spans="1:6" ht="16.8" customHeight="1" x14ac:dyDescent="0.3">
      <c r="A1344" s="20">
        <v>42941</v>
      </c>
      <c r="B1344" s="31" t="s">
        <v>246</v>
      </c>
      <c r="C1344" s="31" t="s">
        <v>247</v>
      </c>
      <c r="D1344" s="31" t="s">
        <v>640</v>
      </c>
      <c r="E1344" s="25">
        <v>45464</v>
      </c>
      <c r="F1344" s="26" t="s">
        <v>1</v>
      </c>
    </row>
    <row r="1345" spans="1:6" ht="16.8" customHeight="1" x14ac:dyDescent="0.3">
      <c r="A1345" s="20">
        <v>42942</v>
      </c>
      <c r="B1345" s="31" t="s">
        <v>652</v>
      </c>
      <c r="C1345" s="31"/>
      <c r="D1345" s="31" t="s">
        <v>27</v>
      </c>
      <c r="E1345" s="25">
        <v>45450</v>
      </c>
      <c r="F1345" s="26" t="s">
        <v>1</v>
      </c>
    </row>
    <row r="1346" spans="1:6" ht="16.8" customHeight="1" x14ac:dyDescent="0.3">
      <c r="A1346" s="20">
        <v>42943</v>
      </c>
      <c r="B1346" s="31" t="s">
        <v>653</v>
      </c>
      <c r="C1346" s="31" t="s">
        <v>654</v>
      </c>
      <c r="D1346" s="31" t="s">
        <v>126</v>
      </c>
      <c r="E1346" s="25">
        <v>45464</v>
      </c>
      <c r="F1346" s="26" t="s">
        <v>1</v>
      </c>
    </row>
    <row r="1347" spans="1:6" ht="16.8" customHeight="1" x14ac:dyDescent="0.3">
      <c r="A1347" s="20">
        <v>42944</v>
      </c>
      <c r="B1347" s="31"/>
      <c r="C1347" s="31"/>
      <c r="D1347" s="31"/>
      <c r="E1347" s="25"/>
      <c r="F1347" s="26"/>
    </row>
    <row r="1348" spans="1:6" ht="16.8" customHeight="1" x14ac:dyDescent="0.3">
      <c r="A1348" s="20">
        <v>42945</v>
      </c>
      <c r="B1348" s="31"/>
      <c r="C1348" s="31"/>
      <c r="D1348" s="31"/>
      <c r="E1348" s="25"/>
      <c r="F1348" s="26" t="s">
        <v>10</v>
      </c>
    </row>
    <row r="1349" spans="1:6" ht="16.8" customHeight="1" x14ac:dyDescent="0.3">
      <c r="A1349" s="20">
        <v>42946</v>
      </c>
      <c r="B1349" s="31" t="s">
        <v>259</v>
      </c>
      <c r="C1349" s="31" t="s">
        <v>63</v>
      </c>
      <c r="D1349" s="31" t="s">
        <v>655</v>
      </c>
      <c r="E1349" s="25">
        <v>45464</v>
      </c>
      <c r="F1349" s="26" t="s">
        <v>2</v>
      </c>
    </row>
    <row r="1350" spans="1:6" ht="16.8" customHeight="1" x14ac:dyDescent="0.3">
      <c r="A1350" s="20">
        <v>42947</v>
      </c>
      <c r="B1350" s="31" t="s">
        <v>41</v>
      </c>
      <c r="C1350" s="31" t="s">
        <v>75</v>
      </c>
      <c r="D1350" s="31" t="s">
        <v>121</v>
      </c>
      <c r="E1350" s="25">
        <v>45559</v>
      </c>
      <c r="F1350" s="26" t="s">
        <v>4</v>
      </c>
    </row>
    <row r="1351" spans="1:6" ht="16.8" customHeight="1" x14ac:dyDescent="0.3">
      <c r="A1351" s="20">
        <v>42948</v>
      </c>
      <c r="B1351" s="31"/>
      <c r="C1351" s="31"/>
      <c r="D1351" s="31"/>
      <c r="E1351" s="25"/>
      <c r="F1351" s="26"/>
    </row>
    <row r="1352" spans="1:6" ht="16.8" customHeight="1" x14ac:dyDescent="0.3">
      <c r="A1352" s="20">
        <v>42949</v>
      </c>
      <c r="B1352" s="31" t="s">
        <v>41</v>
      </c>
      <c r="C1352" s="31" t="s">
        <v>656</v>
      </c>
      <c r="D1352" s="31" t="s">
        <v>425</v>
      </c>
      <c r="E1352" s="25">
        <v>45544</v>
      </c>
      <c r="F1352" s="26" t="s">
        <v>4</v>
      </c>
    </row>
    <row r="1353" spans="1:6" ht="16.8" customHeight="1" x14ac:dyDescent="0.3">
      <c r="A1353" s="20">
        <v>42950</v>
      </c>
      <c r="B1353" s="31"/>
      <c r="C1353" s="31"/>
      <c r="D1353" s="31"/>
      <c r="E1353" s="25"/>
      <c r="F1353" s="26"/>
    </row>
    <row r="1354" spans="1:6" ht="16.8" customHeight="1" x14ac:dyDescent="0.3">
      <c r="A1354" s="20">
        <v>42951</v>
      </c>
      <c r="B1354" s="31"/>
      <c r="C1354" s="31"/>
      <c r="D1354" s="31"/>
      <c r="E1354" s="25"/>
      <c r="F1354" s="26"/>
    </row>
    <row r="1355" spans="1:6" ht="16.8" customHeight="1" x14ac:dyDescent="0.3">
      <c r="A1355" s="20">
        <v>42952</v>
      </c>
      <c r="B1355" s="31"/>
      <c r="C1355" s="31"/>
      <c r="D1355" s="31"/>
      <c r="E1355" s="25"/>
      <c r="F1355" s="26"/>
    </row>
    <row r="1356" spans="1:6" ht="16.8" customHeight="1" x14ac:dyDescent="0.3">
      <c r="A1356" s="20">
        <v>42953</v>
      </c>
      <c r="B1356" s="31"/>
      <c r="C1356" s="31"/>
      <c r="D1356" s="31"/>
      <c r="E1356" s="25"/>
      <c r="F1356" s="26"/>
    </row>
    <row r="1357" spans="1:6" ht="16.8" customHeight="1" x14ac:dyDescent="0.3">
      <c r="A1357" s="20">
        <v>42954</v>
      </c>
      <c r="B1357" s="31" t="s">
        <v>657</v>
      </c>
      <c r="C1357" s="31" t="s">
        <v>658</v>
      </c>
      <c r="D1357" s="31"/>
      <c r="E1357" s="25"/>
      <c r="F1357" s="26"/>
    </row>
    <row r="1358" spans="1:6" ht="16.8" customHeight="1" x14ac:dyDescent="0.3">
      <c r="A1358" s="20">
        <v>42955</v>
      </c>
      <c r="B1358" s="31" t="s">
        <v>659</v>
      </c>
      <c r="C1358" s="31"/>
      <c r="D1358" s="31" t="s">
        <v>660</v>
      </c>
      <c r="E1358" s="25">
        <v>45453</v>
      </c>
      <c r="F1358" s="26" t="s">
        <v>1</v>
      </c>
    </row>
    <row r="1359" spans="1:6" ht="16.8" customHeight="1" x14ac:dyDescent="0.3">
      <c r="A1359" s="20">
        <v>42956</v>
      </c>
      <c r="B1359" s="31" t="s">
        <v>661</v>
      </c>
      <c r="C1359" s="31" t="s">
        <v>442</v>
      </c>
      <c r="D1359" s="31" t="s">
        <v>662</v>
      </c>
      <c r="E1359" s="25">
        <v>45464</v>
      </c>
      <c r="F1359" s="26" t="s">
        <v>1</v>
      </c>
    </row>
    <row r="1360" spans="1:6" ht="16.8" customHeight="1" x14ac:dyDescent="0.3">
      <c r="A1360" s="20">
        <v>42957</v>
      </c>
      <c r="B1360" s="31" t="s">
        <v>516</v>
      </c>
      <c r="C1360" s="31" t="s">
        <v>63</v>
      </c>
      <c r="D1360" s="31" t="s">
        <v>663</v>
      </c>
      <c r="E1360" s="25">
        <v>45469</v>
      </c>
      <c r="F1360" s="26" t="s">
        <v>2</v>
      </c>
    </row>
    <row r="1361" spans="1:6" ht="16.8" customHeight="1" x14ac:dyDescent="0.3">
      <c r="A1361" s="20">
        <v>42958</v>
      </c>
      <c r="B1361" s="31" t="s">
        <v>664</v>
      </c>
      <c r="C1361" s="31"/>
      <c r="D1361" s="31" t="s">
        <v>27</v>
      </c>
      <c r="E1361" s="25">
        <v>45482</v>
      </c>
      <c r="F1361" s="26" t="s">
        <v>1</v>
      </c>
    </row>
    <row r="1362" spans="1:6" ht="16.8" customHeight="1" x14ac:dyDescent="0.3">
      <c r="A1362" s="20">
        <v>42959</v>
      </c>
      <c r="B1362" s="31" t="s">
        <v>251</v>
      </c>
      <c r="C1362" s="31" t="s">
        <v>665</v>
      </c>
      <c r="D1362" s="31" t="s">
        <v>480</v>
      </c>
      <c r="E1362" s="25">
        <v>45553</v>
      </c>
      <c r="F1362" s="26" t="s">
        <v>1</v>
      </c>
    </row>
    <row r="1363" spans="1:6" ht="16.8" customHeight="1" x14ac:dyDescent="0.3">
      <c r="A1363" s="20">
        <v>42960</v>
      </c>
      <c r="B1363" s="31"/>
      <c r="C1363" s="31"/>
      <c r="D1363" s="31"/>
      <c r="E1363" s="25"/>
      <c r="F1363" s="26"/>
    </row>
    <row r="1364" spans="1:6" ht="16.8" customHeight="1" x14ac:dyDescent="0.3">
      <c r="A1364" s="20">
        <v>42961</v>
      </c>
      <c r="B1364" s="31" t="s">
        <v>666</v>
      </c>
      <c r="C1364" s="31"/>
      <c r="D1364" s="31" t="s">
        <v>667</v>
      </c>
      <c r="E1364" s="25">
        <v>45457</v>
      </c>
      <c r="F1364" s="26" t="s">
        <v>1</v>
      </c>
    </row>
    <row r="1365" spans="1:6" ht="16.8" customHeight="1" x14ac:dyDescent="0.3">
      <c r="A1365" s="20">
        <v>42962</v>
      </c>
      <c r="B1365" s="31" t="s">
        <v>486</v>
      </c>
      <c r="C1365" s="31" t="s">
        <v>668</v>
      </c>
      <c r="D1365" s="31" t="s">
        <v>121</v>
      </c>
      <c r="E1365" s="25">
        <v>45561</v>
      </c>
      <c r="F1365" s="26" t="s">
        <v>4</v>
      </c>
    </row>
    <row r="1366" spans="1:6" ht="16.8" customHeight="1" x14ac:dyDescent="0.3">
      <c r="A1366" s="20">
        <v>42963</v>
      </c>
      <c r="B1366" s="31" t="s">
        <v>669</v>
      </c>
      <c r="C1366" s="31"/>
      <c r="D1366" s="31" t="s">
        <v>670</v>
      </c>
      <c r="E1366" s="25">
        <v>45457</v>
      </c>
      <c r="F1366" s="26" t="s">
        <v>1</v>
      </c>
    </row>
    <row r="1367" spans="1:6" ht="16.8" customHeight="1" x14ac:dyDescent="0.3">
      <c r="A1367" s="20">
        <v>42964</v>
      </c>
      <c r="B1367" s="31" t="s">
        <v>286</v>
      </c>
      <c r="C1367" s="31" t="s">
        <v>45</v>
      </c>
      <c r="D1367" s="31" t="s">
        <v>671</v>
      </c>
      <c r="E1367" s="25">
        <v>45463</v>
      </c>
      <c r="F1367" s="26" t="s">
        <v>1</v>
      </c>
    </row>
    <row r="1368" spans="1:6" ht="16.8" customHeight="1" x14ac:dyDescent="0.3">
      <c r="A1368" s="20">
        <v>42965</v>
      </c>
      <c r="B1368" s="31" t="s">
        <v>292</v>
      </c>
      <c r="C1368" s="31" t="s">
        <v>293</v>
      </c>
      <c r="D1368" s="31" t="s">
        <v>64</v>
      </c>
      <c r="E1368" s="25">
        <v>45464</v>
      </c>
      <c r="F1368" s="26" t="s">
        <v>3</v>
      </c>
    </row>
    <row r="1369" spans="1:6" ht="16.8" customHeight="1" x14ac:dyDescent="0.3">
      <c r="A1369" s="20">
        <v>42966</v>
      </c>
      <c r="B1369" s="31" t="s">
        <v>672</v>
      </c>
      <c r="C1369" s="31" t="s">
        <v>240</v>
      </c>
      <c r="D1369" s="31" t="s">
        <v>673</v>
      </c>
      <c r="E1369" s="25">
        <v>45464</v>
      </c>
      <c r="F1369" s="26" t="s">
        <v>1</v>
      </c>
    </row>
    <row r="1370" spans="1:6" ht="16.8" customHeight="1" x14ac:dyDescent="0.3">
      <c r="A1370" s="20">
        <v>42967</v>
      </c>
      <c r="B1370" s="31"/>
      <c r="C1370" s="31"/>
      <c r="D1370" s="31"/>
      <c r="E1370" s="25"/>
      <c r="F1370" s="26"/>
    </row>
    <row r="1371" spans="1:6" ht="16.8" customHeight="1" x14ac:dyDescent="0.3">
      <c r="A1371" s="20">
        <v>42968</v>
      </c>
      <c r="B1371" s="31"/>
      <c r="C1371" s="31"/>
      <c r="D1371" s="31"/>
      <c r="E1371" s="25"/>
      <c r="F1371" s="26"/>
    </row>
    <row r="1372" spans="1:6" ht="16.8" customHeight="1" x14ac:dyDescent="0.3">
      <c r="A1372" s="20">
        <v>42969</v>
      </c>
      <c r="B1372" s="31" t="s">
        <v>674</v>
      </c>
      <c r="C1372" s="31" t="s">
        <v>675</v>
      </c>
      <c r="D1372" s="31" t="s">
        <v>134</v>
      </c>
      <c r="E1372" s="25">
        <v>45490</v>
      </c>
      <c r="F1372" s="26" t="s">
        <v>1</v>
      </c>
    </row>
    <row r="1373" spans="1:6" ht="16.8" customHeight="1" x14ac:dyDescent="0.3">
      <c r="A1373" s="20">
        <v>42970</v>
      </c>
      <c r="B1373" s="31" t="s">
        <v>676</v>
      </c>
      <c r="C1373" s="31" t="s">
        <v>677</v>
      </c>
      <c r="D1373" s="31" t="s">
        <v>145</v>
      </c>
      <c r="E1373" s="25">
        <v>45464</v>
      </c>
      <c r="F1373" s="26" t="s">
        <v>1</v>
      </c>
    </row>
    <row r="1374" spans="1:6" ht="16.8" customHeight="1" x14ac:dyDescent="0.3">
      <c r="A1374" s="20">
        <v>42971</v>
      </c>
      <c r="B1374" s="31" t="s">
        <v>678</v>
      </c>
      <c r="C1374" s="31" t="s">
        <v>494</v>
      </c>
      <c r="D1374" s="31" t="s">
        <v>495</v>
      </c>
      <c r="E1374" s="25">
        <v>45457</v>
      </c>
      <c r="F1374" s="26" t="s">
        <v>4</v>
      </c>
    </row>
    <row r="1375" spans="1:6" ht="16.8" customHeight="1" x14ac:dyDescent="0.3">
      <c r="A1375" s="20">
        <v>42972</v>
      </c>
      <c r="B1375" s="31" t="s">
        <v>122</v>
      </c>
      <c r="C1375" s="31"/>
      <c r="D1375" s="31" t="s">
        <v>679</v>
      </c>
      <c r="E1375" s="25">
        <v>45470</v>
      </c>
      <c r="F1375" s="26" t="s">
        <v>1</v>
      </c>
    </row>
    <row r="1376" spans="1:6" ht="16.8" customHeight="1" x14ac:dyDescent="0.3">
      <c r="A1376" s="20">
        <v>42973</v>
      </c>
      <c r="B1376" s="31"/>
      <c r="C1376" s="31"/>
      <c r="D1376" s="31"/>
      <c r="E1376" s="25"/>
      <c r="F1376" s="26"/>
    </row>
    <row r="1377" spans="1:6" ht="16.8" customHeight="1" x14ac:dyDescent="0.3">
      <c r="A1377" s="20">
        <v>42974</v>
      </c>
      <c r="B1377" s="31" t="s">
        <v>292</v>
      </c>
      <c r="C1377" s="31" t="s">
        <v>75</v>
      </c>
      <c r="D1377" s="31" t="s">
        <v>680</v>
      </c>
      <c r="E1377" s="25">
        <v>45456</v>
      </c>
      <c r="F1377" s="26" t="s">
        <v>5</v>
      </c>
    </row>
    <row r="1378" spans="1:6" ht="16.8" customHeight="1" x14ac:dyDescent="0.3">
      <c r="A1378" s="20">
        <v>42975</v>
      </c>
      <c r="B1378" s="31"/>
      <c r="C1378" s="31"/>
      <c r="D1378" s="31"/>
      <c r="E1378" s="25"/>
      <c r="F1378" s="26"/>
    </row>
    <row r="1379" spans="1:6" ht="16.8" customHeight="1" x14ac:dyDescent="0.3">
      <c r="A1379" s="20">
        <v>42976</v>
      </c>
      <c r="B1379" s="31" t="s">
        <v>681</v>
      </c>
      <c r="C1379" s="31" t="s">
        <v>45</v>
      </c>
      <c r="D1379" s="31" t="s">
        <v>64</v>
      </c>
      <c r="E1379" s="25">
        <v>45464</v>
      </c>
      <c r="F1379" s="26" t="s">
        <v>1</v>
      </c>
    </row>
    <row r="1380" spans="1:6" ht="16.8" customHeight="1" x14ac:dyDescent="0.3">
      <c r="A1380" s="20">
        <v>42977</v>
      </c>
      <c r="B1380" s="31"/>
      <c r="C1380" s="31"/>
      <c r="D1380" s="31"/>
      <c r="E1380" s="25"/>
      <c r="F1380" s="26"/>
    </row>
    <row r="1381" spans="1:6" ht="16.8" customHeight="1" x14ac:dyDescent="0.3">
      <c r="A1381" s="20">
        <v>42978</v>
      </c>
      <c r="B1381" s="31" t="s">
        <v>516</v>
      </c>
      <c r="C1381" s="31" t="s">
        <v>63</v>
      </c>
      <c r="D1381" s="31" t="s">
        <v>682</v>
      </c>
      <c r="E1381" s="25">
        <v>45463</v>
      </c>
      <c r="F1381" s="26" t="s">
        <v>5</v>
      </c>
    </row>
    <row r="1382" spans="1:6" ht="16.8" customHeight="1" x14ac:dyDescent="0.3">
      <c r="A1382" s="20">
        <v>42979</v>
      </c>
      <c r="B1382" s="31" t="s">
        <v>292</v>
      </c>
      <c r="C1382" s="31" t="s">
        <v>293</v>
      </c>
      <c r="D1382" s="31" t="s">
        <v>683</v>
      </c>
      <c r="E1382" s="25">
        <v>45471</v>
      </c>
      <c r="F1382" s="26" t="s">
        <v>3</v>
      </c>
    </row>
    <row r="1383" spans="1:6" ht="16.8" customHeight="1" x14ac:dyDescent="0.3">
      <c r="A1383" s="20">
        <v>42980</v>
      </c>
      <c r="B1383" s="31" t="s">
        <v>684</v>
      </c>
      <c r="C1383" s="31" t="s">
        <v>685</v>
      </c>
      <c r="D1383" s="31" t="s">
        <v>686</v>
      </c>
      <c r="E1383" s="25">
        <v>45467</v>
      </c>
      <c r="F1383" s="26" t="s">
        <v>1</v>
      </c>
    </row>
    <row r="1384" spans="1:6" ht="16.8" customHeight="1" x14ac:dyDescent="0.3">
      <c r="A1384" s="20">
        <v>42981</v>
      </c>
      <c r="B1384" s="31" t="s">
        <v>687</v>
      </c>
      <c r="C1384" s="31" t="s">
        <v>688</v>
      </c>
      <c r="D1384" s="31" t="s">
        <v>525</v>
      </c>
      <c r="E1384" s="25">
        <v>45482</v>
      </c>
      <c r="F1384" s="26" t="s">
        <v>1</v>
      </c>
    </row>
    <row r="1385" spans="1:6" ht="16.8" customHeight="1" x14ac:dyDescent="0.3">
      <c r="A1385" s="20">
        <v>42982</v>
      </c>
      <c r="B1385" s="31" t="s">
        <v>689</v>
      </c>
      <c r="C1385" s="31" t="s">
        <v>334</v>
      </c>
      <c r="D1385" s="31" t="s">
        <v>121</v>
      </c>
      <c r="E1385" s="25">
        <v>45482</v>
      </c>
      <c r="F1385" s="26" t="s">
        <v>4</v>
      </c>
    </row>
    <row r="1386" spans="1:6" ht="16.8" customHeight="1" x14ac:dyDescent="0.3">
      <c r="A1386" s="20">
        <v>42983</v>
      </c>
      <c r="B1386" s="31"/>
      <c r="C1386" s="31"/>
      <c r="D1386" s="31"/>
      <c r="E1386" s="25"/>
      <c r="F1386" s="26"/>
    </row>
    <row r="1387" spans="1:6" ht="16.8" customHeight="1" x14ac:dyDescent="0.3">
      <c r="A1387" s="20">
        <v>42984</v>
      </c>
      <c r="B1387" s="31" t="s">
        <v>309</v>
      </c>
      <c r="C1387" s="31" t="s">
        <v>45</v>
      </c>
      <c r="D1387" s="31" t="s">
        <v>690</v>
      </c>
      <c r="E1387" s="25">
        <v>45461</v>
      </c>
      <c r="F1387" s="26" t="s">
        <v>5</v>
      </c>
    </row>
    <row r="1388" spans="1:6" ht="16.8" customHeight="1" x14ac:dyDescent="0.3">
      <c r="A1388" s="20">
        <v>42985</v>
      </c>
      <c r="B1388" s="31"/>
      <c r="C1388" s="31"/>
      <c r="D1388" s="31"/>
      <c r="E1388" s="25"/>
      <c r="F1388" s="26"/>
    </row>
    <row r="1389" spans="1:6" ht="16.8" customHeight="1" x14ac:dyDescent="0.3">
      <c r="A1389" s="20">
        <v>42986</v>
      </c>
      <c r="B1389" s="31"/>
      <c r="C1389" s="31"/>
      <c r="D1389" s="31"/>
      <c r="E1389" s="25"/>
      <c r="F1389" s="26"/>
    </row>
    <row r="1390" spans="1:6" ht="16.8" customHeight="1" x14ac:dyDescent="0.3">
      <c r="A1390" s="20">
        <v>42987</v>
      </c>
      <c r="B1390" s="31" t="s">
        <v>239</v>
      </c>
      <c r="C1390" s="31" t="s">
        <v>546</v>
      </c>
      <c r="D1390" s="31" t="s">
        <v>691</v>
      </c>
      <c r="E1390" s="25">
        <v>45555</v>
      </c>
      <c r="F1390" s="26" t="s">
        <v>5</v>
      </c>
    </row>
    <row r="1391" spans="1:6" ht="16.8" customHeight="1" x14ac:dyDescent="0.3">
      <c r="A1391" s="20">
        <v>42988</v>
      </c>
      <c r="B1391" s="31"/>
      <c r="C1391" s="31"/>
      <c r="D1391" s="31"/>
      <c r="E1391" s="25"/>
      <c r="F1391" s="26"/>
    </row>
    <row r="1392" spans="1:6" ht="16.8" customHeight="1" x14ac:dyDescent="0.3">
      <c r="A1392" s="20">
        <v>42989</v>
      </c>
      <c r="B1392" s="31" t="s">
        <v>514</v>
      </c>
      <c r="C1392" s="31" t="s">
        <v>692</v>
      </c>
      <c r="D1392" s="31" t="s">
        <v>693</v>
      </c>
      <c r="E1392" s="25">
        <v>45467</v>
      </c>
      <c r="F1392" s="26" t="s">
        <v>1</v>
      </c>
    </row>
    <row r="1393" spans="1:6" ht="16.8" customHeight="1" x14ac:dyDescent="0.3">
      <c r="A1393" s="20">
        <v>42990</v>
      </c>
      <c r="B1393" s="31"/>
      <c r="C1393" s="31"/>
      <c r="D1393" s="31"/>
      <c r="E1393" s="25"/>
      <c r="F1393" s="26"/>
    </row>
    <row r="1394" spans="1:6" ht="16.8" customHeight="1" x14ac:dyDescent="0.3">
      <c r="A1394" s="20">
        <v>42991</v>
      </c>
      <c r="B1394" s="31" t="s">
        <v>262</v>
      </c>
      <c r="C1394" s="31" t="s">
        <v>263</v>
      </c>
      <c r="D1394" s="31" t="s">
        <v>694</v>
      </c>
      <c r="E1394" s="25">
        <v>45489</v>
      </c>
      <c r="F1394" s="26" t="s">
        <v>2</v>
      </c>
    </row>
    <row r="1395" spans="1:6" ht="16.8" customHeight="1" x14ac:dyDescent="0.3">
      <c r="A1395" s="20">
        <v>42992</v>
      </c>
      <c r="B1395" s="31"/>
      <c r="C1395" s="31"/>
      <c r="D1395" s="31"/>
      <c r="E1395" s="25"/>
      <c r="F1395" s="26"/>
    </row>
    <row r="1396" spans="1:6" ht="16.8" customHeight="1" x14ac:dyDescent="0.3">
      <c r="A1396" s="20">
        <v>42993</v>
      </c>
      <c r="B1396" s="31" t="s">
        <v>194</v>
      </c>
      <c r="C1396" s="31" t="s">
        <v>695</v>
      </c>
      <c r="D1396" s="31" t="s">
        <v>696</v>
      </c>
      <c r="E1396" s="25">
        <v>45482</v>
      </c>
      <c r="F1396" s="26" t="s">
        <v>1</v>
      </c>
    </row>
    <row r="1397" spans="1:6" ht="16.8" customHeight="1" x14ac:dyDescent="0.3">
      <c r="A1397" s="20">
        <v>42994</v>
      </c>
      <c r="B1397" s="31"/>
      <c r="C1397" s="31"/>
      <c r="D1397" s="31"/>
      <c r="E1397" s="25"/>
      <c r="F1397" s="26"/>
    </row>
    <row r="1398" spans="1:6" ht="16.8" customHeight="1" x14ac:dyDescent="0.3">
      <c r="A1398" s="20">
        <v>42995</v>
      </c>
      <c r="B1398" s="31"/>
      <c r="C1398" s="31"/>
      <c r="D1398" s="31"/>
      <c r="E1398" s="25"/>
      <c r="F1398" s="26"/>
    </row>
    <row r="1399" spans="1:6" ht="16.8" customHeight="1" x14ac:dyDescent="0.3">
      <c r="A1399" s="20">
        <v>42996</v>
      </c>
      <c r="B1399" s="31" t="s">
        <v>41</v>
      </c>
      <c r="C1399" s="31" t="s">
        <v>697</v>
      </c>
      <c r="D1399" s="31" t="s">
        <v>121</v>
      </c>
      <c r="E1399" s="25">
        <v>45474</v>
      </c>
      <c r="F1399" s="26" t="s">
        <v>4</v>
      </c>
    </row>
    <row r="1400" spans="1:6" ht="16.8" customHeight="1" x14ac:dyDescent="0.3">
      <c r="A1400" s="20">
        <v>42997</v>
      </c>
      <c r="B1400" s="31" t="s">
        <v>441</v>
      </c>
      <c r="C1400" s="31" t="s">
        <v>45</v>
      </c>
      <c r="D1400" s="31" t="s">
        <v>698</v>
      </c>
      <c r="E1400" s="25">
        <v>45462</v>
      </c>
      <c r="F1400" s="26" t="s">
        <v>1</v>
      </c>
    </row>
    <row r="1401" spans="1:6" ht="16.8" customHeight="1" x14ac:dyDescent="0.3">
      <c r="A1401" s="20">
        <v>42998</v>
      </c>
      <c r="B1401" s="31"/>
      <c r="C1401" s="31"/>
      <c r="D1401" s="31"/>
      <c r="E1401" s="25"/>
      <c r="F1401" s="26"/>
    </row>
    <row r="1402" spans="1:6" ht="16.8" customHeight="1" x14ac:dyDescent="0.3">
      <c r="A1402" s="20">
        <v>42999</v>
      </c>
      <c r="B1402" s="31"/>
      <c r="C1402" s="31"/>
      <c r="D1402" s="31"/>
      <c r="E1402" s="25"/>
      <c r="F1402" s="26"/>
    </row>
    <row r="1403" spans="1:6" ht="16.8" customHeight="1" x14ac:dyDescent="0.3">
      <c r="A1403" s="20">
        <v>43000</v>
      </c>
      <c r="B1403" s="31" t="s">
        <v>516</v>
      </c>
      <c r="C1403" s="31" t="s">
        <v>63</v>
      </c>
      <c r="D1403" s="31" t="s">
        <v>699</v>
      </c>
      <c r="E1403" s="25">
        <v>45460</v>
      </c>
      <c r="F1403" s="26" t="s">
        <v>2</v>
      </c>
    </row>
    <row r="1404" spans="1:6" ht="16.8" customHeight="1" x14ac:dyDescent="0.3">
      <c r="A1404" s="20">
        <v>43001</v>
      </c>
      <c r="B1404" s="31" t="s">
        <v>325</v>
      </c>
      <c r="C1404" s="31" t="s">
        <v>75</v>
      </c>
      <c r="D1404" s="31" t="s">
        <v>146</v>
      </c>
      <c r="E1404" s="25">
        <v>45496</v>
      </c>
      <c r="F1404" s="26" t="s">
        <v>1</v>
      </c>
    </row>
    <row r="1405" spans="1:6" ht="16.8" customHeight="1" x14ac:dyDescent="0.3">
      <c r="A1405" s="20">
        <v>43002</v>
      </c>
      <c r="B1405" s="31"/>
      <c r="C1405" s="31"/>
      <c r="D1405" s="31"/>
      <c r="E1405" s="25"/>
      <c r="F1405" s="26"/>
    </row>
    <row r="1406" spans="1:6" ht="16.8" customHeight="1" x14ac:dyDescent="0.3">
      <c r="A1406" s="20">
        <v>43003</v>
      </c>
      <c r="B1406" s="31" t="s">
        <v>700</v>
      </c>
      <c r="C1406" s="31" t="s">
        <v>106</v>
      </c>
      <c r="D1406" s="31" t="s">
        <v>121</v>
      </c>
      <c r="E1406" s="25">
        <v>45482</v>
      </c>
      <c r="F1406" s="26" t="s">
        <v>4</v>
      </c>
    </row>
    <row r="1407" spans="1:6" ht="16.8" customHeight="1" x14ac:dyDescent="0.3">
      <c r="A1407" s="20">
        <v>43004</v>
      </c>
      <c r="B1407" s="31" t="s">
        <v>86</v>
      </c>
      <c r="C1407" s="31" t="s">
        <v>148</v>
      </c>
      <c r="D1407" s="31" t="s">
        <v>701</v>
      </c>
      <c r="E1407" s="25">
        <v>45462</v>
      </c>
      <c r="F1407" s="26" t="s">
        <v>5</v>
      </c>
    </row>
    <row r="1408" spans="1:6" ht="16.8" customHeight="1" x14ac:dyDescent="0.3">
      <c r="A1408" s="20">
        <v>43005</v>
      </c>
      <c r="B1408" s="31" t="s">
        <v>702</v>
      </c>
      <c r="C1408" s="31" t="s">
        <v>45</v>
      </c>
      <c r="D1408" s="31" t="s">
        <v>701</v>
      </c>
      <c r="E1408" s="25">
        <v>45463</v>
      </c>
      <c r="F1408" s="26" t="s">
        <v>5</v>
      </c>
    </row>
    <row r="1409" spans="1:6" ht="16.8" customHeight="1" x14ac:dyDescent="0.3">
      <c r="A1409" s="20">
        <v>43006</v>
      </c>
      <c r="B1409" s="31" t="s">
        <v>286</v>
      </c>
      <c r="C1409" s="31" t="s">
        <v>45</v>
      </c>
      <c r="D1409" s="31" t="s">
        <v>701</v>
      </c>
      <c r="E1409" s="25">
        <v>45462</v>
      </c>
      <c r="F1409" s="26" t="s">
        <v>5</v>
      </c>
    </row>
    <row r="1410" spans="1:6" ht="16.8" customHeight="1" x14ac:dyDescent="0.3">
      <c r="A1410" s="20">
        <v>43007</v>
      </c>
      <c r="B1410" s="31" t="s">
        <v>62</v>
      </c>
      <c r="C1410" s="31" t="s">
        <v>148</v>
      </c>
      <c r="D1410" s="31" t="s">
        <v>701</v>
      </c>
      <c r="E1410" s="25">
        <v>45471</v>
      </c>
      <c r="F1410" s="26" t="s">
        <v>5</v>
      </c>
    </row>
    <row r="1411" spans="1:6" ht="16.8" customHeight="1" x14ac:dyDescent="0.3">
      <c r="A1411" s="20">
        <v>43008</v>
      </c>
      <c r="B1411" s="31" t="s">
        <v>439</v>
      </c>
      <c r="C1411" s="31" t="s">
        <v>133</v>
      </c>
      <c r="D1411" s="31" t="s">
        <v>701</v>
      </c>
      <c r="E1411" s="25">
        <v>45463</v>
      </c>
      <c r="F1411" s="26" t="s">
        <v>5</v>
      </c>
    </row>
    <row r="1412" spans="1:6" ht="16.8" customHeight="1" x14ac:dyDescent="0.3">
      <c r="A1412" s="20">
        <v>43009</v>
      </c>
      <c r="B1412" s="31" t="s">
        <v>498</v>
      </c>
      <c r="C1412" s="31" t="s">
        <v>148</v>
      </c>
      <c r="D1412" s="31" t="s">
        <v>701</v>
      </c>
      <c r="E1412" s="25">
        <v>45462</v>
      </c>
      <c r="F1412" s="26" t="s">
        <v>5</v>
      </c>
    </row>
    <row r="1413" spans="1:6" ht="16.8" customHeight="1" x14ac:dyDescent="0.3">
      <c r="A1413" s="20">
        <v>43010</v>
      </c>
      <c r="B1413" s="31" t="s">
        <v>559</v>
      </c>
      <c r="C1413" s="31" t="s">
        <v>45</v>
      </c>
      <c r="D1413" s="31" t="s">
        <v>701</v>
      </c>
      <c r="E1413" s="25">
        <v>45462</v>
      </c>
      <c r="F1413" s="26" t="s">
        <v>5</v>
      </c>
    </row>
    <row r="1414" spans="1:6" ht="16.8" customHeight="1" x14ac:dyDescent="0.3">
      <c r="A1414" s="20">
        <v>43011</v>
      </c>
      <c r="B1414" s="31" t="s">
        <v>486</v>
      </c>
      <c r="C1414" s="31" t="s">
        <v>45</v>
      </c>
      <c r="D1414" s="31" t="s">
        <v>701</v>
      </c>
      <c r="E1414" s="25">
        <v>45462</v>
      </c>
      <c r="F1414" s="26" t="s">
        <v>5</v>
      </c>
    </row>
    <row r="1415" spans="1:6" ht="16.8" customHeight="1" x14ac:dyDescent="0.3">
      <c r="A1415" s="20">
        <v>43012</v>
      </c>
      <c r="B1415" s="31" t="s">
        <v>468</v>
      </c>
      <c r="C1415" s="31" t="s">
        <v>45</v>
      </c>
      <c r="D1415" s="31" t="s">
        <v>701</v>
      </c>
      <c r="E1415" s="25">
        <v>45462</v>
      </c>
      <c r="F1415" s="26" t="s">
        <v>5</v>
      </c>
    </row>
    <row r="1416" spans="1:6" ht="16.8" customHeight="1" x14ac:dyDescent="0.3">
      <c r="A1416" s="20">
        <v>43013</v>
      </c>
      <c r="B1416" s="31" t="s">
        <v>49</v>
      </c>
      <c r="C1416" s="31" t="s">
        <v>148</v>
      </c>
      <c r="D1416" s="31" t="s">
        <v>703</v>
      </c>
      <c r="E1416" s="25">
        <v>45464</v>
      </c>
      <c r="F1416" s="26" t="s">
        <v>1</v>
      </c>
    </row>
    <row r="1417" spans="1:6" ht="16.8" customHeight="1" x14ac:dyDescent="0.3">
      <c r="A1417" s="20">
        <v>43014</v>
      </c>
      <c r="B1417" s="31" t="s">
        <v>486</v>
      </c>
      <c r="C1417" s="31" t="s">
        <v>704</v>
      </c>
      <c r="D1417" s="31"/>
      <c r="E1417" s="25">
        <v>45464</v>
      </c>
      <c r="F1417" s="26" t="s">
        <v>1</v>
      </c>
    </row>
    <row r="1418" spans="1:6" ht="16.8" customHeight="1" x14ac:dyDescent="0.3">
      <c r="A1418" s="20">
        <v>43015</v>
      </c>
      <c r="B1418" s="31" t="s">
        <v>705</v>
      </c>
      <c r="C1418" s="31" t="s">
        <v>133</v>
      </c>
      <c r="D1418" s="31" t="s">
        <v>701</v>
      </c>
      <c r="E1418" s="25">
        <v>45463</v>
      </c>
      <c r="F1418" s="26" t="s">
        <v>5</v>
      </c>
    </row>
    <row r="1419" spans="1:6" ht="16.8" customHeight="1" x14ac:dyDescent="0.3">
      <c r="A1419" s="20">
        <v>43016</v>
      </c>
      <c r="B1419" s="31" t="s">
        <v>535</v>
      </c>
      <c r="C1419" s="31" t="s">
        <v>706</v>
      </c>
      <c r="D1419" s="31" t="s">
        <v>707</v>
      </c>
      <c r="E1419" s="25">
        <v>45565</v>
      </c>
      <c r="F1419" s="26" t="s">
        <v>2</v>
      </c>
    </row>
    <row r="1420" spans="1:6" ht="16.8" customHeight="1" x14ac:dyDescent="0.3">
      <c r="A1420" s="20">
        <v>43017</v>
      </c>
      <c r="B1420" s="31"/>
      <c r="C1420" s="31"/>
      <c r="D1420" s="31"/>
      <c r="E1420" s="25"/>
      <c r="F1420" s="26"/>
    </row>
    <row r="1421" spans="1:6" ht="16.8" customHeight="1" x14ac:dyDescent="0.3">
      <c r="A1421" s="20">
        <v>43018</v>
      </c>
      <c r="B1421" s="31"/>
      <c r="C1421" s="31"/>
      <c r="D1421" s="31"/>
      <c r="E1421" s="25"/>
      <c r="F1421" s="26"/>
    </row>
    <row r="1422" spans="1:6" ht="16.8" customHeight="1" x14ac:dyDescent="0.3">
      <c r="A1422" s="20">
        <v>43019</v>
      </c>
      <c r="B1422" s="31" t="s">
        <v>708</v>
      </c>
      <c r="C1422" s="31" t="s">
        <v>709</v>
      </c>
      <c r="D1422" s="31" t="s">
        <v>121</v>
      </c>
      <c r="E1422" s="25">
        <v>45561</v>
      </c>
      <c r="F1422" s="26" t="s">
        <v>4</v>
      </c>
    </row>
    <row r="1423" spans="1:6" ht="16.8" customHeight="1" x14ac:dyDescent="0.3">
      <c r="A1423" s="20">
        <v>43020</v>
      </c>
      <c r="B1423" s="31" t="s">
        <v>689</v>
      </c>
      <c r="C1423" s="31" t="s">
        <v>334</v>
      </c>
      <c r="D1423" s="31" t="s">
        <v>710</v>
      </c>
      <c r="E1423" s="25">
        <v>45478</v>
      </c>
      <c r="F1423" s="26" t="s">
        <v>2</v>
      </c>
    </row>
    <row r="1424" spans="1:6" ht="16.8" customHeight="1" x14ac:dyDescent="0.3">
      <c r="A1424" s="20">
        <v>43021</v>
      </c>
      <c r="B1424" s="31" t="s">
        <v>711</v>
      </c>
      <c r="C1424" s="31" t="s">
        <v>712</v>
      </c>
      <c r="D1424" s="31" t="s">
        <v>176</v>
      </c>
      <c r="E1424" s="25">
        <v>45561</v>
      </c>
      <c r="F1424" s="26" t="s">
        <v>1</v>
      </c>
    </row>
    <row r="1425" spans="1:6" ht="16.8" customHeight="1" x14ac:dyDescent="0.3">
      <c r="A1425" s="20">
        <v>43022</v>
      </c>
      <c r="B1425" s="31"/>
      <c r="C1425" s="31"/>
      <c r="D1425" s="31"/>
      <c r="E1425" s="25"/>
      <c r="F1425" s="26"/>
    </row>
    <row r="1426" spans="1:6" ht="16.8" customHeight="1" x14ac:dyDescent="0.3">
      <c r="A1426" s="20">
        <v>43023</v>
      </c>
      <c r="B1426" s="31"/>
      <c r="C1426" s="31"/>
      <c r="D1426" s="31"/>
      <c r="E1426" s="25"/>
      <c r="F1426" s="26"/>
    </row>
    <row r="1427" spans="1:6" ht="16.8" customHeight="1" x14ac:dyDescent="0.3">
      <c r="A1427" s="20">
        <v>43024</v>
      </c>
      <c r="B1427" s="31"/>
      <c r="C1427" s="31"/>
      <c r="D1427" s="31"/>
      <c r="E1427" s="25"/>
      <c r="F1427" s="26"/>
    </row>
    <row r="1428" spans="1:6" ht="16.8" customHeight="1" x14ac:dyDescent="0.3">
      <c r="A1428" s="20">
        <v>43025</v>
      </c>
      <c r="B1428" s="31"/>
      <c r="C1428" s="31"/>
      <c r="D1428" s="31"/>
      <c r="E1428" s="25"/>
      <c r="F1428" s="26"/>
    </row>
    <row r="1429" spans="1:6" ht="16.8" customHeight="1" x14ac:dyDescent="0.3">
      <c r="A1429" s="20">
        <v>43026</v>
      </c>
      <c r="B1429" s="31"/>
      <c r="C1429" s="31"/>
      <c r="D1429" s="31"/>
      <c r="E1429" s="25"/>
      <c r="F1429" s="26"/>
    </row>
    <row r="1430" spans="1:6" ht="16.8" customHeight="1" x14ac:dyDescent="0.3">
      <c r="A1430" s="20">
        <v>43027</v>
      </c>
      <c r="B1430" s="31"/>
      <c r="C1430" s="31"/>
      <c r="D1430" s="31"/>
      <c r="E1430" s="25"/>
      <c r="F1430" s="26"/>
    </row>
    <row r="1431" spans="1:6" ht="16.8" customHeight="1" x14ac:dyDescent="0.3">
      <c r="A1431" s="20">
        <v>43028</v>
      </c>
      <c r="B1431" s="31" t="s">
        <v>713</v>
      </c>
      <c r="C1431" s="31" t="s">
        <v>714</v>
      </c>
      <c r="D1431" s="31" t="s">
        <v>176</v>
      </c>
      <c r="E1431" s="25">
        <v>45482</v>
      </c>
      <c r="F1431" s="26" t="s">
        <v>1</v>
      </c>
    </row>
    <row r="1432" spans="1:6" ht="16.8" customHeight="1" x14ac:dyDescent="0.3">
      <c r="A1432" s="20">
        <v>43029</v>
      </c>
      <c r="B1432" s="31" t="s">
        <v>639</v>
      </c>
      <c r="C1432" s="31" t="s">
        <v>715</v>
      </c>
      <c r="D1432" s="31" t="s">
        <v>116</v>
      </c>
      <c r="E1432" s="25">
        <v>45530.590763888889</v>
      </c>
      <c r="F1432" s="26" t="s">
        <v>1</v>
      </c>
    </row>
    <row r="1433" spans="1:6" ht="16.8" customHeight="1" x14ac:dyDescent="0.3">
      <c r="A1433" s="20">
        <v>43030</v>
      </c>
      <c r="B1433" s="31" t="s">
        <v>306</v>
      </c>
      <c r="C1433" s="31" t="s">
        <v>63</v>
      </c>
      <c r="D1433" s="31" t="s">
        <v>716</v>
      </c>
      <c r="E1433" s="25">
        <v>45509.70789351852</v>
      </c>
      <c r="F1433" s="26" t="s">
        <v>1</v>
      </c>
    </row>
    <row r="1434" spans="1:6" ht="16.8" customHeight="1" x14ac:dyDescent="0.3">
      <c r="A1434" s="20">
        <v>43031</v>
      </c>
      <c r="B1434" s="31"/>
      <c r="C1434" s="31"/>
      <c r="D1434" s="31"/>
      <c r="E1434" s="25"/>
      <c r="F1434" s="26"/>
    </row>
    <row r="1435" spans="1:6" ht="16.8" customHeight="1" x14ac:dyDescent="0.3">
      <c r="A1435" s="20">
        <v>43032</v>
      </c>
      <c r="B1435" s="31"/>
      <c r="C1435" s="31"/>
      <c r="D1435" s="31"/>
      <c r="E1435" s="25"/>
      <c r="F1435" s="26"/>
    </row>
    <row r="1436" spans="1:6" ht="16.8" customHeight="1" x14ac:dyDescent="0.3">
      <c r="A1436" s="20">
        <v>43033</v>
      </c>
      <c r="B1436" s="31" t="s">
        <v>150</v>
      </c>
      <c r="C1436" s="31" t="s">
        <v>151</v>
      </c>
      <c r="D1436" s="31" t="s">
        <v>717</v>
      </c>
      <c r="E1436" s="25">
        <v>45467</v>
      </c>
      <c r="F1436" s="26" t="s">
        <v>1</v>
      </c>
    </row>
    <row r="1437" spans="1:6" ht="16.8" customHeight="1" x14ac:dyDescent="0.3">
      <c r="A1437" s="20">
        <v>43034</v>
      </c>
      <c r="B1437" s="31"/>
      <c r="C1437" s="31"/>
      <c r="D1437" s="31"/>
      <c r="E1437" s="25"/>
      <c r="F1437" s="26"/>
    </row>
    <row r="1438" spans="1:6" ht="16.8" customHeight="1" x14ac:dyDescent="0.3">
      <c r="A1438" s="20">
        <v>43035</v>
      </c>
      <c r="B1438" s="31" t="s">
        <v>102</v>
      </c>
      <c r="C1438" s="31" t="s">
        <v>718</v>
      </c>
      <c r="D1438" s="31" t="s">
        <v>719</v>
      </c>
      <c r="E1438" s="25">
        <v>45467</v>
      </c>
      <c r="F1438" s="26" t="s">
        <v>5</v>
      </c>
    </row>
    <row r="1439" spans="1:6" ht="16.8" customHeight="1" x14ac:dyDescent="0.3">
      <c r="A1439" s="20">
        <v>43036</v>
      </c>
      <c r="B1439" s="31" t="s">
        <v>325</v>
      </c>
      <c r="C1439" s="31" t="s">
        <v>531</v>
      </c>
      <c r="D1439" s="31" t="s">
        <v>145</v>
      </c>
      <c r="E1439" s="25">
        <v>45512.353634259256</v>
      </c>
      <c r="F1439" s="26" t="s">
        <v>1</v>
      </c>
    </row>
    <row r="1440" spans="1:6" ht="16.8" customHeight="1" x14ac:dyDescent="0.3">
      <c r="A1440" s="20">
        <v>43037</v>
      </c>
      <c r="B1440" s="31" t="s">
        <v>516</v>
      </c>
      <c r="C1440" s="31" t="s">
        <v>63</v>
      </c>
      <c r="D1440" s="31" t="s">
        <v>699</v>
      </c>
      <c r="E1440" s="25">
        <v>45504</v>
      </c>
      <c r="F1440" s="26" t="s">
        <v>2</v>
      </c>
    </row>
    <row r="1441" spans="1:6" ht="16.8" customHeight="1" x14ac:dyDescent="0.3">
      <c r="A1441" s="20">
        <v>43038</v>
      </c>
      <c r="B1441" s="31"/>
      <c r="C1441" s="31"/>
      <c r="D1441" s="31"/>
      <c r="E1441" s="25"/>
      <c r="F1441" s="26"/>
    </row>
    <row r="1442" spans="1:6" ht="16.8" customHeight="1" x14ac:dyDescent="0.3">
      <c r="A1442" s="20">
        <v>43039</v>
      </c>
      <c r="B1442" s="31" t="s">
        <v>616</v>
      </c>
      <c r="C1442" s="31" t="s">
        <v>244</v>
      </c>
      <c r="D1442" s="31" t="s">
        <v>615</v>
      </c>
      <c r="E1442" s="25">
        <v>45491</v>
      </c>
      <c r="F1442" s="26" t="s">
        <v>1</v>
      </c>
    </row>
    <row r="1443" spans="1:6" ht="16.8" customHeight="1" x14ac:dyDescent="0.3">
      <c r="A1443" s="20">
        <v>43040</v>
      </c>
      <c r="B1443" s="31"/>
      <c r="C1443" s="31"/>
      <c r="D1443" s="31"/>
      <c r="E1443" s="25"/>
      <c r="F1443" s="26"/>
    </row>
    <row r="1444" spans="1:6" ht="16.8" customHeight="1" x14ac:dyDescent="0.3">
      <c r="A1444" s="20">
        <v>43041</v>
      </c>
      <c r="B1444" s="31" t="s">
        <v>262</v>
      </c>
      <c r="C1444" s="31" t="s">
        <v>596</v>
      </c>
      <c r="D1444" s="31" t="s">
        <v>720</v>
      </c>
      <c r="E1444" s="25">
        <v>45490</v>
      </c>
      <c r="F1444" s="26" t="s">
        <v>2</v>
      </c>
    </row>
    <row r="1445" spans="1:6" ht="16.8" customHeight="1" x14ac:dyDescent="0.3">
      <c r="A1445" s="20">
        <v>43042</v>
      </c>
      <c r="B1445" s="31" t="s">
        <v>676</v>
      </c>
      <c r="C1445" s="31" t="s">
        <v>677</v>
      </c>
      <c r="D1445" s="31" t="s">
        <v>145</v>
      </c>
      <c r="E1445" s="25">
        <v>45471</v>
      </c>
      <c r="F1445" s="26" t="s">
        <v>1</v>
      </c>
    </row>
    <row r="1446" spans="1:6" ht="16.8" customHeight="1" x14ac:dyDescent="0.3">
      <c r="A1446" s="20">
        <v>43043</v>
      </c>
      <c r="B1446" s="31" t="s">
        <v>721</v>
      </c>
      <c r="C1446" s="31" t="s">
        <v>722</v>
      </c>
      <c r="D1446" s="31" t="s">
        <v>723</v>
      </c>
      <c r="E1446" s="25">
        <v>45467</v>
      </c>
      <c r="F1446" s="26" t="s">
        <v>1</v>
      </c>
    </row>
    <row r="1447" spans="1:6" ht="16.8" customHeight="1" x14ac:dyDescent="0.3">
      <c r="A1447" s="20">
        <v>43044</v>
      </c>
      <c r="B1447" s="31" t="s">
        <v>724</v>
      </c>
      <c r="C1447" s="31" t="s">
        <v>252</v>
      </c>
      <c r="D1447" s="31" t="s">
        <v>725</v>
      </c>
      <c r="E1447" s="25">
        <v>45482</v>
      </c>
      <c r="F1447" s="26" t="s">
        <v>1</v>
      </c>
    </row>
    <row r="1448" spans="1:6" ht="16.8" customHeight="1" x14ac:dyDescent="0.3">
      <c r="A1448" s="20">
        <v>43045</v>
      </c>
      <c r="B1448" s="31" t="s">
        <v>309</v>
      </c>
      <c r="C1448" s="31" t="s">
        <v>45</v>
      </c>
      <c r="D1448" s="31" t="s">
        <v>680</v>
      </c>
      <c r="E1448" s="25">
        <v>45467</v>
      </c>
      <c r="F1448" s="26" t="s">
        <v>1</v>
      </c>
    </row>
    <row r="1449" spans="1:6" ht="16.8" customHeight="1" x14ac:dyDescent="0.3">
      <c r="A1449" s="20">
        <v>43046</v>
      </c>
      <c r="B1449" s="31" t="s">
        <v>180</v>
      </c>
      <c r="C1449" s="31" t="s">
        <v>181</v>
      </c>
      <c r="D1449" s="31" t="s">
        <v>255</v>
      </c>
      <c r="E1449" s="25">
        <v>45496</v>
      </c>
      <c r="F1449" s="26" t="s">
        <v>8</v>
      </c>
    </row>
    <row r="1450" spans="1:6" ht="16.8" customHeight="1" x14ac:dyDescent="0.3">
      <c r="A1450" s="20">
        <v>43047</v>
      </c>
      <c r="B1450" s="31"/>
      <c r="C1450" s="31"/>
      <c r="D1450" s="31"/>
      <c r="E1450" s="25"/>
      <c r="F1450" s="26"/>
    </row>
    <row r="1451" spans="1:6" ht="16.8" customHeight="1" x14ac:dyDescent="0.3">
      <c r="A1451" s="20">
        <v>43048</v>
      </c>
      <c r="B1451" s="31"/>
      <c r="C1451" s="31"/>
      <c r="D1451" s="31"/>
      <c r="E1451" s="25"/>
      <c r="F1451" s="26"/>
    </row>
    <row r="1452" spans="1:6" ht="16.8" customHeight="1" x14ac:dyDescent="0.3">
      <c r="A1452" s="20">
        <v>43049</v>
      </c>
      <c r="B1452" s="31" t="s">
        <v>559</v>
      </c>
      <c r="C1452" s="31" t="s">
        <v>45</v>
      </c>
      <c r="D1452" s="31" t="s">
        <v>726</v>
      </c>
      <c r="E1452" s="25">
        <v>45475</v>
      </c>
      <c r="F1452" s="26" t="s">
        <v>1</v>
      </c>
    </row>
    <row r="1453" spans="1:6" ht="16.8" customHeight="1" x14ac:dyDescent="0.3">
      <c r="A1453" s="20">
        <v>43050</v>
      </c>
      <c r="B1453" s="31"/>
      <c r="C1453" s="31"/>
      <c r="D1453" s="31"/>
      <c r="E1453" s="25"/>
      <c r="F1453" s="26"/>
    </row>
    <row r="1454" spans="1:6" ht="16.8" customHeight="1" x14ac:dyDescent="0.3">
      <c r="A1454" s="20">
        <v>43051</v>
      </c>
      <c r="B1454" s="31"/>
      <c r="C1454" s="31"/>
      <c r="D1454" s="31"/>
      <c r="E1454" s="25"/>
      <c r="F1454" s="26"/>
    </row>
    <row r="1455" spans="1:6" ht="16.8" customHeight="1" x14ac:dyDescent="0.3">
      <c r="A1455" s="20">
        <v>43052</v>
      </c>
      <c r="B1455" s="31" t="s">
        <v>375</v>
      </c>
      <c r="C1455" s="31" t="s">
        <v>75</v>
      </c>
      <c r="D1455" s="31" t="s">
        <v>525</v>
      </c>
      <c r="E1455" s="25">
        <v>45736</v>
      </c>
      <c r="F1455" s="26" t="s">
        <v>2</v>
      </c>
    </row>
    <row r="1456" spans="1:6" ht="16.8" customHeight="1" x14ac:dyDescent="0.3">
      <c r="A1456" s="20">
        <v>43053</v>
      </c>
      <c r="B1456" s="31"/>
      <c r="C1456" s="31"/>
      <c r="D1456" s="31"/>
      <c r="E1456" s="25"/>
      <c r="F1456" s="26" t="s">
        <v>10</v>
      </c>
    </row>
    <row r="1457" spans="1:6" ht="16.8" customHeight="1" x14ac:dyDescent="0.3">
      <c r="A1457" s="20">
        <v>43054</v>
      </c>
      <c r="B1457" s="31" t="s">
        <v>581</v>
      </c>
      <c r="C1457" s="31" t="s">
        <v>249</v>
      </c>
      <c r="D1457" s="31" t="s">
        <v>159</v>
      </c>
      <c r="E1457" s="25">
        <v>45482</v>
      </c>
      <c r="F1457" s="26" t="s">
        <v>1</v>
      </c>
    </row>
    <row r="1458" spans="1:6" ht="16.8" customHeight="1" x14ac:dyDescent="0.3">
      <c r="A1458" s="20">
        <v>43055</v>
      </c>
      <c r="B1458" s="31"/>
      <c r="C1458" s="31"/>
      <c r="D1458" s="31"/>
      <c r="E1458" s="25"/>
      <c r="F1458" s="26"/>
    </row>
    <row r="1459" spans="1:6" ht="16.8" customHeight="1" x14ac:dyDescent="0.3">
      <c r="A1459" s="20">
        <v>43056</v>
      </c>
      <c r="B1459" s="31"/>
      <c r="C1459" s="31"/>
      <c r="D1459" s="31"/>
      <c r="E1459" s="25"/>
      <c r="F1459" s="26"/>
    </row>
    <row r="1460" spans="1:6" ht="16.8" customHeight="1" x14ac:dyDescent="0.3">
      <c r="A1460" s="20">
        <v>43057</v>
      </c>
      <c r="B1460" s="31" t="s">
        <v>25</v>
      </c>
      <c r="C1460" s="31" t="s">
        <v>727</v>
      </c>
      <c r="D1460" s="31" t="s">
        <v>728</v>
      </c>
      <c r="E1460" s="25">
        <v>45485</v>
      </c>
      <c r="F1460" s="26" t="s">
        <v>1</v>
      </c>
    </row>
    <row r="1461" spans="1:6" ht="16.8" customHeight="1" x14ac:dyDescent="0.3">
      <c r="A1461" s="20">
        <v>43058</v>
      </c>
      <c r="B1461" s="31"/>
      <c r="C1461" s="31"/>
      <c r="D1461" s="31"/>
      <c r="E1461" s="25"/>
      <c r="F1461" s="26"/>
    </row>
    <row r="1462" spans="1:6" ht="16.8" customHeight="1" x14ac:dyDescent="0.3">
      <c r="A1462" s="20">
        <v>43059</v>
      </c>
      <c r="B1462" s="31" t="s">
        <v>729</v>
      </c>
      <c r="C1462" s="31" t="s">
        <v>249</v>
      </c>
      <c r="D1462" s="31" t="s">
        <v>145</v>
      </c>
      <c r="E1462" s="25">
        <v>45491</v>
      </c>
      <c r="F1462" s="26" t="s">
        <v>1</v>
      </c>
    </row>
    <row r="1463" spans="1:6" ht="16.8" customHeight="1" x14ac:dyDescent="0.3">
      <c r="A1463" s="20">
        <v>43060</v>
      </c>
      <c r="B1463" s="31" t="s">
        <v>729</v>
      </c>
      <c r="C1463" s="31" t="s">
        <v>369</v>
      </c>
      <c r="D1463" s="31" t="s">
        <v>730</v>
      </c>
      <c r="E1463" s="25"/>
      <c r="F1463" s="26" t="s">
        <v>1</v>
      </c>
    </row>
    <row r="1464" spans="1:6" ht="16.8" customHeight="1" x14ac:dyDescent="0.3">
      <c r="A1464" s="20">
        <v>43061</v>
      </c>
      <c r="B1464" s="31"/>
      <c r="C1464" s="31"/>
      <c r="D1464" s="31"/>
      <c r="E1464" s="25"/>
      <c r="F1464" s="26"/>
    </row>
    <row r="1465" spans="1:6" ht="16.8" customHeight="1" x14ac:dyDescent="0.3">
      <c r="A1465" s="20">
        <v>43062</v>
      </c>
      <c r="B1465" s="31" t="s">
        <v>237</v>
      </c>
      <c r="C1465" s="31" t="s">
        <v>84</v>
      </c>
      <c r="D1465" s="31" t="s">
        <v>731</v>
      </c>
      <c r="E1465" s="25">
        <v>45530.681956018518</v>
      </c>
      <c r="F1465" s="26" t="s">
        <v>1</v>
      </c>
    </row>
    <row r="1466" spans="1:6" ht="16.8" customHeight="1" x14ac:dyDescent="0.3">
      <c r="A1466" s="20">
        <v>43063</v>
      </c>
      <c r="B1466" s="31" t="s">
        <v>237</v>
      </c>
      <c r="C1466" s="31" t="s">
        <v>84</v>
      </c>
      <c r="D1466" s="31" t="s">
        <v>731</v>
      </c>
      <c r="E1466" s="25">
        <v>45530.693796296298</v>
      </c>
      <c r="F1466" s="26" t="s">
        <v>1</v>
      </c>
    </row>
    <row r="1467" spans="1:6" ht="16.8" customHeight="1" x14ac:dyDescent="0.3">
      <c r="A1467" s="20">
        <v>43064</v>
      </c>
      <c r="B1467" s="31" t="s">
        <v>443</v>
      </c>
      <c r="C1467" s="31" t="s">
        <v>444</v>
      </c>
      <c r="D1467" s="31" t="s">
        <v>732</v>
      </c>
      <c r="E1467" s="25">
        <v>45485</v>
      </c>
      <c r="F1467" s="26" t="s">
        <v>1</v>
      </c>
    </row>
    <row r="1468" spans="1:6" ht="16.8" customHeight="1" x14ac:dyDescent="0.3">
      <c r="A1468" s="20">
        <v>43065</v>
      </c>
      <c r="B1468" s="31"/>
      <c r="C1468" s="31"/>
      <c r="D1468" s="31"/>
      <c r="E1468" s="25"/>
      <c r="F1468" s="26"/>
    </row>
    <row r="1469" spans="1:6" ht="16.8" customHeight="1" x14ac:dyDescent="0.3">
      <c r="A1469" s="20">
        <v>43066</v>
      </c>
      <c r="B1469" s="31"/>
      <c r="C1469" s="31"/>
      <c r="D1469" s="31"/>
      <c r="E1469" s="25"/>
      <c r="F1469" s="26"/>
    </row>
    <row r="1470" spans="1:6" ht="16.8" customHeight="1" x14ac:dyDescent="0.3">
      <c r="A1470" s="20">
        <v>43067</v>
      </c>
      <c r="B1470" s="31" t="s">
        <v>653</v>
      </c>
      <c r="C1470" s="31" t="s">
        <v>654</v>
      </c>
      <c r="D1470" s="31" t="s">
        <v>733</v>
      </c>
      <c r="E1470" s="25">
        <v>45485</v>
      </c>
      <c r="F1470" s="26" t="s">
        <v>1</v>
      </c>
    </row>
    <row r="1471" spans="1:6" ht="16.8" customHeight="1" x14ac:dyDescent="0.3">
      <c r="A1471" s="20">
        <v>43068</v>
      </c>
      <c r="B1471" s="31" t="s">
        <v>294</v>
      </c>
      <c r="C1471" s="31"/>
      <c r="D1471" s="31" t="s">
        <v>734</v>
      </c>
      <c r="E1471" s="25">
        <v>45485</v>
      </c>
      <c r="F1471" s="26" t="s">
        <v>1</v>
      </c>
    </row>
    <row r="1472" spans="1:6" ht="16.8" customHeight="1" x14ac:dyDescent="0.3">
      <c r="A1472" s="20">
        <v>43069</v>
      </c>
      <c r="B1472" s="31" t="s">
        <v>735</v>
      </c>
      <c r="C1472" s="31"/>
      <c r="D1472" s="31" t="s">
        <v>736</v>
      </c>
      <c r="E1472" s="25">
        <v>45485</v>
      </c>
      <c r="F1472" s="26" t="s">
        <v>1</v>
      </c>
    </row>
    <row r="1473" spans="1:6" ht="16.8" customHeight="1" x14ac:dyDescent="0.3">
      <c r="A1473" s="20">
        <v>43070</v>
      </c>
      <c r="B1473" s="31"/>
      <c r="C1473" s="31"/>
      <c r="D1473" s="31"/>
      <c r="E1473" s="25"/>
      <c r="F1473" s="26"/>
    </row>
    <row r="1474" spans="1:6" ht="16.8" customHeight="1" x14ac:dyDescent="0.3">
      <c r="A1474" s="20">
        <v>43071</v>
      </c>
      <c r="B1474" s="31" t="s">
        <v>570</v>
      </c>
      <c r="C1474" s="31" t="s">
        <v>240</v>
      </c>
      <c r="D1474" s="31" t="s">
        <v>85</v>
      </c>
      <c r="E1474" s="25">
        <v>45510.655902777777</v>
      </c>
      <c r="F1474" s="26" t="s">
        <v>1</v>
      </c>
    </row>
    <row r="1475" spans="1:6" ht="16.8" customHeight="1" x14ac:dyDescent="0.3">
      <c r="A1475" s="20">
        <v>43072</v>
      </c>
      <c r="B1475" s="31" t="s">
        <v>62</v>
      </c>
      <c r="C1475" s="31" t="s">
        <v>63</v>
      </c>
      <c r="D1475" s="31" t="s">
        <v>332</v>
      </c>
      <c r="E1475" s="25">
        <v>45482</v>
      </c>
      <c r="F1475" s="26" t="s">
        <v>1</v>
      </c>
    </row>
    <row r="1476" spans="1:6" ht="16.8" customHeight="1" x14ac:dyDescent="0.3">
      <c r="A1476" s="20">
        <v>43073</v>
      </c>
      <c r="B1476" s="31" t="s">
        <v>411</v>
      </c>
      <c r="C1476" s="31" t="s">
        <v>179</v>
      </c>
      <c r="D1476" s="31" t="s">
        <v>737</v>
      </c>
      <c r="E1476" s="25">
        <v>45530.638807870368</v>
      </c>
      <c r="F1476" s="26" t="s">
        <v>1</v>
      </c>
    </row>
    <row r="1477" spans="1:6" ht="16.8" customHeight="1" x14ac:dyDescent="0.3">
      <c r="A1477" s="20">
        <v>43074</v>
      </c>
      <c r="B1477" s="31" t="s">
        <v>291</v>
      </c>
      <c r="C1477" s="31" t="s">
        <v>738</v>
      </c>
      <c r="D1477" s="31"/>
      <c r="E1477" s="25">
        <v>45503</v>
      </c>
      <c r="F1477" s="26" t="s">
        <v>1</v>
      </c>
    </row>
    <row r="1478" spans="1:6" ht="16.8" customHeight="1" x14ac:dyDescent="0.3">
      <c r="A1478" s="20">
        <v>43075</v>
      </c>
      <c r="B1478" s="31" t="s">
        <v>411</v>
      </c>
      <c r="C1478" s="31" t="s">
        <v>32</v>
      </c>
      <c r="D1478" s="31" t="s">
        <v>683</v>
      </c>
      <c r="E1478" s="25">
        <v>45482</v>
      </c>
      <c r="F1478" s="26" t="s">
        <v>1</v>
      </c>
    </row>
    <row r="1479" spans="1:6" ht="16.8" customHeight="1" x14ac:dyDescent="0.3">
      <c r="A1479" s="20">
        <v>43076</v>
      </c>
      <c r="B1479" s="31" t="s">
        <v>739</v>
      </c>
      <c r="C1479" s="31"/>
      <c r="D1479" s="31" t="s">
        <v>740</v>
      </c>
      <c r="E1479" s="25">
        <v>45482</v>
      </c>
      <c r="F1479" s="26" t="s">
        <v>1</v>
      </c>
    </row>
    <row r="1480" spans="1:6" ht="16.8" customHeight="1" x14ac:dyDescent="0.3">
      <c r="A1480" s="20">
        <v>43077</v>
      </c>
      <c r="B1480" s="31" t="s">
        <v>187</v>
      </c>
      <c r="C1480" s="31" t="s">
        <v>106</v>
      </c>
      <c r="D1480" s="31" t="s">
        <v>741</v>
      </c>
      <c r="E1480" s="25">
        <v>45484</v>
      </c>
      <c r="F1480" s="26" t="s">
        <v>1</v>
      </c>
    </row>
    <row r="1481" spans="1:6" ht="16.8" customHeight="1" x14ac:dyDescent="0.3">
      <c r="A1481" s="20">
        <v>43078</v>
      </c>
      <c r="B1481" s="31" t="s">
        <v>187</v>
      </c>
      <c r="C1481" s="31" t="s">
        <v>714</v>
      </c>
      <c r="D1481" s="31" t="s">
        <v>742</v>
      </c>
      <c r="E1481" s="25">
        <v>45484</v>
      </c>
      <c r="F1481" s="26" t="s">
        <v>1</v>
      </c>
    </row>
    <row r="1482" spans="1:6" ht="16.8" customHeight="1" x14ac:dyDescent="0.3">
      <c r="A1482" s="20">
        <v>43079</v>
      </c>
      <c r="B1482" s="31"/>
      <c r="C1482" s="31"/>
      <c r="D1482" s="31"/>
      <c r="E1482" s="25"/>
      <c r="F1482" s="26"/>
    </row>
    <row r="1483" spans="1:6" ht="16.8" customHeight="1" x14ac:dyDescent="0.3">
      <c r="A1483" s="20">
        <v>43080</v>
      </c>
      <c r="B1483" s="31" t="s">
        <v>743</v>
      </c>
      <c r="C1483" s="31"/>
      <c r="D1483" s="31" t="s">
        <v>744</v>
      </c>
      <c r="E1483" s="25">
        <v>45484</v>
      </c>
      <c r="F1483" s="26" t="s">
        <v>1</v>
      </c>
    </row>
    <row r="1484" spans="1:6" ht="16.8" customHeight="1" x14ac:dyDescent="0.3">
      <c r="A1484" s="20">
        <v>43081</v>
      </c>
      <c r="B1484" s="31"/>
      <c r="C1484" s="31"/>
      <c r="D1484" s="31"/>
      <c r="E1484" s="25"/>
      <c r="F1484" s="26"/>
    </row>
    <row r="1485" spans="1:6" ht="16.8" customHeight="1" x14ac:dyDescent="0.3">
      <c r="A1485" s="20">
        <v>43082</v>
      </c>
      <c r="B1485" s="31"/>
      <c r="C1485" s="31"/>
      <c r="D1485" s="31"/>
      <c r="E1485" s="25"/>
      <c r="F1485" s="26"/>
    </row>
    <row r="1486" spans="1:6" ht="16.8" customHeight="1" x14ac:dyDescent="0.3">
      <c r="A1486" s="20">
        <v>43083</v>
      </c>
      <c r="B1486" s="31" t="s">
        <v>745</v>
      </c>
      <c r="C1486" s="31" t="s">
        <v>385</v>
      </c>
      <c r="D1486" s="31" t="s">
        <v>183</v>
      </c>
      <c r="E1486" s="25">
        <v>45560</v>
      </c>
      <c r="F1486" s="26" t="s">
        <v>4</v>
      </c>
    </row>
    <row r="1487" spans="1:6" ht="16.8" customHeight="1" x14ac:dyDescent="0.3">
      <c r="A1487" s="20">
        <v>43084</v>
      </c>
      <c r="B1487" s="31" t="s">
        <v>746</v>
      </c>
      <c r="C1487" s="31"/>
      <c r="D1487" s="31" t="s">
        <v>747</v>
      </c>
      <c r="E1487" s="25">
        <v>45560</v>
      </c>
      <c r="F1487" s="26" t="s">
        <v>4</v>
      </c>
    </row>
    <row r="1488" spans="1:6" ht="16.8" customHeight="1" x14ac:dyDescent="0.3">
      <c r="A1488" s="20">
        <v>43085</v>
      </c>
      <c r="B1488" s="31"/>
      <c r="C1488" s="31"/>
      <c r="D1488" s="31"/>
      <c r="E1488" s="25"/>
      <c r="F1488" s="26"/>
    </row>
    <row r="1489" spans="1:6" ht="16.8" customHeight="1" x14ac:dyDescent="0.3">
      <c r="A1489" s="20">
        <v>43086</v>
      </c>
      <c r="B1489" s="31" t="s">
        <v>375</v>
      </c>
      <c r="C1489" s="31" t="s">
        <v>133</v>
      </c>
      <c r="D1489" s="31" t="s">
        <v>98</v>
      </c>
      <c r="E1489" s="25">
        <v>45730</v>
      </c>
      <c r="F1489" s="26" t="s">
        <v>4</v>
      </c>
    </row>
    <row r="1490" spans="1:6" ht="16.8" customHeight="1" x14ac:dyDescent="0.3">
      <c r="A1490" s="20">
        <v>43087</v>
      </c>
      <c r="B1490" s="31" t="s">
        <v>504</v>
      </c>
      <c r="C1490" s="31" t="s">
        <v>379</v>
      </c>
      <c r="D1490" s="31" t="s">
        <v>505</v>
      </c>
      <c r="E1490" s="25">
        <v>45491</v>
      </c>
      <c r="F1490" s="26" t="s">
        <v>1</v>
      </c>
    </row>
    <row r="1491" spans="1:6" ht="16.8" customHeight="1" x14ac:dyDescent="0.3">
      <c r="A1491" s="20">
        <v>43088</v>
      </c>
      <c r="B1491" s="31"/>
      <c r="C1491" s="31"/>
      <c r="D1491" s="31"/>
      <c r="E1491" s="25"/>
      <c r="F1491" s="26"/>
    </row>
    <row r="1492" spans="1:6" ht="16.8" customHeight="1" x14ac:dyDescent="0.3">
      <c r="A1492" s="20">
        <v>43089</v>
      </c>
      <c r="B1492" s="31"/>
      <c r="C1492" s="31"/>
      <c r="D1492" s="31"/>
      <c r="E1492" s="25"/>
      <c r="F1492" s="26"/>
    </row>
    <row r="1493" spans="1:6" ht="16.8" customHeight="1" x14ac:dyDescent="0.3">
      <c r="A1493" s="20">
        <v>43090</v>
      </c>
      <c r="B1493" s="31" t="s">
        <v>748</v>
      </c>
      <c r="C1493" s="31" t="s">
        <v>749</v>
      </c>
      <c r="D1493" s="31" t="s">
        <v>750</v>
      </c>
      <c r="E1493" s="25">
        <v>45485</v>
      </c>
      <c r="F1493" s="26" t="s">
        <v>1</v>
      </c>
    </row>
    <row r="1494" spans="1:6" ht="16.8" customHeight="1" x14ac:dyDescent="0.3">
      <c r="A1494" s="20">
        <v>43091</v>
      </c>
      <c r="B1494" s="31"/>
      <c r="C1494" s="31"/>
      <c r="D1494" s="31"/>
      <c r="E1494" s="25"/>
      <c r="F1494" s="26"/>
    </row>
    <row r="1495" spans="1:6" ht="16.8" customHeight="1" x14ac:dyDescent="0.3">
      <c r="A1495" s="20">
        <v>43092</v>
      </c>
      <c r="B1495" s="31" t="s">
        <v>751</v>
      </c>
      <c r="C1495" s="31" t="s">
        <v>752</v>
      </c>
      <c r="D1495" s="31" t="s">
        <v>159</v>
      </c>
      <c r="E1495" s="25">
        <v>45485</v>
      </c>
      <c r="F1495" s="26" t="s">
        <v>1</v>
      </c>
    </row>
    <row r="1496" spans="1:6" ht="16.8" customHeight="1" x14ac:dyDescent="0.3">
      <c r="A1496" s="20">
        <v>43093</v>
      </c>
      <c r="B1496" s="31"/>
      <c r="C1496" s="31"/>
      <c r="D1496" s="31"/>
      <c r="E1496" s="25"/>
      <c r="F1496" s="26"/>
    </row>
    <row r="1497" spans="1:6" ht="16.8" customHeight="1" x14ac:dyDescent="0.3">
      <c r="A1497" s="20">
        <v>43094</v>
      </c>
      <c r="B1497" s="31" t="s">
        <v>584</v>
      </c>
      <c r="C1497" s="31" t="s">
        <v>63</v>
      </c>
      <c r="D1497" s="31" t="s">
        <v>753</v>
      </c>
      <c r="E1497" s="25">
        <v>45491</v>
      </c>
      <c r="F1497" s="26" t="s">
        <v>1</v>
      </c>
    </row>
    <row r="1498" spans="1:6" ht="16.8" customHeight="1" x14ac:dyDescent="0.3">
      <c r="A1498" s="20">
        <v>43095</v>
      </c>
      <c r="B1498" s="31"/>
      <c r="C1498" s="31"/>
      <c r="D1498" s="31"/>
      <c r="E1498" s="25"/>
      <c r="F1498" s="26"/>
    </row>
    <row r="1499" spans="1:6" ht="16.8" customHeight="1" x14ac:dyDescent="0.3">
      <c r="A1499" s="20">
        <v>43096</v>
      </c>
      <c r="B1499" s="31" t="s">
        <v>256</v>
      </c>
      <c r="C1499" s="31" t="s">
        <v>754</v>
      </c>
      <c r="D1499" s="31" t="s">
        <v>755</v>
      </c>
      <c r="E1499" s="25">
        <v>45530</v>
      </c>
      <c r="F1499" s="26" t="s">
        <v>1</v>
      </c>
    </row>
    <row r="1500" spans="1:6" ht="16.8" customHeight="1" x14ac:dyDescent="0.3">
      <c r="A1500" s="20">
        <v>43097</v>
      </c>
      <c r="B1500" s="31" t="s">
        <v>756</v>
      </c>
      <c r="C1500" s="31"/>
      <c r="D1500" s="31" t="s">
        <v>757</v>
      </c>
      <c r="E1500" s="25">
        <v>45485</v>
      </c>
      <c r="F1500" s="26" t="s">
        <v>1</v>
      </c>
    </row>
    <row r="1501" spans="1:6" ht="16.8" customHeight="1" x14ac:dyDescent="0.3">
      <c r="A1501" s="20">
        <v>43098</v>
      </c>
      <c r="B1501" s="31"/>
      <c r="C1501" s="31"/>
      <c r="D1501" s="31"/>
      <c r="E1501" s="25"/>
      <c r="F1501" s="26"/>
    </row>
    <row r="1502" spans="1:6" ht="16.8" customHeight="1" x14ac:dyDescent="0.3">
      <c r="A1502" s="20">
        <v>43099</v>
      </c>
      <c r="B1502" s="31"/>
      <c r="C1502" s="31"/>
      <c r="D1502" s="31"/>
      <c r="E1502" s="25"/>
      <c r="F1502" s="26"/>
    </row>
    <row r="1503" spans="1:6" ht="16.8" customHeight="1" x14ac:dyDescent="0.3">
      <c r="A1503" s="20">
        <v>43100</v>
      </c>
      <c r="B1503" s="31"/>
      <c r="C1503" s="31"/>
      <c r="D1503" s="31"/>
      <c r="E1503" s="25"/>
      <c r="F1503" s="26"/>
    </row>
    <row r="1504" spans="1:6" ht="16.8" customHeight="1" x14ac:dyDescent="0.3">
      <c r="A1504" s="20">
        <v>43101</v>
      </c>
      <c r="B1504" s="31" t="s">
        <v>758</v>
      </c>
      <c r="C1504" s="31" t="s">
        <v>385</v>
      </c>
      <c r="D1504" s="31" t="s">
        <v>759</v>
      </c>
      <c r="E1504" s="25">
        <v>45565</v>
      </c>
      <c r="F1504" s="26" t="s">
        <v>4</v>
      </c>
    </row>
    <row r="1505" spans="1:6" ht="16.8" customHeight="1" x14ac:dyDescent="0.3">
      <c r="A1505" s="20">
        <v>43102</v>
      </c>
      <c r="B1505" s="31" t="s">
        <v>225</v>
      </c>
      <c r="C1505" s="31" t="s">
        <v>348</v>
      </c>
      <c r="D1505" s="31" t="s">
        <v>760</v>
      </c>
      <c r="E1505" s="25">
        <v>45554</v>
      </c>
      <c r="F1505" s="26" t="s">
        <v>1</v>
      </c>
    </row>
    <row r="1506" spans="1:6" ht="16.8" customHeight="1" x14ac:dyDescent="0.3">
      <c r="A1506" s="20">
        <v>43103</v>
      </c>
      <c r="B1506" s="31" t="s">
        <v>761</v>
      </c>
      <c r="C1506" s="31" t="s">
        <v>358</v>
      </c>
      <c r="D1506" s="31" t="s">
        <v>762</v>
      </c>
      <c r="E1506" s="25">
        <v>45561</v>
      </c>
      <c r="F1506" s="26" t="s">
        <v>1</v>
      </c>
    </row>
    <row r="1507" spans="1:6" ht="16.8" customHeight="1" x14ac:dyDescent="0.3">
      <c r="A1507" s="20">
        <v>43104</v>
      </c>
      <c r="B1507" s="31" t="s">
        <v>74</v>
      </c>
      <c r="C1507" s="31" t="s">
        <v>763</v>
      </c>
      <c r="D1507" s="31" t="s">
        <v>145</v>
      </c>
      <c r="E1507" s="25">
        <v>45503</v>
      </c>
      <c r="F1507" s="26" t="s">
        <v>1</v>
      </c>
    </row>
    <row r="1508" spans="1:6" ht="16.8" customHeight="1" x14ac:dyDescent="0.3">
      <c r="A1508" s="20">
        <v>43105</v>
      </c>
      <c r="B1508" s="31"/>
      <c r="C1508" s="31"/>
      <c r="D1508" s="31"/>
      <c r="E1508" s="25"/>
      <c r="F1508" s="26"/>
    </row>
    <row r="1509" spans="1:6" ht="16.8" customHeight="1" x14ac:dyDescent="0.3">
      <c r="A1509" s="20">
        <v>43106</v>
      </c>
      <c r="B1509" s="31"/>
      <c r="C1509" s="31"/>
      <c r="D1509" s="31"/>
      <c r="E1509" s="25"/>
      <c r="F1509" s="26"/>
    </row>
    <row r="1510" spans="1:6" ht="16.8" customHeight="1" x14ac:dyDescent="0.3">
      <c r="A1510" s="20">
        <v>43107</v>
      </c>
      <c r="B1510" s="31"/>
      <c r="C1510" s="31"/>
      <c r="D1510" s="31"/>
      <c r="E1510" s="25"/>
      <c r="F1510" s="26"/>
    </row>
    <row r="1511" spans="1:6" ht="16.8" customHeight="1" x14ac:dyDescent="0.3">
      <c r="A1511" s="20">
        <v>43108</v>
      </c>
      <c r="B1511" s="31" t="s">
        <v>325</v>
      </c>
      <c r="C1511" s="31" t="s">
        <v>367</v>
      </c>
      <c r="D1511" s="31" t="s">
        <v>163</v>
      </c>
      <c r="E1511" s="25">
        <v>45505</v>
      </c>
      <c r="F1511" s="26" t="s">
        <v>2</v>
      </c>
    </row>
    <row r="1512" spans="1:6" ht="16.8" customHeight="1" x14ac:dyDescent="0.3">
      <c r="A1512" s="20">
        <v>43109</v>
      </c>
      <c r="B1512" s="31" t="s">
        <v>122</v>
      </c>
      <c r="C1512" s="31" t="s">
        <v>764</v>
      </c>
      <c r="D1512" s="31" t="s">
        <v>765</v>
      </c>
      <c r="E1512" s="25">
        <v>45497</v>
      </c>
      <c r="F1512" s="26" t="s">
        <v>1</v>
      </c>
    </row>
    <row r="1513" spans="1:6" ht="16.8" customHeight="1" x14ac:dyDescent="0.3">
      <c r="A1513" s="20">
        <v>43110</v>
      </c>
      <c r="B1513" s="31" t="s">
        <v>262</v>
      </c>
      <c r="C1513" s="31" t="s">
        <v>263</v>
      </c>
      <c r="D1513" s="31" t="s">
        <v>766</v>
      </c>
      <c r="E1513" s="25">
        <v>45490</v>
      </c>
      <c r="F1513" s="26" t="s">
        <v>4</v>
      </c>
    </row>
    <row r="1514" spans="1:6" ht="16.8" customHeight="1" x14ac:dyDescent="0.3">
      <c r="A1514" s="20">
        <v>43111</v>
      </c>
      <c r="B1514" s="31" t="s">
        <v>262</v>
      </c>
      <c r="C1514" s="31" t="s">
        <v>263</v>
      </c>
      <c r="D1514" s="31" t="s">
        <v>767</v>
      </c>
      <c r="E1514" s="25">
        <v>45490</v>
      </c>
      <c r="F1514" s="26" t="s">
        <v>2</v>
      </c>
    </row>
    <row r="1515" spans="1:6" ht="16.8" customHeight="1" x14ac:dyDescent="0.3">
      <c r="A1515" s="20">
        <v>43112</v>
      </c>
      <c r="B1515" s="31" t="s">
        <v>56</v>
      </c>
      <c r="C1515" s="31" t="s">
        <v>764</v>
      </c>
      <c r="D1515" s="31" t="s">
        <v>768</v>
      </c>
      <c r="E1515" s="25">
        <v>45561</v>
      </c>
      <c r="F1515" s="26" t="s">
        <v>1</v>
      </c>
    </row>
    <row r="1516" spans="1:6" ht="16.8" customHeight="1" x14ac:dyDescent="0.3">
      <c r="A1516" s="20">
        <v>43113</v>
      </c>
      <c r="B1516" s="31" t="s">
        <v>195</v>
      </c>
      <c r="C1516" s="31" t="s">
        <v>769</v>
      </c>
      <c r="D1516" s="31" t="s">
        <v>770</v>
      </c>
      <c r="E1516" s="25">
        <v>45490</v>
      </c>
      <c r="F1516" s="26" t="s">
        <v>1</v>
      </c>
    </row>
    <row r="1517" spans="1:6" ht="16.8" customHeight="1" x14ac:dyDescent="0.3">
      <c r="A1517" s="20">
        <v>43114</v>
      </c>
      <c r="B1517" s="31" t="s">
        <v>771</v>
      </c>
      <c r="C1517" s="31"/>
      <c r="D1517" s="31" t="s">
        <v>772</v>
      </c>
      <c r="E1517" s="25">
        <v>45483</v>
      </c>
      <c r="F1517" s="26" t="s">
        <v>1</v>
      </c>
    </row>
    <row r="1518" spans="1:6" ht="16.8" customHeight="1" x14ac:dyDescent="0.3">
      <c r="A1518" s="20">
        <v>43115</v>
      </c>
      <c r="B1518" s="31"/>
      <c r="C1518" s="31"/>
      <c r="D1518" s="31"/>
      <c r="E1518" s="25"/>
      <c r="F1518" s="26"/>
    </row>
    <row r="1519" spans="1:6" ht="16.8" customHeight="1" x14ac:dyDescent="0.3">
      <c r="A1519" s="20">
        <v>43116</v>
      </c>
      <c r="B1519" s="31"/>
      <c r="C1519" s="31"/>
      <c r="D1519" s="31"/>
      <c r="E1519" s="25"/>
      <c r="F1519" s="26"/>
    </row>
    <row r="1520" spans="1:6" ht="16.8" customHeight="1" x14ac:dyDescent="0.3">
      <c r="A1520" s="20">
        <v>43117</v>
      </c>
      <c r="B1520" s="31"/>
      <c r="C1520" s="31"/>
      <c r="D1520" s="31"/>
      <c r="E1520" s="25"/>
      <c r="F1520" s="26"/>
    </row>
    <row r="1521" spans="1:6" ht="16.8" customHeight="1" x14ac:dyDescent="0.3">
      <c r="A1521" s="20">
        <v>43118</v>
      </c>
      <c r="B1521" s="31" t="s">
        <v>773</v>
      </c>
      <c r="C1521" s="31" t="s">
        <v>26</v>
      </c>
      <c r="D1521" s="31" t="s">
        <v>27</v>
      </c>
      <c r="E1521" s="25">
        <v>45531</v>
      </c>
      <c r="F1521" s="26" t="s">
        <v>1</v>
      </c>
    </row>
    <row r="1522" spans="1:6" ht="16.8" customHeight="1" x14ac:dyDescent="0.3">
      <c r="A1522" s="20">
        <v>43119</v>
      </c>
      <c r="B1522" s="31" t="s">
        <v>774</v>
      </c>
      <c r="C1522" s="31"/>
      <c r="D1522" s="31" t="s">
        <v>645</v>
      </c>
      <c r="E1522" s="25">
        <v>45481</v>
      </c>
      <c r="F1522" s="26" t="s">
        <v>1</v>
      </c>
    </row>
    <row r="1523" spans="1:6" ht="16.8" customHeight="1" x14ac:dyDescent="0.3">
      <c r="A1523" s="20">
        <v>43120</v>
      </c>
      <c r="B1523" s="31" t="s">
        <v>567</v>
      </c>
      <c r="C1523" s="31" t="s">
        <v>775</v>
      </c>
      <c r="D1523" s="31" t="s">
        <v>776</v>
      </c>
      <c r="E1523" s="25">
        <v>45481</v>
      </c>
      <c r="F1523" s="26" t="s">
        <v>1</v>
      </c>
    </row>
    <row r="1524" spans="1:6" ht="16.8" customHeight="1" x14ac:dyDescent="0.3">
      <c r="A1524" s="20">
        <v>43121</v>
      </c>
      <c r="B1524" s="31" t="s">
        <v>96</v>
      </c>
      <c r="C1524" s="31" t="s">
        <v>408</v>
      </c>
      <c r="D1524" s="31" t="s">
        <v>777</v>
      </c>
      <c r="E1524" s="25">
        <v>45565</v>
      </c>
      <c r="F1524" s="26" t="s">
        <v>1</v>
      </c>
    </row>
    <row r="1525" spans="1:6" ht="16.8" customHeight="1" x14ac:dyDescent="0.3">
      <c r="A1525" s="20">
        <v>43122</v>
      </c>
      <c r="B1525" s="31" t="s">
        <v>41</v>
      </c>
      <c r="C1525" s="31" t="s">
        <v>629</v>
      </c>
      <c r="D1525" s="31" t="s">
        <v>425</v>
      </c>
      <c r="E1525" s="25">
        <v>45544</v>
      </c>
      <c r="F1525" s="26" t="s">
        <v>4</v>
      </c>
    </row>
    <row r="1526" spans="1:6" ht="16.8" customHeight="1" x14ac:dyDescent="0.3">
      <c r="A1526" s="20">
        <v>43123</v>
      </c>
      <c r="B1526" s="31" t="s">
        <v>778</v>
      </c>
      <c r="C1526" s="31" t="s">
        <v>752</v>
      </c>
      <c r="D1526" s="31" t="s">
        <v>779</v>
      </c>
      <c r="E1526" s="25">
        <v>45491</v>
      </c>
      <c r="F1526" s="26" t="s">
        <v>1</v>
      </c>
    </row>
    <row r="1527" spans="1:6" ht="16.8" customHeight="1" x14ac:dyDescent="0.3">
      <c r="A1527" s="20">
        <v>43124</v>
      </c>
      <c r="B1527" s="31" t="s">
        <v>189</v>
      </c>
      <c r="C1527" s="31" t="s">
        <v>362</v>
      </c>
      <c r="D1527" s="31" t="s">
        <v>186</v>
      </c>
      <c r="E1527" s="25">
        <v>45531</v>
      </c>
      <c r="F1527" s="26" t="s">
        <v>1</v>
      </c>
    </row>
    <row r="1528" spans="1:6" ht="16.8" customHeight="1" x14ac:dyDescent="0.3">
      <c r="A1528" s="20">
        <v>43125</v>
      </c>
      <c r="B1528" s="31"/>
      <c r="C1528" s="31"/>
      <c r="D1528" s="31"/>
      <c r="E1528" s="25"/>
      <c r="F1528" s="26"/>
    </row>
    <row r="1529" spans="1:6" ht="16.8" customHeight="1" x14ac:dyDescent="0.3">
      <c r="A1529" s="20">
        <v>43126</v>
      </c>
      <c r="B1529" s="31"/>
      <c r="C1529" s="31"/>
      <c r="D1529" s="31"/>
      <c r="E1529" s="25"/>
      <c r="F1529" s="26"/>
    </row>
    <row r="1530" spans="1:6" ht="16.8" customHeight="1" x14ac:dyDescent="0.3">
      <c r="A1530" s="20">
        <v>43127</v>
      </c>
      <c r="B1530" s="31" t="s">
        <v>780</v>
      </c>
      <c r="C1530" s="31"/>
      <c r="D1530" s="31" t="s">
        <v>27</v>
      </c>
      <c r="E1530" s="25">
        <v>45503</v>
      </c>
      <c r="F1530" s="26" t="s">
        <v>1</v>
      </c>
    </row>
    <row r="1531" spans="1:6" ht="16.8" customHeight="1" x14ac:dyDescent="0.3">
      <c r="A1531" s="20">
        <v>43128</v>
      </c>
      <c r="B1531" s="31"/>
      <c r="C1531" s="31"/>
      <c r="D1531" s="31"/>
      <c r="E1531" s="25"/>
      <c r="F1531" s="26"/>
    </row>
    <row r="1532" spans="1:6" ht="16.8" customHeight="1" x14ac:dyDescent="0.3">
      <c r="A1532" s="20">
        <v>43129</v>
      </c>
      <c r="B1532" s="31" t="s">
        <v>86</v>
      </c>
      <c r="C1532" s="31" t="s">
        <v>45</v>
      </c>
      <c r="D1532" s="31" t="s">
        <v>163</v>
      </c>
      <c r="E1532" s="25">
        <v>45505</v>
      </c>
      <c r="F1532" s="26" t="s">
        <v>2</v>
      </c>
    </row>
    <row r="1533" spans="1:6" ht="16.8" customHeight="1" x14ac:dyDescent="0.3">
      <c r="A1533" s="20">
        <v>43130</v>
      </c>
      <c r="B1533" s="31" t="s">
        <v>41</v>
      </c>
      <c r="C1533" s="31" t="s">
        <v>781</v>
      </c>
      <c r="D1533" s="31" t="s">
        <v>415</v>
      </c>
      <c r="E1533" s="25">
        <v>45629</v>
      </c>
      <c r="F1533" s="26" t="s">
        <v>4</v>
      </c>
    </row>
    <row r="1534" spans="1:6" ht="16.8" customHeight="1" x14ac:dyDescent="0.3">
      <c r="A1534" s="20">
        <v>43131</v>
      </c>
      <c r="B1534" s="31" t="s">
        <v>262</v>
      </c>
      <c r="C1534" s="31" t="s">
        <v>263</v>
      </c>
      <c r="D1534" s="31" t="s">
        <v>2193</v>
      </c>
      <c r="E1534" s="25">
        <v>45798</v>
      </c>
      <c r="F1534" s="26" t="s">
        <v>2</v>
      </c>
    </row>
    <row r="1535" spans="1:6" ht="16.8" customHeight="1" x14ac:dyDescent="0.3">
      <c r="A1535" s="20">
        <v>43132</v>
      </c>
      <c r="B1535" s="31" t="s">
        <v>41</v>
      </c>
      <c r="C1535" s="31" t="s">
        <v>782</v>
      </c>
      <c r="D1535" s="31" t="s">
        <v>98</v>
      </c>
      <c r="E1535" s="25">
        <v>45509.610219907408</v>
      </c>
      <c r="F1535" s="26" t="s">
        <v>4</v>
      </c>
    </row>
    <row r="1536" spans="1:6" ht="16.8" customHeight="1" x14ac:dyDescent="0.3">
      <c r="A1536" s="20">
        <v>43133</v>
      </c>
      <c r="B1536" s="31" t="s">
        <v>450</v>
      </c>
      <c r="C1536" s="31" t="s">
        <v>133</v>
      </c>
      <c r="D1536" s="31" t="s">
        <v>783</v>
      </c>
      <c r="E1536" s="25">
        <v>45530.623206018521</v>
      </c>
      <c r="F1536" s="26" t="s">
        <v>1</v>
      </c>
    </row>
    <row r="1537" spans="1:6" ht="16.8" customHeight="1" x14ac:dyDescent="0.3">
      <c r="A1537" s="20">
        <v>43134</v>
      </c>
      <c r="B1537" s="31" t="s">
        <v>71</v>
      </c>
      <c r="C1537" s="31" t="s">
        <v>57</v>
      </c>
      <c r="D1537" s="31" t="s">
        <v>784</v>
      </c>
      <c r="E1537" s="25">
        <v>45490</v>
      </c>
      <c r="F1537" s="26" t="s">
        <v>1</v>
      </c>
    </row>
    <row r="1538" spans="1:6" ht="16.8" customHeight="1" x14ac:dyDescent="0.3">
      <c r="A1538" s="20">
        <v>43135</v>
      </c>
      <c r="B1538" s="31"/>
      <c r="C1538" s="31"/>
      <c r="D1538" s="31"/>
      <c r="E1538" s="25"/>
      <c r="F1538" s="26"/>
    </row>
    <row r="1539" spans="1:6" ht="16.8" customHeight="1" x14ac:dyDescent="0.3">
      <c r="A1539" s="20">
        <v>43136</v>
      </c>
      <c r="B1539" s="31"/>
      <c r="C1539" s="31"/>
      <c r="D1539" s="31"/>
      <c r="E1539" s="25"/>
      <c r="F1539" s="26"/>
    </row>
    <row r="1540" spans="1:6" ht="16.8" customHeight="1" x14ac:dyDescent="0.3">
      <c r="A1540" s="20">
        <v>43137</v>
      </c>
      <c r="B1540" s="31"/>
      <c r="C1540" s="31"/>
      <c r="D1540" s="31"/>
      <c r="E1540" s="25"/>
      <c r="F1540" s="26"/>
    </row>
    <row r="1541" spans="1:6" ht="16.8" customHeight="1" x14ac:dyDescent="0.3">
      <c r="A1541" s="20">
        <v>43138</v>
      </c>
      <c r="B1541" s="31"/>
      <c r="C1541" s="31"/>
      <c r="D1541" s="31"/>
      <c r="E1541" s="25"/>
      <c r="F1541" s="26"/>
    </row>
    <row r="1542" spans="1:6" ht="16.8" customHeight="1" x14ac:dyDescent="0.3">
      <c r="A1542" s="20">
        <v>43139</v>
      </c>
      <c r="B1542" s="31" t="s">
        <v>559</v>
      </c>
      <c r="C1542" s="31" t="s">
        <v>45</v>
      </c>
      <c r="D1542" s="31" t="s">
        <v>784</v>
      </c>
      <c r="E1542" s="25">
        <v>45488</v>
      </c>
      <c r="F1542" s="26" t="s">
        <v>3</v>
      </c>
    </row>
    <row r="1543" spans="1:6" ht="16.8" customHeight="1" x14ac:dyDescent="0.3">
      <c r="A1543" s="20">
        <v>43140</v>
      </c>
      <c r="B1543" s="31" t="s">
        <v>785</v>
      </c>
      <c r="C1543" s="31" t="s">
        <v>786</v>
      </c>
      <c r="D1543" s="31" t="s">
        <v>787</v>
      </c>
      <c r="E1543" s="25">
        <v>45491</v>
      </c>
      <c r="F1543" s="26" t="s">
        <v>1</v>
      </c>
    </row>
    <row r="1544" spans="1:6" ht="16.8" customHeight="1" x14ac:dyDescent="0.3">
      <c r="A1544" s="20">
        <v>43141</v>
      </c>
      <c r="B1544" s="31" t="s">
        <v>262</v>
      </c>
      <c r="C1544" s="31" t="s">
        <v>263</v>
      </c>
      <c r="D1544" s="31" t="s">
        <v>788</v>
      </c>
      <c r="E1544" s="25">
        <v>45505</v>
      </c>
      <c r="F1544" s="26" t="s">
        <v>2</v>
      </c>
    </row>
    <row r="1545" spans="1:6" ht="16.8" customHeight="1" x14ac:dyDescent="0.3">
      <c r="A1545" s="20">
        <v>43142</v>
      </c>
      <c r="B1545" s="31"/>
      <c r="C1545" s="31"/>
      <c r="D1545" s="31"/>
      <c r="E1545" s="25"/>
      <c r="F1545" s="26"/>
    </row>
    <row r="1546" spans="1:6" ht="16.8" customHeight="1" x14ac:dyDescent="0.3">
      <c r="A1546" s="20">
        <v>43143</v>
      </c>
      <c r="B1546" s="31" t="s">
        <v>681</v>
      </c>
      <c r="C1546" s="31" t="s">
        <v>232</v>
      </c>
      <c r="D1546" s="31" t="s">
        <v>121</v>
      </c>
      <c r="E1546" s="25">
        <v>45812</v>
      </c>
      <c r="F1546" s="26" t="s">
        <v>4</v>
      </c>
    </row>
    <row r="1547" spans="1:6" ht="16.8" customHeight="1" x14ac:dyDescent="0.3">
      <c r="A1547" s="20">
        <v>43144</v>
      </c>
      <c r="B1547" s="31" t="s">
        <v>789</v>
      </c>
      <c r="C1547" s="31" t="s">
        <v>45</v>
      </c>
      <c r="D1547" s="31" t="s">
        <v>121</v>
      </c>
      <c r="E1547" s="25">
        <v>45544</v>
      </c>
      <c r="F1547" s="26" t="s">
        <v>4</v>
      </c>
    </row>
    <row r="1548" spans="1:6" ht="16.8" customHeight="1" x14ac:dyDescent="0.3">
      <c r="A1548" s="20">
        <v>43145</v>
      </c>
      <c r="B1548" s="31" t="s">
        <v>790</v>
      </c>
      <c r="C1548" s="31" t="s">
        <v>791</v>
      </c>
      <c r="D1548" s="31" t="s">
        <v>615</v>
      </c>
      <c r="E1548" s="25">
        <v>45496</v>
      </c>
      <c r="F1548" s="26" t="s">
        <v>1</v>
      </c>
    </row>
    <row r="1549" spans="1:6" ht="16.8" customHeight="1" x14ac:dyDescent="0.3">
      <c r="A1549" s="20">
        <v>43146</v>
      </c>
      <c r="B1549" s="31"/>
      <c r="C1549" s="31"/>
      <c r="D1549" s="31"/>
      <c r="E1549" s="25"/>
      <c r="F1549" s="26"/>
    </row>
    <row r="1550" spans="1:6" ht="16.8" customHeight="1" x14ac:dyDescent="0.3">
      <c r="A1550" s="20">
        <v>43147</v>
      </c>
      <c r="B1550" s="31"/>
      <c r="C1550" s="31"/>
      <c r="D1550" s="31"/>
      <c r="E1550" s="25"/>
      <c r="F1550" s="26"/>
    </row>
    <row r="1551" spans="1:6" ht="16.8" customHeight="1" x14ac:dyDescent="0.3">
      <c r="A1551" s="20">
        <v>43148</v>
      </c>
      <c r="B1551" s="31"/>
      <c r="C1551" s="31"/>
      <c r="D1551" s="31"/>
      <c r="E1551" s="25"/>
      <c r="F1551" s="26"/>
    </row>
    <row r="1552" spans="1:6" ht="16.8" customHeight="1" x14ac:dyDescent="0.3">
      <c r="A1552" s="20">
        <v>43149</v>
      </c>
      <c r="B1552" s="31" t="s">
        <v>792</v>
      </c>
      <c r="C1552" s="31" t="s">
        <v>793</v>
      </c>
      <c r="D1552" s="31" t="s">
        <v>145</v>
      </c>
      <c r="E1552" s="25">
        <v>45491</v>
      </c>
      <c r="F1552" s="26" t="s">
        <v>1</v>
      </c>
    </row>
    <row r="1553" spans="1:6" ht="16.8" customHeight="1" x14ac:dyDescent="0.3">
      <c r="A1553" s="20">
        <v>43150</v>
      </c>
      <c r="B1553" s="31" t="s">
        <v>794</v>
      </c>
      <c r="C1553" s="31" t="s">
        <v>795</v>
      </c>
      <c r="D1553" s="31" t="s">
        <v>796</v>
      </c>
      <c r="E1553" s="25">
        <v>45546</v>
      </c>
      <c r="F1553" s="26" t="s">
        <v>4</v>
      </c>
    </row>
    <row r="1554" spans="1:6" ht="16.8" customHeight="1" x14ac:dyDescent="0.3">
      <c r="A1554" s="20">
        <v>43151</v>
      </c>
      <c r="B1554" s="31" t="s">
        <v>758</v>
      </c>
      <c r="C1554" s="31" t="s">
        <v>797</v>
      </c>
      <c r="D1554" s="31" t="s">
        <v>798</v>
      </c>
      <c r="E1554" s="25">
        <v>45553</v>
      </c>
      <c r="F1554" s="26" t="s">
        <v>2</v>
      </c>
    </row>
    <row r="1555" spans="1:6" ht="16.8" customHeight="1" x14ac:dyDescent="0.3">
      <c r="A1555" s="20">
        <v>43152</v>
      </c>
      <c r="B1555" s="31"/>
      <c r="C1555" s="31"/>
      <c r="D1555" s="31"/>
      <c r="E1555" s="25"/>
      <c r="F1555" s="26"/>
    </row>
    <row r="1556" spans="1:6" ht="16.8" customHeight="1" x14ac:dyDescent="0.3">
      <c r="A1556" s="20">
        <v>43153</v>
      </c>
      <c r="B1556" s="31"/>
      <c r="C1556" s="31"/>
      <c r="D1556" s="31"/>
      <c r="E1556" s="25"/>
      <c r="F1556" s="26"/>
    </row>
    <row r="1557" spans="1:6" ht="16.8" customHeight="1" x14ac:dyDescent="0.3">
      <c r="A1557" s="20">
        <v>43154</v>
      </c>
      <c r="B1557" s="31"/>
      <c r="C1557" s="31"/>
      <c r="D1557" s="31"/>
      <c r="E1557" s="25"/>
      <c r="F1557" s="26"/>
    </row>
    <row r="1558" spans="1:6" ht="16.8" customHeight="1" x14ac:dyDescent="0.3">
      <c r="A1558" s="20">
        <v>43155</v>
      </c>
      <c r="B1558" s="31"/>
      <c r="C1558" s="31"/>
      <c r="D1558" s="31"/>
      <c r="E1558" s="25"/>
      <c r="F1558" s="26"/>
    </row>
    <row r="1559" spans="1:6" ht="16.8" customHeight="1" x14ac:dyDescent="0.3">
      <c r="A1559" s="20">
        <v>43156</v>
      </c>
      <c r="B1559" s="31"/>
      <c r="C1559" s="31"/>
      <c r="D1559" s="31"/>
      <c r="E1559" s="25"/>
      <c r="F1559" s="26"/>
    </row>
    <row r="1560" spans="1:6" ht="16.8" customHeight="1" x14ac:dyDescent="0.3">
      <c r="A1560" s="20">
        <v>43157</v>
      </c>
      <c r="B1560" s="31"/>
      <c r="C1560" s="31"/>
      <c r="D1560" s="31"/>
      <c r="E1560" s="25"/>
      <c r="F1560" s="26"/>
    </row>
    <row r="1561" spans="1:6" ht="16.8" customHeight="1" x14ac:dyDescent="0.3">
      <c r="A1561" s="20">
        <v>43158</v>
      </c>
      <c r="B1561" s="31"/>
      <c r="C1561" s="31"/>
      <c r="D1561" s="31"/>
      <c r="E1561" s="25"/>
      <c r="F1561" s="26"/>
    </row>
    <row r="1562" spans="1:6" ht="16.8" customHeight="1" x14ac:dyDescent="0.3">
      <c r="A1562" s="20">
        <v>43159</v>
      </c>
      <c r="B1562" s="31" t="s">
        <v>799</v>
      </c>
      <c r="C1562" s="31" t="s">
        <v>179</v>
      </c>
      <c r="D1562" s="31" t="s">
        <v>800</v>
      </c>
      <c r="E1562" s="25">
        <v>45530</v>
      </c>
      <c r="F1562" s="26" t="s">
        <v>1</v>
      </c>
    </row>
    <row r="1563" spans="1:6" ht="16.8" customHeight="1" x14ac:dyDescent="0.3">
      <c r="A1563" s="20">
        <v>43160</v>
      </c>
      <c r="B1563" s="31" t="s">
        <v>681</v>
      </c>
      <c r="C1563" s="31" t="s">
        <v>45</v>
      </c>
      <c r="D1563" s="31" t="s">
        <v>801</v>
      </c>
      <c r="E1563" s="25">
        <v>45492</v>
      </c>
      <c r="F1563" s="26" t="s">
        <v>1</v>
      </c>
    </row>
    <row r="1564" spans="1:6" ht="16.8" customHeight="1" x14ac:dyDescent="0.3">
      <c r="A1564" s="20">
        <v>43161</v>
      </c>
      <c r="B1564" s="31" t="s">
        <v>802</v>
      </c>
      <c r="C1564" s="31" t="s">
        <v>803</v>
      </c>
      <c r="D1564" s="31" t="s">
        <v>804</v>
      </c>
      <c r="E1564" s="25">
        <v>45492</v>
      </c>
      <c r="F1564" s="26" t="s">
        <v>1</v>
      </c>
    </row>
    <row r="1565" spans="1:6" ht="16.8" customHeight="1" x14ac:dyDescent="0.3">
      <c r="A1565" s="20">
        <v>43162</v>
      </c>
      <c r="B1565" s="31" t="s">
        <v>155</v>
      </c>
      <c r="C1565" s="31" t="s">
        <v>75</v>
      </c>
      <c r="D1565" s="31" t="s">
        <v>58</v>
      </c>
      <c r="E1565" s="25">
        <v>45492</v>
      </c>
      <c r="F1565" s="26" t="s">
        <v>1</v>
      </c>
    </row>
    <row r="1566" spans="1:6" ht="16.8" customHeight="1" x14ac:dyDescent="0.3">
      <c r="A1566" s="20">
        <v>43163</v>
      </c>
      <c r="B1566" s="31"/>
      <c r="C1566" s="31"/>
      <c r="D1566" s="31"/>
      <c r="E1566" s="25"/>
      <c r="F1566" s="26"/>
    </row>
    <row r="1567" spans="1:6" ht="16.8" customHeight="1" x14ac:dyDescent="0.3">
      <c r="A1567" s="20">
        <v>43164</v>
      </c>
      <c r="B1567" s="31" t="s">
        <v>805</v>
      </c>
      <c r="C1567" s="31" t="s">
        <v>185</v>
      </c>
      <c r="D1567" s="31" t="s">
        <v>603</v>
      </c>
      <c r="E1567" s="25">
        <v>45492</v>
      </c>
      <c r="F1567" s="26" t="s">
        <v>1</v>
      </c>
    </row>
    <row r="1568" spans="1:6" ht="16.8" customHeight="1" x14ac:dyDescent="0.3">
      <c r="A1568" s="20">
        <v>43165</v>
      </c>
      <c r="B1568" s="31"/>
      <c r="C1568" s="31"/>
      <c r="D1568" s="31"/>
      <c r="E1568" s="25"/>
      <c r="F1568" s="26"/>
    </row>
    <row r="1569" spans="1:6" ht="16.8" customHeight="1" x14ac:dyDescent="0.3">
      <c r="A1569" s="20">
        <v>43166</v>
      </c>
      <c r="B1569" s="31" t="s">
        <v>41</v>
      </c>
      <c r="C1569" s="31" t="s">
        <v>656</v>
      </c>
      <c r="D1569" s="31" t="s">
        <v>806</v>
      </c>
      <c r="E1569" s="25">
        <v>45546</v>
      </c>
      <c r="F1569" s="26" t="s">
        <v>1</v>
      </c>
    </row>
    <row r="1570" spans="1:6" ht="16.8" customHeight="1" x14ac:dyDescent="0.3">
      <c r="A1570" s="20">
        <v>43167</v>
      </c>
      <c r="B1570" s="31"/>
      <c r="C1570" s="31"/>
      <c r="D1570" s="31"/>
      <c r="E1570" s="25"/>
      <c r="F1570" s="26"/>
    </row>
    <row r="1571" spans="1:6" ht="16.8" customHeight="1" x14ac:dyDescent="0.3">
      <c r="A1571" s="20">
        <v>43168</v>
      </c>
      <c r="B1571" s="31"/>
      <c r="C1571" s="31"/>
      <c r="D1571" s="31"/>
      <c r="E1571" s="25"/>
      <c r="F1571" s="26"/>
    </row>
    <row r="1572" spans="1:6" ht="16.8" customHeight="1" x14ac:dyDescent="0.3">
      <c r="A1572" s="20">
        <v>43169</v>
      </c>
      <c r="B1572" s="31" t="s">
        <v>155</v>
      </c>
      <c r="C1572" s="31" t="s">
        <v>75</v>
      </c>
      <c r="D1572" s="31" t="s">
        <v>807</v>
      </c>
      <c r="E1572" s="25">
        <v>45509.612881944442</v>
      </c>
      <c r="F1572" s="26" t="s">
        <v>4</v>
      </c>
    </row>
    <row r="1573" spans="1:6" ht="16.8" customHeight="1" x14ac:dyDescent="0.3">
      <c r="A1573" s="20">
        <v>43170</v>
      </c>
      <c r="B1573" s="31" t="s">
        <v>808</v>
      </c>
      <c r="C1573" s="31" t="s">
        <v>718</v>
      </c>
      <c r="D1573" s="31" t="s">
        <v>145</v>
      </c>
      <c r="E1573" s="25">
        <v>45509.508993055555</v>
      </c>
      <c r="F1573" s="26" t="s">
        <v>1</v>
      </c>
    </row>
    <row r="1574" spans="1:6" ht="16.8" customHeight="1" x14ac:dyDescent="0.3">
      <c r="A1574" s="20">
        <v>43171</v>
      </c>
      <c r="B1574" s="31" t="s">
        <v>661</v>
      </c>
      <c r="C1574" s="31" t="s">
        <v>763</v>
      </c>
      <c r="D1574" s="31" t="s">
        <v>662</v>
      </c>
      <c r="E1574" s="25">
        <v>45503</v>
      </c>
      <c r="F1574" s="26" t="s">
        <v>1</v>
      </c>
    </row>
    <row r="1575" spans="1:6" ht="16.8" customHeight="1" x14ac:dyDescent="0.3">
      <c r="A1575" s="20">
        <v>43172</v>
      </c>
      <c r="B1575" s="31" t="s">
        <v>90</v>
      </c>
      <c r="C1575" s="31" t="s">
        <v>185</v>
      </c>
      <c r="D1575" s="31" t="s">
        <v>27</v>
      </c>
      <c r="E1575" s="25">
        <v>45496</v>
      </c>
      <c r="F1575" s="26" t="s">
        <v>1</v>
      </c>
    </row>
    <row r="1576" spans="1:6" ht="16.8" customHeight="1" x14ac:dyDescent="0.3">
      <c r="A1576" s="20">
        <v>43173</v>
      </c>
      <c r="B1576" s="31"/>
      <c r="C1576" s="31"/>
      <c r="D1576" s="31"/>
      <c r="E1576" s="25"/>
      <c r="F1576" s="26"/>
    </row>
    <row r="1577" spans="1:6" ht="16.8" customHeight="1" x14ac:dyDescent="0.3">
      <c r="A1577" s="20">
        <v>43174</v>
      </c>
      <c r="B1577" s="31" t="s">
        <v>122</v>
      </c>
      <c r="C1577" s="31" t="s">
        <v>809</v>
      </c>
      <c r="D1577" s="31" t="s">
        <v>70</v>
      </c>
      <c r="E1577" s="25">
        <v>45503</v>
      </c>
      <c r="F1577" s="26" t="s">
        <v>1</v>
      </c>
    </row>
    <row r="1578" spans="1:6" ht="16.8" customHeight="1" x14ac:dyDescent="0.3">
      <c r="A1578" s="20">
        <v>43175</v>
      </c>
      <c r="B1578" s="31"/>
      <c r="C1578" s="31"/>
      <c r="D1578" s="31"/>
      <c r="E1578" s="25"/>
      <c r="F1578" s="26"/>
    </row>
    <row r="1579" spans="1:6" ht="16.8" customHeight="1" x14ac:dyDescent="0.3">
      <c r="A1579" s="20">
        <v>43176</v>
      </c>
      <c r="B1579" s="31" t="s">
        <v>470</v>
      </c>
      <c r="C1579" s="31" t="s">
        <v>179</v>
      </c>
      <c r="D1579" s="31" t="s">
        <v>145</v>
      </c>
      <c r="E1579" s="25">
        <v>45509.610648148147</v>
      </c>
      <c r="F1579" s="26" t="s">
        <v>4</v>
      </c>
    </row>
    <row r="1580" spans="1:6" ht="16.8" customHeight="1" x14ac:dyDescent="0.3">
      <c r="A1580" s="20">
        <v>43177</v>
      </c>
      <c r="B1580" s="31"/>
      <c r="C1580" s="31"/>
      <c r="D1580" s="31"/>
      <c r="E1580" s="25"/>
      <c r="F1580" s="26"/>
    </row>
    <row r="1581" spans="1:6" ht="16.8" customHeight="1" x14ac:dyDescent="0.3">
      <c r="A1581" s="20">
        <v>43178</v>
      </c>
      <c r="B1581" s="31"/>
      <c r="C1581" s="31"/>
      <c r="D1581" s="31"/>
      <c r="E1581" s="25"/>
      <c r="F1581" s="26"/>
    </row>
    <row r="1582" spans="1:6" ht="16.8" customHeight="1" x14ac:dyDescent="0.3">
      <c r="A1582" s="20">
        <v>43179</v>
      </c>
      <c r="B1582" s="31" t="s">
        <v>2675</v>
      </c>
      <c r="C1582" s="31" t="s">
        <v>2676</v>
      </c>
      <c r="D1582" s="31" t="s">
        <v>283</v>
      </c>
      <c r="E1582" s="25">
        <v>45874</v>
      </c>
      <c r="F1582" s="26" t="s">
        <v>4</v>
      </c>
    </row>
    <row r="1583" spans="1:6" ht="16.8" customHeight="1" x14ac:dyDescent="0.3">
      <c r="A1583" s="20">
        <v>43180</v>
      </c>
      <c r="B1583" s="31"/>
      <c r="C1583" s="31"/>
      <c r="D1583" s="31"/>
      <c r="E1583" s="25"/>
      <c r="F1583" s="26"/>
    </row>
    <row r="1584" spans="1:6" ht="16.8" customHeight="1" x14ac:dyDescent="0.3">
      <c r="A1584" s="20">
        <v>43181</v>
      </c>
      <c r="B1584" s="31" t="s">
        <v>237</v>
      </c>
      <c r="C1584" s="31" t="s">
        <v>810</v>
      </c>
      <c r="D1584" s="31" t="s">
        <v>731</v>
      </c>
      <c r="E1584" s="25">
        <v>45530.689756944441</v>
      </c>
      <c r="F1584" s="26" t="s">
        <v>1</v>
      </c>
    </row>
    <row r="1585" spans="1:6" ht="16.8" customHeight="1" x14ac:dyDescent="0.3">
      <c r="A1585" s="20">
        <v>43182</v>
      </c>
      <c r="B1585" s="31" t="s">
        <v>811</v>
      </c>
      <c r="C1585" s="31" t="s">
        <v>812</v>
      </c>
      <c r="D1585" s="31" t="s">
        <v>121</v>
      </c>
      <c r="E1585" s="25">
        <v>45512.379363425927</v>
      </c>
      <c r="F1585" s="26" t="s">
        <v>4</v>
      </c>
    </row>
    <row r="1586" spans="1:6" ht="16.8" customHeight="1" x14ac:dyDescent="0.3">
      <c r="A1586" s="20">
        <v>43183</v>
      </c>
      <c r="B1586" s="31"/>
      <c r="C1586" s="31"/>
      <c r="D1586" s="31"/>
      <c r="E1586" s="25"/>
      <c r="F1586" s="26"/>
    </row>
    <row r="1587" spans="1:6" ht="16.8" customHeight="1" x14ac:dyDescent="0.3">
      <c r="A1587" s="20">
        <v>43184</v>
      </c>
      <c r="B1587" s="31" t="s">
        <v>813</v>
      </c>
      <c r="C1587" s="31" t="s">
        <v>814</v>
      </c>
      <c r="D1587" s="31" t="s">
        <v>815</v>
      </c>
      <c r="E1587" s="25">
        <v>45503</v>
      </c>
      <c r="F1587" s="26" t="s">
        <v>1</v>
      </c>
    </row>
    <row r="1588" spans="1:6" ht="16.8" customHeight="1" x14ac:dyDescent="0.3">
      <c r="A1588" s="20">
        <v>43185</v>
      </c>
      <c r="B1588" s="31" t="s">
        <v>236</v>
      </c>
      <c r="C1588" s="31" t="s">
        <v>75</v>
      </c>
      <c r="D1588" s="31" t="s">
        <v>816</v>
      </c>
      <c r="E1588" s="25">
        <v>45531</v>
      </c>
      <c r="F1588" s="26" t="s">
        <v>1</v>
      </c>
    </row>
    <row r="1589" spans="1:6" ht="16.8" customHeight="1" x14ac:dyDescent="0.3">
      <c r="A1589" s="20">
        <v>43186</v>
      </c>
      <c r="B1589" s="31" t="s">
        <v>817</v>
      </c>
      <c r="C1589" s="31" t="s">
        <v>714</v>
      </c>
      <c r="D1589" s="31" t="s">
        <v>818</v>
      </c>
      <c r="E1589" s="25">
        <v>45495</v>
      </c>
      <c r="F1589" s="26" t="s">
        <v>1</v>
      </c>
    </row>
    <row r="1590" spans="1:6" ht="16.8" customHeight="1" x14ac:dyDescent="0.3">
      <c r="A1590" s="20">
        <v>43187</v>
      </c>
      <c r="B1590" s="31" t="s">
        <v>739</v>
      </c>
      <c r="C1590" s="31"/>
      <c r="D1590" s="31" t="s">
        <v>819</v>
      </c>
      <c r="E1590" s="25">
        <v>45510.65520833333</v>
      </c>
      <c r="F1590" s="26" t="s">
        <v>1</v>
      </c>
    </row>
    <row r="1591" spans="1:6" ht="16.8" customHeight="1" x14ac:dyDescent="0.3">
      <c r="A1591" s="20">
        <v>43188</v>
      </c>
      <c r="B1591" s="31"/>
      <c r="C1591" s="31"/>
      <c r="D1591" s="31"/>
      <c r="E1591" s="25"/>
      <c r="F1591" s="26"/>
    </row>
    <row r="1592" spans="1:6" ht="16.8" customHeight="1" x14ac:dyDescent="0.3">
      <c r="A1592" s="20">
        <v>43189</v>
      </c>
      <c r="B1592" s="31"/>
      <c r="C1592" s="31"/>
      <c r="D1592" s="31"/>
      <c r="E1592" s="25"/>
      <c r="F1592" s="26"/>
    </row>
    <row r="1593" spans="1:6" ht="16.8" customHeight="1" x14ac:dyDescent="0.3">
      <c r="A1593" s="20">
        <v>43190</v>
      </c>
      <c r="B1593" s="31"/>
      <c r="C1593" s="31"/>
      <c r="D1593" s="31"/>
      <c r="E1593" s="25"/>
      <c r="F1593" s="26"/>
    </row>
    <row r="1594" spans="1:6" ht="16.8" customHeight="1" x14ac:dyDescent="0.3">
      <c r="A1594" s="20">
        <v>43191</v>
      </c>
      <c r="B1594" s="31" t="s">
        <v>262</v>
      </c>
      <c r="C1594" s="31" t="s">
        <v>263</v>
      </c>
      <c r="D1594" s="31" t="s">
        <v>2014</v>
      </c>
      <c r="E1594" s="25">
        <v>45734</v>
      </c>
      <c r="F1594" s="26" t="s">
        <v>2</v>
      </c>
    </row>
    <row r="1595" spans="1:6" ht="16.8" customHeight="1" x14ac:dyDescent="0.3">
      <c r="A1595" s="20">
        <v>43192</v>
      </c>
      <c r="B1595" s="31" t="s">
        <v>450</v>
      </c>
      <c r="C1595" s="31" t="s">
        <v>820</v>
      </c>
      <c r="D1595" s="31" t="s">
        <v>821</v>
      </c>
      <c r="E1595" s="25">
        <v>45512.358703703707</v>
      </c>
      <c r="F1595" s="26" t="s">
        <v>1</v>
      </c>
    </row>
    <row r="1596" spans="1:6" ht="16.8" customHeight="1" x14ac:dyDescent="0.3">
      <c r="A1596" s="20">
        <v>43193</v>
      </c>
      <c r="B1596" s="31"/>
      <c r="C1596" s="31"/>
      <c r="D1596" s="31"/>
      <c r="E1596" s="25"/>
      <c r="F1596" s="26"/>
    </row>
    <row r="1597" spans="1:6" ht="16.8" customHeight="1" x14ac:dyDescent="0.3">
      <c r="A1597" s="20">
        <v>43194</v>
      </c>
      <c r="B1597" s="31" t="s">
        <v>511</v>
      </c>
      <c r="C1597" s="31" t="s">
        <v>106</v>
      </c>
      <c r="D1597" s="31" t="s">
        <v>640</v>
      </c>
      <c r="E1597" s="25">
        <v>45512.379965277774</v>
      </c>
      <c r="F1597" s="26" t="s">
        <v>1</v>
      </c>
    </row>
    <row r="1598" spans="1:6" ht="16.8" customHeight="1" x14ac:dyDescent="0.3">
      <c r="A1598" s="20">
        <v>43195</v>
      </c>
      <c r="B1598" s="31"/>
      <c r="C1598" s="31"/>
      <c r="D1598" s="31"/>
      <c r="E1598" s="25"/>
      <c r="F1598" s="26"/>
    </row>
    <row r="1599" spans="1:6" ht="16.8" customHeight="1" x14ac:dyDescent="0.3">
      <c r="A1599" s="20">
        <v>43196</v>
      </c>
      <c r="B1599" s="31"/>
      <c r="C1599" s="31"/>
      <c r="D1599" s="31"/>
      <c r="E1599" s="25"/>
      <c r="F1599" s="26"/>
    </row>
    <row r="1600" spans="1:6" ht="16.8" customHeight="1" x14ac:dyDescent="0.3">
      <c r="A1600" s="20">
        <v>43197</v>
      </c>
      <c r="B1600" s="31" t="s">
        <v>758</v>
      </c>
      <c r="C1600" s="31" t="s">
        <v>26</v>
      </c>
      <c r="D1600" s="31" t="s">
        <v>822</v>
      </c>
      <c r="E1600" s="25">
        <v>45496</v>
      </c>
      <c r="F1600" s="26" t="s">
        <v>1</v>
      </c>
    </row>
    <row r="1601" spans="1:6" ht="16.8" customHeight="1" x14ac:dyDescent="0.3">
      <c r="A1601" s="20">
        <v>43198</v>
      </c>
      <c r="B1601" s="31"/>
      <c r="C1601" s="31"/>
      <c r="D1601" s="31"/>
      <c r="E1601" s="25"/>
      <c r="F1601" s="26"/>
    </row>
    <row r="1602" spans="1:6" ht="16.8" customHeight="1" x14ac:dyDescent="0.3">
      <c r="A1602" s="20">
        <v>43199</v>
      </c>
      <c r="B1602" s="31"/>
      <c r="C1602" s="31"/>
      <c r="D1602" s="31"/>
      <c r="E1602" s="25"/>
      <c r="F1602" s="26"/>
    </row>
    <row r="1603" spans="1:6" ht="16.8" customHeight="1" x14ac:dyDescent="0.3">
      <c r="A1603" s="20">
        <v>43200</v>
      </c>
      <c r="B1603" s="31" t="s">
        <v>306</v>
      </c>
      <c r="C1603" s="31" t="s">
        <v>94</v>
      </c>
      <c r="D1603" s="31" t="s">
        <v>172</v>
      </c>
      <c r="E1603" s="25">
        <v>45503</v>
      </c>
      <c r="F1603" s="26" t="s">
        <v>1</v>
      </c>
    </row>
    <row r="1604" spans="1:6" ht="16.8" customHeight="1" x14ac:dyDescent="0.3">
      <c r="A1604" s="20">
        <v>43201</v>
      </c>
      <c r="B1604" s="31" t="s">
        <v>71</v>
      </c>
      <c r="C1604" s="31" t="s">
        <v>106</v>
      </c>
      <c r="D1604" s="31" t="s">
        <v>823</v>
      </c>
      <c r="E1604" s="25">
        <v>45503</v>
      </c>
      <c r="F1604" s="26" t="s">
        <v>3</v>
      </c>
    </row>
    <row r="1605" spans="1:6" ht="16.8" customHeight="1" x14ac:dyDescent="0.3">
      <c r="A1605" s="20">
        <v>43202</v>
      </c>
      <c r="B1605" s="31" t="s">
        <v>539</v>
      </c>
      <c r="C1605" s="31" t="s">
        <v>540</v>
      </c>
      <c r="D1605" s="31" t="s">
        <v>824</v>
      </c>
      <c r="E1605" s="25">
        <v>45546</v>
      </c>
      <c r="F1605" s="26" t="s">
        <v>1</v>
      </c>
    </row>
    <row r="1606" spans="1:6" ht="16.8" customHeight="1" x14ac:dyDescent="0.3">
      <c r="A1606" s="20">
        <v>43203</v>
      </c>
      <c r="B1606" s="31"/>
      <c r="C1606" s="31"/>
      <c r="D1606" s="31"/>
      <c r="E1606" s="25"/>
      <c r="F1606" s="26"/>
    </row>
    <row r="1607" spans="1:6" ht="16.8" customHeight="1" x14ac:dyDescent="0.3">
      <c r="A1607" s="20">
        <v>43204</v>
      </c>
      <c r="B1607" s="31" t="s">
        <v>825</v>
      </c>
      <c r="C1607" s="31" t="s">
        <v>826</v>
      </c>
      <c r="D1607" s="31" t="s">
        <v>283</v>
      </c>
      <c r="E1607" s="25">
        <v>45502</v>
      </c>
      <c r="F1607" s="26" t="s">
        <v>1</v>
      </c>
    </row>
    <row r="1608" spans="1:6" ht="16.8" customHeight="1" x14ac:dyDescent="0.3">
      <c r="A1608" s="20">
        <v>43205</v>
      </c>
      <c r="B1608" s="31"/>
      <c r="C1608" s="31"/>
      <c r="D1608" s="31"/>
      <c r="E1608" s="25"/>
      <c r="F1608" s="26"/>
    </row>
    <row r="1609" spans="1:6" ht="16.8" customHeight="1" x14ac:dyDescent="0.3">
      <c r="A1609" s="20">
        <v>43206</v>
      </c>
      <c r="B1609" s="31"/>
      <c r="C1609" s="31"/>
      <c r="D1609" s="31"/>
      <c r="E1609" s="25"/>
      <c r="F1609" s="26"/>
    </row>
    <row r="1610" spans="1:6" ht="16.8" customHeight="1" x14ac:dyDescent="0.3">
      <c r="A1610" s="20">
        <v>43207</v>
      </c>
      <c r="B1610" s="31"/>
      <c r="C1610" s="31"/>
      <c r="D1610" s="31"/>
      <c r="E1610" s="25"/>
      <c r="F1610" s="26"/>
    </row>
    <row r="1611" spans="1:6" ht="16.8" customHeight="1" x14ac:dyDescent="0.3">
      <c r="A1611" s="20">
        <v>43208</v>
      </c>
      <c r="B1611" s="31" t="s">
        <v>827</v>
      </c>
      <c r="C1611" s="31" t="s">
        <v>392</v>
      </c>
      <c r="D1611" s="31" t="s">
        <v>415</v>
      </c>
      <c r="E1611" s="25">
        <v>45530.535868055558</v>
      </c>
      <c r="F1611" s="26" t="s">
        <v>1</v>
      </c>
    </row>
    <row r="1612" spans="1:6" ht="16.8" customHeight="1" x14ac:dyDescent="0.3">
      <c r="A1612" s="20">
        <v>43209</v>
      </c>
      <c r="B1612" s="31"/>
      <c r="C1612" s="31"/>
      <c r="D1612" s="31"/>
      <c r="E1612" s="25"/>
      <c r="F1612" s="26"/>
    </row>
    <row r="1613" spans="1:6" ht="16.8" customHeight="1" x14ac:dyDescent="0.3">
      <c r="A1613" s="20">
        <v>43210</v>
      </c>
      <c r="B1613" s="31"/>
      <c r="C1613" s="31"/>
      <c r="D1613" s="31"/>
      <c r="E1613" s="25"/>
      <c r="F1613" s="26"/>
    </row>
    <row r="1614" spans="1:6" ht="16.8" customHeight="1" x14ac:dyDescent="0.3">
      <c r="A1614" s="20">
        <v>43211</v>
      </c>
      <c r="B1614" s="31"/>
      <c r="C1614" s="31"/>
      <c r="D1614" s="31"/>
      <c r="E1614" s="25"/>
      <c r="F1614" s="26"/>
    </row>
    <row r="1615" spans="1:6" ht="16.8" customHeight="1" x14ac:dyDescent="0.3">
      <c r="A1615" s="20">
        <v>43212</v>
      </c>
      <c r="B1615" s="31"/>
      <c r="C1615" s="31"/>
      <c r="D1615" s="31"/>
      <c r="E1615" s="25"/>
      <c r="F1615" s="26"/>
    </row>
    <row r="1616" spans="1:6" ht="16.8" customHeight="1" x14ac:dyDescent="0.3">
      <c r="A1616" s="20">
        <v>43213</v>
      </c>
      <c r="B1616" s="31"/>
      <c r="C1616" s="31"/>
      <c r="D1616" s="31"/>
      <c r="E1616" s="25"/>
      <c r="F1616" s="26"/>
    </row>
    <row r="1617" spans="1:6" ht="16.8" customHeight="1" x14ac:dyDescent="0.3">
      <c r="A1617" s="20">
        <v>43214</v>
      </c>
      <c r="B1617" s="31"/>
      <c r="C1617" s="31"/>
      <c r="D1617" s="31"/>
      <c r="E1617" s="25"/>
      <c r="F1617" s="26"/>
    </row>
    <row r="1618" spans="1:6" ht="16.8" customHeight="1" x14ac:dyDescent="0.3">
      <c r="A1618" s="20">
        <v>43215</v>
      </c>
      <c r="B1618" s="31" t="s">
        <v>559</v>
      </c>
      <c r="C1618" s="31" t="s">
        <v>718</v>
      </c>
      <c r="D1618" s="31" t="s">
        <v>828</v>
      </c>
      <c r="E1618" s="25">
        <v>45502</v>
      </c>
      <c r="F1618" s="26" t="s">
        <v>1</v>
      </c>
    </row>
    <row r="1619" spans="1:6" ht="16.8" customHeight="1" x14ac:dyDescent="0.3">
      <c r="A1619" s="20">
        <v>43216</v>
      </c>
      <c r="B1619" s="31" t="s">
        <v>474</v>
      </c>
      <c r="C1619" s="31" t="s">
        <v>45</v>
      </c>
      <c r="D1619" s="31" t="s">
        <v>829</v>
      </c>
      <c r="E1619" s="25">
        <v>45509.554571759261</v>
      </c>
      <c r="F1619" s="26" t="s">
        <v>4</v>
      </c>
    </row>
    <row r="1620" spans="1:6" ht="16.8" customHeight="1" x14ac:dyDescent="0.3">
      <c r="A1620" s="20">
        <v>43217</v>
      </c>
      <c r="B1620" s="31"/>
      <c r="C1620" s="31"/>
      <c r="D1620" s="31"/>
      <c r="E1620" s="25"/>
      <c r="F1620" s="26"/>
    </row>
    <row r="1621" spans="1:6" ht="16.8" customHeight="1" x14ac:dyDescent="0.3">
      <c r="A1621" s="20">
        <v>43218</v>
      </c>
      <c r="B1621" s="31" t="s">
        <v>830</v>
      </c>
      <c r="C1621" s="31" t="s">
        <v>831</v>
      </c>
      <c r="D1621" s="31" t="s">
        <v>832</v>
      </c>
      <c r="E1621" s="25">
        <v>45530.600821759261</v>
      </c>
      <c r="F1621" s="26" t="s">
        <v>1</v>
      </c>
    </row>
    <row r="1622" spans="1:6" ht="16.8" customHeight="1" x14ac:dyDescent="0.3">
      <c r="A1622" s="20">
        <v>43219</v>
      </c>
      <c r="B1622" s="31"/>
      <c r="C1622" s="31"/>
      <c r="D1622" s="31"/>
      <c r="E1622" s="25"/>
      <c r="F1622" s="26" t="s">
        <v>10</v>
      </c>
    </row>
    <row r="1623" spans="1:6" ht="16.8" customHeight="1" x14ac:dyDescent="0.3">
      <c r="A1623" s="20">
        <v>43220</v>
      </c>
      <c r="B1623" s="31"/>
      <c r="C1623" s="31"/>
      <c r="D1623" s="31"/>
      <c r="E1623" s="25"/>
      <c r="F1623" s="26"/>
    </row>
    <row r="1624" spans="1:6" ht="16.8" customHeight="1" x14ac:dyDescent="0.3">
      <c r="A1624" s="20">
        <v>43221</v>
      </c>
      <c r="B1624" s="31" t="s">
        <v>96</v>
      </c>
      <c r="C1624" s="31" t="s">
        <v>179</v>
      </c>
      <c r="D1624" s="31" t="s">
        <v>1074</v>
      </c>
      <c r="E1624" s="25">
        <v>45699</v>
      </c>
      <c r="F1624" s="26" t="s">
        <v>1</v>
      </c>
    </row>
    <row r="1625" spans="1:6" ht="16.8" customHeight="1" x14ac:dyDescent="0.3">
      <c r="A1625" s="20">
        <v>43222</v>
      </c>
      <c r="B1625" s="31" t="s">
        <v>439</v>
      </c>
      <c r="C1625" s="31" t="s">
        <v>133</v>
      </c>
      <c r="D1625" s="31" t="s">
        <v>699</v>
      </c>
      <c r="E1625" s="25">
        <v>45512.339594907404</v>
      </c>
      <c r="F1625" s="26" t="s">
        <v>2</v>
      </c>
    </row>
    <row r="1626" spans="1:6" ht="16.8" customHeight="1" x14ac:dyDescent="0.3">
      <c r="A1626" s="20">
        <v>43223</v>
      </c>
      <c r="B1626" s="31"/>
      <c r="C1626" s="31"/>
      <c r="D1626" s="31"/>
      <c r="E1626" s="25"/>
      <c r="F1626" s="26"/>
    </row>
    <row r="1627" spans="1:6" ht="16.8" customHeight="1" x14ac:dyDescent="0.3">
      <c r="A1627" s="20">
        <v>43224</v>
      </c>
      <c r="B1627" s="31" t="s">
        <v>56</v>
      </c>
      <c r="C1627" s="31" t="s">
        <v>764</v>
      </c>
      <c r="D1627" s="31" t="s">
        <v>833</v>
      </c>
      <c r="E1627" s="25">
        <v>45561</v>
      </c>
      <c r="F1627" s="26" t="s">
        <v>1</v>
      </c>
    </row>
    <row r="1628" spans="1:6" ht="16.8" customHeight="1" x14ac:dyDescent="0.3">
      <c r="A1628" s="20">
        <v>43225</v>
      </c>
      <c r="B1628" s="31" t="s">
        <v>834</v>
      </c>
      <c r="C1628" s="31" t="s">
        <v>244</v>
      </c>
      <c r="D1628" s="31" t="s">
        <v>146</v>
      </c>
      <c r="E1628" s="25">
        <v>45530.59306712963</v>
      </c>
      <c r="F1628" s="26" t="s">
        <v>1</v>
      </c>
    </row>
    <row r="1629" spans="1:6" ht="16.8" customHeight="1" x14ac:dyDescent="0.3">
      <c r="A1629" s="20">
        <v>43226</v>
      </c>
      <c r="B1629" s="31"/>
      <c r="C1629" s="31"/>
      <c r="D1629" s="31"/>
      <c r="E1629" s="25"/>
      <c r="F1629" s="26"/>
    </row>
    <row r="1630" spans="1:6" ht="16.8" customHeight="1" x14ac:dyDescent="0.3">
      <c r="A1630" s="20">
        <v>43227</v>
      </c>
      <c r="B1630" s="31" t="s">
        <v>835</v>
      </c>
      <c r="C1630" s="31" t="s">
        <v>685</v>
      </c>
      <c r="D1630" s="31" t="s">
        <v>615</v>
      </c>
      <c r="E1630" s="25">
        <v>45510.689826388887</v>
      </c>
      <c r="F1630" s="26" t="s">
        <v>1</v>
      </c>
    </row>
    <row r="1631" spans="1:6" ht="16.8" customHeight="1" x14ac:dyDescent="0.3">
      <c r="A1631" s="20">
        <v>43228</v>
      </c>
      <c r="B1631" s="31" t="s">
        <v>74</v>
      </c>
      <c r="C1631" s="31" t="s">
        <v>836</v>
      </c>
      <c r="D1631" s="31" t="s">
        <v>121</v>
      </c>
      <c r="E1631" s="25">
        <v>45510.677928240744</v>
      </c>
      <c r="F1631" s="26" t="s">
        <v>4</v>
      </c>
    </row>
    <row r="1632" spans="1:6" ht="16.8" customHeight="1" x14ac:dyDescent="0.3">
      <c r="A1632" s="20">
        <v>43229</v>
      </c>
      <c r="B1632" s="31" t="s">
        <v>837</v>
      </c>
      <c r="C1632" s="31" t="s">
        <v>838</v>
      </c>
      <c r="D1632" s="31" t="s">
        <v>121</v>
      </c>
      <c r="E1632" s="25">
        <v>45502</v>
      </c>
      <c r="F1632" s="26" t="s">
        <v>4</v>
      </c>
    </row>
    <row r="1633" spans="1:6" ht="16.8" customHeight="1" x14ac:dyDescent="0.3">
      <c r="A1633" s="20">
        <v>43230</v>
      </c>
      <c r="B1633" s="31" t="s">
        <v>41</v>
      </c>
      <c r="C1633" s="31"/>
      <c r="D1633" s="31" t="s">
        <v>839</v>
      </c>
      <c r="E1633" s="25">
        <v>45510.690358796295</v>
      </c>
      <c r="F1633" s="26" t="s">
        <v>1</v>
      </c>
    </row>
    <row r="1634" spans="1:6" ht="16.8" customHeight="1" x14ac:dyDescent="0.3">
      <c r="A1634" s="20">
        <v>43231</v>
      </c>
      <c r="B1634" s="31"/>
      <c r="C1634" s="31"/>
      <c r="D1634" s="31"/>
      <c r="E1634" s="25"/>
      <c r="F1634" s="26"/>
    </row>
    <row r="1635" spans="1:6" ht="16.8" customHeight="1" x14ac:dyDescent="0.3">
      <c r="A1635" s="20">
        <v>43232</v>
      </c>
      <c r="B1635" s="31" t="s">
        <v>56</v>
      </c>
      <c r="C1635" s="31" t="s">
        <v>362</v>
      </c>
      <c r="D1635" s="31" t="s">
        <v>186</v>
      </c>
      <c r="E1635" s="25">
        <v>45509.508553240739</v>
      </c>
      <c r="F1635" s="26" t="s">
        <v>1</v>
      </c>
    </row>
    <row r="1636" spans="1:6" ht="16.8" customHeight="1" x14ac:dyDescent="0.3">
      <c r="A1636" s="20">
        <v>43233</v>
      </c>
      <c r="B1636" s="31"/>
      <c r="C1636" s="31"/>
      <c r="D1636" s="31"/>
      <c r="E1636" s="25"/>
      <c r="F1636" s="26"/>
    </row>
    <row r="1637" spans="1:6" ht="16.8" customHeight="1" x14ac:dyDescent="0.3">
      <c r="A1637" s="20">
        <v>43234</v>
      </c>
      <c r="B1637" s="31" t="s">
        <v>411</v>
      </c>
      <c r="C1637" s="31" t="s">
        <v>179</v>
      </c>
      <c r="D1637" s="31" t="s">
        <v>840</v>
      </c>
      <c r="E1637" s="25">
        <v>45530.672118055554</v>
      </c>
      <c r="F1637" s="26" t="s">
        <v>1</v>
      </c>
    </row>
    <row r="1638" spans="1:6" ht="16.8" customHeight="1" x14ac:dyDescent="0.3">
      <c r="A1638" s="20">
        <v>43235</v>
      </c>
      <c r="B1638" s="31" t="s">
        <v>498</v>
      </c>
      <c r="C1638" s="31" t="s">
        <v>148</v>
      </c>
      <c r="D1638" s="31" t="s">
        <v>841</v>
      </c>
      <c r="E1638" s="25">
        <v>45509.380462962959</v>
      </c>
      <c r="F1638" s="26" t="s">
        <v>1</v>
      </c>
    </row>
    <row r="1639" spans="1:6" ht="16.8" customHeight="1" x14ac:dyDescent="0.3">
      <c r="A1639" s="20">
        <v>43236</v>
      </c>
      <c r="B1639" s="31"/>
      <c r="C1639" s="31"/>
      <c r="D1639" s="31"/>
      <c r="E1639" s="25"/>
      <c r="F1639" s="26"/>
    </row>
    <row r="1640" spans="1:6" ht="16.8" customHeight="1" x14ac:dyDescent="0.3">
      <c r="A1640" s="20">
        <v>43237</v>
      </c>
      <c r="B1640" s="31"/>
      <c r="C1640" s="31"/>
      <c r="D1640" s="31"/>
      <c r="E1640" s="25"/>
      <c r="F1640" s="26"/>
    </row>
    <row r="1641" spans="1:6" ht="16.8" customHeight="1" x14ac:dyDescent="0.3">
      <c r="A1641" s="20">
        <v>43238</v>
      </c>
      <c r="B1641" s="31" t="s">
        <v>41</v>
      </c>
      <c r="C1641" s="31" t="s">
        <v>45</v>
      </c>
      <c r="D1641" s="31" t="s">
        <v>842</v>
      </c>
      <c r="E1641" s="25">
        <v>45504</v>
      </c>
      <c r="F1641" s="26" t="s">
        <v>4</v>
      </c>
    </row>
    <row r="1642" spans="1:6" ht="16.8" customHeight="1" x14ac:dyDescent="0.3">
      <c r="A1642" s="20">
        <v>43239</v>
      </c>
      <c r="B1642" s="31" t="s">
        <v>194</v>
      </c>
      <c r="C1642" s="31" t="s">
        <v>84</v>
      </c>
      <c r="D1642" s="31" t="s">
        <v>843</v>
      </c>
      <c r="E1642" s="25">
        <v>45509.508125</v>
      </c>
      <c r="F1642" s="26" t="s">
        <v>1</v>
      </c>
    </row>
    <row r="1643" spans="1:6" ht="16.8" customHeight="1" x14ac:dyDescent="0.3">
      <c r="A1643" s="20">
        <v>43240</v>
      </c>
      <c r="B1643" s="31" t="s">
        <v>41</v>
      </c>
      <c r="C1643" s="31" t="s">
        <v>32</v>
      </c>
      <c r="D1643" s="31" t="s">
        <v>842</v>
      </c>
      <c r="E1643" s="25">
        <v>45504</v>
      </c>
      <c r="F1643" s="26" t="s">
        <v>4</v>
      </c>
    </row>
    <row r="1644" spans="1:6" ht="16.8" customHeight="1" x14ac:dyDescent="0.3">
      <c r="A1644" s="20">
        <v>43241</v>
      </c>
      <c r="B1644" s="31" t="s">
        <v>773</v>
      </c>
      <c r="C1644" s="31" t="s">
        <v>181</v>
      </c>
      <c r="D1644" s="31" t="s">
        <v>844</v>
      </c>
      <c r="E1644" s="25">
        <v>45509.553819444445</v>
      </c>
      <c r="F1644" s="26" t="s">
        <v>2</v>
      </c>
    </row>
    <row r="1645" spans="1:6" ht="16.8" customHeight="1" x14ac:dyDescent="0.3">
      <c r="A1645" s="20">
        <v>43242</v>
      </c>
      <c r="B1645" s="31" t="s">
        <v>71</v>
      </c>
      <c r="C1645" s="31" t="s">
        <v>32</v>
      </c>
      <c r="D1645" s="31" t="s">
        <v>683</v>
      </c>
      <c r="E1645" s="25">
        <v>45504</v>
      </c>
      <c r="F1645" s="26" t="s">
        <v>1</v>
      </c>
    </row>
    <row r="1646" spans="1:6" ht="16.8" customHeight="1" x14ac:dyDescent="0.3">
      <c r="A1646" s="20">
        <v>43243</v>
      </c>
      <c r="B1646" s="31" t="s">
        <v>845</v>
      </c>
      <c r="C1646" s="31" t="s">
        <v>252</v>
      </c>
      <c r="D1646" s="31" t="s">
        <v>846</v>
      </c>
      <c r="E1646" s="25">
        <v>45509.507685185185</v>
      </c>
      <c r="F1646" s="26" t="s">
        <v>1</v>
      </c>
    </row>
    <row r="1647" spans="1:6" ht="16.8" customHeight="1" x14ac:dyDescent="0.3">
      <c r="A1647" s="20">
        <v>43244</v>
      </c>
      <c r="B1647" s="31" t="s">
        <v>847</v>
      </c>
      <c r="C1647" s="31" t="s">
        <v>162</v>
      </c>
      <c r="D1647" s="31" t="s">
        <v>324</v>
      </c>
      <c r="E1647" s="25">
        <v>45670</v>
      </c>
      <c r="F1647" s="26" t="s">
        <v>1</v>
      </c>
    </row>
    <row r="1648" spans="1:6" ht="16.8" customHeight="1" x14ac:dyDescent="0.3">
      <c r="A1648" s="20">
        <v>43245</v>
      </c>
      <c r="B1648" s="31"/>
      <c r="C1648" s="31"/>
      <c r="D1648" s="31"/>
      <c r="E1648" s="25"/>
      <c r="F1648" s="26"/>
    </row>
    <row r="1649" spans="1:6" ht="16.8" customHeight="1" x14ac:dyDescent="0.3">
      <c r="A1649" s="20">
        <v>43246</v>
      </c>
      <c r="B1649" s="31"/>
      <c r="C1649" s="31"/>
      <c r="D1649" s="31"/>
      <c r="E1649" s="25"/>
      <c r="F1649" s="26"/>
    </row>
    <row r="1650" spans="1:6" ht="16.8" customHeight="1" x14ac:dyDescent="0.3">
      <c r="A1650" s="20">
        <v>43247</v>
      </c>
      <c r="B1650" s="31"/>
      <c r="C1650" s="31"/>
      <c r="D1650" s="31"/>
      <c r="E1650" s="25"/>
      <c r="F1650" s="26"/>
    </row>
    <row r="1651" spans="1:6" ht="16.8" customHeight="1" x14ac:dyDescent="0.3">
      <c r="A1651" s="20">
        <v>43248</v>
      </c>
      <c r="B1651" s="31"/>
      <c r="C1651" s="31"/>
      <c r="D1651" s="31"/>
      <c r="E1651" s="25"/>
      <c r="F1651" s="26"/>
    </row>
    <row r="1652" spans="1:6" ht="16.8" customHeight="1" x14ac:dyDescent="0.3">
      <c r="A1652" s="20">
        <v>43249</v>
      </c>
      <c r="B1652" s="31"/>
      <c r="C1652" s="31"/>
      <c r="D1652" s="31"/>
      <c r="E1652" s="25"/>
      <c r="F1652" s="26"/>
    </row>
    <row r="1653" spans="1:6" ht="16.8" customHeight="1" x14ac:dyDescent="0.3">
      <c r="A1653" s="20">
        <v>43250</v>
      </c>
      <c r="B1653" s="31"/>
      <c r="C1653" s="31"/>
      <c r="D1653" s="31"/>
      <c r="E1653" s="25"/>
      <c r="F1653" s="26"/>
    </row>
    <row r="1654" spans="1:6" ht="16.8" customHeight="1" x14ac:dyDescent="0.3">
      <c r="A1654" s="20">
        <v>43251</v>
      </c>
      <c r="B1654" s="31" t="s">
        <v>411</v>
      </c>
      <c r="C1654" s="31" t="s">
        <v>179</v>
      </c>
      <c r="D1654" s="31" t="s">
        <v>848</v>
      </c>
      <c r="E1654" s="25">
        <v>45530.663101851853</v>
      </c>
      <c r="F1654" s="26" t="s">
        <v>1</v>
      </c>
    </row>
    <row r="1655" spans="1:6" ht="16.8" customHeight="1" x14ac:dyDescent="0.3">
      <c r="A1655" s="20">
        <v>43252</v>
      </c>
      <c r="B1655" s="31"/>
      <c r="C1655" s="31"/>
      <c r="D1655" s="31"/>
      <c r="E1655" s="25"/>
      <c r="F1655" s="26"/>
    </row>
    <row r="1656" spans="1:6" ht="16.8" customHeight="1" x14ac:dyDescent="0.3">
      <c r="A1656" s="20">
        <v>43253</v>
      </c>
      <c r="B1656" s="31" t="s">
        <v>559</v>
      </c>
      <c r="C1656" s="31" t="s">
        <v>764</v>
      </c>
      <c r="D1656" s="31" t="s">
        <v>534</v>
      </c>
      <c r="E1656" s="25">
        <v>45530</v>
      </c>
      <c r="F1656" s="26" t="s">
        <v>1</v>
      </c>
    </row>
    <row r="1657" spans="1:6" ht="16.8" customHeight="1" x14ac:dyDescent="0.3">
      <c r="A1657" s="20">
        <v>43254</v>
      </c>
      <c r="B1657" s="31" t="s">
        <v>849</v>
      </c>
      <c r="C1657" s="31" t="s">
        <v>252</v>
      </c>
      <c r="D1657" s="31" t="s">
        <v>850</v>
      </c>
      <c r="E1657" s="25">
        <v>45565</v>
      </c>
      <c r="F1657" s="26" t="s">
        <v>1</v>
      </c>
    </row>
    <row r="1658" spans="1:6" ht="16.8" customHeight="1" x14ac:dyDescent="0.3">
      <c r="A1658" s="20">
        <v>43255</v>
      </c>
      <c r="B1658" s="31" t="s">
        <v>789</v>
      </c>
      <c r="C1658" s="31" t="s">
        <v>32</v>
      </c>
      <c r="D1658" s="31" t="s">
        <v>121</v>
      </c>
      <c r="E1658" s="25">
        <v>45544</v>
      </c>
      <c r="F1658" s="26" t="s">
        <v>4</v>
      </c>
    </row>
    <row r="1659" spans="1:6" ht="16.8" customHeight="1" x14ac:dyDescent="0.3">
      <c r="A1659" s="20">
        <v>43256</v>
      </c>
      <c r="B1659" s="31" t="s">
        <v>851</v>
      </c>
      <c r="C1659" s="31"/>
      <c r="D1659" s="31" t="s">
        <v>852</v>
      </c>
      <c r="E1659" s="25">
        <v>45530.533750000002</v>
      </c>
      <c r="F1659" s="26" t="s">
        <v>1</v>
      </c>
    </row>
    <row r="1660" spans="1:6" ht="16.8" customHeight="1" x14ac:dyDescent="0.3">
      <c r="A1660" s="20">
        <v>43257</v>
      </c>
      <c r="B1660" s="31"/>
      <c r="C1660" s="31"/>
      <c r="D1660" s="31"/>
      <c r="E1660" s="25"/>
      <c r="F1660" s="26"/>
    </row>
    <row r="1661" spans="1:6" ht="16.8" customHeight="1" x14ac:dyDescent="0.3">
      <c r="A1661" s="20">
        <v>43258</v>
      </c>
      <c r="B1661" s="31"/>
      <c r="C1661" s="31"/>
      <c r="D1661" s="31"/>
      <c r="E1661" s="25"/>
      <c r="F1661" s="26"/>
    </row>
    <row r="1662" spans="1:6" ht="16.8" customHeight="1" x14ac:dyDescent="0.3">
      <c r="A1662" s="20">
        <v>43259</v>
      </c>
      <c r="B1662" s="31" t="s">
        <v>853</v>
      </c>
      <c r="C1662" s="31" t="s">
        <v>854</v>
      </c>
      <c r="D1662" s="31" t="s">
        <v>855</v>
      </c>
      <c r="E1662" s="25">
        <v>45530</v>
      </c>
      <c r="F1662" s="26" t="s">
        <v>1</v>
      </c>
    </row>
    <row r="1663" spans="1:6" ht="16.8" customHeight="1" x14ac:dyDescent="0.3">
      <c r="A1663" s="20">
        <v>43260</v>
      </c>
      <c r="B1663" s="31"/>
      <c r="C1663" s="31"/>
      <c r="D1663" s="31"/>
      <c r="E1663" s="25"/>
      <c r="F1663" s="26"/>
    </row>
    <row r="1664" spans="1:6" ht="16.8" customHeight="1" x14ac:dyDescent="0.3">
      <c r="A1664" s="20">
        <v>43261</v>
      </c>
      <c r="B1664" s="31"/>
      <c r="C1664" s="31"/>
      <c r="D1664" s="31"/>
      <c r="E1664" s="25"/>
      <c r="F1664" s="26"/>
    </row>
    <row r="1665" spans="1:6" ht="16.8" customHeight="1" x14ac:dyDescent="0.3">
      <c r="A1665" s="20">
        <v>43262</v>
      </c>
      <c r="B1665" s="31"/>
      <c r="C1665" s="31"/>
      <c r="D1665" s="31"/>
      <c r="E1665" s="25"/>
      <c r="F1665" s="26"/>
    </row>
    <row r="1666" spans="1:6" ht="16.8" customHeight="1" x14ac:dyDescent="0.3">
      <c r="A1666" s="20">
        <v>43263</v>
      </c>
      <c r="B1666" s="31"/>
      <c r="C1666" s="31"/>
      <c r="D1666" s="31"/>
      <c r="E1666" s="25"/>
      <c r="F1666" s="26"/>
    </row>
    <row r="1667" spans="1:6" ht="16.8" customHeight="1" x14ac:dyDescent="0.3">
      <c r="A1667" s="20">
        <v>43264</v>
      </c>
      <c r="B1667" s="31"/>
      <c r="C1667" s="31"/>
      <c r="D1667" s="31"/>
      <c r="E1667" s="25"/>
      <c r="F1667" s="26"/>
    </row>
    <row r="1668" spans="1:6" ht="16.8" customHeight="1" x14ac:dyDescent="0.3">
      <c r="A1668" s="20">
        <v>43265</v>
      </c>
      <c r="B1668" s="31"/>
      <c r="C1668" s="31"/>
      <c r="D1668" s="31"/>
      <c r="E1668" s="25"/>
      <c r="F1668" s="26"/>
    </row>
    <row r="1669" spans="1:6" ht="16.8" customHeight="1" x14ac:dyDescent="0.3">
      <c r="A1669" s="20">
        <v>43266</v>
      </c>
      <c r="B1669" s="31"/>
      <c r="C1669" s="31"/>
      <c r="D1669" s="31"/>
      <c r="E1669" s="25"/>
      <c r="F1669" s="26"/>
    </row>
    <row r="1670" spans="1:6" ht="16.8" customHeight="1" x14ac:dyDescent="0.3">
      <c r="A1670" s="20">
        <v>43267</v>
      </c>
      <c r="B1670" s="31" t="s">
        <v>454</v>
      </c>
      <c r="C1670" s="31" t="s">
        <v>856</v>
      </c>
      <c r="D1670" s="31" t="s">
        <v>428</v>
      </c>
      <c r="E1670" s="25">
        <v>45565</v>
      </c>
      <c r="F1670" s="26" t="s">
        <v>1</v>
      </c>
    </row>
    <row r="1671" spans="1:6" ht="16.8" customHeight="1" x14ac:dyDescent="0.3">
      <c r="A1671" s="20">
        <v>43268</v>
      </c>
      <c r="B1671" s="31" t="s">
        <v>411</v>
      </c>
      <c r="C1671" s="31" t="s">
        <v>32</v>
      </c>
      <c r="D1671" s="31" t="s">
        <v>683</v>
      </c>
      <c r="E1671" s="25">
        <v>45544</v>
      </c>
      <c r="F1671" s="26" t="s">
        <v>4</v>
      </c>
    </row>
    <row r="1672" spans="1:6" ht="16.8" customHeight="1" x14ac:dyDescent="0.3">
      <c r="A1672" s="20">
        <v>43269</v>
      </c>
      <c r="B1672" s="31" t="s">
        <v>439</v>
      </c>
      <c r="C1672" s="31" t="s">
        <v>148</v>
      </c>
      <c r="D1672" s="31" t="s">
        <v>857</v>
      </c>
      <c r="E1672" s="25">
        <v>45531</v>
      </c>
      <c r="F1672" s="26" t="s">
        <v>3</v>
      </c>
    </row>
    <row r="1673" spans="1:6" ht="16.8" customHeight="1" x14ac:dyDescent="0.3">
      <c r="A1673" s="20">
        <v>43270</v>
      </c>
      <c r="B1673" s="31" t="s">
        <v>858</v>
      </c>
      <c r="C1673" s="31" t="s">
        <v>859</v>
      </c>
      <c r="D1673" s="31" t="s">
        <v>860</v>
      </c>
      <c r="E1673" s="25">
        <v>45565</v>
      </c>
      <c r="F1673" s="26" t="s">
        <v>2</v>
      </c>
    </row>
    <row r="1674" spans="1:6" ht="16.8" customHeight="1" x14ac:dyDescent="0.3">
      <c r="A1674" s="20">
        <v>43271</v>
      </c>
      <c r="B1674" s="31" t="s">
        <v>180</v>
      </c>
      <c r="C1674" s="31" t="s">
        <v>181</v>
      </c>
      <c r="D1674" s="31" t="s">
        <v>861</v>
      </c>
      <c r="E1674" s="25">
        <v>45530.710717592592</v>
      </c>
      <c r="F1674" s="26" t="s">
        <v>1</v>
      </c>
    </row>
    <row r="1675" spans="1:6" ht="16.8" customHeight="1" x14ac:dyDescent="0.3">
      <c r="A1675" s="20">
        <v>43272</v>
      </c>
      <c r="B1675" s="31"/>
      <c r="C1675" s="31"/>
      <c r="D1675" s="31"/>
      <c r="E1675" s="25"/>
      <c r="F1675" s="26"/>
    </row>
    <row r="1676" spans="1:6" ht="16.8" customHeight="1" x14ac:dyDescent="0.3">
      <c r="A1676" s="20">
        <v>43273</v>
      </c>
      <c r="B1676" s="31"/>
      <c r="C1676" s="31"/>
      <c r="D1676" s="31"/>
      <c r="E1676" s="25"/>
      <c r="F1676" s="26"/>
    </row>
    <row r="1677" spans="1:6" ht="16.8" customHeight="1" x14ac:dyDescent="0.3">
      <c r="A1677" s="20">
        <v>43274</v>
      </c>
      <c r="B1677" s="31" t="s">
        <v>439</v>
      </c>
      <c r="C1677" s="31" t="s">
        <v>148</v>
      </c>
      <c r="D1677" s="31" t="s">
        <v>699</v>
      </c>
      <c r="E1677" s="25">
        <v>45530.514479166668</v>
      </c>
      <c r="F1677" s="26" t="s">
        <v>3</v>
      </c>
    </row>
    <row r="1678" spans="1:6" ht="16.8" customHeight="1" x14ac:dyDescent="0.3">
      <c r="A1678" s="20">
        <v>43275</v>
      </c>
      <c r="B1678" s="31" t="s">
        <v>90</v>
      </c>
      <c r="C1678" s="31" t="s">
        <v>162</v>
      </c>
      <c r="D1678" s="31" t="s">
        <v>145</v>
      </c>
      <c r="E1678" s="25">
        <v>45530</v>
      </c>
      <c r="F1678" s="26" t="s">
        <v>1</v>
      </c>
    </row>
    <row r="1679" spans="1:6" ht="16.8" customHeight="1" x14ac:dyDescent="0.3">
      <c r="A1679" s="20">
        <v>43276</v>
      </c>
      <c r="B1679" s="31" t="s">
        <v>700</v>
      </c>
      <c r="C1679" s="31" t="s">
        <v>862</v>
      </c>
      <c r="D1679" s="31" t="s">
        <v>863</v>
      </c>
      <c r="E1679" s="25">
        <v>45565</v>
      </c>
      <c r="F1679" s="26" t="s">
        <v>1</v>
      </c>
    </row>
    <row r="1680" spans="1:6" ht="16.8" customHeight="1" x14ac:dyDescent="0.3">
      <c r="A1680" s="20">
        <v>43277</v>
      </c>
      <c r="B1680" s="31" t="s">
        <v>864</v>
      </c>
      <c r="C1680" s="31" t="s">
        <v>287</v>
      </c>
      <c r="D1680" s="31" t="s">
        <v>865</v>
      </c>
      <c r="E1680" s="25">
        <v>45565</v>
      </c>
      <c r="F1680" s="26" t="s">
        <v>1</v>
      </c>
    </row>
    <row r="1681" spans="1:6" ht="16.8" customHeight="1" x14ac:dyDescent="0.3">
      <c r="A1681" s="20">
        <v>43278</v>
      </c>
      <c r="B1681" s="31" t="s">
        <v>866</v>
      </c>
      <c r="C1681" s="31" t="s">
        <v>867</v>
      </c>
      <c r="D1681" s="31" t="s">
        <v>662</v>
      </c>
      <c r="E1681" s="25">
        <v>45530</v>
      </c>
      <c r="F1681" s="26" t="s">
        <v>1</v>
      </c>
    </row>
    <row r="1682" spans="1:6" ht="16.8" customHeight="1" x14ac:dyDescent="0.3">
      <c r="A1682" s="20">
        <v>43279</v>
      </c>
      <c r="B1682" s="31"/>
      <c r="C1682" s="31"/>
      <c r="D1682" s="31"/>
      <c r="E1682" s="25"/>
      <c r="F1682" s="26"/>
    </row>
    <row r="1683" spans="1:6" ht="16.8" customHeight="1" x14ac:dyDescent="0.3">
      <c r="A1683" s="20">
        <v>43280</v>
      </c>
      <c r="B1683" s="31"/>
      <c r="C1683" s="31"/>
      <c r="D1683" s="31"/>
      <c r="E1683" s="25"/>
      <c r="F1683" s="26"/>
    </row>
    <row r="1684" spans="1:6" ht="16.8" customHeight="1" x14ac:dyDescent="0.3">
      <c r="A1684" s="20">
        <v>43281</v>
      </c>
      <c r="B1684" s="31" t="s">
        <v>868</v>
      </c>
      <c r="C1684" s="31" t="s">
        <v>167</v>
      </c>
      <c r="D1684" s="31" t="s">
        <v>869</v>
      </c>
      <c r="E1684" s="25">
        <v>45544</v>
      </c>
      <c r="F1684" s="26" t="s">
        <v>1</v>
      </c>
    </row>
    <row r="1685" spans="1:6" ht="16.8" customHeight="1" x14ac:dyDescent="0.3">
      <c r="A1685" s="20">
        <v>43282</v>
      </c>
      <c r="B1685" s="31"/>
      <c r="C1685" s="31"/>
      <c r="D1685" s="31"/>
      <c r="E1685" s="25"/>
      <c r="F1685" s="26"/>
    </row>
    <row r="1686" spans="1:6" ht="16.8" customHeight="1" x14ac:dyDescent="0.3">
      <c r="A1686" s="20">
        <v>43283</v>
      </c>
      <c r="B1686" s="31" t="s">
        <v>870</v>
      </c>
      <c r="C1686" s="31" t="s">
        <v>252</v>
      </c>
      <c r="D1686" s="31" t="s">
        <v>871</v>
      </c>
      <c r="E1686" s="25">
        <v>45530.705416666664</v>
      </c>
      <c r="F1686" s="26" t="s">
        <v>1</v>
      </c>
    </row>
    <row r="1687" spans="1:6" ht="16.8" customHeight="1" x14ac:dyDescent="0.3">
      <c r="A1687" s="20">
        <v>43284</v>
      </c>
      <c r="B1687" s="31" t="s">
        <v>486</v>
      </c>
      <c r="C1687" s="31" t="s">
        <v>487</v>
      </c>
      <c r="D1687" s="31" t="s">
        <v>221</v>
      </c>
      <c r="E1687" s="25">
        <v>45538</v>
      </c>
      <c r="F1687" s="26" t="s">
        <v>3</v>
      </c>
    </row>
    <row r="1688" spans="1:6" ht="16.8" customHeight="1" x14ac:dyDescent="0.3">
      <c r="A1688" s="20">
        <v>43285</v>
      </c>
      <c r="B1688" s="31" t="s">
        <v>450</v>
      </c>
      <c r="C1688" s="31" t="s">
        <v>444</v>
      </c>
      <c r="D1688" s="31" t="s">
        <v>615</v>
      </c>
      <c r="E1688" s="25">
        <v>45544.378923611112</v>
      </c>
      <c r="F1688" s="26" t="s">
        <v>1</v>
      </c>
    </row>
    <row r="1689" spans="1:6" ht="16.8" customHeight="1" x14ac:dyDescent="0.3">
      <c r="A1689" s="20">
        <v>43286</v>
      </c>
      <c r="B1689" s="31" t="s">
        <v>450</v>
      </c>
      <c r="C1689" s="31" t="s">
        <v>254</v>
      </c>
      <c r="D1689" s="31" t="s">
        <v>615</v>
      </c>
      <c r="E1689" s="25">
        <v>45546</v>
      </c>
      <c r="F1689" s="26" t="s">
        <v>4</v>
      </c>
    </row>
    <row r="1690" spans="1:6" ht="16.8" customHeight="1" x14ac:dyDescent="0.3">
      <c r="A1690" s="20">
        <v>43287</v>
      </c>
      <c r="B1690" s="31" t="s">
        <v>74</v>
      </c>
      <c r="C1690" s="31" t="s">
        <v>872</v>
      </c>
      <c r="D1690" s="31" t="s">
        <v>873</v>
      </c>
      <c r="E1690" s="25">
        <v>45565</v>
      </c>
      <c r="F1690" s="26" t="s">
        <v>4</v>
      </c>
    </row>
    <row r="1691" spans="1:6" ht="16.8" customHeight="1" x14ac:dyDescent="0.3">
      <c r="A1691" s="20">
        <v>43288</v>
      </c>
      <c r="B1691" s="31" t="s">
        <v>292</v>
      </c>
      <c r="C1691" s="31"/>
      <c r="D1691" s="31" t="s">
        <v>27</v>
      </c>
      <c r="E1691" s="25">
        <v>45530</v>
      </c>
      <c r="F1691" s="26" t="s">
        <v>1</v>
      </c>
    </row>
    <row r="1692" spans="1:6" ht="16.8" customHeight="1" x14ac:dyDescent="0.3">
      <c r="A1692" s="20">
        <v>43289</v>
      </c>
      <c r="B1692" s="31" t="s">
        <v>439</v>
      </c>
      <c r="C1692" s="31" t="s">
        <v>148</v>
      </c>
      <c r="D1692" s="31" t="s">
        <v>874</v>
      </c>
      <c r="E1692" s="25">
        <v>45530.516759259262</v>
      </c>
      <c r="F1692" s="26" t="s">
        <v>3</v>
      </c>
    </row>
    <row r="1693" spans="1:6" ht="16.8" customHeight="1" x14ac:dyDescent="0.3">
      <c r="A1693" s="20">
        <v>43290</v>
      </c>
      <c r="B1693" s="31"/>
      <c r="C1693" s="31"/>
      <c r="D1693" s="31"/>
      <c r="E1693" s="25"/>
      <c r="F1693" s="26"/>
    </row>
    <row r="1694" spans="1:6" ht="16.8" customHeight="1" x14ac:dyDescent="0.3">
      <c r="A1694" s="20">
        <v>43291</v>
      </c>
      <c r="B1694" s="31" t="s">
        <v>875</v>
      </c>
      <c r="C1694" s="31" t="s">
        <v>277</v>
      </c>
      <c r="D1694" s="31" t="s">
        <v>598</v>
      </c>
      <c r="E1694" s="25">
        <v>45553</v>
      </c>
      <c r="F1694" s="26" t="s">
        <v>6</v>
      </c>
    </row>
    <row r="1695" spans="1:6" ht="16.8" customHeight="1" x14ac:dyDescent="0.3">
      <c r="A1695" s="20">
        <v>43292</v>
      </c>
      <c r="B1695" s="31"/>
      <c r="C1695" s="31"/>
      <c r="D1695" s="31"/>
      <c r="E1695" s="25"/>
      <c r="F1695" s="26"/>
    </row>
    <row r="1696" spans="1:6" ht="16.8" customHeight="1" x14ac:dyDescent="0.3">
      <c r="A1696" s="20">
        <v>43293</v>
      </c>
      <c r="B1696" s="31" t="s">
        <v>266</v>
      </c>
      <c r="C1696" s="31" t="s">
        <v>267</v>
      </c>
      <c r="D1696" s="31" t="s">
        <v>876</v>
      </c>
      <c r="E1696" s="25">
        <v>45530.703472222223</v>
      </c>
      <c r="F1696" s="26" t="s">
        <v>1</v>
      </c>
    </row>
    <row r="1697" spans="1:6" ht="16.8" customHeight="1" x14ac:dyDescent="0.3">
      <c r="A1697" s="20">
        <v>43294</v>
      </c>
      <c r="B1697" s="31" t="s">
        <v>729</v>
      </c>
      <c r="C1697" s="31" t="s">
        <v>877</v>
      </c>
      <c r="D1697" s="31" t="s">
        <v>878</v>
      </c>
      <c r="E1697" s="25">
        <v>45544</v>
      </c>
      <c r="F1697" s="26" t="s">
        <v>1</v>
      </c>
    </row>
    <row r="1698" spans="1:6" ht="16.8" customHeight="1" x14ac:dyDescent="0.3">
      <c r="A1698" s="20">
        <v>43295</v>
      </c>
      <c r="B1698" s="31" t="s">
        <v>122</v>
      </c>
      <c r="C1698" s="31" t="s">
        <v>879</v>
      </c>
      <c r="D1698" s="31" t="s">
        <v>880</v>
      </c>
      <c r="E1698" s="25">
        <v>45531</v>
      </c>
      <c r="F1698" s="26" t="s">
        <v>1</v>
      </c>
    </row>
    <row r="1699" spans="1:6" ht="16.8" customHeight="1" x14ac:dyDescent="0.3">
      <c r="A1699" s="20">
        <v>43296</v>
      </c>
      <c r="B1699" s="31"/>
      <c r="C1699" s="31"/>
      <c r="D1699" s="31"/>
      <c r="E1699" s="25"/>
      <c r="F1699" s="26"/>
    </row>
    <row r="1700" spans="1:6" ht="16.8" customHeight="1" x14ac:dyDescent="0.3">
      <c r="A1700" s="20">
        <v>43297</v>
      </c>
      <c r="B1700" s="31" t="s">
        <v>881</v>
      </c>
      <c r="C1700" s="31" t="s">
        <v>120</v>
      </c>
      <c r="D1700" s="31" t="s">
        <v>882</v>
      </c>
      <c r="E1700" s="25">
        <v>45559</v>
      </c>
      <c r="F1700" s="26" t="s">
        <v>1</v>
      </c>
    </row>
    <row r="1701" spans="1:6" ht="16.8" customHeight="1" x14ac:dyDescent="0.3">
      <c r="A1701" s="20">
        <v>43298</v>
      </c>
      <c r="B1701" s="31" t="s">
        <v>773</v>
      </c>
      <c r="C1701" s="31" t="s">
        <v>883</v>
      </c>
      <c r="D1701" s="31" t="s">
        <v>884</v>
      </c>
      <c r="E1701" s="25"/>
      <c r="F1701" s="26" t="s">
        <v>10</v>
      </c>
    </row>
    <row r="1702" spans="1:6" ht="16.8" customHeight="1" x14ac:dyDescent="0.3">
      <c r="A1702" s="20">
        <v>43299</v>
      </c>
      <c r="B1702" s="31" t="s">
        <v>570</v>
      </c>
      <c r="C1702" s="31" t="s">
        <v>240</v>
      </c>
      <c r="D1702" s="31" t="s">
        <v>885</v>
      </c>
      <c r="E1702" s="25">
        <v>45565</v>
      </c>
      <c r="F1702" s="26" t="s">
        <v>8</v>
      </c>
    </row>
    <row r="1703" spans="1:6" ht="16.8" customHeight="1" x14ac:dyDescent="0.3">
      <c r="A1703" s="20">
        <v>43300</v>
      </c>
      <c r="B1703" s="31"/>
      <c r="C1703" s="31"/>
      <c r="D1703" s="31"/>
      <c r="E1703" s="25"/>
      <c r="F1703" s="26"/>
    </row>
    <row r="1704" spans="1:6" ht="16.8" customHeight="1" x14ac:dyDescent="0.3">
      <c r="A1704" s="20">
        <v>43301</v>
      </c>
      <c r="B1704" s="31" t="s">
        <v>474</v>
      </c>
      <c r="C1704" s="31" t="s">
        <v>886</v>
      </c>
      <c r="D1704" s="31" t="s">
        <v>319</v>
      </c>
      <c r="E1704" s="25">
        <v>45600</v>
      </c>
      <c r="F1704" s="26" t="s">
        <v>4</v>
      </c>
    </row>
    <row r="1705" spans="1:6" ht="16.8" customHeight="1" x14ac:dyDescent="0.3">
      <c r="A1705" s="20">
        <v>43302</v>
      </c>
      <c r="B1705" s="31" t="s">
        <v>468</v>
      </c>
      <c r="C1705" s="31" t="s">
        <v>2138</v>
      </c>
      <c r="D1705" s="31" t="s">
        <v>519</v>
      </c>
      <c r="E1705" s="25">
        <v>45782</v>
      </c>
      <c r="F1705" s="26" t="s">
        <v>1</v>
      </c>
    </row>
    <row r="1706" spans="1:6" ht="16.8" customHeight="1" x14ac:dyDescent="0.3">
      <c r="A1706" s="20">
        <v>43303</v>
      </c>
      <c r="B1706" s="31"/>
      <c r="C1706" s="31"/>
      <c r="D1706" s="31"/>
      <c r="E1706" s="25"/>
      <c r="F1706" s="26"/>
    </row>
    <row r="1707" spans="1:6" ht="16.8" customHeight="1" x14ac:dyDescent="0.3">
      <c r="A1707" s="20">
        <v>43304</v>
      </c>
      <c r="B1707" s="31" t="s">
        <v>758</v>
      </c>
      <c r="C1707" s="31" t="s">
        <v>887</v>
      </c>
      <c r="D1707" s="31" t="s">
        <v>888</v>
      </c>
      <c r="E1707" s="25">
        <v>45544</v>
      </c>
      <c r="F1707" s="26" t="s">
        <v>4</v>
      </c>
    </row>
    <row r="1708" spans="1:6" ht="16.8" customHeight="1" x14ac:dyDescent="0.3">
      <c r="A1708" s="20">
        <v>43305</v>
      </c>
      <c r="B1708" s="31" t="s">
        <v>674</v>
      </c>
      <c r="C1708" s="31" t="s">
        <v>106</v>
      </c>
      <c r="D1708" s="31" t="s">
        <v>889</v>
      </c>
      <c r="E1708" s="25">
        <v>45561</v>
      </c>
      <c r="F1708" s="26" t="s">
        <v>1</v>
      </c>
    </row>
    <row r="1709" spans="1:6" ht="16.8" customHeight="1" x14ac:dyDescent="0.3">
      <c r="A1709" s="20">
        <v>43306</v>
      </c>
      <c r="B1709" s="31"/>
      <c r="C1709" s="31"/>
      <c r="D1709" s="31"/>
      <c r="E1709" s="25"/>
      <c r="F1709" s="26"/>
    </row>
    <row r="1710" spans="1:6" ht="16.8" customHeight="1" x14ac:dyDescent="0.3">
      <c r="A1710" s="20">
        <v>43307</v>
      </c>
      <c r="B1710" s="31" t="s">
        <v>890</v>
      </c>
      <c r="C1710" s="31" t="s">
        <v>362</v>
      </c>
      <c r="D1710" s="31" t="s">
        <v>27</v>
      </c>
      <c r="E1710" s="25">
        <v>45546</v>
      </c>
      <c r="F1710" s="26" t="s">
        <v>1</v>
      </c>
    </row>
    <row r="1711" spans="1:6" ht="16.8" customHeight="1" x14ac:dyDescent="0.3">
      <c r="A1711" s="20">
        <v>43308</v>
      </c>
      <c r="B1711" s="31" t="s">
        <v>450</v>
      </c>
      <c r="C1711" s="31" t="s">
        <v>254</v>
      </c>
      <c r="D1711" s="31" t="s">
        <v>891</v>
      </c>
      <c r="E1711" s="25">
        <v>45555</v>
      </c>
      <c r="F1711" s="26" t="s">
        <v>2</v>
      </c>
    </row>
    <row r="1712" spans="1:6" ht="16.8" customHeight="1" x14ac:dyDescent="0.3">
      <c r="A1712" s="20">
        <v>43309</v>
      </c>
      <c r="B1712" s="31"/>
      <c r="C1712" s="31"/>
      <c r="D1712" s="31"/>
      <c r="E1712" s="25"/>
      <c r="F1712" s="26"/>
    </row>
    <row r="1713" spans="1:6" ht="16.8" customHeight="1" x14ac:dyDescent="0.3">
      <c r="A1713" s="20">
        <v>43310</v>
      </c>
      <c r="B1713" s="31" t="s">
        <v>892</v>
      </c>
      <c r="C1713" s="31" t="s">
        <v>148</v>
      </c>
      <c r="D1713" s="31" t="s">
        <v>893</v>
      </c>
      <c r="E1713" s="25">
        <v>45565</v>
      </c>
      <c r="F1713" s="26" t="s">
        <v>1</v>
      </c>
    </row>
    <row r="1714" spans="1:6" ht="16.8" customHeight="1" x14ac:dyDescent="0.3">
      <c r="A1714" s="20">
        <v>43311</v>
      </c>
      <c r="B1714" s="31"/>
      <c r="C1714" s="31"/>
      <c r="D1714" s="31"/>
      <c r="E1714" s="25"/>
      <c r="F1714" s="26"/>
    </row>
    <row r="1715" spans="1:6" ht="16.8" customHeight="1" x14ac:dyDescent="0.3">
      <c r="A1715" s="20">
        <v>43312</v>
      </c>
      <c r="B1715" s="31" t="s">
        <v>894</v>
      </c>
      <c r="C1715" s="31" t="s">
        <v>252</v>
      </c>
      <c r="D1715" s="31" t="s">
        <v>283</v>
      </c>
      <c r="E1715" s="25">
        <v>45544</v>
      </c>
      <c r="F1715" s="26" t="s">
        <v>1</v>
      </c>
    </row>
    <row r="1716" spans="1:6" ht="16.8" customHeight="1" x14ac:dyDescent="0.3">
      <c r="A1716" s="20">
        <v>43313</v>
      </c>
      <c r="B1716" s="31" t="s">
        <v>895</v>
      </c>
      <c r="C1716" s="31" t="s">
        <v>896</v>
      </c>
      <c r="D1716" s="31" t="s">
        <v>85</v>
      </c>
      <c r="E1716" s="25">
        <v>45544</v>
      </c>
      <c r="F1716" s="26" t="s">
        <v>1</v>
      </c>
    </row>
    <row r="1717" spans="1:6" ht="16.8" customHeight="1" x14ac:dyDescent="0.3">
      <c r="A1717" s="20">
        <v>43314</v>
      </c>
      <c r="B1717" s="31" t="s">
        <v>96</v>
      </c>
      <c r="C1717" s="31" t="s">
        <v>718</v>
      </c>
      <c r="D1717" s="31" t="s">
        <v>897</v>
      </c>
      <c r="E1717" s="25">
        <v>45544</v>
      </c>
      <c r="F1717" s="26" t="s">
        <v>4</v>
      </c>
    </row>
    <row r="1718" spans="1:6" ht="16.8" customHeight="1" x14ac:dyDescent="0.3">
      <c r="A1718" s="20">
        <v>43315</v>
      </c>
      <c r="B1718" s="31" t="s">
        <v>71</v>
      </c>
      <c r="C1718" s="31" t="s">
        <v>106</v>
      </c>
      <c r="D1718" s="31" t="s">
        <v>898</v>
      </c>
      <c r="E1718" s="25">
        <v>45541</v>
      </c>
      <c r="F1718" s="26" t="s">
        <v>1</v>
      </c>
    </row>
    <row r="1719" spans="1:6" ht="16.8" customHeight="1" x14ac:dyDescent="0.3">
      <c r="A1719" s="20">
        <v>43316</v>
      </c>
      <c r="B1719" s="31" t="s">
        <v>71</v>
      </c>
      <c r="C1719" s="31" t="s">
        <v>106</v>
      </c>
      <c r="D1719" s="31" t="s">
        <v>899</v>
      </c>
      <c r="E1719" s="25">
        <v>45541</v>
      </c>
      <c r="F1719" s="26" t="s">
        <v>1</v>
      </c>
    </row>
    <row r="1720" spans="1:6" ht="16.8" customHeight="1" x14ac:dyDescent="0.3">
      <c r="A1720" s="20">
        <v>43317</v>
      </c>
      <c r="B1720" s="31" t="s">
        <v>900</v>
      </c>
      <c r="C1720" s="31" t="s">
        <v>140</v>
      </c>
      <c r="D1720" s="31" t="s">
        <v>146</v>
      </c>
      <c r="E1720" s="25">
        <v>45561</v>
      </c>
      <c r="F1720" s="26" t="s">
        <v>1</v>
      </c>
    </row>
    <row r="1721" spans="1:6" ht="16.8" customHeight="1" x14ac:dyDescent="0.3">
      <c r="A1721" s="20">
        <v>43318</v>
      </c>
      <c r="B1721" s="31" t="s">
        <v>194</v>
      </c>
      <c r="C1721" s="31" t="s">
        <v>84</v>
      </c>
      <c r="D1721" s="31" t="s">
        <v>207</v>
      </c>
      <c r="E1721" s="25">
        <v>45566</v>
      </c>
      <c r="F1721" s="26" t="s">
        <v>1</v>
      </c>
    </row>
    <row r="1722" spans="1:6" ht="16.8" customHeight="1" x14ac:dyDescent="0.3">
      <c r="A1722" s="20">
        <v>43319</v>
      </c>
      <c r="B1722" s="31"/>
      <c r="C1722" s="31"/>
      <c r="D1722" s="31"/>
      <c r="E1722" s="25"/>
      <c r="F1722" s="26" t="s">
        <v>10</v>
      </c>
    </row>
    <row r="1723" spans="1:6" ht="16.8" customHeight="1" x14ac:dyDescent="0.3">
      <c r="A1723" s="20">
        <v>43320</v>
      </c>
      <c r="B1723" s="31" t="s">
        <v>71</v>
      </c>
      <c r="C1723" s="31" t="s">
        <v>106</v>
      </c>
      <c r="D1723" s="31" t="s">
        <v>485</v>
      </c>
      <c r="E1723" s="25">
        <v>45541</v>
      </c>
      <c r="F1723" s="26" t="s">
        <v>1</v>
      </c>
    </row>
    <row r="1724" spans="1:6" ht="16.8" customHeight="1" x14ac:dyDescent="0.3">
      <c r="A1724" s="20">
        <v>43321</v>
      </c>
      <c r="B1724" s="31" t="s">
        <v>901</v>
      </c>
      <c r="C1724" s="31" t="s">
        <v>82</v>
      </c>
      <c r="D1724" s="31" t="s">
        <v>902</v>
      </c>
      <c r="E1724" s="25">
        <v>45546</v>
      </c>
      <c r="F1724" s="26" t="s">
        <v>1</v>
      </c>
    </row>
    <row r="1725" spans="1:6" ht="16.8" customHeight="1" x14ac:dyDescent="0.3">
      <c r="A1725" s="20">
        <v>43322</v>
      </c>
      <c r="B1725" s="31" t="s">
        <v>903</v>
      </c>
      <c r="C1725" s="31" t="s">
        <v>904</v>
      </c>
      <c r="D1725" s="31" t="s">
        <v>121</v>
      </c>
      <c r="E1725" s="25">
        <v>45554</v>
      </c>
      <c r="F1725" s="26" t="s">
        <v>4</v>
      </c>
    </row>
    <row r="1726" spans="1:6" ht="16.8" customHeight="1" x14ac:dyDescent="0.3">
      <c r="A1726" s="20">
        <v>43323</v>
      </c>
      <c r="B1726" s="31" t="s">
        <v>570</v>
      </c>
      <c r="C1726" s="31" t="s">
        <v>240</v>
      </c>
      <c r="D1726" s="31" t="s">
        <v>885</v>
      </c>
      <c r="E1726" s="25">
        <v>45565</v>
      </c>
      <c r="F1726" s="26" t="s">
        <v>8</v>
      </c>
    </row>
    <row r="1727" spans="1:6" ht="16.8" customHeight="1" x14ac:dyDescent="0.3">
      <c r="A1727" s="20">
        <v>43324</v>
      </c>
      <c r="B1727" s="31" t="s">
        <v>570</v>
      </c>
      <c r="C1727" s="31" t="s">
        <v>240</v>
      </c>
      <c r="D1727" s="31" t="s">
        <v>905</v>
      </c>
      <c r="E1727" s="25">
        <v>45567</v>
      </c>
      <c r="F1727" s="26" t="s">
        <v>1</v>
      </c>
    </row>
    <row r="1728" spans="1:6" ht="16.8" customHeight="1" x14ac:dyDescent="0.3">
      <c r="A1728" s="20">
        <v>43325</v>
      </c>
      <c r="B1728" s="31" t="s">
        <v>122</v>
      </c>
      <c r="C1728" s="31" t="s">
        <v>906</v>
      </c>
      <c r="D1728" s="31"/>
      <c r="E1728" s="25">
        <v>45554</v>
      </c>
      <c r="F1728" s="26" t="s">
        <v>1</v>
      </c>
    </row>
    <row r="1729" spans="1:6" ht="16.8" customHeight="1" x14ac:dyDescent="0.3">
      <c r="A1729" s="20">
        <v>43326</v>
      </c>
      <c r="B1729" s="31" t="s">
        <v>71</v>
      </c>
      <c r="C1729" s="31" t="s">
        <v>32</v>
      </c>
      <c r="D1729" s="31" t="s">
        <v>907</v>
      </c>
      <c r="E1729" s="25">
        <v>45541</v>
      </c>
      <c r="F1729" s="26" t="s">
        <v>1</v>
      </c>
    </row>
    <row r="1730" spans="1:6" ht="16.8" customHeight="1" x14ac:dyDescent="0.3">
      <c r="A1730" s="20">
        <v>43327</v>
      </c>
      <c r="B1730" s="31" t="s">
        <v>908</v>
      </c>
      <c r="C1730" s="31" t="s">
        <v>909</v>
      </c>
      <c r="D1730" s="31" t="s">
        <v>910</v>
      </c>
      <c r="E1730" s="25">
        <v>45558</v>
      </c>
      <c r="F1730" s="26" t="s">
        <v>1</v>
      </c>
    </row>
    <row r="1731" spans="1:6" ht="16.8" customHeight="1" x14ac:dyDescent="0.3">
      <c r="A1731" s="20">
        <v>43328</v>
      </c>
      <c r="B1731" s="31" t="s">
        <v>439</v>
      </c>
      <c r="C1731" s="31"/>
      <c r="D1731" s="31" t="s">
        <v>27</v>
      </c>
      <c r="E1731" s="25">
        <v>45553</v>
      </c>
      <c r="F1731" s="26" t="s">
        <v>1</v>
      </c>
    </row>
    <row r="1732" spans="1:6" ht="16.8" customHeight="1" x14ac:dyDescent="0.3">
      <c r="A1732" s="20">
        <v>43329</v>
      </c>
      <c r="B1732" s="31"/>
      <c r="C1732" s="31"/>
      <c r="D1732" s="31"/>
      <c r="E1732" s="25"/>
      <c r="F1732" s="26"/>
    </row>
    <row r="1733" spans="1:6" ht="16.8" customHeight="1" x14ac:dyDescent="0.3">
      <c r="A1733" s="20">
        <v>43330</v>
      </c>
      <c r="B1733" s="31" t="s">
        <v>911</v>
      </c>
      <c r="C1733" s="31" t="s">
        <v>912</v>
      </c>
      <c r="D1733" s="31" t="s">
        <v>913</v>
      </c>
      <c r="E1733" s="25">
        <v>45544</v>
      </c>
      <c r="F1733" s="26" t="s">
        <v>1</v>
      </c>
    </row>
    <row r="1734" spans="1:6" ht="16.8" customHeight="1" x14ac:dyDescent="0.3">
      <c r="A1734" s="20">
        <v>43331</v>
      </c>
      <c r="B1734" s="31" t="s">
        <v>914</v>
      </c>
      <c r="C1734" s="31" t="s">
        <v>915</v>
      </c>
      <c r="D1734" s="31" t="s">
        <v>916</v>
      </c>
      <c r="E1734" s="25">
        <v>45561</v>
      </c>
      <c r="F1734" s="26" t="s">
        <v>1</v>
      </c>
    </row>
    <row r="1735" spans="1:6" ht="16.8" customHeight="1" x14ac:dyDescent="0.3">
      <c r="A1735" s="20">
        <v>43332</v>
      </c>
      <c r="B1735" s="31" t="s">
        <v>917</v>
      </c>
      <c r="C1735" s="31" t="s">
        <v>718</v>
      </c>
      <c r="D1735" s="31" t="s">
        <v>615</v>
      </c>
      <c r="E1735" s="25">
        <v>45544</v>
      </c>
      <c r="F1735" s="26" t="s">
        <v>1</v>
      </c>
    </row>
    <row r="1736" spans="1:6" ht="16.8" customHeight="1" x14ac:dyDescent="0.3">
      <c r="A1736" s="20">
        <v>43333</v>
      </c>
      <c r="B1736" s="31"/>
      <c r="C1736" s="31"/>
      <c r="D1736" s="31"/>
      <c r="E1736" s="25"/>
      <c r="F1736" s="26"/>
    </row>
    <row r="1737" spans="1:6" ht="16.8" customHeight="1" x14ac:dyDescent="0.3">
      <c r="A1737" s="20">
        <v>43334</v>
      </c>
      <c r="B1737" s="31" t="s">
        <v>41</v>
      </c>
      <c r="C1737" s="31" t="s">
        <v>2022</v>
      </c>
      <c r="D1737" s="31" t="s">
        <v>98</v>
      </c>
      <c r="E1737" s="25">
        <v>45735</v>
      </c>
      <c r="F1737" s="26" t="s">
        <v>4</v>
      </c>
    </row>
    <row r="1738" spans="1:6" ht="16.8" customHeight="1" x14ac:dyDescent="0.3">
      <c r="A1738" s="20">
        <v>43335</v>
      </c>
      <c r="B1738" s="31"/>
      <c r="C1738" s="31"/>
      <c r="D1738" s="31"/>
      <c r="E1738" s="25"/>
      <c r="F1738" s="26"/>
    </row>
    <row r="1739" spans="1:6" ht="16.8" customHeight="1" x14ac:dyDescent="0.3">
      <c r="A1739" s="20">
        <v>43336</v>
      </c>
      <c r="B1739" s="31"/>
      <c r="C1739" s="31"/>
      <c r="D1739" s="31"/>
      <c r="E1739" s="25"/>
      <c r="F1739" s="26"/>
    </row>
    <row r="1740" spans="1:6" ht="16.8" customHeight="1" x14ac:dyDescent="0.3">
      <c r="A1740" s="20">
        <v>43337</v>
      </c>
      <c r="B1740" s="31" t="s">
        <v>225</v>
      </c>
      <c r="C1740" s="31"/>
      <c r="D1740" s="31" t="s">
        <v>918</v>
      </c>
      <c r="E1740" s="25">
        <v>45553</v>
      </c>
      <c r="F1740" s="26" t="s">
        <v>1</v>
      </c>
    </row>
    <row r="1741" spans="1:6" ht="16.8" customHeight="1" x14ac:dyDescent="0.3">
      <c r="A1741" s="20">
        <v>43338</v>
      </c>
      <c r="B1741" s="31" t="s">
        <v>919</v>
      </c>
      <c r="C1741" s="31" t="s">
        <v>226</v>
      </c>
      <c r="D1741" s="31" t="s">
        <v>27</v>
      </c>
      <c r="E1741" s="25">
        <v>45544</v>
      </c>
      <c r="F1741" s="26" t="s">
        <v>1</v>
      </c>
    </row>
    <row r="1742" spans="1:6" ht="16.8" customHeight="1" x14ac:dyDescent="0.3">
      <c r="A1742" s="20">
        <v>43339</v>
      </c>
      <c r="B1742" s="31" t="s">
        <v>920</v>
      </c>
      <c r="C1742" s="31"/>
      <c r="D1742" s="31" t="s">
        <v>921</v>
      </c>
      <c r="E1742" s="25">
        <v>45541.340081018519</v>
      </c>
      <c r="F1742" s="26" t="s">
        <v>1</v>
      </c>
    </row>
    <row r="1743" spans="1:6" ht="16.8" customHeight="1" x14ac:dyDescent="0.3">
      <c r="A1743" s="20">
        <v>43340</v>
      </c>
      <c r="B1743" s="31" t="s">
        <v>237</v>
      </c>
      <c r="C1743" s="31" t="s">
        <v>84</v>
      </c>
      <c r="D1743" s="31" t="s">
        <v>341</v>
      </c>
      <c r="E1743" s="25">
        <v>45544</v>
      </c>
      <c r="F1743" s="26" t="s">
        <v>1</v>
      </c>
    </row>
    <row r="1744" spans="1:6" ht="16.8" customHeight="1" x14ac:dyDescent="0.3">
      <c r="A1744" s="20">
        <v>43341</v>
      </c>
      <c r="B1744" s="31" t="s">
        <v>486</v>
      </c>
      <c r="C1744" s="31" t="s">
        <v>181</v>
      </c>
      <c r="D1744" s="31" t="s">
        <v>922</v>
      </c>
      <c r="E1744" s="25">
        <v>45553</v>
      </c>
      <c r="F1744" s="26" t="s">
        <v>1</v>
      </c>
    </row>
    <row r="1745" spans="1:6" ht="16.8" customHeight="1" x14ac:dyDescent="0.3">
      <c r="A1745" s="20">
        <v>43342</v>
      </c>
      <c r="B1745" s="31" t="s">
        <v>325</v>
      </c>
      <c r="C1745" s="31" t="s">
        <v>367</v>
      </c>
      <c r="D1745" s="31" t="s">
        <v>923</v>
      </c>
      <c r="E1745" s="25">
        <v>45559</v>
      </c>
      <c r="F1745" s="26" t="s">
        <v>3</v>
      </c>
    </row>
    <row r="1746" spans="1:6" ht="16.8" customHeight="1" x14ac:dyDescent="0.3">
      <c r="A1746" s="20">
        <v>43343</v>
      </c>
      <c r="B1746" s="31"/>
      <c r="C1746" s="31"/>
      <c r="D1746" s="31"/>
      <c r="E1746" s="25"/>
      <c r="F1746" s="26"/>
    </row>
    <row r="1747" spans="1:6" ht="16.8" customHeight="1" x14ac:dyDescent="0.3">
      <c r="A1747" s="20">
        <v>43344</v>
      </c>
      <c r="B1747" s="31"/>
      <c r="C1747" s="31"/>
      <c r="D1747" s="31"/>
      <c r="E1747" s="25"/>
      <c r="F1747" s="26"/>
    </row>
    <row r="1748" spans="1:6" ht="16.8" customHeight="1" x14ac:dyDescent="0.3">
      <c r="A1748" s="20">
        <v>43345</v>
      </c>
      <c r="B1748" s="31"/>
      <c r="C1748" s="31"/>
      <c r="D1748" s="31"/>
      <c r="E1748" s="25"/>
      <c r="F1748" s="26"/>
    </row>
    <row r="1749" spans="1:6" ht="16.8" customHeight="1" x14ac:dyDescent="0.3">
      <c r="A1749" s="20">
        <v>43346</v>
      </c>
      <c r="B1749" s="31" t="s">
        <v>309</v>
      </c>
      <c r="C1749" s="31" t="s">
        <v>924</v>
      </c>
      <c r="D1749" s="31" t="s">
        <v>880</v>
      </c>
      <c r="E1749" s="25">
        <v>45566</v>
      </c>
      <c r="F1749" s="26" t="s">
        <v>4</v>
      </c>
    </row>
    <row r="1750" spans="1:6" ht="16.8" customHeight="1" x14ac:dyDescent="0.3">
      <c r="A1750" s="20">
        <v>43347</v>
      </c>
      <c r="B1750" s="31" t="s">
        <v>239</v>
      </c>
      <c r="C1750" s="31" t="s">
        <v>240</v>
      </c>
      <c r="D1750" s="31" t="s">
        <v>925</v>
      </c>
      <c r="E1750" s="25">
        <v>45614</v>
      </c>
      <c r="F1750" s="26" t="s">
        <v>1</v>
      </c>
    </row>
    <row r="1751" spans="1:6" ht="16.8" customHeight="1" x14ac:dyDescent="0.3">
      <c r="A1751" s="20">
        <v>43348</v>
      </c>
      <c r="B1751" s="31"/>
      <c r="C1751" s="31"/>
      <c r="D1751" s="31"/>
      <c r="E1751" s="25">
        <v>45624</v>
      </c>
      <c r="F1751" s="26" t="s">
        <v>10</v>
      </c>
    </row>
    <row r="1752" spans="1:6" ht="16.8" customHeight="1" x14ac:dyDescent="0.3">
      <c r="A1752" s="20">
        <v>43349</v>
      </c>
      <c r="B1752" s="31"/>
      <c r="C1752" s="31"/>
      <c r="D1752" s="31"/>
      <c r="E1752" s="25">
        <v>45624</v>
      </c>
      <c r="F1752" s="26" t="s">
        <v>10</v>
      </c>
    </row>
    <row r="1753" spans="1:6" ht="16.8" customHeight="1" x14ac:dyDescent="0.3">
      <c r="A1753" s="20">
        <v>43350</v>
      </c>
      <c r="B1753" s="31"/>
      <c r="C1753" s="31"/>
      <c r="D1753" s="31"/>
      <c r="E1753" s="25"/>
      <c r="F1753" s="26"/>
    </row>
    <row r="1754" spans="1:6" ht="16.8" customHeight="1" x14ac:dyDescent="0.3">
      <c r="A1754" s="20">
        <v>43351</v>
      </c>
      <c r="B1754" s="31"/>
      <c r="C1754" s="31"/>
      <c r="D1754" s="31"/>
      <c r="E1754" s="25"/>
      <c r="F1754" s="26"/>
    </row>
    <row r="1755" spans="1:6" ht="16.8" customHeight="1" x14ac:dyDescent="0.3">
      <c r="A1755" s="20">
        <v>43352</v>
      </c>
      <c r="B1755" s="31"/>
      <c r="C1755" s="31"/>
      <c r="D1755" s="31"/>
      <c r="E1755" s="25"/>
      <c r="F1755" s="26"/>
    </row>
    <row r="1756" spans="1:6" ht="16.8" customHeight="1" x14ac:dyDescent="0.3">
      <c r="A1756" s="20">
        <v>43353</v>
      </c>
      <c r="B1756" s="31"/>
      <c r="C1756" s="31"/>
      <c r="D1756" s="31"/>
      <c r="E1756" s="25"/>
      <c r="F1756" s="26"/>
    </row>
    <row r="1757" spans="1:6" ht="16.8" customHeight="1" x14ac:dyDescent="0.3">
      <c r="A1757" s="20">
        <v>43354</v>
      </c>
      <c r="B1757" s="31"/>
      <c r="C1757" s="31"/>
      <c r="D1757" s="31"/>
      <c r="E1757" s="25"/>
      <c r="F1757" s="26"/>
    </row>
    <row r="1758" spans="1:6" ht="16.8" customHeight="1" x14ac:dyDescent="0.3">
      <c r="A1758" s="20">
        <v>43355</v>
      </c>
      <c r="B1758" s="31"/>
      <c r="C1758" s="31"/>
      <c r="D1758" s="31"/>
      <c r="E1758" s="25"/>
      <c r="F1758" s="26"/>
    </row>
    <row r="1759" spans="1:6" ht="16.8" customHeight="1" x14ac:dyDescent="0.3">
      <c r="A1759" s="20">
        <v>43356</v>
      </c>
      <c r="B1759" s="31"/>
      <c r="C1759" s="31"/>
      <c r="D1759" s="31"/>
      <c r="E1759" s="25"/>
      <c r="F1759" s="26"/>
    </row>
    <row r="1760" spans="1:6" ht="16.8" customHeight="1" x14ac:dyDescent="0.3">
      <c r="A1760" s="20">
        <v>43357</v>
      </c>
      <c r="B1760" s="31"/>
      <c r="C1760" s="31"/>
      <c r="D1760" s="31"/>
      <c r="E1760" s="25"/>
      <c r="F1760" s="26"/>
    </row>
    <row r="1761" spans="1:6" ht="16.8" customHeight="1" x14ac:dyDescent="0.3">
      <c r="A1761" s="20">
        <v>43358</v>
      </c>
      <c r="B1761" s="31"/>
      <c r="C1761" s="31"/>
      <c r="D1761" s="31"/>
      <c r="E1761" s="25"/>
      <c r="F1761" s="26"/>
    </row>
    <row r="1762" spans="1:6" ht="16.8" customHeight="1" x14ac:dyDescent="0.3">
      <c r="A1762" s="20">
        <v>43359</v>
      </c>
      <c r="B1762" s="31"/>
      <c r="C1762" s="31"/>
      <c r="D1762" s="31"/>
      <c r="E1762" s="25"/>
      <c r="F1762" s="26"/>
    </row>
    <row r="1763" spans="1:6" ht="16.8" customHeight="1" x14ac:dyDescent="0.3">
      <c r="A1763" s="20">
        <v>43360</v>
      </c>
      <c r="B1763" s="31"/>
      <c r="C1763" s="31"/>
      <c r="D1763" s="31"/>
      <c r="E1763" s="25"/>
      <c r="F1763" s="26"/>
    </row>
    <row r="1764" spans="1:6" ht="16.8" customHeight="1" x14ac:dyDescent="0.3">
      <c r="A1764" s="20">
        <v>43361</v>
      </c>
      <c r="B1764" s="31"/>
      <c r="C1764" s="31"/>
      <c r="D1764" s="31"/>
      <c r="E1764" s="25"/>
      <c r="F1764" s="26"/>
    </row>
    <row r="1765" spans="1:6" ht="16.8" customHeight="1" x14ac:dyDescent="0.3">
      <c r="A1765" s="20">
        <v>43362</v>
      </c>
      <c r="B1765" s="31"/>
      <c r="C1765" s="31"/>
      <c r="D1765" s="31"/>
      <c r="E1765" s="25"/>
      <c r="F1765" s="26"/>
    </row>
    <row r="1766" spans="1:6" ht="16.8" customHeight="1" x14ac:dyDescent="0.3">
      <c r="A1766" s="20">
        <v>43363</v>
      </c>
      <c r="B1766" s="31"/>
      <c r="C1766" s="31"/>
      <c r="D1766" s="31"/>
      <c r="E1766" s="25"/>
      <c r="F1766" s="26"/>
    </row>
    <row r="1767" spans="1:6" ht="16.8" customHeight="1" x14ac:dyDescent="0.3">
      <c r="A1767" s="20">
        <v>43364</v>
      </c>
      <c r="B1767" s="31"/>
      <c r="C1767" s="31"/>
      <c r="D1767" s="31"/>
      <c r="E1767" s="25"/>
      <c r="F1767" s="26"/>
    </row>
    <row r="1768" spans="1:6" ht="16.8" customHeight="1" x14ac:dyDescent="0.3">
      <c r="A1768" s="20">
        <v>43365</v>
      </c>
      <c r="B1768" s="31"/>
      <c r="C1768" s="31"/>
      <c r="D1768" s="31"/>
      <c r="E1768" s="25"/>
      <c r="F1768" s="26"/>
    </row>
    <row r="1769" spans="1:6" ht="16.8" customHeight="1" x14ac:dyDescent="0.3">
      <c r="A1769" s="20">
        <v>43366</v>
      </c>
      <c r="B1769" s="31"/>
      <c r="C1769" s="31"/>
      <c r="D1769" s="31"/>
      <c r="E1769" s="25"/>
      <c r="F1769" s="26"/>
    </row>
    <row r="1770" spans="1:6" ht="16.8" customHeight="1" x14ac:dyDescent="0.3">
      <c r="A1770" s="20">
        <v>43367</v>
      </c>
      <c r="B1770" s="31"/>
      <c r="C1770" s="31"/>
      <c r="D1770" s="31"/>
      <c r="E1770" s="25"/>
      <c r="F1770" s="26"/>
    </row>
    <row r="1771" spans="1:6" ht="16.8" customHeight="1" x14ac:dyDescent="0.3">
      <c r="A1771" s="20">
        <v>43368</v>
      </c>
      <c r="B1771" s="31"/>
      <c r="C1771" s="31"/>
      <c r="D1771" s="31"/>
      <c r="E1771" s="25"/>
      <c r="F1771" s="26"/>
    </row>
    <row r="1772" spans="1:6" ht="16.8" customHeight="1" x14ac:dyDescent="0.3">
      <c r="A1772" s="20">
        <v>43369</v>
      </c>
      <c r="B1772" s="31"/>
      <c r="C1772" s="31"/>
      <c r="D1772" s="31"/>
      <c r="E1772" s="25"/>
      <c r="F1772" s="26"/>
    </row>
    <row r="1773" spans="1:6" ht="16.8" customHeight="1" x14ac:dyDescent="0.3">
      <c r="A1773" s="20">
        <v>43370</v>
      </c>
      <c r="B1773" s="31"/>
      <c r="C1773" s="31"/>
      <c r="D1773" s="31"/>
      <c r="E1773" s="25"/>
      <c r="F1773" s="26"/>
    </row>
    <row r="1774" spans="1:6" ht="16.8" customHeight="1" x14ac:dyDescent="0.3">
      <c r="A1774" s="20">
        <v>43371</v>
      </c>
      <c r="B1774" s="31"/>
      <c r="C1774" s="31"/>
      <c r="D1774" s="31"/>
      <c r="E1774" s="25"/>
      <c r="F1774" s="26"/>
    </row>
    <row r="1775" spans="1:6" ht="16.8" customHeight="1" x14ac:dyDescent="0.3">
      <c r="A1775" s="20">
        <v>43372</v>
      </c>
      <c r="B1775" s="31" t="s">
        <v>761</v>
      </c>
      <c r="C1775" s="31" t="s">
        <v>82</v>
      </c>
      <c r="D1775" s="31" t="s">
        <v>744</v>
      </c>
      <c r="E1775" s="25">
        <v>45554</v>
      </c>
      <c r="F1775" s="26" t="s">
        <v>1</v>
      </c>
    </row>
    <row r="1776" spans="1:6" ht="16.8" customHeight="1" x14ac:dyDescent="0.3">
      <c r="A1776" s="20">
        <v>43373</v>
      </c>
      <c r="B1776" s="31"/>
      <c r="C1776" s="31"/>
      <c r="D1776" s="31"/>
      <c r="E1776" s="25"/>
      <c r="F1776" s="26"/>
    </row>
    <row r="1777" spans="1:6" ht="16.8" customHeight="1" x14ac:dyDescent="0.3">
      <c r="A1777" s="20">
        <v>43374</v>
      </c>
      <c r="B1777" s="31"/>
      <c r="C1777" s="31"/>
      <c r="D1777" s="31"/>
      <c r="E1777" s="25"/>
      <c r="F1777" s="26"/>
    </row>
    <row r="1778" spans="1:6" ht="16.8" customHeight="1" x14ac:dyDescent="0.3">
      <c r="A1778" s="20">
        <v>43375</v>
      </c>
      <c r="B1778" s="31"/>
      <c r="C1778" s="31"/>
      <c r="D1778" s="31"/>
      <c r="E1778" s="25"/>
      <c r="F1778" s="26"/>
    </row>
    <row r="1779" spans="1:6" ht="16.8" customHeight="1" x14ac:dyDescent="0.3">
      <c r="A1779" s="20">
        <v>43376</v>
      </c>
      <c r="B1779" s="31" t="s">
        <v>454</v>
      </c>
      <c r="C1779" s="31" t="s">
        <v>453</v>
      </c>
      <c r="D1779" s="31" t="s">
        <v>255</v>
      </c>
      <c r="E1779" s="25">
        <v>45554</v>
      </c>
      <c r="F1779" s="26" t="s">
        <v>1</v>
      </c>
    </row>
    <row r="1780" spans="1:6" ht="16.8" customHeight="1" x14ac:dyDescent="0.3">
      <c r="A1780" s="20">
        <v>43377</v>
      </c>
      <c r="B1780" s="31"/>
      <c r="C1780" s="31"/>
      <c r="D1780" s="31"/>
      <c r="E1780" s="25"/>
      <c r="F1780" s="26" t="s">
        <v>10</v>
      </c>
    </row>
    <row r="1781" spans="1:6" ht="16.8" customHeight="1" x14ac:dyDescent="0.3">
      <c r="A1781" s="20">
        <v>43378</v>
      </c>
      <c r="B1781" s="31"/>
      <c r="C1781" s="31"/>
      <c r="D1781" s="31"/>
      <c r="E1781" s="25"/>
      <c r="F1781" s="26"/>
    </row>
    <row r="1782" spans="1:6" ht="16.8" customHeight="1" x14ac:dyDescent="0.3">
      <c r="A1782" s="20">
        <v>43379</v>
      </c>
      <c r="B1782" s="31"/>
      <c r="C1782" s="31"/>
      <c r="D1782" s="31"/>
      <c r="E1782" s="25"/>
      <c r="F1782" s="26"/>
    </row>
    <row r="1783" spans="1:6" ht="16.8" customHeight="1" x14ac:dyDescent="0.3">
      <c r="A1783" s="20">
        <v>43380</v>
      </c>
      <c r="B1783" s="31" t="s">
        <v>375</v>
      </c>
      <c r="C1783" s="31" t="s">
        <v>32</v>
      </c>
      <c r="D1783" s="31" t="s">
        <v>215</v>
      </c>
      <c r="E1783" s="25">
        <v>45554</v>
      </c>
      <c r="F1783" s="26" t="s">
        <v>1</v>
      </c>
    </row>
    <row r="1784" spans="1:6" ht="16.8" customHeight="1" x14ac:dyDescent="0.3">
      <c r="A1784" s="20">
        <v>43381</v>
      </c>
      <c r="B1784" s="31"/>
      <c r="C1784" s="31"/>
      <c r="D1784" s="31"/>
      <c r="E1784" s="25"/>
      <c r="F1784" s="26"/>
    </row>
    <row r="1785" spans="1:6" ht="16.8" customHeight="1" x14ac:dyDescent="0.3">
      <c r="A1785" s="20">
        <v>43382</v>
      </c>
      <c r="B1785" s="31" t="s">
        <v>141</v>
      </c>
      <c r="C1785" s="31" t="s">
        <v>63</v>
      </c>
      <c r="D1785" s="31" t="s">
        <v>926</v>
      </c>
      <c r="E1785" s="25">
        <v>45569</v>
      </c>
      <c r="F1785" s="26" t="s">
        <v>1</v>
      </c>
    </row>
    <row r="1786" spans="1:6" ht="16.8" customHeight="1" x14ac:dyDescent="0.3">
      <c r="A1786" s="20">
        <v>43383</v>
      </c>
      <c r="B1786" s="31"/>
      <c r="C1786" s="31"/>
      <c r="D1786" s="31"/>
      <c r="E1786" s="25"/>
      <c r="F1786" s="26"/>
    </row>
    <row r="1787" spans="1:6" ht="16.8" customHeight="1" x14ac:dyDescent="0.3">
      <c r="A1787" s="20">
        <v>43384</v>
      </c>
      <c r="B1787" s="31"/>
      <c r="C1787" s="31"/>
      <c r="D1787" s="31"/>
      <c r="E1787" s="25"/>
      <c r="F1787" s="26"/>
    </row>
    <row r="1788" spans="1:6" ht="16.8" customHeight="1" x14ac:dyDescent="0.3">
      <c r="A1788" s="20">
        <v>43385</v>
      </c>
      <c r="B1788" s="31" t="s">
        <v>573</v>
      </c>
      <c r="C1788" s="31" t="s">
        <v>244</v>
      </c>
      <c r="D1788" s="31" t="s">
        <v>927</v>
      </c>
      <c r="E1788" s="25">
        <v>45554</v>
      </c>
      <c r="F1788" s="26" t="s">
        <v>6</v>
      </c>
    </row>
    <row r="1789" spans="1:6" ht="16.8" customHeight="1" x14ac:dyDescent="0.3">
      <c r="A1789" s="20">
        <v>43386</v>
      </c>
      <c r="B1789" s="31"/>
      <c r="C1789" s="31"/>
      <c r="D1789" s="31"/>
      <c r="E1789" s="25"/>
      <c r="F1789" s="26"/>
    </row>
    <row r="1790" spans="1:6" ht="16.8" customHeight="1" x14ac:dyDescent="0.3">
      <c r="A1790" s="20">
        <v>43387</v>
      </c>
      <c r="B1790" s="31" t="s">
        <v>194</v>
      </c>
      <c r="C1790" s="31" t="s">
        <v>84</v>
      </c>
      <c r="D1790" s="31" t="s">
        <v>145</v>
      </c>
      <c r="E1790" s="25">
        <v>45558</v>
      </c>
      <c r="F1790" s="26" t="s">
        <v>1</v>
      </c>
    </row>
    <row r="1791" spans="1:6" ht="16.8" customHeight="1" x14ac:dyDescent="0.3">
      <c r="A1791" s="20">
        <v>43388</v>
      </c>
      <c r="B1791" s="31"/>
      <c r="C1791" s="31"/>
      <c r="D1791" s="31"/>
      <c r="E1791" s="25"/>
      <c r="F1791" s="26"/>
    </row>
    <row r="1792" spans="1:6" ht="16.8" customHeight="1" x14ac:dyDescent="0.3">
      <c r="A1792" s="20">
        <v>43389</v>
      </c>
      <c r="B1792" s="31" t="s">
        <v>237</v>
      </c>
      <c r="C1792" s="31" t="s">
        <v>84</v>
      </c>
      <c r="D1792" s="31" t="s">
        <v>928</v>
      </c>
      <c r="E1792" s="25">
        <v>45565</v>
      </c>
      <c r="F1792" s="26" t="s">
        <v>1</v>
      </c>
    </row>
    <row r="1793" spans="1:6" ht="16.8" customHeight="1" x14ac:dyDescent="0.3">
      <c r="A1793" s="20">
        <v>43390</v>
      </c>
      <c r="B1793" s="31" t="s">
        <v>758</v>
      </c>
      <c r="C1793" s="31" t="s">
        <v>797</v>
      </c>
      <c r="D1793" s="31" t="s">
        <v>929</v>
      </c>
      <c r="E1793" s="25">
        <v>45565</v>
      </c>
      <c r="F1793" s="26" t="s">
        <v>4</v>
      </c>
    </row>
    <row r="1794" spans="1:6" ht="16.8" customHeight="1" x14ac:dyDescent="0.3">
      <c r="A1794" s="20">
        <v>43391</v>
      </c>
      <c r="B1794" s="31" t="s">
        <v>239</v>
      </c>
      <c r="C1794" s="31" t="s">
        <v>930</v>
      </c>
      <c r="D1794" s="31" t="s">
        <v>931</v>
      </c>
      <c r="E1794" s="25">
        <v>45624.750462962962</v>
      </c>
      <c r="F1794" s="26" t="s">
        <v>2</v>
      </c>
    </row>
    <row r="1795" spans="1:6" ht="16.8" customHeight="1" x14ac:dyDescent="0.3">
      <c r="A1795" s="20">
        <v>43392</v>
      </c>
      <c r="B1795" s="31"/>
      <c r="C1795" s="31"/>
      <c r="D1795" s="31"/>
      <c r="E1795" s="25"/>
      <c r="F1795" s="26"/>
    </row>
    <row r="1796" spans="1:6" ht="16.8" customHeight="1" x14ac:dyDescent="0.3">
      <c r="A1796" s="20">
        <v>43393</v>
      </c>
      <c r="B1796" s="31" t="s">
        <v>450</v>
      </c>
      <c r="C1796" s="31" t="s">
        <v>254</v>
      </c>
      <c r="D1796" s="31" t="s">
        <v>932</v>
      </c>
      <c r="E1796" s="25">
        <v>45558</v>
      </c>
      <c r="F1796" s="26" t="s">
        <v>4</v>
      </c>
    </row>
    <row r="1797" spans="1:6" ht="16.8" customHeight="1" x14ac:dyDescent="0.3">
      <c r="A1797" s="20">
        <v>43394</v>
      </c>
      <c r="B1797" s="31" t="s">
        <v>180</v>
      </c>
      <c r="C1797" s="31" t="s">
        <v>181</v>
      </c>
      <c r="D1797" s="31" t="s">
        <v>255</v>
      </c>
      <c r="E1797" s="25">
        <v>45554</v>
      </c>
      <c r="F1797" s="26" t="s">
        <v>1</v>
      </c>
    </row>
    <row r="1798" spans="1:6" ht="16.8" customHeight="1" x14ac:dyDescent="0.3">
      <c r="A1798" s="20">
        <v>43395</v>
      </c>
      <c r="B1798" s="31" t="s">
        <v>62</v>
      </c>
      <c r="C1798" s="31"/>
      <c r="D1798" s="31" t="s">
        <v>933</v>
      </c>
      <c r="E1798" s="25">
        <v>45558</v>
      </c>
      <c r="F1798" s="26" t="s">
        <v>1</v>
      </c>
    </row>
    <row r="1799" spans="1:6" ht="16.8" customHeight="1" x14ac:dyDescent="0.3">
      <c r="A1799" s="20">
        <v>43396</v>
      </c>
      <c r="B1799" s="31" t="s">
        <v>225</v>
      </c>
      <c r="C1799" s="31"/>
      <c r="D1799" s="31" t="s">
        <v>934</v>
      </c>
      <c r="E1799" s="25">
        <v>45558</v>
      </c>
      <c r="F1799" s="26" t="s">
        <v>1</v>
      </c>
    </row>
    <row r="1800" spans="1:6" ht="16.8" customHeight="1" x14ac:dyDescent="0.3">
      <c r="A1800" s="20">
        <v>43397</v>
      </c>
      <c r="B1800" s="31" t="s">
        <v>559</v>
      </c>
      <c r="C1800" s="31" t="s">
        <v>45</v>
      </c>
      <c r="D1800" s="31" t="s">
        <v>841</v>
      </c>
      <c r="E1800" s="25">
        <v>45554</v>
      </c>
      <c r="F1800" s="26" t="s">
        <v>10</v>
      </c>
    </row>
    <row r="1801" spans="1:6" ht="16.8" customHeight="1" x14ac:dyDescent="0.3">
      <c r="A1801" s="20">
        <v>43398</v>
      </c>
      <c r="B1801" s="31" t="s">
        <v>935</v>
      </c>
      <c r="C1801" s="31"/>
      <c r="D1801" s="31" t="s">
        <v>936</v>
      </c>
      <c r="E1801" s="25">
        <v>45565</v>
      </c>
      <c r="F1801" s="26" t="s">
        <v>4</v>
      </c>
    </row>
    <row r="1802" spans="1:6" ht="16.8" customHeight="1" x14ac:dyDescent="0.3">
      <c r="A1802" s="20">
        <v>43399</v>
      </c>
      <c r="B1802" s="31" t="s">
        <v>399</v>
      </c>
      <c r="C1802" s="31" t="s">
        <v>909</v>
      </c>
      <c r="D1802" s="31" t="s">
        <v>683</v>
      </c>
      <c r="E1802" s="25">
        <v>45558</v>
      </c>
      <c r="F1802" s="26" t="s">
        <v>1</v>
      </c>
    </row>
    <row r="1803" spans="1:6" ht="16.8" customHeight="1" x14ac:dyDescent="0.3">
      <c r="A1803" s="20">
        <v>43400</v>
      </c>
      <c r="B1803" s="31" t="s">
        <v>41</v>
      </c>
      <c r="C1803" s="31" t="s">
        <v>937</v>
      </c>
      <c r="D1803" s="31" t="s">
        <v>818</v>
      </c>
      <c r="E1803" s="25">
        <v>45561</v>
      </c>
      <c r="F1803" s="26" t="s">
        <v>2</v>
      </c>
    </row>
    <row r="1804" spans="1:6" ht="16.8" customHeight="1" x14ac:dyDescent="0.3">
      <c r="A1804" s="20">
        <v>43401</v>
      </c>
      <c r="B1804" s="31"/>
      <c r="C1804" s="31"/>
      <c r="D1804" s="31"/>
      <c r="E1804" s="25"/>
      <c r="F1804" s="26"/>
    </row>
    <row r="1805" spans="1:6" ht="16.8" customHeight="1" x14ac:dyDescent="0.3">
      <c r="A1805" s="20">
        <v>43402</v>
      </c>
      <c r="B1805" s="31" t="s">
        <v>237</v>
      </c>
      <c r="C1805" s="31" t="s">
        <v>84</v>
      </c>
      <c r="D1805" s="31" t="s">
        <v>212</v>
      </c>
      <c r="E1805" s="25">
        <v>45618</v>
      </c>
      <c r="F1805" s="26" t="s">
        <v>1</v>
      </c>
    </row>
    <row r="1806" spans="1:6" ht="16.8" customHeight="1" x14ac:dyDescent="0.3">
      <c r="A1806" s="20">
        <v>43403</v>
      </c>
      <c r="B1806" s="31" t="s">
        <v>375</v>
      </c>
      <c r="C1806" s="31" t="s">
        <v>75</v>
      </c>
      <c r="D1806" s="31" t="s">
        <v>207</v>
      </c>
      <c r="E1806" s="25">
        <v>45569</v>
      </c>
      <c r="F1806" s="26" t="s">
        <v>8</v>
      </c>
    </row>
    <row r="1807" spans="1:6" ht="16.8" customHeight="1" x14ac:dyDescent="0.3">
      <c r="A1807" s="20">
        <v>43404</v>
      </c>
      <c r="B1807" s="31" t="s">
        <v>917</v>
      </c>
      <c r="C1807" s="31"/>
      <c r="D1807" s="31" t="s">
        <v>938</v>
      </c>
      <c r="E1807" s="25">
        <v>45554</v>
      </c>
      <c r="F1807" s="26" t="s">
        <v>1</v>
      </c>
    </row>
    <row r="1808" spans="1:6" ht="16.8" customHeight="1" x14ac:dyDescent="0.3">
      <c r="A1808" s="20">
        <v>43405</v>
      </c>
      <c r="B1808" s="31" t="s">
        <v>271</v>
      </c>
      <c r="C1808" s="31" t="s">
        <v>915</v>
      </c>
      <c r="D1808" s="31" t="s">
        <v>640</v>
      </c>
      <c r="E1808" s="25">
        <v>45554</v>
      </c>
      <c r="F1808" s="26" t="s">
        <v>1</v>
      </c>
    </row>
    <row r="1809" spans="1:6" ht="16.8" customHeight="1" x14ac:dyDescent="0.3">
      <c r="A1809" s="20">
        <v>43406</v>
      </c>
      <c r="B1809" s="31"/>
      <c r="C1809" s="31"/>
      <c r="D1809" s="31"/>
      <c r="E1809" s="25"/>
      <c r="F1809" s="26"/>
    </row>
    <row r="1810" spans="1:6" ht="16.8" customHeight="1" x14ac:dyDescent="0.3">
      <c r="A1810" s="20">
        <v>43407</v>
      </c>
      <c r="B1810" s="31" t="s">
        <v>237</v>
      </c>
      <c r="C1810" s="31" t="s">
        <v>84</v>
      </c>
      <c r="D1810" s="31" t="s">
        <v>341</v>
      </c>
      <c r="E1810" s="25">
        <v>45618</v>
      </c>
      <c r="F1810" s="26" t="s">
        <v>1</v>
      </c>
    </row>
    <row r="1811" spans="1:6" ht="16.8" customHeight="1" x14ac:dyDescent="0.3">
      <c r="A1811" s="20">
        <v>43408</v>
      </c>
      <c r="B1811" s="31" t="s">
        <v>41</v>
      </c>
      <c r="C1811" s="31" t="s">
        <v>227</v>
      </c>
      <c r="D1811" s="31" t="s">
        <v>939</v>
      </c>
      <c r="E1811" s="25">
        <v>45565</v>
      </c>
      <c r="F1811" s="26" t="s">
        <v>4</v>
      </c>
    </row>
    <row r="1812" spans="1:6" ht="16.8" customHeight="1" x14ac:dyDescent="0.3">
      <c r="A1812" s="20">
        <v>43409</v>
      </c>
      <c r="B1812" s="31"/>
      <c r="C1812" s="31"/>
      <c r="D1812" s="31"/>
      <c r="E1812" s="25"/>
      <c r="F1812" s="26"/>
    </row>
    <row r="1813" spans="1:6" ht="16.8" customHeight="1" x14ac:dyDescent="0.3">
      <c r="A1813" s="20">
        <v>43410</v>
      </c>
      <c r="B1813" s="31" t="s">
        <v>187</v>
      </c>
      <c r="C1813" s="31" t="s">
        <v>148</v>
      </c>
      <c r="D1813" s="31" t="s">
        <v>940</v>
      </c>
      <c r="E1813" s="25">
        <v>45558</v>
      </c>
      <c r="F1813" s="26" t="s">
        <v>1</v>
      </c>
    </row>
    <row r="1814" spans="1:6" ht="16.8" customHeight="1" x14ac:dyDescent="0.3">
      <c r="A1814" s="20">
        <v>43411</v>
      </c>
      <c r="B1814" s="31" t="s">
        <v>41</v>
      </c>
      <c r="C1814" s="31" t="s">
        <v>529</v>
      </c>
      <c r="D1814" s="31" t="s">
        <v>2023</v>
      </c>
      <c r="E1814" s="25">
        <v>45735</v>
      </c>
      <c r="F1814" s="26" t="s">
        <v>4</v>
      </c>
    </row>
    <row r="1815" spans="1:6" ht="16.8" customHeight="1" x14ac:dyDescent="0.3">
      <c r="A1815" s="20">
        <v>43412</v>
      </c>
      <c r="B1815" s="31" t="s">
        <v>808</v>
      </c>
      <c r="C1815" s="31" t="s">
        <v>718</v>
      </c>
      <c r="D1815" s="31" t="s">
        <v>755</v>
      </c>
      <c r="E1815" s="25">
        <v>45554</v>
      </c>
      <c r="F1815" s="26" t="s">
        <v>1</v>
      </c>
    </row>
    <row r="1816" spans="1:6" ht="16.8" customHeight="1" x14ac:dyDescent="0.3">
      <c r="A1816" s="20">
        <v>43413</v>
      </c>
      <c r="B1816" s="31" t="s">
        <v>941</v>
      </c>
      <c r="C1816" s="31" t="s">
        <v>942</v>
      </c>
      <c r="D1816" s="31" t="s">
        <v>943</v>
      </c>
      <c r="E1816" s="25">
        <v>45558</v>
      </c>
      <c r="F1816" s="26" t="s">
        <v>1</v>
      </c>
    </row>
    <row r="1817" spans="1:6" ht="16.8" customHeight="1" x14ac:dyDescent="0.3">
      <c r="A1817" s="20">
        <v>43414</v>
      </c>
      <c r="B1817" s="31"/>
      <c r="C1817" s="31"/>
      <c r="D1817" s="31"/>
      <c r="E1817" s="25"/>
      <c r="F1817" s="26"/>
    </row>
    <row r="1818" spans="1:6" ht="16.8" customHeight="1" x14ac:dyDescent="0.3">
      <c r="A1818" s="20">
        <v>43415</v>
      </c>
      <c r="B1818" s="31"/>
      <c r="C1818" s="31"/>
      <c r="D1818" s="31"/>
      <c r="E1818" s="25"/>
      <c r="F1818" s="26"/>
    </row>
    <row r="1819" spans="1:6" ht="16.8" customHeight="1" x14ac:dyDescent="0.3">
      <c r="A1819" s="20">
        <v>43416</v>
      </c>
      <c r="B1819" s="31" t="s">
        <v>237</v>
      </c>
      <c r="C1819" s="31" t="s">
        <v>84</v>
      </c>
      <c r="D1819" s="31" t="s">
        <v>944</v>
      </c>
      <c r="E1819" s="25">
        <v>45558</v>
      </c>
      <c r="F1819" s="26" t="s">
        <v>1</v>
      </c>
    </row>
    <row r="1820" spans="1:6" ht="16.8" customHeight="1" x14ac:dyDescent="0.3">
      <c r="A1820" s="20">
        <v>43417</v>
      </c>
      <c r="B1820" s="31"/>
      <c r="C1820" s="31"/>
      <c r="D1820" s="31"/>
      <c r="E1820" s="25"/>
      <c r="F1820" s="26"/>
    </row>
    <row r="1821" spans="1:6" ht="16.8" customHeight="1" x14ac:dyDescent="0.3">
      <c r="A1821" s="20">
        <v>43418</v>
      </c>
      <c r="B1821" s="31"/>
      <c r="C1821" s="31"/>
      <c r="D1821" s="31"/>
      <c r="E1821" s="25"/>
      <c r="F1821" s="26"/>
    </row>
    <row r="1822" spans="1:6" ht="16.8" customHeight="1" x14ac:dyDescent="0.3">
      <c r="A1822" s="20">
        <v>43419</v>
      </c>
      <c r="B1822" s="31" t="s">
        <v>482</v>
      </c>
      <c r="C1822" s="31" t="s">
        <v>945</v>
      </c>
      <c r="D1822" s="31" t="s">
        <v>946</v>
      </c>
      <c r="E1822" s="25">
        <v>45582</v>
      </c>
      <c r="F1822" s="26" t="s">
        <v>2</v>
      </c>
    </row>
    <row r="1823" spans="1:6" ht="16.8" customHeight="1" x14ac:dyDescent="0.3">
      <c r="A1823" s="20">
        <v>43420</v>
      </c>
      <c r="B1823" s="31"/>
      <c r="C1823" s="31"/>
      <c r="D1823" s="31"/>
      <c r="E1823" s="25"/>
      <c r="F1823" s="26"/>
    </row>
    <row r="1824" spans="1:6" ht="16.8" customHeight="1" x14ac:dyDescent="0.3">
      <c r="A1824" s="20">
        <v>43421</v>
      </c>
      <c r="B1824" s="31" t="s">
        <v>441</v>
      </c>
      <c r="C1824" s="31" t="s">
        <v>45</v>
      </c>
      <c r="D1824" s="31" t="s">
        <v>947</v>
      </c>
      <c r="E1824" s="25">
        <v>45565</v>
      </c>
      <c r="F1824" s="26" t="s">
        <v>1</v>
      </c>
    </row>
    <row r="1825" spans="1:6" ht="16.8" customHeight="1" x14ac:dyDescent="0.3">
      <c r="A1825" s="20">
        <v>43422</v>
      </c>
      <c r="B1825" s="31"/>
      <c r="C1825" s="31"/>
      <c r="D1825" s="31"/>
      <c r="E1825" s="25"/>
      <c r="F1825" s="26"/>
    </row>
    <row r="1826" spans="1:6" ht="16.8" customHeight="1" x14ac:dyDescent="0.3">
      <c r="A1826" s="20">
        <v>43423</v>
      </c>
      <c r="B1826" s="31"/>
      <c r="C1826" s="31"/>
      <c r="D1826" s="31"/>
      <c r="E1826" s="25"/>
      <c r="F1826" s="26"/>
    </row>
    <row r="1827" spans="1:6" ht="16.8" customHeight="1" x14ac:dyDescent="0.3">
      <c r="A1827" s="20">
        <v>43424</v>
      </c>
      <c r="B1827" s="31" t="s">
        <v>74</v>
      </c>
      <c r="C1827" s="31" t="s">
        <v>948</v>
      </c>
      <c r="D1827" s="31" t="s">
        <v>145</v>
      </c>
      <c r="E1827" s="25">
        <v>45561</v>
      </c>
      <c r="F1827" s="26" t="s">
        <v>1</v>
      </c>
    </row>
    <row r="1828" spans="1:6" ht="16.8" customHeight="1" x14ac:dyDescent="0.3">
      <c r="A1828" s="20">
        <v>43425</v>
      </c>
      <c r="B1828" s="31" t="s">
        <v>102</v>
      </c>
      <c r="C1828" s="31" t="s">
        <v>32</v>
      </c>
      <c r="D1828" s="31" t="s">
        <v>949</v>
      </c>
      <c r="E1828" s="25">
        <v>45562</v>
      </c>
      <c r="F1828" s="26" t="s">
        <v>1</v>
      </c>
    </row>
    <row r="1829" spans="1:6" ht="16.8" customHeight="1" x14ac:dyDescent="0.3">
      <c r="A1829" s="20">
        <v>43426</v>
      </c>
      <c r="B1829" s="31"/>
      <c r="C1829" s="31"/>
      <c r="D1829" s="31"/>
      <c r="E1829" s="25"/>
      <c r="F1829" s="26"/>
    </row>
    <row r="1830" spans="1:6" ht="16.8" customHeight="1" x14ac:dyDescent="0.3">
      <c r="A1830" s="20">
        <v>43427</v>
      </c>
      <c r="B1830" s="31" t="s">
        <v>62</v>
      </c>
      <c r="C1830" s="31" t="s">
        <v>63</v>
      </c>
      <c r="D1830" s="31" t="s">
        <v>950</v>
      </c>
      <c r="E1830" s="25">
        <v>45561</v>
      </c>
      <c r="F1830" s="26" t="s">
        <v>1</v>
      </c>
    </row>
    <row r="1831" spans="1:6" ht="16.8" customHeight="1" x14ac:dyDescent="0.3">
      <c r="A1831" s="20">
        <v>43428</v>
      </c>
      <c r="B1831" s="31"/>
      <c r="C1831" s="31"/>
      <c r="D1831" s="31"/>
      <c r="E1831" s="25"/>
      <c r="F1831" s="26"/>
    </row>
    <row r="1832" spans="1:6" ht="16.8" customHeight="1" x14ac:dyDescent="0.3">
      <c r="A1832" s="20">
        <v>43429</v>
      </c>
      <c r="B1832" s="31" t="s">
        <v>1081</v>
      </c>
      <c r="C1832" s="31" t="s">
        <v>217</v>
      </c>
      <c r="D1832" s="31" t="s">
        <v>1831</v>
      </c>
      <c r="E1832" s="25">
        <v>45789</v>
      </c>
      <c r="F1832" s="26" t="s">
        <v>1</v>
      </c>
    </row>
    <row r="1833" spans="1:6" ht="16.8" customHeight="1" x14ac:dyDescent="0.3">
      <c r="A1833" s="20">
        <v>43430</v>
      </c>
      <c r="B1833" s="31" t="s">
        <v>951</v>
      </c>
      <c r="C1833" s="31" t="s">
        <v>688</v>
      </c>
      <c r="D1833" s="31" t="s">
        <v>952</v>
      </c>
      <c r="E1833" s="25">
        <v>45561</v>
      </c>
      <c r="F1833" s="26" t="s">
        <v>1</v>
      </c>
    </row>
    <row r="1834" spans="1:6" ht="16.8" customHeight="1" x14ac:dyDescent="0.3">
      <c r="A1834" s="20">
        <v>43431</v>
      </c>
      <c r="B1834" s="31" t="s">
        <v>278</v>
      </c>
      <c r="C1834" s="31"/>
      <c r="D1834" s="31" t="s">
        <v>27</v>
      </c>
      <c r="E1834" s="25">
        <v>45561</v>
      </c>
      <c r="F1834" s="26" t="s">
        <v>1</v>
      </c>
    </row>
    <row r="1835" spans="1:6" ht="16.8" customHeight="1" x14ac:dyDescent="0.3">
      <c r="A1835" s="20">
        <v>43432</v>
      </c>
      <c r="B1835" s="31" t="s">
        <v>953</v>
      </c>
      <c r="C1835" s="31" t="s">
        <v>252</v>
      </c>
      <c r="D1835" s="31" t="s">
        <v>954</v>
      </c>
      <c r="E1835" s="25">
        <v>45600</v>
      </c>
      <c r="F1835" s="26" t="s">
        <v>1</v>
      </c>
    </row>
    <row r="1836" spans="1:6" ht="16.8" customHeight="1" x14ac:dyDescent="0.3">
      <c r="A1836" s="20">
        <v>43433</v>
      </c>
      <c r="B1836" s="31" t="s">
        <v>36</v>
      </c>
      <c r="C1836" s="31" t="s">
        <v>263</v>
      </c>
      <c r="D1836" s="31" t="s">
        <v>5</v>
      </c>
      <c r="E1836" s="25">
        <v>45617</v>
      </c>
      <c r="F1836" s="26" t="s">
        <v>2</v>
      </c>
    </row>
    <row r="1837" spans="1:6" ht="16.8" customHeight="1" x14ac:dyDescent="0.3">
      <c r="A1837" s="20">
        <v>43434</v>
      </c>
      <c r="B1837" s="31" t="s">
        <v>262</v>
      </c>
      <c r="C1837" s="31" t="s">
        <v>565</v>
      </c>
      <c r="D1837" s="31" t="s">
        <v>1851</v>
      </c>
      <c r="E1837" s="25">
        <v>45798</v>
      </c>
      <c r="F1837" s="26" t="s">
        <v>5</v>
      </c>
    </row>
    <row r="1838" spans="1:6" ht="16.8" customHeight="1" x14ac:dyDescent="0.3">
      <c r="A1838" s="20">
        <v>43435</v>
      </c>
      <c r="B1838" s="31"/>
      <c r="C1838" s="31"/>
      <c r="D1838" s="31"/>
      <c r="E1838" s="25"/>
      <c r="F1838" s="26"/>
    </row>
    <row r="1839" spans="1:6" ht="16.8" customHeight="1" x14ac:dyDescent="0.3">
      <c r="A1839" s="20">
        <v>43436</v>
      </c>
      <c r="B1839" s="31"/>
      <c r="C1839" s="31"/>
      <c r="D1839" s="31"/>
      <c r="E1839" s="25"/>
      <c r="F1839" s="26"/>
    </row>
    <row r="1840" spans="1:6" ht="16.8" customHeight="1" x14ac:dyDescent="0.3">
      <c r="A1840" s="20">
        <v>43437</v>
      </c>
      <c r="B1840" s="31"/>
      <c r="C1840" s="31"/>
      <c r="D1840" s="31"/>
      <c r="E1840" s="25"/>
      <c r="F1840" s="26"/>
    </row>
    <row r="1841" spans="1:6" ht="16.8" customHeight="1" x14ac:dyDescent="0.3">
      <c r="A1841" s="20">
        <v>43438</v>
      </c>
      <c r="B1841" s="31"/>
      <c r="C1841" s="31"/>
      <c r="D1841" s="31"/>
      <c r="E1841" s="25"/>
      <c r="F1841" s="26"/>
    </row>
    <row r="1842" spans="1:6" ht="16.8" customHeight="1" x14ac:dyDescent="0.3">
      <c r="A1842" s="20">
        <v>43439</v>
      </c>
      <c r="B1842" s="31" t="s">
        <v>559</v>
      </c>
      <c r="C1842" s="31" t="s">
        <v>45</v>
      </c>
      <c r="D1842" s="31" t="s">
        <v>955</v>
      </c>
      <c r="E1842" s="25">
        <v>45561</v>
      </c>
      <c r="F1842" s="26" t="s">
        <v>1</v>
      </c>
    </row>
    <row r="1843" spans="1:6" ht="16.8" customHeight="1" x14ac:dyDescent="0.3">
      <c r="A1843" s="20">
        <v>43440</v>
      </c>
      <c r="B1843" s="31"/>
      <c r="C1843" s="31"/>
      <c r="D1843" s="31"/>
      <c r="E1843" s="25"/>
      <c r="F1843" s="26"/>
    </row>
    <row r="1844" spans="1:6" ht="16.8" customHeight="1" x14ac:dyDescent="0.3">
      <c r="A1844" s="20">
        <v>43441</v>
      </c>
      <c r="B1844" s="31"/>
      <c r="C1844" s="31"/>
      <c r="D1844" s="31"/>
      <c r="E1844" s="25"/>
      <c r="F1844" s="26"/>
    </row>
    <row r="1845" spans="1:6" ht="16.8" customHeight="1" x14ac:dyDescent="0.3">
      <c r="A1845" s="20">
        <v>43442</v>
      </c>
      <c r="B1845" s="31"/>
      <c r="C1845" s="31"/>
      <c r="D1845" s="31"/>
      <c r="E1845" s="25"/>
      <c r="F1845" s="26"/>
    </row>
    <row r="1846" spans="1:6" ht="16.8" customHeight="1" x14ac:dyDescent="0.3">
      <c r="A1846" s="20">
        <v>43443</v>
      </c>
      <c r="B1846" s="31"/>
      <c r="C1846" s="31"/>
      <c r="D1846" s="31"/>
      <c r="E1846" s="25"/>
      <c r="F1846" s="26"/>
    </row>
    <row r="1847" spans="1:6" ht="16.8" customHeight="1" x14ac:dyDescent="0.3">
      <c r="A1847" s="20">
        <v>43444</v>
      </c>
      <c r="B1847" s="31"/>
      <c r="C1847" s="31"/>
      <c r="D1847" s="31"/>
      <c r="E1847" s="25"/>
      <c r="F1847" s="26"/>
    </row>
    <row r="1848" spans="1:6" ht="16.8" customHeight="1" x14ac:dyDescent="0.3">
      <c r="A1848" s="20">
        <v>43445</v>
      </c>
      <c r="B1848" s="31"/>
      <c r="C1848" s="31"/>
      <c r="D1848" s="31"/>
      <c r="E1848" s="25"/>
      <c r="F1848" s="26"/>
    </row>
    <row r="1849" spans="1:6" ht="16.8" customHeight="1" x14ac:dyDescent="0.3">
      <c r="A1849" s="20">
        <v>43446</v>
      </c>
      <c r="B1849" s="31" t="s">
        <v>956</v>
      </c>
      <c r="C1849" s="31" t="s">
        <v>809</v>
      </c>
      <c r="D1849" s="31" t="s">
        <v>957</v>
      </c>
      <c r="E1849" s="25">
        <v>45473</v>
      </c>
      <c r="F1849" s="26" t="s">
        <v>1</v>
      </c>
    </row>
    <row r="1850" spans="1:6" ht="16.8" customHeight="1" x14ac:dyDescent="0.3">
      <c r="A1850" s="20">
        <v>43447</v>
      </c>
      <c r="B1850" s="31" t="s">
        <v>90</v>
      </c>
      <c r="C1850" s="31" t="s">
        <v>217</v>
      </c>
      <c r="D1850" s="31" t="s">
        <v>163</v>
      </c>
      <c r="E1850" s="25">
        <v>45565</v>
      </c>
      <c r="F1850" s="26" t="s">
        <v>1</v>
      </c>
    </row>
    <row r="1851" spans="1:6" ht="16.8" customHeight="1" x14ac:dyDescent="0.3">
      <c r="A1851" s="20">
        <v>43448</v>
      </c>
      <c r="B1851" s="31" t="s">
        <v>306</v>
      </c>
      <c r="C1851" s="31" t="s">
        <v>362</v>
      </c>
      <c r="D1851" s="31" t="s">
        <v>958</v>
      </c>
      <c r="E1851" s="25">
        <v>45608</v>
      </c>
      <c r="F1851" s="26" t="s">
        <v>1</v>
      </c>
    </row>
    <row r="1852" spans="1:6" ht="16.8" customHeight="1" x14ac:dyDescent="0.3">
      <c r="A1852" s="20">
        <v>43449</v>
      </c>
      <c r="B1852" s="31"/>
      <c r="C1852" s="31"/>
      <c r="D1852" s="31"/>
      <c r="E1852" s="25"/>
      <c r="F1852" s="26"/>
    </row>
    <row r="1853" spans="1:6" ht="16.8" customHeight="1" x14ac:dyDescent="0.3">
      <c r="A1853" s="20">
        <v>43450</v>
      </c>
      <c r="B1853" s="31" t="s">
        <v>439</v>
      </c>
      <c r="C1853" s="31"/>
      <c r="D1853" s="31" t="s">
        <v>959</v>
      </c>
      <c r="E1853" s="25">
        <v>45625</v>
      </c>
      <c r="F1853" s="26" t="s">
        <v>1</v>
      </c>
    </row>
    <row r="1854" spans="1:6" ht="16.8" customHeight="1" x14ac:dyDescent="0.3">
      <c r="A1854" s="20">
        <v>43451</v>
      </c>
      <c r="B1854" s="31" t="s">
        <v>325</v>
      </c>
      <c r="C1854" s="31" t="s">
        <v>367</v>
      </c>
      <c r="D1854" s="31" t="s">
        <v>163</v>
      </c>
      <c r="E1854" s="25">
        <v>45565</v>
      </c>
      <c r="F1854" s="26" t="s">
        <v>3</v>
      </c>
    </row>
    <row r="1855" spans="1:6" ht="16.8" customHeight="1" x14ac:dyDescent="0.3">
      <c r="A1855" s="20">
        <v>43452</v>
      </c>
      <c r="B1855" s="31"/>
      <c r="C1855" s="31"/>
      <c r="D1855" s="31"/>
      <c r="E1855" s="25"/>
      <c r="F1855" s="26"/>
    </row>
    <row r="1856" spans="1:6" ht="16.8" customHeight="1" x14ac:dyDescent="0.3">
      <c r="A1856" s="20">
        <v>43453</v>
      </c>
      <c r="B1856" s="31"/>
      <c r="C1856" s="31"/>
      <c r="D1856" s="31"/>
      <c r="E1856" s="25"/>
      <c r="F1856" s="26"/>
    </row>
    <row r="1857" spans="1:6" ht="16.8" customHeight="1" x14ac:dyDescent="0.3">
      <c r="A1857" s="20">
        <v>43454</v>
      </c>
      <c r="B1857" s="31"/>
      <c r="C1857" s="31"/>
      <c r="D1857" s="31"/>
      <c r="E1857" s="25"/>
      <c r="F1857" s="26"/>
    </row>
    <row r="1858" spans="1:6" ht="16.8" customHeight="1" x14ac:dyDescent="0.3">
      <c r="A1858" s="20">
        <v>43455</v>
      </c>
      <c r="B1858" s="31" t="s">
        <v>570</v>
      </c>
      <c r="C1858" s="31" t="s">
        <v>232</v>
      </c>
      <c r="D1858" s="31" t="s">
        <v>960</v>
      </c>
      <c r="E1858" s="25">
        <v>45566</v>
      </c>
      <c r="F1858" s="26" t="s">
        <v>2</v>
      </c>
    </row>
    <row r="1859" spans="1:6" ht="16.8" customHeight="1" x14ac:dyDescent="0.3">
      <c r="A1859" s="20">
        <v>43456</v>
      </c>
      <c r="B1859" s="31" t="s">
        <v>476</v>
      </c>
      <c r="C1859" s="31" t="s">
        <v>232</v>
      </c>
      <c r="D1859" s="31" t="s">
        <v>960</v>
      </c>
      <c r="E1859" s="25">
        <v>45565</v>
      </c>
      <c r="F1859" s="26" t="s">
        <v>2</v>
      </c>
    </row>
    <row r="1860" spans="1:6" ht="16.8" customHeight="1" x14ac:dyDescent="0.3">
      <c r="A1860" s="20">
        <v>43457</v>
      </c>
      <c r="B1860" s="31" t="s">
        <v>195</v>
      </c>
      <c r="C1860" s="31" t="s">
        <v>232</v>
      </c>
      <c r="D1860" s="31" t="s">
        <v>960</v>
      </c>
      <c r="E1860" s="25">
        <v>45565</v>
      </c>
      <c r="F1860" s="26" t="s">
        <v>2</v>
      </c>
    </row>
    <row r="1861" spans="1:6" ht="16.8" customHeight="1" x14ac:dyDescent="0.3">
      <c r="A1861" s="20">
        <v>43458</v>
      </c>
      <c r="B1861" s="31" t="s">
        <v>961</v>
      </c>
      <c r="C1861" s="31" t="s">
        <v>232</v>
      </c>
      <c r="D1861" s="31" t="s">
        <v>960</v>
      </c>
      <c r="E1861" s="25">
        <v>45586</v>
      </c>
      <c r="F1861" s="26" t="s">
        <v>2</v>
      </c>
    </row>
    <row r="1862" spans="1:6" ht="16.8" customHeight="1" x14ac:dyDescent="0.3">
      <c r="A1862" s="20">
        <v>43459</v>
      </c>
      <c r="B1862" s="31" t="s">
        <v>86</v>
      </c>
      <c r="C1862" s="31" t="s">
        <v>232</v>
      </c>
      <c r="D1862" s="31" t="s">
        <v>960</v>
      </c>
      <c r="E1862" s="25">
        <v>45576</v>
      </c>
      <c r="F1862" s="26" t="s">
        <v>2</v>
      </c>
    </row>
    <row r="1863" spans="1:6" ht="16.8" customHeight="1" x14ac:dyDescent="0.3">
      <c r="A1863" s="20">
        <v>43460</v>
      </c>
      <c r="B1863" s="31" t="s">
        <v>439</v>
      </c>
      <c r="C1863" s="31" t="s">
        <v>232</v>
      </c>
      <c r="D1863" s="31" t="s">
        <v>960</v>
      </c>
      <c r="E1863" s="25">
        <v>45586</v>
      </c>
      <c r="F1863" s="26" t="s">
        <v>2</v>
      </c>
    </row>
    <row r="1864" spans="1:6" ht="16.8" customHeight="1" x14ac:dyDescent="0.3">
      <c r="A1864" s="20">
        <v>43461</v>
      </c>
      <c r="B1864" s="31" t="s">
        <v>619</v>
      </c>
      <c r="C1864" s="31" t="s">
        <v>232</v>
      </c>
      <c r="D1864" s="31" t="s">
        <v>960</v>
      </c>
      <c r="E1864" s="25">
        <v>45579</v>
      </c>
      <c r="F1864" s="26" t="s">
        <v>2</v>
      </c>
    </row>
    <row r="1865" spans="1:6" ht="16.8" customHeight="1" x14ac:dyDescent="0.3">
      <c r="A1865" s="20">
        <v>43462</v>
      </c>
      <c r="B1865" s="31"/>
      <c r="C1865" s="31"/>
      <c r="D1865" s="31"/>
      <c r="E1865" s="25"/>
      <c r="F1865" s="26"/>
    </row>
    <row r="1866" spans="1:6" ht="16.8" customHeight="1" x14ac:dyDescent="0.3">
      <c r="A1866" s="20">
        <v>43463</v>
      </c>
      <c r="B1866" s="31" t="s">
        <v>41</v>
      </c>
      <c r="C1866" s="31" t="s">
        <v>232</v>
      </c>
      <c r="D1866" s="31" t="s">
        <v>960</v>
      </c>
      <c r="E1866" s="25">
        <v>45586</v>
      </c>
      <c r="F1866" s="26" t="s">
        <v>2</v>
      </c>
    </row>
    <row r="1867" spans="1:6" ht="16.8" customHeight="1" x14ac:dyDescent="0.3">
      <c r="A1867" s="20">
        <v>43464</v>
      </c>
      <c r="B1867" s="31" t="s">
        <v>231</v>
      </c>
      <c r="C1867" s="31" t="s">
        <v>232</v>
      </c>
      <c r="D1867" s="31" t="s">
        <v>960</v>
      </c>
      <c r="E1867" s="25">
        <v>45576</v>
      </c>
      <c r="F1867" s="26" t="s">
        <v>2</v>
      </c>
    </row>
    <row r="1868" spans="1:6" ht="16.8" customHeight="1" x14ac:dyDescent="0.3">
      <c r="A1868" s="20">
        <v>43465</v>
      </c>
      <c r="B1868" s="31" t="s">
        <v>460</v>
      </c>
      <c r="C1868" s="31" t="s">
        <v>232</v>
      </c>
      <c r="D1868" s="31" t="s">
        <v>960</v>
      </c>
      <c r="E1868" s="25">
        <v>45576</v>
      </c>
      <c r="F1868" s="26" t="s">
        <v>2</v>
      </c>
    </row>
    <row r="1869" spans="1:6" ht="16.8" customHeight="1" x14ac:dyDescent="0.3">
      <c r="A1869" s="20">
        <v>43466</v>
      </c>
      <c r="B1869" s="31" t="s">
        <v>962</v>
      </c>
      <c r="C1869" s="31" t="s">
        <v>232</v>
      </c>
      <c r="D1869" s="31" t="s">
        <v>960</v>
      </c>
      <c r="E1869" s="25">
        <v>45576</v>
      </c>
      <c r="F1869" s="26" t="s">
        <v>963</v>
      </c>
    </row>
    <row r="1870" spans="1:6" ht="16.8" customHeight="1" x14ac:dyDescent="0.3">
      <c r="A1870" s="20">
        <v>43467</v>
      </c>
      <c r="B1870" s="31" t="s">
        <v>237</v>
      </c>
      <c r="C1870" s="31" t="s">
        <v>84</v>
      </c>
      <c r="D1870" s="31" t="s">
        <v>2136</v>
      </c>
      <c r="E1870" s="25">
        <v>45782</v>
      </c>
      <c r="F1870" s="26" t="s">
        <v>1</v>
      </c>
    </row>
    <row r="1871" spans="1:6" ht="16.8" customHeight="1" x14ac:dyDescent="0.3">
      <c r="A1871" s="20">
        <v>43468</v>
      </c>
      <c r="B1871" s="31"/>
      <c r="C1871" s="31"/>
      <c r="D1871" s="31"/>
      <c r="E1871" s="25"/>
      <c r="F1871" s="26"/>
    </row>
    <row r="1872" spans="1:6" ht="16.8" customHeight="1" x14ac:dyDescent="0.3">
      <c r="A1872" s="20">
        <v>43469</v>
      </c>
      <c r="B1872" s="31"/>
      <c r="C1872" s="31"/>
      <c r="D1872" s="31"/>
      <c r="E1872" s="25"/>
      <c r="F1872" s="26"/>
    </row>
    <row r="1873" spans="1:6" ht="16.8" customHeight="1" x14ac:dyDescent="0.3">
      <c r="A1873" s="20">
        <v>43470</v>
      </c>
      <c r="B1873" s="31" t="s">
        <v>328</v>
      </c>
      <c r="C1873" s="31" t="s">
        <v>791</v>
      </c>
      <c r="D1873" s="31" t="s">
        <v>145</v>
      </c>
      <c r="E1873" s="25">
        <v>45582</v>
      </c>
      <c r="F1873" s="26" t="s">
        <v>1</v>
      </c>
    </row>
    <row r="1874" spans="1:6" ht="16.8" customHeight="1" x14ac:dyDescent="0.3">
      <c r="A1874" s="20">
        <v>43471</v>
      </c>
      <c r="B1874" s="31" t="s">
        <v>128</v>
      </c>
      <c r="C1874" s="31" t="s">
        <v>82</v>
      </c>
      <c r="D1874" s="31" t="s">
        <v>964</v>
      </c>
      <c r="E1874" s="25">
        <v>45614</v>
      </c>
      <c r="F1874" s="26" t="s">
        <v>1</v>
      </c>
    </row>
    <row r="1875" spans="1:6" ht="16.8" customHeight="1" x14ac:dyDescent="0.3">
      <c r="A1875" s="20">
        <v>43472</v>
      </c>
      <c r="B1875" s="31" t="s">
        <v>965</v>
      </c>
      <c r="C1875" s="31" t="s">
        <v>966</v>
      </c>
      <c r="D1875" s="31" t="s">
        <v>85</v>
      </c>
      <c r="E1875" s="25">
        <v>45565</v>
      </c>
      <c r="F1875" s="26" t="s">
        <v>1</v>
      </c>
    </row>
    <row r="1876" spans="1:6" ht="16.8" customHeight="1" x14ac:dyDescent="0.3">
      <c r="A1876" s="20">
        <v>43473</v>
      </c>
      <c r="B1876" s="31" t="s">
        <v>276</v>
      </c>
      <c r="C1876" s="31" t="s">
        <v>967</v>
      </c>
      <c r="D1876" s="31" t="s">
        <v>927</v>
      </c>
      <c r="E1876" s="25">
        <v>45565</v>
      </c>
      <c r="F1876" s="26" t="s">
        <v>1</v>
      </c>
    </row>
    <row r="1877" spans="1:6" ht="16.8" customHeight="1" x14ac:dyDescent="0.3">
      <c r="A1877" s="20">
        <v>43474</v>
      </c>
      <c r="B1877" s="31" t="s">
        <v>661</v>
      </c>
      <c r="C1877" s="31" t="s">
        <v>854</v>
      </c>
      <c r="D1877" s="31" t="s">
        <v>968</v>
      </c>
      <c r="E1877" s="25">
        <v>45582</v>
      </c>
      <c r="F1877" s="26" t="s">
        <v>1</v>
      </c>
    </row>
    <row r="1878" spans="1:6" ht="16.8" customHeight="1" x14ac:dyDescent="0.3">
      <c r="A1878" s="20">
        <v>43475</v>
      </c>
      <c r="B1878" s="31" t="s">
        <v>789</v>
      </c>
      <c r="C1878" s="31"/>
      <c r="D1878" s="31" t="s">
        <v>27</v>
      </c>
      <c r="E1878" s="25">
        <v>45566</v>
      </c>
      <c r="F1878" s="26" t="s">
        <v>1</v>
      </c>
    </row>
    <row r="1879" spans="1:6" ht="16.8" customHeight="1" x14ac:dyDescent="0.3">
      <c r="A1879" s="20">
        <v>43476</v>
      </c>
      <c r="B1879" s="31"/>
      <c r="C1879" s="31"/>
      <c r="D1879" s="31"/>
      <c r="E1879" s="25"/>
      <c r="F1879" s="26"/>
    </row>
    <row r="1880" spans="1:6" ht="16.8" customHeight="1" x14ac:dyDescent="0.3">
      <c r="A1880" s="20">
        <v>43477</v>
      </c>
      <c r="B1880" s="31"/>
      <c r="C1880" s="31"/>
      <c r="D1880" s="31"/>
      <c r="E1880" s="25"/>
      <c r="F1880" s="26"/>
    </row>
    <row r="1881" spans="1:6" ht="16.8" customHeight="1" x14ac:dyDescent="0.3">
      <c r="A1881" s="20">
        <v>43478</v>
      </c>
      <c r="B1881" s="31"/>
      <c r="C1881" s="31"/>
      <c r="D1881" s="31"/>
      <c r="E1881" s="25"/>
      <c r="F1881" s="26"/>
    </row>
    <row r="1882" spans="1:6" ht="16.8" customHeight="1" x14ac:dyDescent="0.3">
      <c r="A1882" s="20">
        <v>43479</v>
      </c>
      <c r="B1882" s="31"/>
      <c r="C1882" s="31"/>
      <c r="D1882" s="31"/>
      <c r="E1882" s="25"/>
      <c r="F1882" s="26"/>
    </row>
    <row r="1883" spans="1:6" ht="16.8" customHeight="1" x14ac:dyDescent="0.3">
      <c r="A1883" s="20">
        <v>43480</v>
      </c>
      <c r="B1883" s="31"/>
      <c r="C1883" s="31"/>
      <c r="D1883" s="31"/>
      <c r="E1883" s="25"/>
      <c r="F1883" s="26"/>
    </row>
    <row r="1884" spans="1:6" ht="16.8" customHeight="1" x14ac:dyDescent="0.3">
      <c r="A1884" s="20">
        <v>43481</v>
      </c>
      <c r="B1884" s="31"/>
      <c r="C1884" s="31"/>
      <c r="D1884" s="31"/>
      <c r="E1884" s="25"/>
      <c r="F1884" s="26"/>
    </row>
    <row r="1885" spans="1:6" ht="16.8" customHeight="1" x14ac:dyDescent="0.3">
      <c r="A1885" s="20">
        <v>43482</v>
      </c>
      <c r="B1885" s="31"/>
      <c r="C1885" s="31"/>
      <c r="D1885" s="31"/>
      <c r="E1885" s="25"/>
      <c r="F1885" s="26"/>
    </row>
    <row r="1886" spans="1:6" ht="16.8" customHeight="1" x14ac:dyDescent="0.3">
      <c r="A1886" s="20">
        <v>43483</v>
      </c>
      <c r="B1886" s="31" t="s">
        <v>90</v>
      </c>
      <c r="C1886" s="31" t="s">
        <v>45</v>
      </c>
      <c r="D1886" s="31" t="s">
        <v>121</v>
      </c>
      <c r="E1886" s="25">
        <v>45784</v>
      </c>
      <c r="F1886" s="26" t="s">
        <v>4</v>
      </c>
    </row>
    <row r="1887" spans="1:6" ht="16.8" customHeight="1" x14ac:dyDescent="0.3">
      <c r="A1887" s="20">
        <v>43484</v>
      </c>
      <c r="B1887" s="31" t="s">
        <v>439</v>
      </c>
      <c r="C1887" s="31" t="s">
        <v>718</v>
      </c>
      <c r="D1887" s="31" t="s">
        <v>121</v>
      </c>
      <c r="E1887" s="25">
        <v>45600</v>
      </c>
      <c r="F1887" s="26" t="s">
        <v>4</v>
      </c>
    </row>
    <row r="1888" spans="1:6" ht="16.8" customHeight="1" x14ac:dyDescent="0.3">
      <c r="A1888" s="20">
        <v>43485</v>
      </c>
      <c r="B1888" s="31" t="s">
        <v>225</v>
      </c>
      <c r="C1888" s="31"/>
      <c r="D1888" s="31" t="s">
        <v>969</v>
      </c>
      <c r="E1888" s="25">
        <v>45565</v>
      </c>
      <c r="F1888" s="26" t="s">
        <v>1</v>
      </c>
    </row>
    <row r="1889" spans="1:6" ht="16.8" customHeight="1" x14ac:dyDescent="0.3">
      <c r="A1889" s="20">
        <v>43486</v>
      </c>
      <c r="B1889" s="31"/>
      <c r="C1889" s="31"/>
      <c r="D1889" s="31"/>
      <c r="E1889" s="25"/>
      <c r="F1889" s="26"/>
    </row>
    <row r="1890" spans="1:6" ht="16.8" customHeight="1" x14ac:dyDescent="0.3">
      <c r="A1890" s="20">
        <v>43487</v>
      </c>
      <c r="B1890" s="31" t="s">
        <v>309</v>
      </c>
      <c r="C1890" s="31" t="s">
        <v>970</v>
      </c>
      <c r="D1890" s="31" t="s">
        <v>960</v>
      </c>
      <c r="E1890" s="25">
        <v>45565</v>
      </c>
      <c r="F1890" s="26" t="s">
        <v>5</v>
      </c>
    </row>
    <row r="1891" spans="1:6" ht="16.8" customHeight="1" x14ac:dyDescent="0.3">
      <c r="A1891" s="20">
        <v>43488</v>
      </c>
      <c r="B1891" s="31"/>
      <c r="C1891" s="31"/>
      <c r="D1891" s="31"/>
      <c r="E1891" s="25"/>
      <c r="F1891" s="26"/>
    </row>
    <row r="1892" spans="1:6" ht="16.8" customHeight="1" x14ac:dyDescent="0.3">
      <c r="A1892" s="20">
        <v>43489</v>
      </c>
      <c r="B1892" s="31"/>
      <c r="C1892" s="31"/>
      <c r="D1892" s="31"/>
      <c r="E1892" s="25"/>
      <c r="F1892" s="26"/>
    </row>
    <row r="1893" spans="1:6" ht="16.8" customHeight="1" x14ac:dyDescent="0.3">
      <c r="A1893" s="20">
        <v>43490</v>
      </c>
      <c r="B1893" s="31"/>
      <c r="C1893" s="31"/>
      <c r="D1893" s="31"/>
      <c r="E1893" s="25"/>
      <c r="F1893" s="26"/>
    </row>
    <row r="1894" spans="1:6" ht="16.8" customHeight="1" x14ac:dyDescent="0.3">
      <c r="A1894" s="20">
        <v>43491</v>
      </c>
      <c r="B1894" s="31" t="s">
        <v>41</v>
      </c>
      <c r="C1894" s="31" t="s">
        <v>971</v>
      </c>
      <c r="D1894" s="31" t="s">
        <v>972</v>
      </c>
      <c r="E1894" s="25">
        <v>45582</v>
      </c>
      <c r="F1894" s="26" t="s">
        <v>4</v>
      </c>
    </row>
    <row r="1895" spans="1:6" ht="16.8" customHeight="1" x14ac:dyDescent="0.3">
      <c r="A1895" s="20">
        <v>43492</v>
      </c>
      <c r="B1895" s="31" t="s">
        <v>962</v>
      </c>
      <c r="C1895" s="31" t="s">
        <v>232</v>
      </c>
      <c r="D1895" s="31" t="s">
        <v>973</v>
      </c>
      <c r="E1895" s="25">
        <v>45595</v>
      </c>
      <c r="F1895" s="26" t="s">
        <v>2</v>
      </c>
    </row>
    <row r="1896" spans="1:6" ht="16.8" customHeight="1" x14ac:dyDescent="0.3">
      <c r="A1896" s="20">
        <v>43493</v>
      </c>
      <c r="B1896" s="31" t="s">
        <v>41</v>
      </c>
      <c r="C1896" s="31"/>
      <c r="D1896" s="31" t="s">
        <v>974</v>
      </c>
      <c r="E1896" s="25">
        <v>45567</v>
      </c>
      <c r="F1896" s="26" t="s">
        <v>2</v>
      </c>
    </row>
    <row r="1897" spans="1:6" ht="16.8" customHeight="1" x14ac:dyDescent="0.3">
      <c r="A1897" s="20">
        <v>43494</v>
      </c>
      <c r="B1897" s="31" t="s">
        <v>975</v>
      </c>
      <c r="C1897" s="31"/>
      <c r="D1897" s="31" t="s">
        <v>976</v>
      </c>
      <c r="E1897" s="25">
        <v>45565</v>
      </c>
      <c r="F1897" s="26" t="s">
        <v>1</v>
      </c>
    </row>
    <row r="1898" spans="1:6" ht="16.8" customHeight="1" x14ac:dyDescent="0.3">
      <c r="A1898" s="20">
        <v>43495</v>
      </c>
      <c r="B1898" s="31"/>
      <c r="C1898" s="31"/>
      <c r="D1898" s="31"/>
      <c r="E1898" s="25"/>
      <c r="F1898" s="26"/>
    </row>
    <row r="1899" spans="1:6" ht="16.8" customHeight="1" x14ac:dyDescent="0.3">
      <c r="A1899" s="20">
        <v>43496</v>
      </c>
      <c r="B1899" s="31"/>
      <c r="C1899" s="31"/>
      <c r="D1899" s="31"/>
      <c r="E1899" s="25"/>
      <c r="F1899" s="26"/>
    </row>
    <row r="1900" spans="1:6" ht="16.8" customHeight="1" x14ac:dyDescent="0.3">
      <c r="A1900" s="20">
        <v>43497</v>
      </c>
      <c r="B1900" s="31"/>
      <c r="C1900" s="31"/>
      <c r="D1900" s="31"/>
      <c r="E1900" s="25"/>
      <c r="F1900" s="26"/>
    </row>
    <row r="1901" spans="1:6" ht="16.8" customHeight="1" x14ac:dyDescent="0.3">
      <c r="A1901" s="20">
        <v>43498</v>
      </c>
      <c r="B1901" s="31"/>
      <c r="C1901" s="31"/>
      <c r="D1901" s="31"/>
      <c r="E1901" s="25"/>
      <c r="F1901" s="26"/>
    </row>
    <row r="1902" spans="1:6" ht="16.8" customHeight="1" x14ac:dyDescent="0.3">
      <c r="A1902" s="20">
        <v>43499</v>
      </c>
      <c r="B1902" s="31"/>
      <c r="C1902" s="31"/>
      <c r="D1902" s="31"/>
      <c r="E1902" s="25"/>
      <c r="F1902" s="26"/>
    </row>
    <row r="1903" spans="1:6" ht="16.8" customHeight="1" x14ac:dyDescent="0.3">
      <c r="A1903" s="20">
        <v>43500</v>
      </c>
      <c r="B1903" s="31"/>
      <c r="C1903" s="31"/>
      <c r="D1903" s="31"/>
      <c r="E1903" s="25"/>
      <c r="F1903" s="26"/>
    </row>
    <row r="1904" spans="1:6" ht="16.8" customHeight="1" x14ac:dyDescent="0.3">
      <c r="A1904" s="20">
        <v>43501</v>
      </c>
      <c r="B1904" s="31"/>
      <c r="C1904" s="31"/>
      <c r="D1904" s="31"/>
      <c r="E1904" s="25"/>
      <c r="F1904" s="26"/>
    </row>
    <row r="1905" spans="1:6" ht="16.8" customHeight="1" x14ac:dyDescent="0.3">
      <c r="A1905" s="20">
        <v>43502</v>
      </c>
      <c r="B1905" s="31" t="s">
        <v>977</v>
      </c>
      <c r="C1905" s="31" t="s">
        <v>909</v>
      </c>
      <c r="D1905" s="31" t="s">
        <v>978</v>
      </c>
      <c r="E1905" s="25">
        <v>45600</v>
      </c>
      <c r="F1905" s="26" t="s">
        <v>1</v>
      </c>
    </row>
    <row r="1906" spans="1:6" ht="16.8" customHeight="1" x14ac:dyDescent="0.3">
      <c r="A1906" s="20">
        <v>43503</v>
      </c>
      <c r="B1906" s="31" t="s">
        <v>62</v>
      </c>
      <c r="C1906" s="31" t="s">
        <v>979</v>
      </c>
      <c r="D1906" s="31" t="s">
        <v>27</v>
      </c>
      <c r="E1906" s="25">
        <v>45587</v>
      </c>
      <c r="F1906" s="26" t="s">
        <v>1</v>
      </c>
    </row>
    <row r="1907" spans="1:6" ht="16.8" customHeight="1" x14ac:dyDescent="0.3">
      <c r="A1907" s="20">
        <v>43504</v>
      </c>
      <c r="B1907" s="31"/>
      <c r="C1907" s="31"/>
      <c r="D1907" s="31"/>
      <c r="E1907" s="25"/>
      <c r="F1907" s="26"/>
    </row>
    <row r="1908" spans="1:6" ht="16.8" customHeight="1" x14ac:dyDescent="0.3">
      <c r="A1908" s="20">
        <v>43505</v>
      </c>
      <c r="B1908" s="31" t="s">
        <v>237</v>
      </c>
      <c r="C1908" s="31" t="s">
        <v>980</v>
      </c>
      <c r="D1908" s="31" t="s">
        <v>981</v>
      </c>
      <c r="E1908" s="25">
        <v>45582</v>
      </c>
      <c r="F1908" s="26" t="s">
        <v>1</v>
      </c>
    </row>
    <row r="1909" spans="1:6" ht="16.8" customHeight="1" x14ac:dyDescent="0.3">
      <c r="A1909" s="20">
        <v>43506</v>
      </c>
      <c r="B1909" s="31"/>
      <c r="C1909" s="31"/>
      <c r="D1909" s="31"/>
      <c r="E1909" s="25"/>
      <c r="F1909" s="26"/>
    </row>
    <row r="1910" spans="1:6" ht="16.8" customHeight="1" x14ac:dyDescent="0.3">
      <c r="A1910" s="20">
        <v>43507</v>
      </c>
      <c r="B1910" s="31" t="s">
        <v>875</v>
      </c>
      <c r="C1910" s="31" t="s">
        <v>982</v>
      </c>
      <c r="D1910" s="31" t="s">
        <v>255</v>
      </c>
      <c r="E1910" s="25">
        <v>45630</v>
      </c>
      <c r="F1910" s="26" t="s">
        <v>1</v>
      </c>
    </row>
    <row r="1911" spans="1:6" ht="16.8" customHeight="1" x14ac:dyDescent="0.3">
      <c r="A1911" s="20">
        <v>43508</v>
      </c>
      <c r="B1911" s="31" t="s">
        <v>661</v>
      </c>
      <c r="C1911" s="31" t="s">
        <v>179</v>
      </c>
      <c r="D1911" s="31" t="s">
        <v>221</v>
      </c>
      <c r="E1911" s="25">
        <v>45582</v>
      </c>
      <c r="F1911" s="26" t="s">
        <v>1</v>
      </c>
    </row>
    <row r="1912" spans="1:6" ht="16.8" customHeight="1" x14ac:dyDescent="0.3">
      <c r="A1912" s="20">
        <v>43509</v>
      </c>
      <c r="B1912" s="31"/>
      <c r="C1912" s="31"/>
      <c r="D1912" s="31"/>
      <c r="E1912" s="25"/>
      <c r="F1912" s="26"/>
    </row>
    <row r="1913" spans="1:6" ht="16.8" customHeight="1" x14ac:dyDescent="0.3">
      <c r="A1913" s="20">
        <v>43510</v>
      </c>
      <c r="B1913" s="31" t="s">
        <v>511</v>
      </c>
      <c r="C1913" s="31" t="s">
        <v>2119</v>
      </c>
      <c r="D1913" s="31" t="s">
        <v>958</v>
      </c>
      <c r="E1913" s="25">
        <v>45777</v>
      </c>
      <c r="F1913" s="26" t="s">
        <v>1</v>
      </c>
    </row>
    <row r="1914" spans="1:6" ht="16.8" customHeight="1" x14ac:dyDescent="0.3">
      <c r="A1914" s="20">
        <v>43511</v>
      </c>
      <c r="B1914" s="31" t="s">
        <v>1071</v>
      </c>
      <c r="C1914" s="31" t="s">
        <v>254</v>
      </c>
      <c r="D1914" s="31" t="s">
        <v>2372</v>
      </c>
      <c r="E1914" s="25">
        <v>45807</v>
      </c>
      <c r="F1914" s="26" t="s">
        <v>4</v>
      </c>
    </row>
    <row r="1915" spans="1:6" ht="16.8" customHeight="1" x14ac:dyDescent="0.3">
      <c r="A1915" s="20">
        <v>43512</v>
      </c>
      <c r="B1915" s="31" t="s">
        <v>1071</v>
      </c>
      <c r="C1915" s="31" t="s">
        <v>204</v>
      </c>
      <c r="D1915" s="31" t="s">
        <v>2372</v>
      </c>
      <c r="E1915" s="25">
        <v>45807</v>
      </c>
      <c r="F1915" s="26" t="s">
        <v>4</v>
      </c>
    </row>
    <row r="1916" spans="1:6" ht="16.8" customHeight="1" x14ac:dyDescent="0.3">
      <c r="A1916" s="20">
        <v>43513</v>
      </c>
      <c r="B1916" s="31" t="s">
        <v>266</v>
      </c>
      <c r="C1916" s="31" t="s">
        <v>267</v>
      </c>
      <c r="D1916" s="31" t="s">
        <v>983</v>
      </c>
      <c r="E1916" s="25">
        <v>45580</v>
      </c>
      <c r="F1916" s="26" t="s">
        <v>1</v>
      </c>
    </row>
    <row r="1917" spans="1:6" ht="16.8" customHeight="1" x14ac:dyDescent="0.3">
      <c r="A1917" s="20">
        <v>43514</v>
      </c>
      <c r="B1917" s="31"/>
      <c r="C1917" s="31"/>
      <c r="D1917" s="31"/>
      <c r="E1917" s="25"/>
      <c r="F1917" s="26"/>
    </row>
    <row r="1918" spans="1:6" ht="16.8" customHeight="1" x14ac:dyDescent="0.3">
      <c r="A1918" s="20">
        <v>43515</v>
      </c>
      <c r="B1918" s="31" t="s">
        <v>309</v>
      </c>
      <c r="C1918" s="31" t="s">
        <v>240</v>
      </c>
      <c r="D1918" s="31" t="s">
        <v>884</v>
      </c>
      <c r="E1918" s="25">
        <v>45582</v>
      </c>
      <c r="F1918" s="26" t="s">
        <v>1</v>
      </c>
    </row>
    <row r="1919" spans="1:6" ht="16.8" customHeight="1" x14ac:dyDescent="0.3">
      <c r="A1919" s="20">
        <v>43516</v>
      </c>
      <c r="B1919" s="31" t="s">
        <v>41</v>
      </c>
      <c r="C1919" s="31" t="s">
        <v>240</v>
      </c>
      <c r="D1919" s="31" t="s">
        <v>984</v>
      </c>
      <c r="E1919" s="25">
        <v>45590</v>
      </c>
      <c r="F1919" s="26" t="s">
        <v>5</v>
      </c>
    </row>
    <row r="1920" spans="1:6" ht="16.8" customHeight="1" x14ac:dyDescent="0.3">
      <c r="A1920" s="20">
        <v>43517</v>
      </c>
      <c r="B1920" s="31" t="s">
        <v>985</v>
      </c>
      <c r="C1920" s="31" t="s">
        <v>986</v>
      </c>
      <c r="D1920" s="31" t="s">
        <v>172</v>
      </c>
      <c r="E1920" s="25">
        <v>45587</v>
      </c>
      <c r="F1920" s="26" t="s">
        <v>1</v>
      </c>
    </row>
    <row r="1921" spans="1:6" ht="16.8" customHeight="1" x14ac:dyDescent="0.3">
      <c r="A1921" s="20">
        <v>43518</v>
      </c>
      <c r="B1921" s="31" t="s">
        <v>987</v>
      </c>
      <c r="C1921" s="31"/>
      <c r="D1921" s="31" t="s">
        <v>27</v>
      </c>
      <c r="E1921" s="25">
        <v>45582</v>
      </c>
      <c r="F1921" s="26" t="s">
        <v>1</v>
      </c>
    </row>
    <row r="1922" spans="1:6" ht="16.8" customHeight="1" x14ac:dyDescent="0.3">
      <c r="A1922" s="20">
        <v>43519</v>
      </c>
      <c r="B1922" s="31" t="s">
        <v>486</v>
      </c>
      <c r="C1922" s="31" t="s">
        <v>487</v>
      </c>
      <c r="D1922" s="31" t="s">
        <v>172</v>
      </c>
      <c r="E1922" s="25">
        <v>45583</v>
      </c>
      <c r="F1922" s="26" t="s">
        <v>3</v>
      </c>
    </row>
    <row r="1923" spans="1:6" ht="16.8" customHeight="1" x14ac:dyDescent="0.3">
      <c r="A1923" s="20">
        <v>43520</v>
      </c>
      <c r="B1923" s="31" t="s">
        <v>56</v>
      </c>
      <c r="C1923" s="31" t="s">
        <v>94</v>
      </c>
      <c r="D1923" s="31" t="s">
        <v>988</v>
      </c>
      <c r="E1923" s="25">
        <v>45667</v>
      </c>
      <c r="F1923" s="26" t="s">
        <v>6</v>
      </c>
    </row>
    <row r="1924" spans="1:6" ht="16.8" customHeight="1" x14ac:dyDescent="0.3">
      <c r="A1924" s="20">
        <v>43521</v>
      </c>
      <c r="B1924" s="31" t="s">
        <v>41</v>
      </c>
      <c r="C1924" s="31" t="s">
        <v>412</v>
      </c>
      <c r="D1924" s="31" t="s">
        <v>1948</v>
      </c>
      <c r="E1924" s="25">
        <v>45929</v>
      </c>
      <c r="F1924" s="26" t="s">
        <v>4</v>
      </c>
    </row>
    <row r="1925" spans="1:6" ht="16.8" customHeight="1" x14ac:dyDescent="0.3">
      <c r="A1925" s="20">
        <v>43522</v>
      </c>
      <c r="B1925" s="31"/>
      <c r="C1925" s="31"/>
      <c r="D1925" s="31"/>
      <c r="E1925" s="25"/>
      <c r="F1925" s="26"/>
    </row>
    <row r="1926" spans="1:6" ht="16.8" customHeight="1" x14ac:dyDescent="0.3">
      <c r="A1926" s="20">
        <v>43523</v>
      </c>
      <c r="B1926" s="31" t="s">
        <v>342</v>
      </c>
      <c r="C1926" s="31" t="s">
        <v>508</v>
      </c>
      <c r="D1926" s="31" t="s">
        <v>989</v>
      </c>
      <c r="E1926" s="25">
        <v>45600</v>
      </c>
      <c r="F1926" s="26" t="s">
        <v>4</v>
      </c>
    </row>
    <row r="1927" spans="1:6" ht="16.8" customHeight="1" x14ac:dyDescent="0.3">
      <c r="A1927" s="20">
        <v>43524</v>
      </c>
      <c r="B1927" s="31" t="s">
        <v>41</v>
      </c>
      <c r="C1927" s="31" t="s">
        <v>331</v>
      </c>
      <c r="D1927" s="31" t="s">
        <v>2667</v>
      </c>
      <c r="E1927" s="25">
        <v>45874</v>
      </c>
      <c r="F1927" s="26" t="s">
        <v>4</v>
      </c>
    </row>
    <row r="1928" spans="1:6" ht="16.8" customHeight="1" x14ac:dyDescent="0.3">
      <c r="A1928" s="20">
        <v>43525</v>
      </c>
      <c r="B1928" s="31" t="s">
        <v>486</v>
      </c>
      <c r="C1928" s="31" t="s">
        <v>990</v>
      </c>
      <c r="D1928" s="31" t="s">
        <v>991</v>
      </c>
      <c r="E1928" s="25">
        <v>45593</v>
      </c>
      <c r="F1928" s="26" t="s">
        <v>6</v>
      </c>
    </row>
    <row r="1929" spans="1:6" ht="16.8" customHeight="1" x14ac:dyDescent="0.3">
      <c r="A1929" s="20">
        <v>43526</v>
      </c>
      <c r="B1929" s="31" t="s">
        <v>271</v>
      </c>
      <c r="C1929" s="31" t="s">
        <v>915</v>
      </c>
      <c r="D1929" s="31" t="s">
        <v>992</v>
      </c>
      <c r="E1929" s="25">
        <v>45582</v>
      </c>
      <c r="F1929" s="26" t="s">
        <v>1</v>
      </c>
    </row>
    <row r="1930" spans="1:6" ht="16.8" customHeight="1" x14ac:dyDescent="0.3">
      <c r="A1930" s="20">
        <v>43527</v>
      </c>
      <c r="B1930" s="31" t="s">
        <v>286</v>
      </c>
      <c r="C1930" s="31"/>
      <c r="D1930" s="31" t="s">
        <v>27</v>
      </c>
      <c r="E1930" s="25">
        <v>45587</v>
      </c>
      <c r="F1930" s="26" t="s">
        <v>1</v>
      </c>
    </row>
    <row r="1931" spans="1:6" ht="16.8" customHeight="1" x14ac:dyDescent="0.3">
      <c r="A1931" s="20">
        <v>43528</v>
      </c>
      <c r="B1931" s="31"/>
      <c r="C1931" s="31"/>
      <c r="D1931" s="31"/>
      <c r="E1931" s="25"/>
      <c r="F1931" s="26"/>
    </row>
    <row r="1932" spans="1:6" ht="16.8" customHeight="1" x14ac:dyDescent="0.3">
      <c r="A1932" s="20">
        <v>43529</v>
      </c>
      <c r="B1932" s="31" t="s">
        <v>993</v>
      </c>
      <c r="C1932" s="31" t="s">
        <v>227</v>
      </c>
      <c r="D1932" s="31" t="s">
        <v>994</v>
      </c>
      <c r="E1932" s="25">
        <v>45582</v>
      </c>
      <c r="F1932" s="26" t="s">
        <v>6</v>
      </c>
    </row>
    <row r="1933" spans="1:6" ht="16.8" customHeight="1" x14ac:dyDescent="0.3">
      <c r="A1933" s="20">
        <v>43530</v>
      </c>
      <c r="B1933" s="31" t="s">
        <v>995</v>
      </c>
      <c r="C1933" s="31" t="s">
        <v>244</v>
      </c>
      <c r="D1933" s="31" t="s">
        <v>662</v>
      </c>
      <c r="E1933" s="25">
        <v>45608</v>
      </c>
      <c r="F1933" s="26" t="s">
        <v>1</v>
      </c>
    </row>
    <row r="1934" spans="1:6" ht="16.8" customHeight="1" x14ac:dyDescent="0.3">
      <c r="A1934" s="20">
        <v>43531</v>
      </c>
      <c r="B1934" s="31"/>
      <c r="C1934" s="31"/>
      <c r="D1934" s="31"/>
      <c r="E1934" s="25"/>
      <c r="F1934" s="26"/>
    </row>
    <row r="1935" spans="1:6" ht="16.8" customHeight="1" x14ac:dyDescent="0.3">
      <c r="A1935" s="20">
        <v>43532</v>
      </c>
      <c r="B1935" s="31"/>
      <c r="C1935" s="31"/>
      <c r="D1935" s="31"/>
      <c r="E1935" s="25"/>
      <c r="F1935" s="26"/>
    </row>
    <row r="1936" spans="1:6" ht="16.8" customHeight="1" x14ac:dyDescent="0.3">
      <c r="A1936" s="20">
        <v>43533</v>
      </c>
      <c r="B1936" s="31" t="s">
        <v>996</v>
      </c>
      <c r="C1936" s="31" t="s">
        <v>544</v>
      </c>
      <c r="D1936" s="31" t="s">
        <v>852</v>
      </c>
      <c r="E1936" s="25">
        <v>45582</v>
      </c>
      <c r="F1936" s="26" t="s">
        <v>1</v>
      </c>
    </row>
    <row r="1937" spans="1:6" ht="16.8" customHeight="1" x14ac:dyDescent="0.3">
      <c r="A1937" s="20">
        <v>43534</v>
      </c>
      <c r="B1937" s="31" t="s">
        <v>997</v>
      </c>
      <c r="C1937" s="31"/>
      <c r="D1937" s="31" t="s">
        <v>998</v>
      </c>
      <c r="E1937" s="25">
        <v>45582</v>
      </c>
      <c r="F1937" s="26" t="s">
        <v>1</v>
      </c>
    </row>
    <row r="1938" spans="1:6" ht="16.8" customHeight="1" x14ac:dyDescent="0.3">
      <c r="A1938" s="20">
        <v>43535</v>
      </c>
      <c r="B1938" s="31" t="s">
        <v>746</v>
      </c>
      <c r="C1938" s="31" t="s">
        <v>718</v>
      </c>
      <c r="D1938" s="31" t="s">
        <v>121</v>
      </c>
      <c r="E1938" s="25">
        <v>45625</v>
      </c>
      <c r="F1938" s="26" t="s">
        <v>4</v>
      </c>
    </row>
    <row r="1939" spans="1:6" ht="16.8" customHeight="1" x14ac:dyDescent="0.3">
      <c r="A1939" s="20">
        <v>43536</v>
      </c>
      <c r="B1939" s="31" t="s">
        <v>71</v>
      </c>
      <c r="C1939" s="31" t="s">
        <v>32</v>
      </c>
      <c r="D1939" s="31" t="s">
        <v>999</v>
      </c>
      <c r="E1939" s="25">
        <v>45590</v>
      </c>
      <c r="F1939" s="26" t="s">
        <v>1</v>
      </c>
    </row>
    <row r="1940" spans="1:6" ht="16.8" customHeight="1" x14ac:dyDescent="0.3">
      <c r="A1940" s="20">
        <v>43537</v>
      </c>
      <c r="B1940" s="31" t="s">
        <v>745</v>
      </c>
      <c r="C1940" s="31" t="s">
        <v>2820</v>
      </c>
      <c r="D1940" s="31" t="s">
        <v>121</v>
      </c>
      <c r="E1940" s="25">
        <v>45923</v>
      </c>
      <c r="F1940" s="26" t="s">
        <v>4</v>
      </c>
    </row>
    <row r="1941" spans="1:6" ht="16.8" customHeight="1" x14ac:dyDescent="0.3">
      <c r="A1941" s="20">
        <v>43538</v>
      </c>
      <c r="B1941" s="31" t="s">
        <v>350</v>
      </c>
      <c r="C1941" s="31" t="s">
        <v>1000</v>
      </c>
      <c r="D1941" s="31" t="s">
        <v>1001</v>
      </c>
      <c r="E1941" s="25">
        <v>45600</v>
      </c>
      <c r="F1941" s="26" t="s">
        <v>1</v>
      </c>
    </row>
    <row r="1942" spans="1:6" ht="16.8" customHeight="1" x14ac:dyDescent="0.3">
      <c r="A1942" s="20">
        <v>43539</v>
      </c>
      <c r="B1942" s="31" t="s">
        <v>350</v>
      </c>
      <c r="C1942" s="31" t="s">
        <v>351</v>
      </c>
      <c r="D1942" s="31" t="s">
        <v>145</v>
      </c>
      <c r="E1942" s="25">
        <v>45600</v>
      </c>
      <c r="F1942" s="26" t="s">
        <v>1</v>
      </c>
    </row>
    <row r="1943" spans="1:6" ht="16.8" customHeight="1" x14ac:dyDescent="0.3">
      <c r="A1943" s="20">
        <v>43540</v>
      </c>
      <c r="B1943" s="31" t="s">
        <v>470</v>
      </c>
      <c r="C1943" s="31" t="s">
        <v>179</v>
      </c>
      <c r="D1943" s="31" t="s">
        <v>1002</v>
      </c>
      <c r="E1943" s="25">
        <v>45692</v>
      </c>
      <c r="F1943" s="26" t="s">
        <v>4</v>
      </c>
    </row>
    <row r="1944" spans="1:6" ht="16.8" customHeight="1" x14ac:dyDescent="0.3">
      <c r="A1944" s="20">
        <v>43541</v>
      </c>
      <c r="B1944" s="31" t="s">
        <v>237</v>
      </c>
      <c r="C1944" s="31" t="s">
        <v>84</v>
      </c>
      <c r="D1944" s="31" t="s">
        <v>146</v>
      </c>
      <c r="E1944" s="25">
        <v>45587</v>
      </c>
      <c r="F1944" s="26" t="s">
        <v>1</v>
      </c>
    </row>
    <row r="1945" spans="1:6" ht="16.8" customHeight="1" x14ac:dyDescent="0.3">
      <c r="A1945" s="20">
        <v>43542</v>
      </c>
      <c r="B1945" s="31"/>
      <c r="C1945" s="31"/>
      <c r="D1945" s="31"/>
      <c r="E1945" s="25"/>
      <c r="F1945" s="26"/>
    </row>
    <row r="1946" spans="1:6" ht="16.8" customHeight="1" x14ac:dyDescent="0.3">
      <c r="A1946" s="20">
        <v>43543</v>
      </c>
      <c r="B1946" s="31"/>
      <c r="C1946" s="31"/>
      <c r="D1946" s="31"/>
      <c r="E1946" s="25"/>
      <c r="F1946" s="26"/>
    </row>
    <row r="1947" spans="1:6" ht="16.8" customHeight="1" x14ac:dyDescent="0.3">
      <c r="A1947" s="20">
        <v>43544</v>
      </c>
      <c r="B1947" s="31"/>
      <c r="C1947" s="31"/>
      <c r="D1947" s="31"/>
      <c r="E1947" s="25"/>
      <c r="F1947" s="26"/>
    </row>
    <row r="1948" spans="1:6" ht="16.8" customHeight="1" x14ac:dyDescent="0.3">
      <c r="A1948" s="20">
        <v>43545</v>
      </c>
      <c r="B1948" s="31"/>
      <c r="C1948" s="31"/>
      <c r="D1948" s="31"/>
      <c r="E1948" s="25"/>
      <c r="F1948" s="26"/>
    </row>
    <row r="1949" spans="1:6" ht="16.8" customHeight="1" x14ac:dyDescent="0.3">
      <c r="A1949" s="20">
        <v>43546</v>
      </c>
      <c r="B1949" s="31" t="s">
        <v>41</v>
      </c>
      <c r="C1949" s="31" t="s">
        <v>227</v>
      </c>
      <c r="D1949" s="31" t="s">
        <v>145</v>
      </c>
      <c r="E1949" s="25">
        <v>45582</v>
      </c>
      <c r="F1949" s="26" t="s">
        <v>4</v>
      </c>
    </row>
    <row r="1950" spans="1:6" ht="16.8" customHeight="1" x14ac:dyDescent="0.3">
      <c r="A1950" s="20">
        <v>43547</v>
      </c>
      <c r="B1950" s="31"/>
      <c r="C1950" s="31"/>
      <c r="D1950" s="31"/>
      <c r="E1950" s="25"/>
      <c r="F1950" s="26"/>
    </row>
    <row r="1951" spans="1:6" ht="16.8" customHeight="1" x14ac:dyDescent="0.3">
      <c r="A1951" s="20">
        <v>43548</v>
      </c>
      <c r="B1951" s="31" t="s">
        <v>1003</v>
      </c>
      <c r="C1951" s="31" t="s">
        <v>223</v>
      </c>
      <c r="D1951" s="31" t="s">
        <v>145</v>
      </c>
      <c r="E1951" s="25">
        <v>45587</v>
      </c>
      <c r="F1951" s="26" t="s">
        <v>1</v>
      </c>
    </row>
    <row r="1952" spans="1:6" ht="16.8" customHeight="1" x14ac:dyDescent="0.3">
      <c r="A1952" s="20">
        <v>43549</v>
      </c>
      <c r="B1952" s="31" t="s">
        <v>1004</v>
      </c>
      <c r="C1952" s="31" t="s">
        <v>169</v>
      </c>
      <c r="D1952" s="31" t="s">
        <v>662</v>
      </c>
      <c r="E1952" s="25">
        <v>45601</v>
      </c>
      <c r="F1952" s="26" t="s">
        <v>1</v>
      </c>
    </row>
    <row r="1953" spans="1:6" ht="16.8" customHeight="1" x14ac:dyDescent="0.3">
      <c r="A1953" s="20">
        <v>43550</v>
      </c>
      <c r="B1953" s="31" t="s">
        <v>669</v>
      </c>
      <c r="C1953" s="31"/>
      <c r="D1953" s="31" t="s">
        <v>27</v>
      </c>
      <c r="E1953" s="25">
        <v>45587</v>
      </c>
      <c r="F1953" s="26" t="s">
        <v>1</v>
      </c>
    </row>
    <row r="1954" spans="1:6" ht="16.8" customHeight="1" x14ac:dyDescent="0.3">
      <c r="A1954" s="20">
        <v>43551</v>
      </c>
      <c r="B1954" s="31" t="s">
        <v>375</v>
      </c>
      <c r="C1954" s="31" t="s">
        <v>75</v>
      </c>
      <c r="D1954" s="31" t="s">
        <v>1005</v>
      </c>
      <c r="E1954" s="25">
        <v>45603</v>
      </c>
      <c r="F1954" s="26" t="s">
        <v>1</v>
      </c>
    </row>
    <row r="1955" spans="1:6" ht="16.8" customHeight="1" x14ac:dyDescent="0.3">
      <c r="A1955" s="20">
        <v>43552</v>
      </c>
      <c r="B1955" s="31" t="s">
        <v>375</v>
      </c>
      <c r="C1955" s="31" t="s">
        <v>32</v>
      </c>
      <c r="D1955" s="31" t="s">
        <v>1006</v>
      </c>
      <c r="E1955" s="25">
        <v>45608</v>
      </c>
      <c r="F1955" s="26" t="s">
        <v>1</v>
      </c>
    </row>
    <row r="1956" spans="1:6" ht="16.8" customHeight="1" x14ac:dyDescent="0.3">
      <c r="A1956" s="20">
        <v>43553</v>
      </c>
      <c r="B1956" s="31" t="s">
        <v>237</v>
      </c>
      <c r="C1956" s="31" t="s">
        <v>84</v>
      </c>
      <c r="D1956" s="31" t="s">
        <v>1007</v>
      </c>
      <c r="E1956" s="25">
        <v>45603</v>
      </c>
      <c r="F1956" s="26" t="s">
        <v>1</v>
      </c>
    </row>
    <row r="1957" spans="1:6" ht="16.8" customHeight="1" x14ac:dyDescent="0.3">
      <c r="A1957" s="20">
        <v>43554</v>
      </c>
      <c r="B1957" s="31"/>
      <c r="C1957" s="31"/>
      <c r="D1957" s="31"/>
      <c r="E1957" s="25"/>
      <c r="F1957" s="26"/>
    </row>
    <row r="1958" spans="1:6" ht="16.8" customHeight="1" x14ac:dyDescent="0.3">
      <c r="A1958" s="20">
        <v>43555</v>
      </c>
      <c r="B1958" s="31"/>
      <c r="C1958" s="31"/>
      <c r="D1958" s="31"/>
      <c r="E1958" s="25"/>
      <c r="F1958" s="26"/>
    </row>
    <row r="1959" spans="1:6" ht="16.8" customHeight="1" x14ac:dyDescent="0.3">
      <c r="A1959" s="20">
        <v>43556</v>
      </c>
      <c r="B1959" s="31"/>
      <c r="C1959" s="31"/>
      <c r="D1959" s="31"/>
      <c r="E1959" s="25"/>
      <c r="F1959" s="26"/>
    </row>
    <row r="1960" spans="1:6" ht="16.8" customHeight="1" x14ac:dyDescent="0.3">
      <c r="A1960" s="20">
        <v>43557</v>
      </c>
      <c r="B1960" s="31"/>
      <c r="C1960" s="31"/>
      <c r="D1960" s="31"/>
      <c r="E1960" s="25"/>
      <c r="F1960" s="26"/>
    </row>
    <row r="1961" spans="1:6" ht="16.8" customHeight="1" x14ac:dyDescent="0.3">
      <c r="A1961" s="20">
        <v>43558</v>
      </c>
      <c r="B1961" s="31"/>
      <c r="C1961" s="31"/>
      <c r="D1961" s="31"/>
      <c r="E1961" s="25"/>
      <c r="F1961" s="26"/>
    </row>
    <row r="1962" spans="1:6" ht="16.8" customHeight="1" x14ac:dyDescent="0.3">
      <c r="A1962" s="20">
        <v>43559</v>
      </c>
      <c r="B1962" s="31" t="s">
        <v>36</v>
      </c>
      <c r="C1962" s="31" t="s">
        <v>240</v>
      </c>
      <c r="D1962" s="31" t="s">
        <v>1008</v>
      </c>
      <c r="E1962" s="25">
        <v>45603</v>
      </c>
      <c r="F1962" s="26" t="s">
        <v>6</v>
      </c>
    </row>
    <row r="1963" spans="1:6" ht="16.8" customHeight="1" x14ac:dyDescent="0.3">
      <c r="A1963" s="20">
        <v>43560</v>
      </c>
      <c r="B1963" s="31"/>
      <c r="C1963" s="31"/>
      <c r="D1963" s="31"/>
      <c r="E1963" s="25"/>
      <c r="F1963" s="26"/>
    </row>
    <row r="1964" spans="1:6" ht="16.8" customHeight="1" x14ac:dyDescent="0.3">
      <c r="A1964" s="20">
        <v>43561</v>
      </c>
      <c r="B1964" s="31" t="s">
        <v>1009</v>
      </c>
      <c r="C1964" s="31" t="s">
        <v>227</v>
      </c>
      <c r="D1964" s="31" t="s">
        <v>1010</v>
      </c>
      <c r="E1964" s="25">
        <v>45587</v>
      </c>
      <c r="F1964" s="26" t="s">
        <v>1</v>
      </c>
    </row>
    <row r="1965" spans="1:6" ht="16.8" customHeight="1" x14ac:dyDescent="0.3">
      <c r="A1965" s="20">
        <v>43562</v>
      </c>
      <c r="B1965" s="31"/>
      <c r="C1965" s="31"/>
      <c r="D1965" s="31"/>
      <c r="E1965" s="25"/>
      <c r="F1965" s="26"/>
    </row>
    <row r="1966" spans="1:6" ht="16.8" customHeight="1" x14ac:dyDescent="0.3">
      <c r="A1966" s="20">
        <v>43563</v>
      </c>
      <c r="B1966" s="31"/>
      <c r="C1966" s="31"/>
      <c r="D1966" s="31"/>
      <c r="E1966" s="25"/>
      <c r="F1966" s="26"/>
    </row>
    <row r="1967" spans="1:6" ht="16.8" customHeight="1" x14ac:dyDescent="0.3">
      <c r="A1967" s="20">
        <v>43564</v>
      </c>
      <c r="B1967" s="31" t="s">
        <v>237</v>
      </c>
      <c r="C1967" s="31" t="s">
        <v>84</v>
      </c>
      <c r="D1967" s="31" t="s">
        <v>1011</v>
      </c>
      <c r="E1967" s="25">
        <v>45608</v>
      </c>
      <c r="F1967" s="26" t="s">
        <v>1</v>
      </c>
    </row>
    <row r="1968" spans="1:6" ht="16.8" customHeight="1" x14ac:dyDescent="0.3">
      <c r="A1968" s="20">
        <v>43565</v>
      </c>
      <c r="B1968" s="31"/>
      <c r="C1968" s="31"/>
      <c r="D1968" s="31"/>
      <c r="E1968" s="25"/>
      <c r="F1968" s="26"/>
    </row>
    <row r="1969" spans="1:6" ht="16.8" customHeight="1" x14ac:dyDescent="0.3">
      <c r="A1969" s="20">
        <v>43566</v>
      </c>
      <c r="B1969" s="31"/>
      <c r="C1969" s="31"/>
      <c r="D1969" s="31"/>
      <c r="E1969" s="25"/>
      <c r="F1969" s="26"/>
    </row>
    <row r="1970" spans="1:6" ht="16.8" customHeight="1" x14ac:dyDescent="0.3">
      <c r="A1970" s="20">
        <v>43567</v>
      </c>
      <c r="B1970" s="31" t="s">
        <v>486</v>
      </c>
      <c r="C1970" s="31" t="s">
        <v>487</v>
      </c>
      <c r="D1970" s="31" t="s">
        <v>1012</v>
      </c>
      <c r="E1970" s="25">
        <v>45593</v>
      </c>
      <c r="F1970" s="26" t="s">
        <v>6</v>
      </c>
    </row>
    <row r="1971" spans="1:6" ht="16.8" customHeight="1" x14ac:dyDescent="0.3">
      <c r="A1971" s="20">
        <v>43568</v>
      </c>
      <c r="B1971" s="31" t="s">
        <v>375</v>
      </c>
      <c r="C1971" s="31" t="s">
        <v>75</v>
      </c>
      <c r="D1971" s="31" t="s">
        <v>525</v>
      </c>
      <c r="E1971" s="25">
        <v>45736</v>
      </c>
      <c r="F1971" s="26" t="s">
        <v>4</v>
      </c>
    </row>
    <row r="1972" spans="1:6" ht="16.8" customHeight="1" x14ac:dyDescent="0.3">
      <c r="A1972" s="20">
        <v>43569</v>
      </c>
      <c r="B1972" s="31" t="s">
        <v>935</v>
      </c>
      <c r="C1972" s="31" t="s">
        <v>1013</v>
      </c>
      <c r="D1972" s="31" t="s">
        <v>1014</v>
      </c>
      <c r="E1972" s="25">
        <v>45664</v>
      </c>
      <c r="F1972" s="26" t="s">
        <v>2</v>
      </c>
    </row>
    <row r="1973" spans="1:6" ht="16.8" customHeight="1" x14ac:dyDescent="0.3">
      <c r="A1973" s="20">
        <v>43570</v>
      </c>
      <c r="B1973" s="31" t="s">
        <v>890</v>
      </c>
      <c r="C1973" s="31" t="s">
        <v>1015</v>
      </c>
      <c r="D1973" s="31"/>
      <c r="E1973" s="25">
        <v>45583</v>
      </c>
      <c r="F1973" s="26" t="s">
        <v>1</v>
      </c>
    </row>
    <row r="1974" spans="1:6" ht="16.8" customHeight="1" x14ac:dyDescent="0.3">
      <c r="A1974" s="20">
        <v>43571</v>
      </c>
      <c r="B1974" s="31" t="s">
        <v>450</v>
      </c>
      <c r="C1974" s="31" t="s">
        <v>133</v>
      </c>
      <c r="D1974" s="31" t="s">
        <v>145</v>
      </c>
      <c r="E1974" s="25">
        <v>45586</v>
      </c>
      <c r="F1974" s="26" t="s">
        <v>1</v>
      </c>
    </row>
    <row r="1975" spans="1:6" ht="16.8" customHeight="1" x14ac:dyDescent="0.3">
      <c r="A1975" s="20">
        <v>43572</v>
      </c>
      <c r="B1975" s="31" t="s">
        <v>65</v>
      </c>
      <c r="C1975" s="31"/>
      <c r="D1975" s="31" t="s">
        <v>933</v>
      </c>
      <c r="E1975" s="25">
        <v>45587</v>
      </c>
      <c r="F1975" s="26" t="s">
        <v>1</v>
      </c>
    </row>
    <row r="1976" spans="1:6" ht="16.8" customHeight="1" x14ac:dyDescent="0.3">
      <c r="A1976" s="20">
        <v>43573</v>
      </c>
      <c r="B1976" s="31" t="s">
        <v>96</v>
      </c>
      <c r="C1976" s="31" t="s">
        <v>718</v>
      </c>
      <c r="D1976" s="31" t="s">
        <v>1016</v>
      </c>
      <c r="E1976" s="25">
        <v>45603</v>
      </c>
      <c r="F1976" s="26" t="s">
        <v>4</v>
      </c>
    </row>
    <row r="1977" spans="1:6" ht="16.8" customHeight="1" x14ac:dyDescent="0.3">
      <c r="A1977" s="20">
        <v>43574</v>
      </c>
      <c r="B1977" s="31" t="s">
        <v>559</v>
      </c>
      <c r="C1977" s="31" t="s">
        <v>1017</v>
      </c>
      <c r="D1977" s="31" t="s">
        <v>319</v>
      </c>
      <c r="E1977" s="25">
        <v>45686</v>
      </c>
      <c r="F1977" s="26" t="s">
        <v>2</v>
      </c>
    </row>
    <row r="1978" spans="1:6" ht="16.8" customHeight="1" x14ac:dyDescent="0.3">
      <c r="A1978" s="20">
        <v>43575</v>
      </c>
      <c r="B1978" s="31"/>
      <c r="C1978" s="31"/>
      <c r="D1978" s="31"/>
      <c r="E1978" s="25"/>
      <c r="F1978" s="26"/>
    </row>
    <row r="1979" spans="1:6" ht="16.8" customHeight="1" x14ac:dyDescent="0.3">
      <c r="A1979" s="20">
        <v>43576</v>
      </c>
      <c r="B1979" s="31"/>
      <c r="C1979" s="31"/>
      <c r="D1979" s="31"/>
      <c r="E1979" s="25"/>
      <c r="F1979" s="26"/>
    </row>
    <row r="1980" spans="1:6" ht="16.8" customHeight="1" x14ac:dyDescent="0.3">
      <c r="A1980" s="20">
        <v>43577</v>
      </c>
      <c r="B1980" s="31"/>
      <c r="C1980" s="31"/>
      <c r="D1980" s="31"/>
      <c r="E1980" s="25"/>
      <c r="F1980" s="26"/>
    </row>
    <row r="1981" spans="1:6" ht="16.8" customHeight="1" x14ac:dyDescent="0.3">
      <c r="A1981" s="20">
        <v>43578</v>
      </c>
      <c r="B1981" s="31" t="s">
        <v>256</v>
      </c>
      <c r="C1981" s="31" t="s">
        <v>1018</v>
      </c>
      <c r="D1981" s="31" t="s">
        <v>1019</v>
      </c>
      <c r="E1981" s="25">
        <v>45614</v>
      </c>
      <c r="F1981" s="26" t="s">
        <v>1</v>
      </c>
    </row>
    <row r="1982" spans="1:6" ht="16.8" customHeight="1" x14ac:dyDescent="0.3">
      <c r="A1982" s="20">
        <v>43579</v>
      </c>
      <c r="B1982" s="31"/>
      <c r="C1982" s="31"/>
      <c r="D1982" s="31"/>
      <c r="E1982" s="25"/>
      <c r="F1982" s="26"/>
    </row>
    <row r="1983" spans="1:6" ht="16.8" customHeight="1" x14ac:dyDescent="0.3">
      <c r="A1983" s="20">
        <v>43580</v>
      </c>
      <c r="B1983" s="31" t="s">
        <v>155</v>
      </c>
      <c r="C1983" s="31" t="s">
        <v>75</v>
      </c>
      <c r="D1983" s="31" t="s">
        <v>615</v>
      </c>
      <c r="E1983" s="25">
        <v>45593</v>
      </c>
      <c r="F1983" s="26" t="s">
        <v>963</v>
      </c>
    </row>
    <row r="1984" spans="1:6" ht="16.8" customHeight="1" x14ac:dyDescent="0.3">
      <c r="A1984" s="20">
        <v>43581</v>
      </c>
      <c r="B1984" s="31" t="s">
        <v>25</v>
      </c>
      <c r="C1984" s="31"/>
      <c r="D1984" s="31" t="s">
        <v>27</v>
      </c>
      <c r="E1984" s="25">
        <v>45600</v>
      </c>
      <c r="F1984" s="26" t="s">
        <v>1</v>
      </c>
    </row>
    <row r="1985" spans="1:6" ht="16.8" customHeight="1" x14ac:dyDescent="0.3">
      <c r="A1985" s="20">
        <v>43582</v>
      </c>
      <c r="B1985" s="31" t="s">
        <v>1020</v>
      </c>
      <c r="C1985" s="31" t="s">
        <v>1021</v>
      </c>
      <c r="D1985" s="31" t="s">
        <v>1022</v>
      </c>
      <c r="E1985" s="25">
        <v>45600</v>
      </c>
      <c r="F1985" s="26" t="s">
        <v>1</v>
      </c>
    </row>
    <row r="1986" spans="1:6" ht="16.8" customHeight="1" x14ac:dyDescent="0.3">
      <c r="A1986" s="20">
        <v>43583</v>
      </c>
      <c r="B1986" s="31" t="s">
        <v>881</v>
      </c>
      <c r="C1986" s="31" t="s">
        <v>1023</v>
      </c>
      <c r="D1986" s="31" t="s">
        <v>1024</v>
      </c>
      <c r="E1986" s="25">
        <v>45645</v>
      </c>
      <c r="F1986" s="26" t="s">
        <v>2</v>
      </c>
    </row>
    <row r="1987" spans="1:6" ht="16.8" customHeight="1" x14ac:dyDescent="0.3">
      <c r="A1987" s="20">
        <v>43584</v>
      </c>
      <c r="B1987" s="31" t="s">
        <v>917</v>
      </c>
      <c r="C1987" s="31" t="s">
        <v>718</v>
      </c>
      <c r="D1987" s="31" t="s">
        <v>1025</v>
      </c>
      <c r="E1987" s="25">
        <v>45600</v>
      </c>
      <c r="F1987" s="26" t="s">
        <v>4</v>
      </c>
    </row>
    <row r="1988" spans="1:6" ht="16.8" customHeight="1" x14ac:dyDescent="0.3">
      <c r="A1988" s="20">
        <v>43585</v>
      </c>
      <c r="B1988" s="31" t="s">
        <v>1026</v>
      </c>
      <c r="C1988" s="31" t="s">
        <v>362</v>
      </c>
      <c r="D1988" s="31" t="s">
        <v>85</v>
      </c>
      <c r="E1988" s="25">
        <v>45635</v>
      </c>
      <c r="F1988" s="26" t="s">
        <v>1</v>
      </c>
    </row>
    <row r="1989" spans="1:6" ht="16.8" customHeight="1" x14ac:dyDescent="0.3">
      <c r="A1989" s="20">
        <v>43586</v>
      </c>
      <c r="B1989" s="31" t="s">
        <v>1027</v>
      </c>
      <c r="C1989" s="31" t="s">
        <v>362</v>
      </c>
      <c r="D1989" s="31" t="s">
        <v>1028</v>
      </c>
      <c r="E1989" s="25">
        <v>45600</v>
      </c>
      <c r="F1989" s="26" t="s">
        <v>1</v>
      </c>
    </row>
    <row r="1990" spans="1:6" ht="16.8" customHeight="1" x14ac:dyDescent="0.3">
      <c r="A1990" s="20">
        <v>43587</v>
      </c>
      <c r="B1990" s="31" t="s">
        <v>1029</v>
      </c>
      <c r="C1990" s="31" t="s">
        <v>179</v>
      </c>
      <c r="D1990" s="31" t="s">
        <v>153</v>
      </c>
      <c r="E1990" s="25">
        <v>45614</v>
      </c>
      <c r="F1990" s="26" t="s">
        <v>1</v>
      </c>
    </row>
    <row r="1991" spans="1:6" ht="16.8" customHeight="1" x14ac:dyDescent="0.3">
      <c r="A1991" s="20">
        <v>43588</v>
      </c>
      <c r="B1991" s="31" t="s">
        <v>86</v>
      </c>
      <c r="C1991" s="31" t="s">
        <v>45</v>
      </c>
      <c r="D1991" s="31" t="s">
        <v>255</v>
      </c>
      <c r="E1991" s="25">
        <v>45600</v>
      </c>
      <c r="F1991" s="26" t="s">
        <v>3</v>
      </c>
    </row>
    <row r="1992" spans="1:6" ht="16.8" customHeight="1" x14ac:dyDescent="0.3">
      <c r="A1992" s="20">
        <v>43589</v>
      </c>
      <c r="B1992" s="31" t="s">
        <v>1030</v>
      </c>
      <c r="C1992" s="31"/>
      <c r="D1992" s="31" t="s">
        <v>116</v>
      </c>
      <c r="E1992" s="25">
        <v>45616</v>
      </c>
      <c r="F1992" s="26" t="s">
        <v>1</v>
      </c>
    </row>
    <row r="1993" spans="1:6" ht="16.8" customHeight="1" x14ac:dyDescent="0.3">
      <c r="A1993" s="20">
        <v>43590</v>
      </c>
      <c r="B1993" s="31" t="s">
        <v>721</v>
      </c>
      <c r="C1993" s="31" t="s">
        <v>118</v>
      </c>
      <c r="D1993" s="31" t="s">
        <v>1031</v>
      </c>
      <c r="E1993" s="25">
        <v>45600</v>
      </c>
      <c r="F1993" s="26" t="s">
        <v>1</v>
      </c>
    </row>
    <row r="1994" spans="1:6" ht="16.8" customHeight="1" x14ac:dyDescent="0.3">
      <c r="A1994" s="20">
        <v>43591</v>
      </c>
      <c r="B1994" s="31" t="s">
        <v>79</v>
      </c>
      <c r="C1994" s="31" t="s">
        <v>75</v>
      </c>
      <c r="D1994" s="31" t="s">
        <v>569</v>
      </c>
      <c r="E1994" s="25">
        <v>45670</v>
      </c>
      <c r="F1994" s="26" t="s">
        <v>1</v>
      </c>
    </row>
    <row r="1995" spans="1:6" ht="16.8" customHeight="1" x14ac:dyDescent="0.3">
      <c r="A1995" s="20">
        <v>43592</v>
      </c>
      <c r="B1995" s="31" t="s">
        <v>256</v>
      </c>
      <c r="C1995" s="31" t="s">
        <v>524</v>
      </c>
      <c r="D1995" s="31" t="s">
        <v>255</v>
      </c>
      <c r="E1995" s="25">
        <v>45608</v>
      </c>
      <c r="F1995" s="26" t="s">
        <v>1</v>
      </c>
    </row>
    <row r="1996" spans="1:6" ht="16.8" customHeight="1" x14ac:dyDescent="0.3">
      <c r="A1996" s="20">
        <v>43593</v>
      </c>
      <c r="B1996" s="31" t="s">
        <v>1032</v>
      </c>
      <c r="C1996" s="31" t="s">
        <v>1033</v>
      </c>
      <c r="D1996" s="31" t="s">
        <v>615</v>
      </c>
      <c r="E1996" s="25">
        <v>45630</v>
      </c>
      <c r="F1996" s="26" t="s">
        <v>1</v>
      </c>
    </row>
    <row r="1997" spans="1:6" ht="16.8" customHeight="1" x14ac:dyDescent="0.3">
      <c r="A1997" s="20">
        <v>43594</v>
      </c>
      <c r="B1997" s="31" t="s">
        <v>761</v>
      </c>
      <c r="C1997" s="31" t="s">
        <v>718</v>
      </c>
      <c r="D1997" s="31" t="s">
        <v>1034</v>
      </c>
      <c r="E1997" s="25">
        <v>45603</v>
      </c>
      <c r="F1997" s="26" t="s">
        <v>2</v>
      </c>
    </row>
    <row r="1998" spans="1:6" ht="16.8" customHeight="1" x14ac:dyDescent="0.3">
      <c r="A1998" s="20">
        <v>43595</v>
      </c>
      <c r="B1998" s="31"/>
      <c r="C1998" s="31"/>
      <c r="D1998" s="31"/>
      <c r="E1998" s="25"/>
      <c r="F1998" s="26"/>
    </row>
    <row r="1999" spans="1:6" ht="16.8" customHeight="1" x14ac:dyDescent="0.3">
      <c r="A1999" s="20">
        <v>43596</v>
      </c>
      <c r="B1999" s="31" t="s">
        <v>41</v>
      </c>
      <c r="C1999" s="31" t="s">
        <v>2684</v>
      </c>
      <c r="D1999" s="31" t="s">
        <v>2685</v>
      </c>
      <c r="E1999" s="25">
        <v>45874</v>
      </c>
      <c r="F1999" s="26" t="s">
        <v>4</v>
      </c>
    </row>
    <row r="2000" spans="1:6" ht="16.8" customHeight="1" x14ac:dyDescent="0.3">
      <c r="A2000" s="20">
        <v>43597</v>
      </c>
      <c r="B2000" s="31" t="s">
        <v>1035</v>
      </c>
      <c r="C2000" s="31" t="s">
        <v>211</v>
      </c>
      <c r="D2000" s="31" t="s">
        <v>742</v>
      </c>
      <c r="E2000" s="25">
        <v>45608</v>
      </c>
      <c r="F2000" s="26" t="s">
        <v>1</v>
      </c>
    </row>
    <row r="2001" spans="1:6" ht="16.8" customHeight="1" x14ac:dyDescent="0.3">
      <c r="A2001" s="20">
        <v>43598</v>
      </c>
      <c r="B2001" s="31" t="s">
        <v>1036</v>
      </c>
      <c r="C2001" s="31" t="s">
        <v>775</v>
      </c>
      <c r="D2001" s="31" t="s">
        <v>1037</v>
      </c>
      <c r="E2001" s="25">
        <v>45603</v>
      </c>
      <c r="F2001" s="26" t="s">
        <v>1</v>
      </c>
    </row>
    <row r="2002" spans="1:6" ht="16.8" customHeight="1" x14ac:dyDescent="0.3">
      <c r="A2002" s="20">
        <v>43599</v>
      </c>
      <c r="B2002" s="31" t="s">
        <v>1038</v>
      </c>
      <c r="C2002" s="31" t="s">
        <v>1039</v>
      </c>
      <c r="D2002" s="31" t="s">
        <v>98</v>
      </c>
      <c r="E2002" s="25">
        <v>45692</v>
      </c>
      <c r="F2002" s="26" t="s">
        <v>4</v>
      </c>
    </row>
    <row r="2003" spans="1:6" ht="16.8" customHeight="1" x14ac:dyDescent="0.3">
      <c r="A2003" s="20">
        <v>43600</v>
      </c>
      <c r="B2003" s="31"/>
      <c r="C2003" s="31"/>
      <c r="D2003" s="31"/>
      <c r="E2003" s="25"/>
      <c r="F2003" s="26"/>
    </row>
    <row r="2004" spans="1:6" ht="16.8" customHeight="1" x14ac:dyDescent="0.3">
      <c r="A2004" s="20">
        <v>43601</v>
      </c>
      <c r="B2004" s="31" t="s">
        <v>1040</v>
      </c>
      <c r="C2004" s="31" t="s">
        <v>260</v>
      </c>
      <c r="D2004" s="31" t="s">
        <v>615</v>
      </c>
      <c r="E2004" s="25">
        <v>45614</v>
      </c>
      <c r="F2004" s="26" t="s">
        <v>1</v>
      </c>
    </row>
    <row r="2005" spans="1:6" ht="16.8" customHeight="1" x14ac:dyDescent="0.3">
      <c r="A2005" s="20">
        <v>43602</v>
      </c>
      <c r="B2005" s="31" t="s">
        <v>439</v>
      </c>
      <c r="C2005" s="31" t="s">
        <v>133</v>
      </c>
      <c r="D2005" s="31" t="s">
        <v>770</v>
      </c>
      <c r="E2005" s="25">
        <v>45617</v>
      </c>
      <c r="F2005" s="26" t="s">
        <v>3</v>
      </c>
    </row>
    <row r="2006" spans="1:6" ht="16.8" customHeight="1" x14ac:dyDescent="0.3">
      <c r="A2006" s="20">
        <v>43603</v>
      </c>
      <c r="B2006" s="31" t="s">
        <v>446</v>
      </c>
      <c r="C2006" s="31" t="s">
        <v>75</v>
      </c>
      <c r="D2006" s="31" t="s">
        <v>615</v>
      </c>
      <c r="E2006" s="25">
        <v>45614</v>
      </c>
      <c r="F2006" s="26" t="s">
        <v>2</v>
      </c>
    </row>
    <row r="2007" spans="1:6" ht="16.8" customHeight="1" x14ac:dyDescent="0.3">
      <c r="A2007" s="20">
        <v>43604</v>
      </c>
      <c r="B2007" s="31" t="s">
        <v>1041</v>
      </c>
      <c r="C2007" s="31" t="s">
        <v>1042</v>
      </c>
      <c r="D2007" s="31" t="s">
        <v>1043</v>
      </c>
      <c r="E2007" s="25">
        <v>45603</v>
      </c>
      <c r="F2007" s="26" t="s">
        <v>1</v>
      </c>
    </row>
    <row r="2008" spans="1:6" ht="16.8" customHeight="1" x14ac:dyDescent="0.3">
      <c r="A2008" s="20">
        <v>43605</v>
      </c>
      <c r="B2008" s="31" t="s">
        <v>486</v>
      </c>
      <c r="C2008" s="31" t="s">
        <v>45</v>
      </c>
      <c r="D2008" s="31" t="s">
        <v>699</v>
      </c>
      <c r="E2008" s="25">
        <v>45614</v>
      </c>
      <c r="F2008" s="26" t="s">
        <v>1</v>
      </c>
    </row>
    <row r="2009" spans="1:6" ht="16.8" customHeight="1" x14ac:dyDescent="0.3">
      <c r="A2009" s="20">
        <v>43606</v>
      </c>
      <c r="B2009" s="31" t="s">
        <v>591</v>
      </c>
      <c r="C2009" s="31" t="s">
        <v>32</v>
      </c>
      <c r="D2009" s="31" t="s">
        <v>2101</v>
      </c>
      <c r="E2009" s="25">
        <v>45771</v>
      </c>
      <c r="F2009" s="26" t="s">
        <v>4</v>
      </c>
    </row>
    <row r="2010" spans="1:6" ht="16.8" customHeight="1" x14ac:dyDescent="0.3">
      <c r="A2010" s="20">
        <v>43607</v>
      </c>
      <c r="B2010" s="31"/>
      <c r="C2010" s="31"/>
      <c r="D2010" s="31"/>
      <c r="E2010" s="25"/>
      <c r="F2010" s="26"/>
    </row>
    <row r="2011" spans="1:6" ht="16.8" customHeight="1" x14ac:dyDescent="0.3">
      <c r="A2011" s="20">
        <v>43608</v>
      </c>
      <c r="B2011" s="31" t="s">
        <v>562</v>
      </c>
      <c r="C2011" s="31" t="s">
        <v>563</v>
      </c>
      <c r="D2011" s="31" t="s">
        <v>1044</v>
      </c>
      <c r="E2011" s="25">
        <v>45608</v>
      </c>
      <c r="F2011" s="26" t="s">
        <v>1</v>
      </c>
    </row>
    <row r="2012" spans="1:6" ht="16.8" customHeight="1" x14ac:dyDescent="0.3">
      <c r="A2012" s="20">
        <v>43609</v>
      </c>
      <c r="B2012" s="31" t="s">
        <v>903</v>
      </c>
      <c r="C2012" s="31" t="s">
        <v>260</v>
      </c>
      <c r="D2012" s="31" t="s">
        <v>1045</v>
      </c>
      <c r="E2012" s="25">
        <v>45614</v>
      </c>
      <c r="F2012" s="26" t="s">
        <v>8</v>
      </c>
    </row>
    <row r="2013" spans="1:6" ht="16.8" customHeight="1" x14ac:dyDescent="0.3">
      <c r="A2013" s="20">
        <v>43610</v>
      </c>
      <c r="B2013" s="31"/>
      <c r="C2013" s="31"/>
      <c r="D2013" s="31"/>
      <c r="E2013" s="25"/>
      <c r="F2013" s="26"/>
    </row>
    <row r="2014" spans="1:6" ht="16.8" customHeight="1" x14ac:dyDescent="0.3">
      <c r="A2014" s="20">
        <v>43611</v>
      </c>
      <c r="B2014" s="31" t="s">
        <v>36</v>
      </c>
      <c r="C2014" s="31" t="s">
        <v>240</v>
      </c>
      <c r="D2014" s="31" t="s">
        <v>891</v>
      </c>
      <c r="E2014" s="25">
        <v>45617</v>
      </c>
      <c r="F2014" s="26" t="s">
        <v>2</v>
      </c>
    </row>
    <row r="2015" spans="1:6" ht="16.8" customHeight="1" x14ac:dyDescent="0.3">
      <c r="A2015" s="20">
        <v>43612</v>
      </c>
      <c r="B2015" s="31" t="s">
        <v>41</v>
      </c>
      <c r="C2015" s="31" t="s">
        <v>138</v>
      </c>
      <c r="D2015" s="31" t="s">
        <v>98</v>
      </c>
      <c r="E2015" s="25">
        <v>45796</v>
      </c>
      <c r="F2015" s="26" t="s">
        <v>4</v>
      </c>
    </row>
    <row r="2016" spans="1:6" ht="16.8" customHeight="1" x14ac:dyDescent="0.3">
      <c r="A2016" s="20">
        <v>43613</v>
      </c>
      <c r="B2016" s="31" t="s">
        <v>808</v>
      </c>
      <c r="C2016" s="31" t="s">
        <v>1000</v>
      </c>
      <c r="D2016" s="31" t="s">
        <v>615</v>
      </c>
      <c r="E2016" s="25">
        <v>45614</v>
      </c>
      <c r="F2016" s="26" t="s">
        <v>1</v>
      </c>
    </row>
    <row r="2017" spans="1:6" ht="16.8" customHeight="1" x14ac:dyDescent="0.3">
      <c r="A2017" s="20">
        <v>43614</v>
      </c>
      <c r="B2017" s="31" t="s">
        <v>342</v>
      </c>
      <c r="C2017" s="31" t="s">
        <v>1046</v>
      </c>
      <c r="D2017" s="31" t="s">
        <v>1047</v>
      </c>
      <c r="E2017" s="25">
        <v>45603</v>
      </c>
      <c r="F2017" s="26" t="s">
        <v>1</v>
      </c>
    </row>
    <row r="2018" spans="1:6" ht="16.8" customHeight="1" x14ac:dyDescent="0.3">
      <c r="A2018" s="20">
        <v>43615</v>
      </c>
      <c r="B2018" s="31" t="s">
        <v>71</v>
      </c>
      <c r="C2018" s="31" t="s">
        <v>533</v>
      </c>
      <c r="D2018" s="31" t="s">
        <v>1048</v>
      </c>
      <c r="E2018" s="25">
        <v>45603</v>
      </c>
      <c r="F2018" s="26" t="s">
        <v>1</v>
      </c>
    </row>
    <row r="2019" spans="1:6" ht="16.8" customHeight="1" x14ac:dyDescent="0.3">
      <c r="A2019" s="20">
        <v>43616</v>
      </c>
      <c r="B2019" s="31"/>
      <c r="C2019" s="31"/>
      <c r="D2019" s="31"/>
      <c r="E2019" s="25"/>
      <c r="F2019" s="26"/>
    </row>
    <row r="2020" spans="1:6" ht="16.8" customHeight="1" x14ac:dyDescent="0.3">
      <c r="A2020" s="20">
        <v>43617</v>
      </c>
      <c r="B2020" s="31"/>
      <c r="C2020" s="31"/>
      <c r="D2020" s="31"/>
      <c r="E2020" s="25"/>
      <c r="F2020" s="26"/>
    </row>
    <row r="2021" spans="1:6" ht="16.8" customHeight="1" x14ac:dyDescent="0.3">
      <c r="A2021" s="20">
        <v>43618</v>
      </c>
      <c r="B2021" s="31" t="s">
        <v>559</v>
      </c>
      <c r="C2021" s="31" t="s">
        <v>45</v>
      </c>
      <c r="D2021" s="31" t="s">
        <v>671</v>
      </c>
      <c r="E2021" s="25">
        <v>45604</v>
      </c>
      <c r="F2021" s="26" t="s">
        <v>3</v>
      </c>
    </row>
    <row r="2022" spans="1:6" ht="16.8" customHeight="1" x14ac:dyDescent="0.3">
      <c r="A2022" s="20">
        <v>43619</v>
      </c>
      <c r="B2022" s="31" t="s">
        <v>41</v>
      </c>
      <c r="C2022" s="31" t="s">
        <v>2681</v>
      </c>
      <c r="D2022" s="31" t="s">
        <v>98</v>
      </c>
      <c r="E2022" s="25">
        <v>45874</v>
      </c>
      <c r="F2022" s="26" t="s">
        <v>4</v>
      </c>
    </row>
    <row r="2023" spans="1:6" ht="16.8" customHeight="1" x14ac:dyDescent="0.3">
      <c r="A2023" s="20">
        <v>43620</v>
      </c>
      <c r="B2023" s="31" t="s">
        <v>36</v>
      </c>
      <c r="C2023" s="31" t="s">
        <v>240</v>
      </c>
      <c r="D2023" s="31" t="s">
        <v>1049</v>
      </c>
      <c r="E2023" s="25">
        <v>45614</v>
      </c>
      <c r="F2023" s="26" t="s">
        <v>2</v>
      </c>
    </row>
    <row r="2024" spans="1:6" ht="16.8" customHeight="1" x14ac:dyDescent="0.3">
      <c r="A2024" s="20">
        <v>43621</v>
      </c>
      <c r="B2024" s="31" t="s">
        <v>570</v>
      </c>
      <c r="C2024" s="31" t="s">
        <v>453</v>
      </c>
      <c r="D2024" s="31" t="s">
        <v>1050</v>
      </c>
      <c r="E2024" s="25">
        <v>45608</v>
      </c>
      <c r="F2024" s="26" t="s">
        <v>1</v>
      </c>
    </row>
    <row r="2025" spans="1:6" ht="16.8" customHeight="1" x14ac:dyDescent="0.3">
      <c r="A2025" s="20">
        <v>43622</v>
      </c>
      <c r="B2025" s="31" t="s">
        <v>482</v>
      </c>
      <c r="C2025" s="31" t="s">
        <v>63</v>
      </c>
      <c r="D2025" s="31" t="s">
        <v>113</v>
      </c>
      <c r="E2025" s="25">
        <v>45615</v>
      </c>
      <c r="F2025" s="26" t="s">
        <v>1</v>
      </c>
    </row>
    <row r="2026" spans="1:6" ht="16.8" customHeight="1" x14ac:dyDescent="0.3">
      <c r="A2026" s="20">
        <v>43623</v>
      </c>
      <c r="B2026" s="31"/>
      <c r="C2026" s="31"/>
      <c r="D2026" s="31"/>
      <c r="E2026" s="25"/>
      <c r="F2026" s="26"/>
    </row>
    <row r="2027" spans="1:6" ht="16.8" customHeight="1" x14ac:dyDescent="0.3">
      <c r="A2027" s="20">
        <v>43624</v>
      </c>
      <c r="B2027" s="31"/>
      <c r="C2027" s="31"/>
      <c r="D2027" s="31"/>
      <c r="E2027" s="25"/>
      <c r="F2027" s="26"/>
    </row>
    <row r="2028" spans="1:6" ht="16.8" customHeight="1" x14ac:dyDescent="0.3">
      <c r="A2028" s="20">
        <v>43625</v>
      </c>
      <c r="B2028" s="31" t="s">
        <v>674</v>
      </c>
      <c r="C2028" s="31" t="s">
        <v>362</v>
      </c>
      <c r="D2028" s="31" t="s">
        <v>537</v>
      </c>
      <c r="E2028" s="25">
        <v>45618</v>
      </c>
      <c r="F2028" s="26" t="s">
        <v>1</v>
      </c>
    </row>
    <row r="2029" spans="1:6" ht="16.8" customHeight="1" x14ac:dyDescent="0.3">
      <c r="A2029" s="20">
        <v>43626</v>
      </c>
      <c r="B2029" s="31" t="s">
        <v>256</v>
      </c>
      <c r="C2029" s="31" t="s">
        <v>677</v>
      </c>
      <c r="D2029" s="31" t="s">
        <v>615</v>
      </c>
      <c r="E2029" s="25">
        <v>45608</v>
      </c>
      <c r="F2029" s="26" t="s">
        <v>1</v>
      </c>
    </row>
    <row r="2030" spans="1:6" ht="16.8" customHeight="1" x14ac:dyDescent="0.3">
      <c r="A2030" s="20">
        <v>43627</v>
      </c>
      <c r="B2030" s="31" t="s">
        <v>237</v>
      </c>
      <c r="C2030" s="31" t="s">
        <v>84</v>
      </c>
      <c r="D2030" s="31" t="s">
        <v>146</v>
      </c>
      <c r="E2030" s="25">
        <v>45608</v>
      </c>
      <c r="F2030" s="26" t="s">
        <v>1</v>
      </c>
    </row>
    <row r="2031" spans="1:6" ht="16.8" customHeight="1" x14ac:dyDescent="0.3">
      <c r="A2031" s="20">
        <v>43628</v>
      </c>
      <c r="B2031" s="31" t="s">
        <v>99</v>
      </c>
      <c r="C2031" s="31" t="s">
        <v>185</v>
      </c>
      <c r="D2031" s="31" t="s">
        <v>603</v>
      </c>
      <c r="E2031" s="25">
        <v>45621</v>
      </c>
      <c r="F2031" s="26" t="s">
        <v>1</v>
      </c>
    </row>
    <row r="2032" spans="1:6" ht="16.8" customHeight="1" x14ac:dyDescent="0.3">
      <c r="A2032" s="20">
        <v>43629</v>
      </c>
      <c r="B2032" s="31" t="s">
        <v>25</v>
      </c>
      <c r="C2032" s="31" t="s">
        <v>138</v>
      </c>
      <c r="D2032" s="31" t="s">
        <v>1051</v>
      </c>
      <c r="E2032" s="25">
        <v>45630</v>
      </c>
      <c r="F2032" s="26" t="s">
        <v>1</v>
      </c>
    </row>
    <row r="2033" spans="1:6" ht="16.8" customHeight="1" x14ac:dyDescent="0.3">
      <c r="A2033" s="20">
        <v>43630</v>
      </c>
      <c r="B2033" s="31" t="s">
        <v>41</v>
      </c>
      <c r="C2033" s="31" t="s">
        <v>1052</v>
      </c>
      <c r="D2033" s="31" t="s">
        <v>98</v>
      </c>
      <c r="E2033" s="25">
        <v>45614</v>
      </c>
      <c r="F2033" s="26" t="s">
        <v>4</v>
      </c>
    </row>
    <row r="2034" spans="1:6" ht="16.8" customHeight="1" x14ac:dyDescent="0.3">
      <c r="A2034" s="20">
        <v>43631</v>
      </c>
      <c r="B2034" s="31" t="s">
        <v>74</v>
      </c>
      <c r="C2034" s="31" t="s">
        <v>1053</v>
      </c>
      <c r="D2034" s="31" t="s">
        <v>145</v>
      </c>
      <c r="E2034" s="25">
        <v>45608</v>
      </c>
      <c r="F2034" s="26" t="s">
        <v>1</v>
      </c>
    </row>
    <row r="2035" spans="1:6" ht="16.8" customHeight="1" x14ac:dyDescent="0.3">
      <c r="A2035" s="20">
        <v>43632</v>
      </c>
      <c r="B2035" s="31" t="s">
        <v>65</v>
      </c>
      <c r="C2035" s="31" t="s">
        <v>84</v>
      </c>
      <c r="D2035" s="31" t="s">
        <v>788</v>
      </c>
      <c r="E2035" s="25">
        <v>45929</v>
      </c>
      <c r="F2035" s="26" t="s">
        <v>1</v>
      </c>
    </row>
    <row r="2036" spans="1:6" ht="16.8" customHeight="1" x14ac:dyDescent="0.3">
      <c r="A2036" s="20">
        <v>43633</v>
      </c>
      <c r="B2036" s="31" t="s">
        <v>34</v>
      </c>
      <c r="C2036" s="31" t="s">
        <v>1054</v>
      </c>
      <c r="D2036" s="31" t="s">
        <v>662</v>
      </c>
      <c r="E2036" s="25">
        <v>45608</v>
      </c>
      <c r="F2036" s="26" t="s">
        <v>8</v>
      </c>
    </row>
    <row r="2037" spans="1:6" ht="16.8" customHeight="1" x14ac:dyDescent="0.3">
      <c r="A2037" s="20">
        <v>43634</v>
      </c>
      <c r="B2037" s="31" t="s">
        <v>1055</v>
      </c>
      <c r="C2037" s="31"/>
      <c r="D2037" s="31" t="s">
        <v>933</v>
      </c>
      <c r="E2037" s="25">
        <v>45610</v>
      </c>
      <c r="F2037" s="26" t="s">
        <v>1</v>
      </c>
    </row>
    <row r="2038" spans="1:6" ht="16.8" customHeight="1" x14ac:dyDescent="0.3">
      <c r="A2038" s="20">
        <v>43635</v>
      </c>
      <c r="B2038" s="31"/>
      <c r="C2038" s="31"/>
      <c r="D2038" s="31"/>
      <c r="E2038" s="25"/>
      <c r="F2038" s="26"/>
    </row>
    <row r="2039" spans="1:6" ht="16.8" customHeight="1" x14ac:dyDescent="0.3">
      <c r="A2039" s="20">
        <v>43636</v>
      </c>
      <c r="B2039" s="31" t="s">
        <v>71</v>
      </c>
      <c r="C2039" s="31" t="s">
        <v>57</v>
      </c>
      <c r="D2039" s="31" t="s">
        <v>1056</v>
      </c>
      <c r="E2039" s="25">
        <v>45609</v>
      </c>
      <c r="F2039" s="26" t="s">
        <v>1</v>
      </c>
    </row>
    <row r="2040" spans="1:6" ht="16.8" customHeight="1" x14ac:dyDescent="0.3">
      <c r="A2040" s="20">
        <v>43637</v>
      </c>
      <c r="B2040" s="31" t="s">
        <v>1097</v>
      </c>
      <c r="C2040" s="31" t="s">
        <v>106</v>
      </c>
      <c r="D2040" s="31" t="s">
        <v>1732</v>
      </c>
      <c r="E2040" s="25">
        <v>45902</v>
      </c>
      <c r="F2040" s="26" t="s">
        <v>2</v>
      </c>
    </row>
    <row r="2041" spans="1:6" ht="16.8" customHeight="1" x14ac:dyDescent="0.3">
      <c r="A2041" s="20">
        <v>43638</v>
      </c>
      <c r="B2041" s="31"/>
      <c r="C2041" s="31"/>
      <c r="D2041" s="31"/>
      <c r="E2041" s="25"/>
      <c r="F2041" s="26"/>
    </row>
    <row r="2042" spans="1:6" ht="16.8" customHeight="1" x14ac:dyDescent="0.3">
      <c r="A2042" s="20">
        <v>43639</v>
      </c>
      <c r="B2042" s="31" t="s">
        <v>73</v>
      </c>
      <c r="C2042" s="31" t="s">
        <v>1057</v>
      </c>
      <c r="D2042" s="31" t="s">
        <v>1058</v>
      </c>
      <c r="E2042" s="25">
        <v>45677</v>
      </c>
      <c r="F2042" s="26" t="s">
        <v>1</v>
      </c>
    </row>
    <row r="2043" spans="1:6" ht="16.8" customHeight="1" x14ac:dyDescent="0.3">
      <c r="A2043" s="20">
        <v>43640</v>
      </c>
      <c r="B2043" s="31"/>
      <c r="C2043" s="31"/>
      <c r="D2043" s="31"/>
      <c r="E2043" s="25"/>
      <c r="F2043" s="26"/>
    </row>
    <row r="2044" spans="1:6" ht="16.8" customHeight="1" x14ac:dyDescent="0.3">
      <c r="A2044" s="20">
        <v>43641</v>
      </c>
      <c r="B2044" s="31"/>
      <c r="C2044" s="31"/>
      <c r="D2044" s="31"/>
      <c r="E2044" s="25"/>
      <c r="F2044" s="26"/>
    </row>
    <row r="2045" spans="1:6" ht="16.8" customHeight="1" x14ac:dyDescent="0.3">
      <c r="A2045" s="20">
        <v>43642</v>
      </c>
      <c r="B2045" s="31" t="s">
        <v>1059</v>
      </c>
      <c r="C2045" s="31" t="s">
        <v>32</v>
      </c>
      <c r="D2045" s="31" t="s">
        <v>991</v>
      </c>
      <c r="E2045" s="25">
        <v>45618</v>
      </c>
      <c r="F2045" s="26" t="s">
        <v>6</v>
      </c>
    </row>
    <row r="2046" spans="1:6" ht="16.8" customHeight="1" x14ac:dyDescent="0.3">
      <c r="A2046" s="20">
        <v>43643</v>
      </c>
      <c r="B2046" s="31" t="s">
        <v>1059</v>
      </c>
      <c r="C2046" s="31" t="s">
        <v>106</v>
      </c>
      <c r="D2046" s="31" t="s">
        <v>1060</v>
      </c>
      <c r="E2046" s="25">
        <v>45618</v>
      </c>
      <c r="F2046" s="26" t="s">
        <v>6</v>
      </c>
    </row>
    <row r="2047" spans="1:6" ht="16.8" customHeight="1" x14ac:dyDescent="0.3">
      <c r="A2047" s="20">
        <v>43644</v>
      </c>
      <c r="B2047" s="31" t="s">
        <v>1059</v>
      </c>
      <c r="C2047" s="31" t="s">
        <v>32</v>
      </c>
      <c r="D2047" s="31" t="s">
        <v>671</v>
      </c>
      <c r="E2047" s="25">
        <v>45618</v>
      </c>
      <c r="F2047" s="26" t="s">
        <v>6</v>
      </c>
    </row>
    <row r="2048" spans="1:6" ht="16.8" customHeight="1" x14ac:dyDescent="0.3">
      <c r="A2048" s="20">
        <v>43645</v>
      </c>
      <c r="B2048" s="31" t="s">
        <v>1061</v>
      </c>
      <c r="C2048" s="31" t="s">
        <v>1021</v>
      </c>
      <c r="D2048" s="31" t="s">
        <v>615</v>
      </c>
      <c r="E2048" s="25">
        <v>45615</v>
      </c>
      <c r="F2048" s="26" t="s">
        <v>1</v>
      </c>
    </row>
    <row r="2049" spans="1:6" ht="16.8" customHeight="1" x14ac:dyDescent="0.3">
      <c r="A2049" s="20">
        <v>43646</v>
      </c>
      <c r="B2049" s="31"/>
      <c r="C2049" s="31"/>
      <c r="D2049" s="31"/>
      <c r="E2049" s="25"/>
      <c r="F2049" s="26"/>
    </row>
    <row r="2050" spans="1:6" ht="16.8" customHeight="1" x14ac:dyDescent="0.3">
      <c r="A2050" s="20">
        <v>43647</v>
      </c>
      <c r="B2050" s="31" t="s">
        <v>687</v>
      </c>
      <c r="C2050" s="31" t="s">
        <v>688</v>
      </c>
      <c r="D2050" s="31" t="s">
        <v>401</v>
      </c>
      <c r="E2050" s="25">
        <v>45617</v>
      </c>
      <c r="F2050" s="26" t="s">
        <v>8</v>
      </c>
    </row>
    <row r="2051" spans="1:6" ht="16.8" customHeight="1" x14ac:dyDescent="0.3">
      <c r="A2051" s="20">
        <v>43648</v>
      </c>
      <c r="B2051" s="31"/>
      <c r="C2051" s="31"/>
      <c r="D2051" s="31"/>
      <c r="E2051" s="25"/>
      <c r="F2051" s="26"/>
    </row>
    <row r="2052" spans="1:6" ht="16.8" customHeight="1" x14ac:dyDescent="0.3">
      <c r="A2052" s="20">
        <v>43649</v>
      </c>
      <c r="B2052" s="31"/>
      <c r="C2052" s="31"/>
      <c r="D2052" s="31"/>
      <c r="E2052" s="25"/>
      <c r="F2052" s="26"/>
    </row>
    <row r="2053" spans="1:6" ht="16.8" customHeight="1" x14ac:dyDescent="0.3">
      <c r="A2053" s="20">
        <v>43650</v>
      </c>
      <c r="B2053" s="31" t="s">
        <v>71</v>
      </c>
      <c r="C2053" s="31" t="s">
        <v>533</v>
      </c>
      <c r="D2053" s="31" t="s">
        <v>1062</v>
      </c>
      <c r="E2053" s="25">
        <v>45624</v>
      </c>
      <c r="F2053" s="26" t="s">
        <v>2</v>
      </c>
    </row>
    <row r="2054" spans="1:6" ht="16.8" customHeight="1" x14ac:dyDescent="0.3">
      <c r="A2054" s="20">
        <v>43651</v>
      </c>
      <c r="B2054" s="31" t="s">
        <v>1063</v>
      </c>
      <c r="C2054" s="31"/>
      <c r="D2054" s="31" t="s">
        <v>27</v>
      </c>
      <c r="E2054" s="25">
        <v>45609</v>
      </c>
      <c r="F2054" s="26" t="s">
        <v>1</v>
      </c>
    </row>
    <row r="2055" spans="1:6" ht="16.8" customHeight="1" x14ac:dyDescent="0.3">
      <c r="A2055" s="20">
        <v>43652</v>
      </c>
      <c r="B2055" s="31"/>
      <c r="C2055" s="31"/>
      <c r="D2055" s="31"/>
      <c r="E2055" s="25"/>
      <c r="F2055" s="26"/>
    </row>
    <row r="2056" spans="1:6" ht="16.8" customHeight="1" x14ac:dyDescent="0.3">
      <c r="A2056" s="20">
        <v>43653</v>
      </c>
      <c r="B2056" s="31"/>
      <c r="C2056" s="31"/>
      <c r="D2056" s="31"/>
      <c r="E2056" s="25"/>
      <c r="F2056" s="26"/>
    </row>
    <row r="2057" spans="1:6" ht="16.8" customHeight="1" x14ac:dyDescent="0.3">
      <c r="A2057" s="20">
        <v>43654</v>
      </c>
      <c r="B2057" s="31" t="s">
        <v>845</v>
      </c>
      <c r="C2057" s="31" t="s">
        <v>1064</v>
      </c>
      <c r="D2057" s="31" t="s">
        <v>1065</v>
      </c>
      <c r="E2057" s="25">
        <v>45621</v>
      </c>
      <c r="F2057" s="26" t="s">
        <v>1</v>
      </c>
    </row>
    <row r="2058" spans="1:6" ht="16.8" customHeight="1" x14ac:dyDescent="0.3">
      <c r="A2058" s="20">
        <v>43655</v>
      </c>
      <c r="B2058" s="31" t="s">
        <v>74</v>
      </c>
      <c r="C2058" s="31" t="s">
        <v>367</v>
      </c>
      <c r="D2058" s="31" t="s">
        <v>146</v>
      </c>
      <c r="E2058" s="25">
        <v>45622</v>
      </c>
      <c r="F2058" s="26" t="s">
        <v>3</v>
      </c>
    </row>
    <row r="2059" spans="1:6" ht="16.8" customHeight="1" x14ac:dyDescent="0.3">
      <c r="A2059" s="20">
        <v>43656</v>
      </c>
      <c r="B2059" s="31"/>
      <c r="C2059" s="31"/>
      <c r="D2059" s="31"/>
      <c r="E2059" s="25"/>
      <c r="F2059" s="26"/>
    </row>
    <row r="2060" spans="1:6" ht="16.8" customHeight="1" x14ac:dyDescent="0.3">
      <c r="A2060" s="20">
        <v>43657</v>
      </c>
      <c r="B2060" s="31"/>
      <c r="C2060" s="31"/>
      <c r="D2060" s="31"/>
      <c r="E2060" s="25"/>
      <c r="F2060" s="26"/>
    </row>
    <row r="2061" spans="1:6" ht="16.8" customHeight="1" x14ac:dyDescent="0.3">
      <c r="A2061" s="20">
        <v>43658</v>
      </c>
      <c r="B2061" s="31"/>
      <c r="C2061" s="31"/>
      <c r="D2061" s="31"/>
      <c r="E2061" s="25"/>
      <c r="F2061" s="26"/>
    </row>
    <row r="2062" spans="1:6" ht="16.8" customHeight="1" x14ac:dyDescent="0.3">
      <c r="A2062" s="20">
        <v>43659</v>
      </c>
      <c r="B2062" s="31"/>
      <c r="C2062" s="31"/>
      <c r="D2062" s="31"/>
      <c r="E2062" s="25"/>
      <c r="F2062" s="26"/>
    </row>
    <row r="2063" spans="1:6" ht="16.8" customHeight="1" x14ac:dyDescent="0.3">
      <c r="A2063" s="20">
        <v>43660</v>
      </c>
      <c r="B2063" s="31" t="s">
        <v>1066</v>
      </c>
      <c r="C2063" s="31" t="s">
        <v>544</v>
      </c>
      <c r="D2063" s="31" t="s">
        <v>85</v>
      </c>
      <c r="E2063" s="25">
        <v>45625</v>
      </c>
      <c r="F2063" s="26" t="s">
        <v>1</v>
      </c>
    </row>
    <row r="2064" spans="1:6" ht="16.8" customHeight="1" x14ac:dyDescent="0.3">
      <c r="A2064" s="20">
        <v>43661</v>
      </c>
      <c r="B2064" s="31" t="s">
        <v>560</v>
      </c>
      <c r="C2064" s="31" t="s">
        <v>45</v>
      </c>
      <c r="D2064" s="31" t="s">
        <v>1067</v>
      </c>
      <c r="E2064" s="25">
        <v>45617</v>
      </c>
      <c r="F2064" s="26" t="s">
        <v>5</v>
      </c>
    </row>
    <row r="2065" spans="1:6" ht="16.8" customHeight="1" x14ac:dyDescent="0.3">
      <c r="A2065" s="20">
        <v>43662</v>
      </c>
      <c r="B2065" s="31" t="s">
        <v>468</v>
      </c>
      <c r="C2065" s="31" t="s">
        <v>45</v>
      </c>
      <c r="D2065" s="31" t="s">
        <v>1068</v>
      </c>
      <c r="E2065" s="25">
        <v>45621</v>
      </c>
      <c r="F2065" s="26" t="s">
        <v>12</v>
      </c>
    </row>
    <row r="2066" spans="1:6" ht="16.8" customHeight="1" x14ac:dyDescent="0.3">
      <c r="A2066" s="20">
        <v>43663</v>
      </c>
      <c r="B2066" s="31" t="s">
        <v>468</v>
      </c>
      <c r="C2066" s="31" t="s">
        <v>45</v>
      </c>
      <c r="D2066" s="31" t="s">
        <v>784</v>
      </c>
      <c r="E2066" s="25">
        <v>45621</v>
      </c>
      <c r="F2066" s="26" t="s">
        <v>12</v>
      </c>
    </row>
    <row r="2067" spans="1:6" ht="16.8" customHeight="1" x14ac:dyDescent="0.3">
      <c r="A2067" s="20">
        <v>43664</v>
      </c>
      <c r="B2067" s="31" t="s">
        <v>486</v>
      </c>
      <c r="C2067" s="31" t="s">
        <v>179</v>
      </c>
      <c r="D2067" s="31" t="s">
        <v>1958</v>
      </c>
      <c r="E2067" s="25">
        <v>45706</v>
      </c>
      <c r="F2067" s="26" t="s">
        <v>6</v>
      </c>
    </row>
    <row r="2068" spans="1:6" ht="16.8" customHeight="1" x14ac:dyDescent="0.3">
      <c r="A2068" s="20">
        <v>43665</v>
      </c>
      <c r="B2068" s="31" t="s">
        <v>164</v>
      </c>
      <c r="C2068" s="31" t="s">
        <v>453</v>
      </c>
      <c r="D2068" s="31" t="s">
        <v>615</v>
      </c>
      <c r="E2068" s="25">
        <v>45621</v>
      </c>
      <c r="F2068" s="26" t="s">
        <v>1</v>
      </c>
    </row>
    <row r="2069" spans="1:6" ht="16.8" customHeight="1" x14ac:dyDescent="0.3">
      <c r="A2069" s="20">
        <v>43666</v>
      </c>
      <c r="B2069" s="31" t="s">
        <v>439</v>
      </c>
      <c r="C2069" s="31" t="s">
        <v>133</v>
      </c>
      <c r="D2069" s="31" t="s">
        <v>880</v>
      </c>
      <c r="E2069" s="25">
        <v>45617</v>
      </c>
      <c r="F2069" s="26" t="s">
        <v>3</v>
      </c>
    </row>
    <row r="2070" spans="1:6" ht="16.8" customHeight="1" x14ac:dyDescent="0.3">
      <c r="A2070" s="20">
        <v>43667</v>
      </c>
      <c r="B2070" s="31" t="s">
        <v>1069</v>
      </c>
      <c r="C2070" s="31" t="s">
        <v>179</v>
      </c>
      <c r="D2070" s="31" t="s">
        <v>1070</v>
      </c>
      <c r="E2070" s="25">
        <v>45666</v>
      </c>
      <c r="F2070" s="26" t="s">
        <v>1</v>
      </c>
    </row>
    <row r="2071" spans="1:6" ht="16.8" customHeight="1" x14ac:dyDescent="0.3">
      <c r="A2071" s="20">
        <v>43668</v>
      </c>
      <c r="B2071" s="31"/>
      <c r="C2071" s="31"/>
      <c r="D2071" s="31"/>
      <c r="E2071" s="25"/>
      <c r="F2071" s="26"/>
    </row>
    <row r="2072" spans="1:6" ht="16.8" customHeight="1" x14ac:dyDescent="0.3">
      <c r="A2072" s="20">
        <v>43669</v>
      </c>
      <c r="B2072" s="31"/>
      <c r="C2072" s="31"/>
      <c r="D2072" s="31"/>
      <c r="E2072" s="25"/>
      <c r="F2072" s="26"/>
    </row>
    <row r="2073" spans="1:6" ht="16.8" customHeight="1" x14ac:dyDescent="0.3">
      <c r="A2073" s="20">
        <v>43670</v>
      </c>
      <c r="B2073" s="31"/>
      <c r="C2073" s="31"/>
      <c r="D2073" s="31"/>
      <c r="E2073" s="25"/>
      <c r="F2073" s="26"/>
    </row>
    <row r="2074" spans="1:6" ht="16.8" customHeight="1" x14ac:dyDescent="0.3">
      <c r="A2074" s="20">
        <v>43671</v>
      </c>
      <c r="B2074" s="31"/>
      <c r="C2074" s="31"/>
      <c r="D2074" s="31"/>
      <c r="E2074" s="25"/>
      <c r="F2074" s="26"/>
    </row>
    <row r="2075" spans="1:6" ht="16.8" customHeight="1" x14ac:dyDescent="0.3">
      <c r="A2075" s="20">
        <v>43672</v>
      </c>
      <c r="B2075" s="31"/>
      <c r="C2075" s="31"/>
      <c r="D2075" s="31"/>
      <c r="E2075" s="25"/>
      <c r="F2075" s="26"/>
    </row>
    <row r="2076" spans="1:6" ht="16.8" customHeight="1" x14ac:dyDescent="0.3">
      <c r="A2076" s="20">
        <v>43673</v>
      </c>
      <c r="B2076" s="31"/>
      <c r="C2076" s="31"/>
      <c r="D2076" s="31"/>
      <c r="E2076" s="25"/>
      <c r="F2076" s="26"/>
    </row>
    <row r="2077" spans="1:6" ht="16.8" customHeight="1" x14ac:dyDescent="0.3">
      <c r="A2077" s="20">
        <v>43674</v>
      </c>
      <c r="B2077" s="31"/>
      <c r="C2077" s="31"/>
      <c r="D2077" s="31"/>
      <c r="E2077" s="25"/>
      <c r="F2077" s="26"/>
    </row>
    <row r="2078" spans="1:6" ht="16.8" customHeight="1" x14ac:dyDescent="0.3">
      <c r="A2078" s="20">
        <v>43675</v>
      </c>
      <c r="B2078" s="31" t="s">
        <v>1071</v>
      </c>
      <c r="C2078" s="31" t="s">
        <v>204</v>
      </c>
      <c r="D2078" s="31" t="s">
        <v>1072</v>
      </c>
      <c r="E2078" s="25">
        <v>45665</v>
      </c>
      <c r="F2078" s="26" t="s">
        <v>1</v>
      </c>
    </row>
    <row r="2079" spans="1:6" ht="16.8" customHeight="1" x14ac:dyDescent="0.3">
      <c r="A2079" s="20">
        <v>43676</v>
      </c>
      <c r="B2079" s="31" t="s">
        <v>164</v>
      </c>
      <c r="C2079" s="31" t="s">
        <v>453</v>
      </c>
      <c r="D2079" s="31" t="s">
        <v>525</v>
      </c>
      <c r="E2079" s="25">
        <v>45684</v>
      </c>
      <c r="F2079" s="26" t="s">
        <v>1</v>
      </c>
    </row>
    <row r="2080" spans="1:6" ht="16.8" customHeight="1" x14ac:dyDescent="0.3">
      <c r="A2080" s="20">
        <v>43677</v>
      </c>
      <c r="B2080" s="31" t="s">
        <v>41</v>
      </c>
      <c r="C2080" s="31" t="s">
        <v>227</v>
      </c>
      <c r="D2080" s="31" t="s">
        <v>1948</v>
      </c>
      <c r="E2080" s="25">
        <v>45929</v>
      </c>
      <c r="F2080" s="26" t="s">
        <v>4</v>
      </c>
    </row>
    <row r="2081" spans="1:6" ht="16.8" customHeight="1" x14ac:dyDescent="0.3">
      <c r="A2081" s="20">
        <v>43678</v>
      </c>
      <c r="B2081" s="31" t="s">
        <v>1073</v>
      </c>
      <c r="C2081" s="31" t="s">
        <v>305</v>
      </c>
      <c r="D2081" s="31" t="s">
        <v>27</v>
      </c>
      <c r="E2081" s="25">
        <v>45622</v>
      </c>
      <c r="F2081" s="26" t="s">
        <v>1</v>
      </c>
    </row>
    <row r="2082" spans="1:6" ht="16.8" customHeight="1" x14ac:dyDescent="0.3">
      <c r="A2082" s="20">
        <v>43679</v>
      </c>
      <c r="B2082" s="31" t="s">
        <v>71</v>
      </c>
      <c r="C2082" s="31" t="s">
        <v>106</v>
      </c>
      <c r="D2082" s="31" t="s">
        <v>1074</v>
      </c>
      <c r="E2082" s="25">
        <v>45625</v>
      </c>
      <c r="F2082" s="26" t="s">
        <v>2</v>
      </c>
    </row>
    <row r="2083" spans="1:6" ht="16.8" customHeight="1" x14ac:dyDescent="0.3">
      <c r="A2083" s="20">
        <v>43680</v>
      </c>
      <c r="B2083" s="31" t="s">
        <v>1075</v>
      </c>
      <c r="C2083" s="31" t="s">
        <v>133</v>
      </c>
      <c r="D2083" s="31" t="s">
        <v>356</v>
      </c>
      <c r="E2083" s="25">
        <v>45622</v>
      </c>
      <c r="F2083" s="26" t="s">
        <v>1</v>
      </c>
    </row>
    <row r="2084" spans="1:6" ht="16.8" customHeight="1" x14ac:dyDescent="0.3">
      <c r="A2084" s="20">
        <v>43681</v>
      </c>
      <c r="B2084" s="31" t="s">
        <v>34</v>
      </c>
      <c r="C2084" s="31" t="s">
        <v>204</v>
      </c>
      <c r="D2084" s="31" t="s">
        <v>146</v>
      </c>
      <c r="E2084" s="25">
        <v>45622</v>
      </c>
      <c r="F2084" s="26" t="s">
        <v>1</v>
      </c>
    </row>
    <row r="2085" spans="1:6" ht="16.8" customHeight="1" x14ac:dyDescent="0.3">
      <c r="A2085" s="20">
        <v>43682</v>
      </c>
      <c r="B2085" s="31" t="s">
        <v>661</v>
      </c>
      <c r="C2085" s="31" t="s">
        <v>133</v>
      </c>
      <c r="D2085" s="31" t="s">
        <v>1076</v>
      </c>
      <c r="E2085" s="25">
        <v>45625</v>
      </c>
      <c r="F2085" s="26" t="s">
        <v>1</v>
      </c>
    </row>
    <row r="2086" spans="1:6" ht="16.8" customHeight="1" x14ac:dyDescent="0.3">
      <c r="A2086" s="20">
        <v>43683</v>
      </c>
      <c r="B2086" s="31"/>
      <c r="C2086" s="31"/>
      <c r="D2086" s="31"/>
      <c r="E2086" s="25"/>
      <c r="F2086" s="26"/>
    </row>
    <row r="2087" spans="1:6" ht="16.8" customHeight="1" x14ac:dyDescent="0.3">
      <c r="A2087" s="20">
        <v>43684</v>
      </c>
      <c r="B2087" s="31"/>
      <c r="C2087" s="31"/>
      <c r="D2087" s="31"/>
      <c r="E2087" s="25"/>
      <c r="F2087" s="26"/>
    </row>
    <row r="2088" spans="1:6" ht="16.8" customHeight="1" x14ac:dyDescent="0.3">
      <c r="A2088" s="20">
        <v>43685</v>
      </c>
      <c r="B2088" s="31"/>
      <c r="C2088" s="31"/>
      <c r="D2088" s="31"/>
      <c r="E2088" s="25"/>
      <c r="F2088" s="26"/>
    </row>
    <row r="2089" spans="1:6" ht="16.8" customHeight="1" x14ac:dyDescent="0.3">
      <c r="A2089" s="20">
        <v>43686</v>
      </c>
      <c r="B2089" s="31" t="s">
        <v>1026</v>
      </c>
      <c r="C2089" s="31" t="s">
        <v>362</v>
      </c>
      <c r="D2089" s="31" t="s">
        <v>1077</v>
      </c>
      <c r="E2089" s="25">
        <v>45635</v>
      </c>
      <c r="F2089" s="26" t="s">
        <v>1</v>
      </c>
    </row>
    <row r="2090" spans="1:6" ht="16.8" customHeight="1" x14ac:dyDescent="0.3">
      <c r="A2090" s="20">
        <v>43687</v>
      </c>
      <c r="B2090" s="31" t="s">
        <v>236</v>
      </c>
      <c r="C2090" s="31"/>
      <c r="D2090" s="31" t="s">
        <v>27</v>
      </c>
      <c r="E2090" s="25">
        <v>45622</v>
      </c>
      <c r="F2090" s="26" t="s">
        <v>1</v>
      </c>
    </row>
    <row r="2091" spans="1:6" ht="16.8" customHeight="1" x14ac:dyDescent="0.3">
      <c r="A2091" s="20">
        <v>43688</v>
      </c>
      <c r="B2091" s="31" t="s">
        <v>1040</v>
      </c>
      <c r="C2091" s="31" t="s">
        <v>260</v>
      </c>
      <c r="D2091" s="31" t="s">
        <v>615</v>
      </c>
      <c r="E2091" s="25">
        <v>45625</v>
      </c>
      <c r="F2091" s="26" t="s">
        <v>1</v>
      </c>
    </row>
    <row r="2092" spans="1:6" ht="16.8" customHeight="1" x14ac:dyDescent="0.3">
      <c r="A2092" s="20">
        <v>43689</v>
      </c>
      <c r="B2092" s="31" t="s">
        <v>237</v>
      </c>
      <c r="C2092" s="31" t="s">
        <v>84</v>
      </c>
      <c r="D2092" s="31" t="s">
        <v>1078</v>
      </c>
      <c r="E2092" s="25">
        <v>45686</v>
      </c>
      <c r="F2092" s="26" t="s">
        <v>1</v>
      </c>
    </row>
    <row r="2093" spans="1:6" ht="16.8" customHeight="1" x14ac:dyDescent="0.3">
      <c r="A2093" s="20">
        <v>43690</v>
      </c>
      <c r="B2093" s="31"/>
      <c r="C2093" s="31"/>
      <c r="D2093" s="31"/>
      <c r="E2093" s="25"/>
      <c r="F2093" s="26"/>
    </row>
    <row r="2094" spans="1:6" ht="16.8" customHeight="1" x14ac:dyDescent="0.3">
      <c r="A2094" s="20">
        <v>43691</v>
      </c>
      <c r="B2094" s="31"/>
      <c r="C2094" s="31"/>
      <c r="D2094" s="31"/>
      <c r="E2094" s="25"/>
      <c r="F2094" s="26"/>
    </row>
    <row r="2095" spans="1:6" ht="16.8" customHeight="1" x14ac:dyDescent="0.3">
      <c r="A2095" s="20">
        <v>43692</v>
      </c>
      <c r="B2095" s="31" t="s">
        <v>290</v>
      </c>
      <c r="C2095" s="31" t="s">
        <v>63</v>
      </c>
      <c r="D2095" s="31" t="s">
        <v>1079</v>
      </c>
      <c r="E2095" s="25">
        <v>45625</v>
      </c>
      <c r="F2095" s="26" t="s">
        <v>1</v>
      </c>
    </row>
    <row r="2096" spans="1:6" ht="16.8" customHeight="1" x14ac:dyDescent="0.3">
      <c r="A2096" s="20">
        <v>43693</v>
      </c>
      <c r="B2096" s="31" t="s">
        <v>808</v>
      </c>
      <c r="C2096" s="31"/>
      <c r="D2096" s="31" t="s">
        <v>1080</v>
      </c>
      <c r="E2096" s="25">
        <v>45631</v>
      </c>
      <c r="F2096" s="26" t="s">
        <v>1</v>
      </c>
    </row>
    <row r="2097" spans="1:6" ht="16.8" customHeight="1" x14ac:dyDescent="0.3">
      <c r="A2097" s="20">
        <v>43694</v>
      </c>
      <c r="B2097" s="31" t="s">
        <v>2039</v>
      </c>
      <c r="C2097" s="31" t="s">
        <v>120</v>
      </c>
      <c r="D2097" s="31" t="s">
        <v>121</v>
      </c>
      <c r="E2097" s="25">
        <v>45741</v>
      </c>
      <c r="F2097" s="26" t="s">
        <v>4</v>
      </c>
    </row>
    <row r="2098" spans="1:6" ht="16.8" customHeight="1" x14ac:dyDescent="0.3">
      <c r="A2098" s="20">
        <v>43695</v>
      </c>
      <c r="B2098" s="31" t="s">
        <v>1081</v>
      </c>
      <c r="C2098" s="31" t="s">
        <v>254</v>
      </c>
      <c r="D2098" s="31" t="s">
        <v>1012</v>
      </c>
      <c r="E2098" s="25">
        <v>45630</v>
      </c>
      <c r="F2098" s="26" t="s">
        <v>6</v>
      </c>
    </row>
    <row r="2099" spans="1:6" ht="16.8" customHeight="1" x14ac:dyDescent="0.3">
      <c r="A2099" s="20">
        <v>43696</v>
      </c>
      <c r="B2099" s="31" t="s">
        <v>1082</v>
      </c>
      <c r="C2099" s="31" t="s">
        <v>1083</v>
      </c>
      <c r="D2099" s="31" t="s">
        <v>85</v>
      </c>
      <c r="E2099" s="25">
        <v>45693</v>
      </c>
      <c r="F2099" s="26" t="s">
        <v>1</v>
      </c>
    </row>
    <row r="2100" spans="1:6" ht="16.8" customHeight="1" x14ac:dyDescent="0.3">
      <c r="A2100" s="20">
        <v>43697</v>
      </c>
      <c r="B2100" s="31" t="s">
        <v>328</v>
      </c>
      <c r="C2100" s="31" t="s">
        <v>487</v>
      </c>
      <c r="D2100" s="31" t="s">
        <v>1084</v>
      </c>
      <c r="E2100" s="25">
        <v>45629</v>
      </c>
      <c r="F2100" s="26" t="s">
        <v>1</v>
      </c>
    </row>
    <row r="2101" spans="1:6" ht="16.8" customHeight="1" x14ac:dyDescent="0.3">
      <c r="A2101" s="20">
        <v>43698</v>
      </c>
      <c r="B2101" s="31" t="s">
        <v>225</v>
      </c>
      <c r="C2101" s="31" t="s">
        <v>32</v>
      </c>
      <c r="D2101" s="31" t="s">
        <v>485</v>
      </c>
      <c r="E2101" s="25">
        <v>45632</v>
      </c>
      <c r="F2101" s="26" t="s">
        <v>1</v>
      </c>
    </row>
    <row r="2102" spans="1:6" ht="16.8" customHeight="1" x14ac:dyDescent="0.3">
      <c r="A2102" s="20">
        <v>43699</v>
      </c>
      <c r="B2102" s="31" t="s">
        <v>411</v>
      </c>
      <c r="C2102" s="31" t="s">
        <v>179</v>
      </c>
      <c r="D2102" s="31" t="s">
        <v>947</v>
      </c>
      <c r="E2102" s="25">
        <v>45701</v>
      </c>
      <c r="F2102" s="26" t="s">
        <v>1</v>
      </c>
    </row>
    <row r="2103" spans="1:6" ht="16.8" customHeight="1" x14ac:dyDescent="0.3">
      <c r="A2103" s="20">
        <v>43700</v>
      </c>
      <c r="B2103" s="31"/>
      <c r="C2103" s="31"/>
      <c r="D2103" s="31"/>
      <c r="E2103" s="25"/>
      <c r="F2103" s="26"/>
    </row>
    <row r="2104" spans="1:6" ht="16.8" customHeight="1" x14ac:dyDescent="0.3">
      <c r="A2104" s="20">
        <v>43701</v>
      </c>
      <c r="B2104" s="31"/>
      <c r="C2104" s="31"/>
      <c r="D2104" s="31"/>
      <c r="E2104" s="25"/>
      <c r="F2104" s="26"/>
    </row>
    <row r="2105" spans="1:6" ht="16.8" customHeight="1" x14ac:dyDescent="0.3">
      <c r="A2105" s="20">
        <v>43702</v>
      </c>
      <c r="B2105" s="31" t="s">
        <v>758</v>
      </c>
      <c r="C2105" s="31" t="s">
        <v>706</v>
      </c>
      <c r="D2105" s="31" t="s">
        <v>121</v>
      </c>
      <c r="E2105" s="25">
        <v>45735</v>
      </c>
      <c r="F2105" s="26" t="s">
        <v>4</v>
      </c>
    </row>
    <row r="2106" spans="1:6" ht="16.8" customHeight="1" x14ac:dyDescent="0.3">
      <c r="A2106" s="20">
        <v>43703</v>
      </c>
      <c r="B2106" s="31" t="s">
        <v>187</v>
      </c>
      <c r="C2106" s="31" t="s">
        <v>106</v>
      </c>
      <c r="D2106" s="31" t="s">
        <v>1085</v>
      </c>
      <c r="E2106" s="25">
        <v>45630</v>
      </c>
      <c r="F2106" s="26" t="s">
        <v>1</v>
      </c>
    </row>
    <row r="2107" spans="1:6" ht="16.8" customHeight="1" x14ac:dyDescent="0.3">
      <c r="A2107" s="20">
        <v>43704</v>
      </c>
      <c r="B2107" s="31" t="s">
        <v>653</v>
      </c>
      <c r="C2107" s="31" t="s">
        <v>94</v>
      </c>
      <c r="D2107" s="31" t="s">
        <v>1086</v>
      </c>
      <c r="E2107" s="25">
        <v>45673</v>
      </c>
      <c r="F2107" s="26" t="s">
        <v>4</v>
      </c>
    </row>
    <row r="2108" spans="1:6" ht="16.8" customHeight="1" x14ac:dyDescent="0.3">
      <c r="A2108" s="20">
        <v>43705</v>
      </c>
      <c r="B2108" s="31" t="s">
        <v>180</v>
      </c>
      <c r="C2108" s="31" t="s">
        <v>181</v>
      </c>
      <c r="D2108" s="31" t="s">
        <v>146</v>
      </c>
      <c r="E2108" s="25">
        <v>45629</v>
      </c>
      <c r="F2108" s="26" t="s">
        <v>1</v>
      </c>
    </row>
    <row r="2109" spans="1:6" ht="16.8" customHeight="1" x14ac:dyDescent="0.3">
      <c r="A2109" s="20">
        <v>43706</v>
      </c>
      <c r="B2109" s="31" t="s">
        <v>1087</v>
      </c>
      <c r="C2109" s="31" t="s">
        <v>148</v>
      </c>
      <c r="D2109" s="31" t="s">
        <v>98</v>
      </c>
      <c r="E2109" s="25">
        <v>45671</v>
      </c>
      <c r="F2109" s="26" t="s">
        <v>4</v>
      </c>
    </row>
    <row r="2110" spans="1:6" ht="16.8" customHeight="1" x14ac:dyDescent="0.3">
      <c r="A2110" s="20">
        <v>43707</v>
      </c>
      <c r="B2110" s="31" t="s">
        <v>446</v>
      </c>
      <c r="C2110" s="31" t="s">
        <v>75</v>
      </c>
      <c r="D2110" s="31" t="s">
        <v>1088</v>
      </c>
      <c r="E2110" s="25">
        <v>45632</v>
      </c>
      <c r="F2110" s="26" t="s">
        <v>2</v>
      </c>
    </row>
    <row r="2111" spans="1:6" ht="16.8" customHeight="1" x14ac:dyDescent="0.3">
      <c r="A2111" s="20">
        <v>43708</v>
      </c>
      <c r="B2111" s="31" t="s">
        <v>975</v>
      </c>
      <c r="C2111" s="31" t="s">
        <v>75</v>
      </c>
      <c r="D2111" s="31" t="s">
        <v>784</v>
      </c>
      <c r="E2111" s="25">
        <v>45631</v>
      </c>
      <c r="F2111" s="26" t="s">
        <v>12</v>
      </c>
    </row>
    <row r="2112" spans="1:6" ht="16.8" customHeight="1" x14ac:dyDescent="0.3">
      <c r="A2112" s="20">
        <v>43709</v>
      </c>
      <c r="B2112" s="31" t="s">
        <v>73</v>
      </c>
      <c r="C2112" s="31"/>
      <c r="D2112" s="31" t="s">
        <v>27</v>
      </c>
      <c r="E2112" s="25">
        <v>45625</v>
      </c>
      <c r="F2112" s="26" t="s">
        <v>1</v>
      </c>
    </row>
    <row r="2113" spans="1:6" ht="16.8" customHeight="1" x14ac:dyDescent="0.3">
      <c r="A2113" s="20">
        <v>43710</v>
      </c>
      <c r="B2113" s="31" t="s">
        <v>559</v>
      </c>
      <c r="C2113" s="31" t="s">
        <v>45</v>
      </c>
      <c r="D2113" s="31" t="s">
        <v>1088</v>
      </c>
      <c r="E2113" s="25">
        <v>45632</v>
      </c>
      <c r="F2113" s="26" t="s">
        <v>2</v>
      </c>
    </row>
    <row r="2114" spans="1:6" ht="16.8" customHeight="1" x14ac:dyDescent="0.3">
      <c r="A2114" s="20">
        <v>43711</v>
      </c>
      <c r="B2114" s="31" t="s">
        <v>687</v>
      </c>
      <c r="C2114" s="31" t="s">
        <v>688</v>
      </c>
      <c r="D2114" s="31" t="s">
        <v>787</v>
      </c>
      <c r="E2114" s="25">
        <v>45670</v>
      </c>
      <c r="F2114" s="26" t="s">
        <v>1</v>
      </c>
    </row>
    <row r="2115" spans="1:6" ht="16.8" customHeight="1" x14ac:dyDescent="0.3">
      <c r="A2115" s="20">
        <v>43712</v>
      </c>
      <c r="B2115" s="31"/>
      <c r="C2115" s="31"/>
      <c r="D2115" s="31"/>
      <c r="E2115" s="25"/>
      <c r="F2115" s="26"/>
    </row>
    <row r="2116" spans="1:6" ht="16.8" customHeight="1" x14ac:dyDescent="0.3">
      <c r="A2116" s="20">
        <v>43713</v>
      </c>
      <c r="B2116" s="31" t="s">
        <v>102</v>
      </c>
      <c r="C2116" s="31" t="s">
        <v>718</v>
      </c>
      <c r="D2116" s="31" t="s">
        <v>1089</v>
      </c>
      <c r="E2116" s="25">
        <v>45671</v>
      </c>
      <c r="F2116" s="26" t="s">
        <v>5</v>
      </c>
    </row>
    <row r="2117" spans="1:6" ht="16.8" customHeight="1" x14ac:dyDescent="0.3">
      <c r="A2117" s="20">
        <v>43714</v>
      </c>
      <c r="B2117" s="31" t="s">
        <v>86</v>
      </c>
      <c r="C2117" s="31" t="s">
        <v>148</v>
      </c>
      <c r="D2117" s="31" t="s">
        <v>1089</v>
      </c>
      <c r="E2117" s="25">
        <v>45709</v>
      </c>
      <c r="F2117" s="26" t="s">
        <v>5</v>
      </c>
    </row>
    <row r="2118" spans="1:6" ht="16.8" customHeight="1" x14ac:dyDescent="0.3">
      <c r="A2118" s="20">
        <v>43715</v>
      </c>
      <c r="B2118" s="31" t="s">
        <v>79</v>
      </c>
      <c r="C2118" s="31" t="s">
        <v>75</v>
      </c>
      <c r="D2118" s="31" t="s">
        <v>1089</v>
      </c>
      <c r="E2118" s="25">
        <v>45672</v>
      </c>
      <c r="F2118" s="26" t="s">
        <v>5</v>
      </c>
    </row>
    <row r="2119" spans="1:6" ht="16.8" customHeight="1" x14ac:dyDescent="0.3">
      <c r="A2119" s="20">
        <v>43716</v>
      </c>
      <c r="B2119" s="31" t="s">
        <v>611</v>
      </c>
      <c r="C2119" s="31" t="s">
        <v>45</v>
      </c>
      <c r="D2119" s="31" t="s">
        <v>1089</v>
      </c>
      <c r="E2119" s="25">
        <v>45807</v>
      </c>
      <c r="F2119" s="26" t="s">
        <v>5</v>
      </c>
    </row>
    <row r="2120" spans="1:6" ht="16.8" customHeight="1" x14ac:dyDescent="0.3">
      <c r="A2120" s="20">
        <v>43717</v>
      </c>
      <c r="B2120" s="31" t="s">
        <v>1535</v>
      </c>
      <c r="C2120" s="31" t="s">
        <v>45</v>
      </c>
      <c r="D2120" s="31" t="s">
        <v>1089</v>
      </c>
      <c r="E2120" s="25">
        <v>45707</v>
      </c>
      <c r="F2120" s="26" t="s">
        <v>5</v>
      </c>
    </row>
    <row r="2121" spans="1:6" ht="16.8" customHeight="1" x14ac:dyDescent="0.3">
      <c r="A2121" s="20">
        <v>43718</v>
      </c>
      <c r="B2121" s="31" t="s">
        <v>439</v>
      </c>
      <c r="C2121" s="31" t="s">
        <v>133</v>
      </c>
      <c r="D2121" s="31" t="s">
        <v>1089</v>
      </c>
      <c r="E2121" s="25">
        <v>45694.431377314817</v>
      </c>
      <c r="F2121" s="26" t="s">
        <v>5</v>
      </c>
    </row>
    <row r="2122" spans="1:6" ht="16.8" customHeight="1" x14ac:dyDescent="0.3">
      <c r="A2122" s="20">
        <v>43719</v>
      </c>
      <c r="B2122" s="31" t="s">
        <v>1090</v>
      </c>
      <c r="C2122" s="31" t="s">
        <v>133</v>
      </c>
      <c r="D2122" s="31" t="s">
        <v>1089</v>
      </c>
      <c r="E2122" s="25">
        <v>45692</v>
      </c>
      <c r="F2122" s="26" t="s">
        <v>5</v>
      </c>
    </row>
    <row r="2123" spans="1:6" ht="16.8" customHeight="1" x14ac:dyDescent="0.3">
      <c r="A2123" s="20">
        <v>43720</v>
      </c>
      <c r="B2123" s="31" t="s">
        <v>62</v>
      </c>
      <c r="C2123" s="31" t="s">
        <v>148</v>
      </c>
      <c r="D2123" s="31" t="s">
        <v>1089</v>
      </c>
      <c r="E2123" s="25">
        <v>45701</v>
      </c>
      <c r="F2123" s="26" t="s">
        <v>5</v>
      </c>
    </row>
    <row r="2124" spans="1:6" ht="16.8" customHeight="1" x14ac:dyDescent="0.3">
      <c r="A2124" s="20">
        <v>43721</v>
      </c>
      <c r="B2124" s="31" t="s">
        <v>337</v>
      </c>
      <c r="C2124" s="31" t="s">
        <v>75</v>
      </c>
      <c r="D2124" s="31" t="s">
        <v>1089</v>
      </c>
      <c r="E2124" s="25">
        <v>45638</v>
      </c>
      <c r="F2124" s="26" t="s">
        <v>5</v>
      </c>
    </row>
    <row r="2125" spans="1:6" ht="16.8" customHeight="1" x14ac:dyDescent="0.3">
      <c r="A2125" s="20">
        <v>43722</v>
      </c>
      <c r="B2125" s="31" t="s">
        <v>1916</v>
      </c>
      <c r="C2125" s="31" t="s">
        <v>148</v>
      </c>
      <c r="D2125" s="31" t="s">
        <v>1089</v>
      </c>
      <c r="E2125" s="25">
        <v>45736</v>
      </c>
      <c r="F2125" s="26" t="s">
        <v>5</v>
      </c>
    </row>
    <row r="2126" spans="1:6" ht="16.8" customHeight="1" x14ac:dyDescent="0.3">
      <c r="A2126" s="20">
        <v>43723</v>
      </c>
      <c r="B2126" s="31" t="s">
        <v>1536</v>
      </c>
      <c r="C2126" s="31" t="s">
        <v>148</v>
      </c>
      <c r="D2126" s="31" t="s">
        <v>1089</v>
      </c>
      <c r="E2126" s="25">
        <v>45699.417870370373</v>
      </c>
      <c r="F2126" s="26" t="s">
        <v>5</v>
      </c>
    </row>
    <row r="2127" spans="1:6" ht="16.8" customHeight="1" x14ac:dyDescent="0.3">
      <c r="A2127" s="20">
        <v>43724</v>
      </c>
      <c r="B2127" s="31" t="s">
        <v>567</v>
      </c>
      <c r="C2127" s="31" t="s">
        <v>299</v>
      </c>
      <c r="D2127" s="31" t="s">
        <v>779</v>
      </c>
      <c r="E2127" s="25">
        <v>45671</v>
      </c>
      <c r="F2127" s="26" t="s">
        <v>1</v>
      </c>
    </row>
    <row r="2128" spans="1:6" ht="16.8" customHeight="1" x14ac:dyDescent="0.3">
      <c r="A2128" s="20">
        <v>43725</v>
      </c>
      <c r="B2128" s="31" t="s">
        <v>674</v>
      </c>
      <c r="C2128" s="31" t="s">
        <v>106</v>
      </c>
      <c r="D2128" s="31" t="s">
        <v>1091</v>
      </c>
      <c r="E2128" s="25">
        <v>45631</v>
      </c>
      <c r="F2128" s="26" t="s">
        <v>1</v>
      </c>
    </row>
    <row r="2129" spans="1:6" ht="16.8" customHeight="1" x14ac:dyDescent="0.3">
      <c r="A2129" s="20">
        <v>43726</v>
      </c>
      <c r="B2129" s="31"/>
      <c r="C2129" s="31"/>
      <c r="D2129" s="31"/>
      <c r="E2129" s="25"/>
      <c r="F2129" s="26"/>
    </row>
    <row r="2130" spans="1:6" ht="16.8" customHeight="1" x14ac:dyDescent="0.3">
      <c r="A2130" s="20">
        <v>43727</v>
      </c>
      <c r="B2130" s="31" t="s">
        <v>122</v>
      </c>
      <c r="C2130" s="31" t="s">
        <v>123</v>
      </c>
      <c r="D2130" s="31" t="s">
        <v>1092</v>
      </c>
      <c r="E2130" s="25">
        <v>45635</v>
      </c>
      <c r="F2130" s="26" t="s">
        <v>1</v>
      </c>
    </row>
    <row r="2131" spans="1:6" ht="16.8" customHeight="1" x14ac:dyDescent="0.3">
      <c r="A2131" s="20">
        <v>43728</v>
      </c>
      <c r="B2131" s="31"/>
      <c r="C2131" s="31"/>
      <c r="D2131" s="31"/>
      <c r="E2131" s="25"/>
      <c r="F2131" s="26"/>
    </row>
    <row r="2132" spans="1:6" ht="16.8" customHeight="1" x14ac:dyDescent="0.3">
      <c r="A2132" s="20">
        <v>43729</v>
      </c>
      <c r="B2132" s="31" t="s">
        <v>34</v>
      </c>
      <c r="C2132" s="31" t="s">
        <v>1054</v>
      </c>
      <c r="D2132" s="31" t="s">
        <v>1093</v>
      </c>
      <c r="E2132" s="25">
        <v>45644</v>
      </c>
      <c r="F2132" s="26" t="s">
        <v>1</v>
      </c>
    </row>
    <row r="2133" spans="1:6" ht="16.8" customHeight="1" x14ac:dyDescent="0.3">
      <c r="A2133" s="20">
        <v>43730</v>
      </c>
      <c r="B2133" s="31"/>
      <c r="C2133" s="31"/>
      <c r="D2133" s="31"/>
      <c r="E2133" s="25"/>
      <c r="F2133" s="26"/>
    </row>
    <row r="2134" spans="1:6" ht="16.8" customHeight="1" x14ac:dyDescent="0.3">
      <c r="A2134" s="20">
        <v>43731</v>
      </c>
      <c r="B2134" s="31" t="s">
        <v>411</v>
      </c>
      <c r="C2134" s="31" t="s">
        <v>32</v>
      </c>
      <c r="D2134" s="31" t="s">
        <v>416</v>
      </c>
      <c r="E2134" s="25">
        <v>45735</v>
      </c>
      <c r="F2134" s="26" t="s">
        <v>4</v>
      </c>
    </row>
    <row r="2135" spans="1:6" ht="16.8" customHeight="1" x14ac:dyDescent="0.3">
      <c r="A2135" s="20">
        <v>43732</v>
      </c>
      <c r="B2135" s="31" t="s">
        <v>34</v>
      </c>
      <c r="C2135" s="31" t="s">
        <v>204</v>
      </c>
      <c r="D2135" s="31" t="s">
        <v>1959</v>
      </c>
      <c r="E2135" s="25">
        <v>45707</v>
      </c>
      <c r="F2135" s="26" t="s">
        <v>1</v>
      </c>
    </row>
    <row r="2136" spans="1:6" ht="16.8" customHeight="1" x14ac:dyDescent="0.3">
      <c r="A2136" s="20">
        <v>43733</v>
      </c>
      <c r="B2136" s="31"/>
      <c r="C2136" s="31"/>
      <c r="D2136" s="31"/>
      <c r="E2136" s="25"/>
      <c r="F2136" s="26"/>
    </row>
    <row r="2137" spans="1:6" ht="16.8" customHeight="1" x14ac:dyDescent="0.3">
      <c r="A2137" s="20">
        <v>43734</v>
      </c>
      <c r="B2137" s="31"/>
      <c r="C2137" s="31"/>
      <c r="D2137" s="31"/>
      <c r="E2137" s="25"/>
      <c r="F2137" s="26"/>
    </row>
    <row r="2138" spans="1:6" ht="16.8" customHeight="1" x14ac:dyDescent="0.3">
      <c r="A2138" s="20">
        <v>43735</v>
      </c>
      <c r="B2138" s="31" t="s">
        <v>276</v>
      </c>
      <c r="C2138" s="31" t="s">
        <v>1094</v>
      </c>
      <c r="D2138" s="31" t="s">
        <v>1095</v>
      </c>
      <c r="E2138" s="25">
        <v>45635</v>
      </c>
      <c r="F2138" s="26" t="s">
        <v>1</v>
      </c>
    </row>
    <row r="2139" spans="1:6" ht="16.8" customHeight="1" x14ac:dyDescent="0.3">
      <c r="A2139" s="20">
        <v>43736</v>
      </c>
      <c r="B2139" s="31"/>
      <c r="C2139" s="31"/>
      <c r="D2139" s="31"/>
      <c r="E2139" s="25"/>
      <c r="F2139" s="26"/>
    </row>
    <row r="2140" spans="1:6" ht="16.8" customHeight="1" x14ac:dyDescent="0.3">
      <c r="A2140" s="20">
        <v>43737</v>
      </c>
      <c r="B2140" s="31" t="s">
        <v>251</v>
      </c>
      <c r="C2140" s="31" t="s">
        <v>32</v>
      </c>
      <c r="D2140" s="31" t="s">
        <v>1096</v>
      </c>
      <c r="E2140" s="25">
        <v>45638</v>
      </c>
      <c r="F2140" s="26" t="s">
        <v>1</v>
      </c>
    </row>
    <row r="2141" spans="1:6" ht="16.8" customHeight="1" x14ac:dyDescent="0.3">
      <c r="A2141" s="20">
        <v>43738</v>
      </c>
      <c r="B2141" s="31"/>
      <c r="C2141" s="31"/>
      <c r="D2141" s="31"/>
      <c r="E2141" s="25"/>
      <c r="F2141" s="26"/>
    </row>
    <row r="2142" spans="1:6" ht="16.8" customHeight="1" x14ac:dyDescent="0.3">
      <c r="A2142" s="20">
        <v>43739</v>
      </c>
      <c r="B2142" s="31" t="s">
        <v>551</v>
      </c>
      <c r="C2142" s="31" t="s">
        <v>226</v>
      </c>
      <c r="D2142" s="31" t="s">
        <v>757</v>
      </c>
      <c r="E2142" s="25">
        <v>45635</v>
      </c>
      <c r="F2142" s="26" t="s">
        <v>1</v>
      </c>
    </row>
    <row r="2143" spans="1:6" ht="16.8" customHeight="1" x14ac:dyDescent="0.3">
      <c r="A2143" s="20">
        <v>43740</v>
      </c>
      <c r="B2143" s="31" t="s">
        <v>286</v>
      </c>
      <c r="C2143" s="31" t="s">
        <v>45</v>
      </c>
      <c r="D2143" s="31" t="s">
        <v>61</v>
      </c>
      <c r="E2143" s="25">
        <v>45707</v>
      </c>
      <c r="F2143" s="26" t="s">
        <v>1</v>
      </c>
    </row>
    <row r="2144" spans="1:6" ht="16.8" customHeight="1" x14ac:dyDescent="0.3">
      <c r="A2144" s="20">
        <v>43741</v>
      </c>
      <c r="B2144" s="31"/>
      <c r="C2144" s="31"/>
      <c r="D2144" s="31"/>
      <c r="E2144" s="25"/>
      <c r="F2144" s="26"/>
    </row>
    <row r="2145" spans="1:6" ht="16.8" customHeight="1" x14ac:dyDescent="0.3">
      <c r="A2145" s="20">
        <v>43742</v>
      </c>
      <c r="B2145" s="31" t="s">
        <v>375</v>
      </c>
      <c r="C2145" s="31" t="s">
        <v>75</v>
      </c>
      <c r="D2145" s="31" t="s">
        <v>525</v>
      </c>
      <c r="E2145" s="25">
        <v>45628</v>
      </c>
      <c r="F2145" s="26" t="s">
        <v>2</v>
      </c>
    </row>
    <row r="2146" spans="1:6" ht="16.8" customHeight="1" x14ac:dyDescent="0.3">
      <c r="A2146" s="20">
        <v>43743</v>
      </c>
      <c r="B2146" s="31" t="s">
        <v>875</v>
      </c>
      <c r="C2146" s="31" t="s">
        <v>277</v>
      </c>
      <c r="D2146" s="31" t="s">
        <v>373</v>
      </c>
      <c r="E2146" s="25">
        <v>45686</v>
      </c>
      <c r="F2146" s="26" t="s">
        <v>1</v>
      </c>
    </row>
    <row r="2147" spans="1:6" ht="16.8" customHeight="1" x14ac:dyDescent="0.3">
      <c r="A2147" s="20">
        <v>43744</v>
      </c>
      <c r="B2147" s="31" t="s">
        <v>71</v>
      </c>
      <c r="C2147" s="31" t="s">
        <v>533</v>
      </c>
      <c r="D2147" s="31" t="s">
        <v>1098</v>
      </c>
      <c r="E2147" s="25">
        <v>45665</v>
      </c>
      <c r="F2147" s="26" t="s">
        <v>3</v>
      </c>
    </row>
    <row r="2148" spans="1:6" ht="16.8" customHeight="1" x14ac:dyDescent="0.3">
      <c r="A2148" s="20">
        <v>43745</v>
      </c>
      <c r="B2148" s="31"/>
      <c r="C2148" s="31"/>
      <c r="D2148" s="31"/>
      <c r="E2148" s="25"/>
      <c r="F2148" s="26"/>
    </row>
    <row r="2149" spans="1:6" ht="16.8" customHeight="1" x14ac:dyDescent="0.3">
      <c r="A2149" s="20">
        <v>43746</v>
      </c>
      <c r="B2149" s="31" t="s">
        <v>1099</v>
      </c>
      <c r="C2149" s="31" t="s">
        <v>272</v>
      </c>
      <c r="D2149" s="31" t="s">
        <v>1100</v>
      </c>
      <c r="E2149" s="25">
        <v>45635</v>
      </c>
      <c r="F2149" s="26" t="s">
        <v>2</v>
      </c>
    </row>
    <row r="2150" spans="1:6" ht="16.8" customHeight="1" x14ac:dyDescent="0.3">
      <c r="A2150" s="20">
        <v>43747</v>
      </c>
      <c r="B2150" s="31" t="s">
        <v>337</v>
      </c>
      <c r="C2150" s="31" t="s">
        <v>367</v>
      </c>
      <c r="D2150" s="31" t="s">
        <v>2024</v>
      </c>
      <c r="E2150" s="25">
        <v>45735</v>
      </c>
      <c r="F2150" s="26" t="s">
        <v>4</v>
      </c>
    </row>
    <row r="2151" spans="1:6" ht="16.8" customHeight="1" x14ac:dyDescent="0.3">
      <c r="A2151" s="20">
        <v>43748</v>
      </c>
      <c r="B2151" s="31" t="s">
        <v>411</v>
      </c>
      <c r="C2151" s="31" t="s">
        <v>179</v>
      </c>
      <c r="D2151" s="31" t="s">
        <v>255</v>
      </c>
      <c r="E2151" s="25">
        <v>45670</v>
      </c>
      <c r="F2151" s="26" t="s">
        <v>6</v>
      </c>
    </row>
    <row r="2152" spans="1:6" ht="16.8" customHeight="1" x14ac:dyDescent="0.3">
      <c r="A2152" s="20">
        <v>43749</v>
      </c>
      <c r="B2152" s="31"/>
      <c r="C2152" s="31"/>
      <c r="D2152" s="31"/>
      <c r="E2152" s="25"/>
      <c r="F2152" s="26"/>
    </row>
    <row r="2153" spans="1:6" ht="16.8" customHeight="1" x14ac:dyDescent="0.3">
      <c r="A2153" s="20">
        <v>43750</v>
      </c>
      <c r="B2153" s="31"/>
      <c r="C2153" s="31"/>
      <c r="D2153" s="31"/>
      <c r="E2153" s="25"/>
      <c r="F2153" s="26"/>
    </row>
    <row r="2154" spans="1:6" ht="16.8" customHeight="1" x14ac:dyDescent="0.3">
      <c r="A2154" s="20">
        <v>43751</v>
      </c>
      <c r="B2154" s="31" t="s">
        <v>2623</v>
      </c>
      <c r="C2154" s="31" t="s">
        <v>2624</v>
      </c>
      <c r="D2154" s="31" t="s">
        <v>121</v>
      </c>
      <c r="E2154" s="25">
        <v>45854</v>
      </c>
      <c r="F2154" s="26" t="s">
        <v>4</v>
      </c>
    </row>
    <row r="2155" spans="1:6" ht="16.8" customHeight="1" x14ac:dyDescent="0.3">
      <c r="A2155" s="20">
        <v>43752</v>
      </c>
      <c r="B2155" s="31" t="s">
        <v>225</v>
      </c>
      <c r="C2155" s="31" t="s">
        <v>812</v>
      </c>
      <c r="D2155" s="31" t="s">
        <v>121</v>
      </c>
      <c r="E2155" s="25">
        <v>45812</v>
      </c>
      <c r="F2155" s="26" t="s">
        <v>4</v>
      </c>
    </row>
    <row r="2156" spans="1:6" ht="16.8" customHeight="1" x14ac:dyDescent="0.3">
      <c r="A2156" s="20">
        <v>43753</v>
      </c>
      <c r="B2156" s="31"/>
      <c r="C2156" s="31"/>
      <c r="D2156" s="31"/>
      <c r="E2156" s="25"/>
      <c r="F2156" s="26"/>
    </row>
    <row r="2157" spans="1:6" ht="16.8" customHeight="1" x14ac:dyDescent="0.3">
      <c r="A2157" s="20">
        <v>43754</v>
      </c>
      <c r="B2157" s="31" t="s">
        <v>239</v>
      </c>
      <c r="C2157" s="31" t="s">
        <v>546</v>
      </c>
      <c r="D2157" s="31" t="s">
        <v>1101</v>
      </c>
      <c r="E2157" s="25">
        <v>45644</v>
      </c>
      <c r="F2157" s="26" t="s">
        <v>2</v>
      </c>
    </row>
    <row r="2158" spans="1:6" ht="16.8" customHeight="1" x14ac:dyDescent="0.3">
      <c r="A2158" s="20">
        <v>43755</v>
      </c>
      <c r="B2158" s="31"/>
      <c r="C2158" s="31"/>
      <c r="D2158" s="31"/>
      <c r="E2158" s="25"/>
      <c r="F2158" s="26"/>
    </row>
    <row r="2159" spans="1:6" ht="16.8" customHeight="1" x14ac:dyDescent="0.3">
      <c r="A2159" s="20">
        <v>43756</v>
      </c>
      <c r="B2159" s="31" t="s">
        <v>465</v>
      </c>
      <c r="C2159" s="31" t="s">
        <v>1054</v>
      </c>
      <c r="D2159" s="31" t="s">
        <v>946</v>
      </c>
      <c r="E2159" s="25">
        <v>45721</v>
      </c>
      <c r="F2159" s="26" t="s">
        <v>1</v>
      </c>
    </row>
    <row r="2160" spans="1:6" ht="16.8" customHeight="1" x14ac:dyDescent="0.3">
      <c r="A2160" s="20">
        <v>43757</v>
      </c>
      <c r="B2160" s="31"/>
      <c r="C2160" s="31"/>
      <c r="D2160" s="31"/>
      <c r="E2160" s="25"/>
      <c r="F2160" s="26"/>
    </row>
    <row r="2161" spans="1:6" ht="16.8" customHeight="1" x14ac:dyDescent="0.3">
      <c r="A2161" s="20">
        <v>43758</v>
      </c>
      <c r="B2161" s="31" t="s">
        <v>875</v>
      </c>
      <c r="C2161" s="31" t="s">
        <v>1102</v>
      </c>
      <c r="D2161" s="31" t="s">
        <v>121</v>
      </c>
      <c r="E2161" s="25">
        <v>45692</v>
      </c>
      <c r="F2161" s="26" t="s">
        <v>4</v>
      </c>
    </row>
    <row r="2162" spans="1:6" ht="16.8" customHeight="1" x14ac:dyDescent="0.3">
      <c r="A2162" s="20">
        <v>43759</v>
      </c>
      <c r="B2162" s="31" t="s">
        <v>562</v>
      </c>
      <c r="C2162" s="31" t="s">
        <v>563</v>
      </c>
      <c r="D2162" s="31" t="s">
        <v>1103</v>
      </c>
      <c r="E2162" s="25">
        <v>45680</v>
      </c>
      <c r="F2162" s="26" t="s">
        <v>5</v>
      </c>
    </row>
    <row r="2163" spans="1:6" ht="16.8" customHeight="1" x14ac:dyDescent="0.3">
      <c r="A2163" s="20">
        <v>43760</v>
      </c>
      <c r="B2163" s="31" t="s">
        <v>1104</v>
      </c>
      <c r="C2163" s="31" t="s">
        <v>1105</v>
      </c>
      <c r="D2163" s="31" t="s">
        <v>85</v>
      </c>
      <c r="E2163" s="25">
        <v>45686</v>
      </c>
      <c r="F2163" s="26" t="s">
        <v>1</v>
      </c>
    </row>
    <row r="2164" spans="1:6" ht="16.8" customHeight="1" x14ac:dyDescent="0.3">
      <c r="A2164" s="20">
        <v>43761</v>
      </c>
      <c r="B2164" s="31"/>
      <c r="C2164" s="31"/>
      <c r="D2164" s="31"/>
      <c r="E2164" s="25"/>
      <c r="F2164" s="26"/>
    </row>
    <row r="2165" spans="1:6" ht="16.8" customHeight="1" x14ac:dyDescent="0.3">
      <c r="A2165" s="20">
        <v>43762</v>
      </c>
      <c r="B2165" s="31"/>
      <c r="C2165" s="31"/>
      <c r="D2165" s="31"/>
      <c r="E2165" s="25"/>
      <c r="F2165" s="26"/>
    </row>
    <row r="2166" spans="1:6" ht="16.8" customHeight="1" x14ac:dyDescent="0.3">
      <c r="A2166" s="20">
        <v>43763</v>
      </c>
      <c r="B2166" s="31" t="s">
        <v>41</v>
      </c>
      <c r="C2166" s="31" t="s">
        <v>2677</v>
      </c>
      <c r="D2166" s="31"/>
      <c r="E2166" s="25">
        <v>45874</v>
      </c>
      <c r="F2166" s="26" t="s">
        <v>4</v>
      </c>
    </row>
    <row r="2167" spans="1:6" ht="16.8" customHeight="1" x14ac:dyDescent="0.3">
      <c r="A2167" s="20">
        <v>43764</v>
      </c>
      <c r="B2167" s="31"/>
      <c r="C2167" s="31"/>
      <c r="D2167" s="31"/>
      <c r="E2167" s="25"/>
      <c r="F2167" s="26"/>
    </row>
    <row r="2168" spans="1:6" ht="16.8" customHeight="1" x14ac:dyDescent="0.3">
      <c r="A2168" s="20">
        <v>43765</v>
      </c>
      <c r="B2168" s="31" t="s">
        <v>1106</v>
      </c>
      <c r="C2168" s="31" t="s">
        <v>1107</v>
      </c>
      <c r="D2168" s="31" t="s">
        <v>146</v>
      </c>
      <c r="E2168" s="25">
        <v>45670</v>
      </c>
      <c r="F2168" s="26" t="s">
        <v>1</v>
      </c>
    </row>
    <row r="2169" spans="1:6" ht="16.8" customHeight="1" x14ac:dyDescent="0.3">
      <c r="A2169" s="20">
        <v>43766</v>
      </c>
      <c r="B2169" s="31"/>
      <c r="C2169" s="31"/>
      <c r="D2169" s="31"/>
      <c r="E2169" s="25"/>
      <c r="F2169" s="26"/>
    </row>
    <row r="2170" spans="1:6" ht="16.8" customHeight="1" x14ac:dyDescent="0.3">
      <c r="A2170" s="20">
        <v>43767</v>
      </c>
      <c r="B2170" s="31"/>
      <c r="C2170" s="31"/>
      <c r="D2170" s="31"/>
      <c r="E2170" s="25"/>
      <c r="F2170" s="26"/>
    </row>
    <row r="2171" spans="1:6" ht="16.8" customHeight="1" x14ac:dyDescent="0.3">
      <c r="A2171" s="20">
        <v>43768</v>
      </c>
      <c r="B2171" s="31" t="s">
        <v>729</v>
      </c>
      <c r="C2171" s="31" t="s">
        <v>1108</v>
      </c>
      <c r="D2171" s="31" t="s">
        <v>172</v>
      </c>
      <c r="E2171" s="25">
        <v>45671</v>
      </c>
      <c r="F2171" s="26" t="s">
        <v>6</v>
      </c>
    </row>
    <row r="2172" spans="1:6" ht="16.8" customHeight="1" x14ac:dyDescent="0.3">
      <c r="A2172" s="20">
        <v>43769</v>
      </c>
      <c r="B2172" s="31"/>
      <c r="C2172" s="31"/>
      <c r="D2172" s="31"/>
      <c r="E2172" s="25"/>
      <c r="F2172" s="26"/>
    </row>
    <row r="2173" spans="1:6" ht="16.8" customHeight="1" x14ac:dyDescent="0.3">
      <c r="A2173" s="20">
        <v>43770</v>
      </c>
      <c r="B2173" s="31"/>
      <c r="C2173" s="31"/>
      <c r="D2173" s="31"/>
      <c r="E2173" s="25"/>
      <c r="F2173" s="26"/>
    </row>
    <row r="2174" spans="1:6" ht="16.8" customHeight="1" x14ac:dyDescent="0.3">
      <c r="A2174" s="20">
        <v>43771</v>
      </c>
      <c r="B2174" s="31" t="s">
        <v>2425</v>
      </c>
      <c r="C2174" s="31" t="s">
        <v>362</v>
      </c>
      <c r="D2174" s="31" t="s">
        <v>121</v>
      </c>
      <c r="E2174" s="25">
        <v>45820</v>
      </c>
      <c r="F2174" s="26" t="s">
        <v>4</v>
      </c>
    </row>
    <row r="2175" spans="1:6" ht="16.8" customHeight="1" x14ac:dyDescent="0.3">
      <c r="A2175" s="20">
        <v>43772</v>
      </c>
      <c r="B2175" s="31"/>
      <c r="C2175" s="31"/>
      <c r="D2175" s="31"/>
      <c r="E2175" s="25"/>
      <c r="F2175" s="26"/>
    </row>
    <row r="2176" spans="1:6" ht="16.8" customHeight="1" x14ac:dyDescent="0.3">
      <c r="A2176" s="20">
        <v>43773</v>
      </c>
      <c r="B2176" s="31" t="s">
        <v>1960</v>
      </c>
      <c r="C2176" s="31" t="s">
        <v>442</v>
      </c>
      <c r="D2176" s="31" t="s">
        <v>373</v>
      </c>
      <c r="E2176" s="25">
        <v>45707</v>
      </c>
      <c r="F2176" s="26" t="s">
        <v>1</v>
      </c>
    </row>
    <row r="2177" spans="1:6" ht="16.8" customHeight="1" x14ac:dyDescent="0.3">
      <c r="A2177" s="20">
        <v>43774</v>
      </c>
      <c r="B2177" s="31" t="s">
        <v>919</v>
      </c>
      <c r="C2177" s="31" t="s">
        <v>226</v>
      </c>
      <c r="D2177" s="31" t="s">
        <v>1109</v>
      </c>
      <c r="E2177" s="25">
        <v>45686</v>
      </c>
      <c r="F2177" s="26" t="s">
        <v>1</v>
      </c>
    </row>
    <row r="2178" spans="1:6" ht="16.8" customHeight="1" x14ac:dyDescent="0.3">
      <c r="A2178" s="20">
        <v>43775</v>
      </c>
      <c r="B2178" s="31" t="s">
        <v>262</v>
      </c>
      <c r="C2178" s="31" t="s">
        <v>78</v>
      </c>
      <c r="D2178" s="31" t="s">
        <v>1925</v>
      </c>
      <c r="E2178" s="25">
        <v>45679</v>
      </c>
      <c r="F2178" s="26" t="s">
        <v>2</v>
      </c>
    </row>
    <row r="2179" spans="1:6" ht="16.8" customHeight="1" x14ac:dyDescent="0.3">
      <c r="A2179" s="20">
        <v>43776</v>
      </c>
      <c r="B2179" s="31"/>
      <c r="C2179" s="31"/>
      <c r="D2179" s="31"/>
      <c r="E2179" s="25"/>
      <c r="F2179" s="26"/>
    </row>
    <row r="2180" spans="1:6" ht="16.8" customHeight="1" x14ac:dyDescent="0.3">
      <c r="A2180" s="20">
        <v>43777</v>
      </c>
      <c r="B2180" s="31" t="s">
        <v>1110</v>
      </c>
      <c r="C2180" s="31" t="s">
        <v>1111</v>
      </c>
      <c r="D2180" s="31" t="s">
        <v>1112</v>
      </c>
      <c r="E2180" s="25">
        <v>45670</v>
      </c>
      <c r="F2180" s="26" t="s">
        <v>1</v>
      </c>
    </row>
    <row r="2181" spans="1:6" ht="16.8" customHeight="1" x14ac:dyDescent="0.3">
      <c r="A2181" s="20">
        <v>43778</v>
      </c>
      <c r="B2181" s="31"/>
      <c r="C2181" s="31"/>
      <c r="D2181" s="31"/>
      <c r="E2181" s="25"/>
      <c r="F2181" s="26"/>
    </row>
    <row r="2182" spans="1:6" ht="16.8" customHeight="1" x14ac:dyDescent="0.3">
      <c r="A2182" s="20">
        <v>43779</v>
      </c>
      <c r="B2182" s="31" t="s">
        <v>1040</v>
      </c>
      <c r="C2182" s="31" t="s">
        <v>260</v>
      </c>
      <c r="D2182" s="31" t="s">
        <v>615</v>
      </c>
      <c r="E2182" s="25">
        <v>45670</v>
      </c>
      <c r="F2182" s="26" t="s">
        <v>1</v>
      </c>
    </row>
    <row r="2183" spans="1:6" ht="16.8" customHeight="1" x14ac:dyDescent="0.3">
      <c r="A2183" s="20">
        <v>43780</v>
      </c>
      <c r="B2183" s="31" t="s">
        <v>56</v>
      </c>
      <c r="C2183" s="31" t="s">
        <v>1113</v>
      </c>
      <c r="D2183" s="31" t="s">
        <v>121</v>
      </c>
      <c r="E2183" s="25">
        <v>45671</v>
      </c>
      <c r="F2183" s="26" t="s">
        <v>4</v>
      </c>
    </row>
    <row r="2184" spans="1:6" ht="16.8" customHeight="1" x14ac:dyDescent="0.3">
      <c r="A2184" s="20">
        <v>43781</v>
      </c>
      <c r="B2184" s="31" t="s">
        <v>622</v>
      </c>
      <c r="C2184" s="31" t="s">
        <v>1114</v>
      </c>
      <c r="D2184" s="31" t="s">
        <v>1115</v>
      </c>
      <c r="E2184" s="25">
        <v>45670</v>
      </c>
      <c r="F2184" s="26" t="s">
        <v>1</v>
      </c>
    </row>
    <row r="2185" spans="1:6" ht="16.8" customHeight="1" x14ac:dyDescent="0.3">
      <c r="A2185" s="20">
        <v>43782</v>
      </c>
      <c r="B2185" s="31" t="s">
        <v>239</v>
      </c>
      <c r="C2185" s="31" t="s">
        <v>546</v>
      </c>
      <c r="D2185" s="31" t="s">
        <v>1116</v>
      </c>
      <c r="E2185" s="25">
        <v>45670</v>
      </c>
      <c r="F2185" s="26" t="s">
        <v>2</v>
      </c>
    </row>
    <row r="2186" spans="1:6" ht="16.8" customHeight="1" x14ac:dyDescent="0.3">
      <c r="A2186" s="20">
        <v>43783</v>
      </c>
      <c r="B2186" s="31" t="s">
        <v>1124</v>
      </c>
      <c r="C2186" s="31" t="s">
        <v>709</v>
      </c>
      <c r="D2186" s="31" t="s">
        <v>121</v>
      </c>
      <c r="E2186" s="25">
        <v>45729</v>
      </c>
      <c r="F2186" s="26" t="s">
        <v>4</v>
      </c>
    </row>
    <row r="2187" spans="1:6" ht="16.8" customHeight="1" x14ac:dyDescent="0.3">
      <c r="A2187" s="20">
        <v>43784</v>
      </c>
      <c r="B2187" s="31"/>
      <c r="C2187" s="31"/>
      <c r="D2187" s="31"/>
      <c r="E2187" s="25"/>
      <c r="F2187" s="26"/>
    </row>
    <row r="2188" spans="1:6" ht="16.8" customHeight="1" x14ac:dyDescent="0.3">
      <c r="A2188" s="20">
        <v>43785</v>
      </c>
      <c r="B2188" s="31"/>
      <c r="C2188" s="31"/>
      <c r="D2188" s="31"/>
      <c r="E2188" s="25"/>
      <c r="F2188" s="26"/>
    </row>
    <row r="2189" spans="1:6" ht="16.8" customHeight="1" x14ac:dyDescent="0.3">
      <c r="A2189" s="20">
        <v>43786</v>
      </c>
      <c r="B2189" s="31" t="s">
        <v>1117</v>
      </c>
      <c r="C2189" s="31" t="s">
        <v>1118</v>
      </c>
      <c r="D2189" s="31" t="s">
        <v>1119</v>
      </c>
      <c r="E2189" s="25">
        <v>45684</v>
      </c>
      <c r="F2189" s="26" t="s">
        <v>1</v>
      </c>
    </row>
    <row r="2190" spans="1:6" ht="16.8" customHeight="1" x14ac:dyDescent="0.3">
      <c r="A2190" s="20">
        <v>43787</v>
      </c>
      <c r="B2190" s="31"/>
      <c r="C2190" s="31"/>
      <c r="D2190" s="31"/>
      <c r="E2190" s="25"/>
      <c r="F2190" s="26"/>
    </row>
    <row r="2191" spans="1:6" ht="16.8" customHeight="1" x14ac:dyDescent="0.3">
      <c r="A2191" s="20">
        <v>43788</v>
      </c>
      <c r="B2191" s="31"/>
      <c r="C2191" s="31"/>
      <c r="D2191" s="31"/>
      <c r="E2191" s="25"/>
      <c r="F2191" s="26"/>
    </row>
    <row r="2192" spans="1:6" ht="16.8" customHeight="1" x14ac:dyDescent="0.3">
      <c r="A2192" s="20">
        <v>43789</v>
      </c>
      <c r="B2192" s="31"/>
      <c r="C2192" s="31"/>
      <c r="D2192" s="31"/>
      <c r="E2192" s="25"/>
      <c r="F2192" s="26"/>
    </row>
    <row r="2193" spans="1:6" ht="16.8" customHeight="1" x14ac:dyDescent="0.3">
      <c r="A2193" s="20">
        <v>43790</v>
      </c>
      <c r="B2193" s="31" t="s">
        <v>41</v>
      </c>
      <c r="C2193" s="31" t="s">
        <v>367</v>
      </c>
      <c r="D2193" s="31" t="s">
        <v>121</v>
      </c>
      <c r="E2193" s="25">
        <v>45849</v>
      </c>
      <c r="F2193" s="26" t="s">
        <v>4</v>
      </c>
    </row>
    <row r="2194" spans="1:6" ht="16.8" customHeight="1" x14ac:dyDescent="0.3">
      <c r="A2194" s="20">
        <v>43791</v>
      </c>
      <c r="B2194" s="31" t="s">
        <v>559</v>
      </c>
      <c r="C2194" s="31" t="s">
        <v>45</v>
      </c>
      <c r="D2194" s="31" t="s">
        <v>1120</v>
      </c>
      <c r="E2194" s="25">
        <v>45666</v>
      </c>
      <c r="F2194" s="26" t="s">
        <v>2</v>
      </c>
    </row>
    <row r="2195" spans="1:6" ht="16.8" customHeight="1" x14ac:dyDescent="0.3">
      <c r="A2195" s="20">
        <v>43792</v>
      </c>
      <c r="B2195" s="31"/>
      <c r="C2195" s="31"/>
      <c r="D2195" s="31"/>
      <c r="E2195" s="25"/>
      <c r="F2195" s="26"/>
    </row>
    <row r="2196" spans="1:6" ht="16.8" customHeight="1" x14ac:dyDescent="0.3">
      <c r="A2196" s="20">
        <v>43793</v>
      </c>
      <c r="B2196" s="31"/>
      <c r="C2196" s="31"/>
      <c r="D2196" s="31"/>
      <c r="E2196" s="25"/>
      <c r="F2196" s="26"/>
    </row>
    <row r="2197" spans="1:6" ht="16.8" customHeight="1" x14ac:dyDescent="0.3">
      <c r="A2197" s="20">
        <v>43794</v>
      </c>
      <c r="B2197" s="31" t="s">
        <v>56</v>
      </c>
      <c r="C2197" s="31" t="s">
        <v>106</v>
      </c>
      <c r="D2197" s="31" t="s">
        <v>671</v>
      </c>
      <c r="E2197" s="25">
        <v>45667</v>
      </c>
      <c r="F2197" s="26" t="s">
        <v>1</v>
      </c>
    </row>
    <row r="2198" spans="1:6" ht="16.8" customHeight="1" x14ac:dyDescent="0.3">
      <c r="A2198" s="20">
        <v>43795</v>
      </c>
      <c r="B2198" s="31" t="s">
        <v>941</v>
      </c>
      <c r="C2198" s="31" t="s">
        <v>1121</v>
      </c>
      <c r="D2198" s="31" t="s">
        <v>146</v>
      </c>
      <c r="E2198" s="25">
        <v>45686</v>
      </c>
      <c r="F2198" s="26" t="s">
        <v>1</v>
      </c>
    </row>
    <row r="2199" spans="1:6" ht="16.8" customHeight="1" x14ac:dyDescent="0.3">
      <c r="A2199" s="20">
        <v>43796</v>
      </c>
      <c r="B2199" s="31" t="s">
        <v>365</v>
      </c>
      <c r="C2199" s="31" t="s">
        <v>148</v>
      </c>
      <c r="D2199" s="31" t="s">
        <v>832</v>
      </c>
      <c r="E2199" s="25">
        <v>45670</v>
      </c>
      <c r="F2199" s="26" t="s">
        <v>1</v>
      </c>
    </row>
    <row r="2200" spans="1:6" ht="16.8" customHeight="1" x14ac:dyDescent="0.3">
      <c r="A2200" s="20">
        <v>43797</v>
      </c>
      <c r="B2200" s="31" t="s">
        <v>789</v>
      </c>
      <c r="C2200" s="31" t="s">
        <v>45</v>
      </c>
      <c r="D2200" s="31" t="s">
        <v>1122</v>
      </c>
      <c r="E2200" s="25">
        <v>45692</v>
      </c>
      <c r="F2200" s="26" t="s">
        <v>5</v>
      </c>
    </row>
    <row r="2201" spans="1:6" ht="16.8" customHeight="1" x14ac:dyDescent="0.3">
      <c r="A2201" s="20">
        <v>43798</v>
      </c>
      <c r="B2201" s="31" t="s">
        <v>108</v>
      </c>
      <c r="C2201" s="31" t="s">
        <v>1123</v>
      </c>
      <c r="D2201" s="31" t="s">
        <v>121</v>
      </c>
      <c r="E2201" s="25">
        <v>45671</v>
      </c>
      <c r="F2201" s="26" t="s">
        <v>4</v>
      </c>
    </row>
    <row r="2202" spans="1:6" ht="16.8" customHeight="1" x14ac:dyDescent="0.3">
      <c r="A2202" s="20">
        <v>43799</v>
      </c>
      <c r="B2202" s="31" t="s">
        <v>1124</v>
      </c>
      <c r="C2202" s="31" t="s">
        <v>1125</v>
      </c>
      <c r="D2202" s="31" t="s">
        <v>121</v>
      </c>
      <c r="E2202" s="25">
        <v>45684</v>
      </c>
      <c r="F2202" s="26" t="s">
        <v>4</v>
      </c>
    </row>
    <row r="2203" spans="1:6" ht="16.8" customHeight="1" x14ac:dyDescent="0.3">
      <c r="A2203" s="20">
        <v>43800</v>
      </c>
      <c r="B2203" s="31"/>
      <c r="C2203" s="31"/>
      <c r="D2203" s="31"/>
      <c r="E2203" s="25"/>
      <c r="F2203" s="26"/>
    </row>
    <row r="2204" spans="1:6" ht="16.8" customHeight="1" x14ac:dyDescent="0.3">
      <c r="A2204" s="20">
        <v>43801</v>
      </c>
      <c r="B2204" s="31"/>
      <c r="C2204" s="31"/>
      <c r="D2204" s="31"/>
      <c r="E2204" s="25"/>
      <c r="F2204" s="26"/>
    </row>
    <row r="2205" spans="1:6" ht="16.8" customHeight="1" x14ac:dyDescent="0.3">
      <c r="A2205" s="20">
        <v>43802</v>
      </c>
      <c r="B2205" s="31" t="s">
        <v>1971</v>
      </c>
      <c r="C2205" s="31" t="s">
        <v>544</v>
      </c>
      <c r="D2205" s="31" t="s">
        <v>85</v>
      </c>
      <c r="E2205" s="25">
        <v>45719</v>
      </c>
      <c r="F2205" s="26" t="s">
        <v>1</v>
      </c>
    </row>
    <row r="2206" spans="1:6" ht="16.8" customHeight="1" x14ac:dyDescent="0.3">
      <c r="A2206" s="20">
        <v>43803</v>
      </c>
      <c r="B2206" s="31"/>
      <c r="C2206" s="31"/>
      <c r="D2206" s="31"/>
      <c r="E2206" s="25"/>
      <c r="F2206" s="26"/>
    </row>
    <row r="2207" spans="1:6" ht="16.8" customHeight="1" x14ac:dyDescent="0.3">
      <c r="A2207" s="20">
        <v>43804</v>
      </c>
      <c r="B2207" s="31" t="s">
        <v>1126</v>
      </c>
      <c r="C2207" s="31" t="s">
        <v>1013</v>
      </c>
      <c r="D2207" s="31" t="s">
        <v>1127</v>
      </c>
      <c r="E2207" s="25">
        <v>45664</v>
      </c>
      <c r="F2207" s="26" t="s">
        <v>1</v>
      </c>
    </row>
    <row r="2208" spans="1:6" ht="16.8" customHeight="1" x14ac:dyDescent="0.3">
      <c r="A2208" s="20">
        <v>43805</v>
      </c>
      <c r="B2208" s="31" t="s">
        <v>559</v>
      </c>
      <c r="C2208" s="31" t="s">
        <v>45</v>
      </c>
      <c r="D2208" s="31" t="s">
        <v>1128</v>
      </c>
      <c r="E2208" s="25">
        <v>45672</v>
      </c>
      <c r="F2208" s="26" t="s">
        <v>1</v>
      </c>
    </row>
    <row r="2209" spans="1:6" ht="16.8" customHeight="1" x14ac:dyDescent="0.3">
      <c r="A2209" s="20">
        <v>43806</v>
      </c>
      <c r="B2209" s="31" t="s">
        <v>41</v>
      </c>
      <c r="C2209" s="31" t="s">
        <v>367</v>
      </c>
      <c r="D2209" s="31" t="s">
        <v>564</v>
      </c>
      <c r="E2209" s="25">
        <v>45685</v>
      </c>
      <c r="F2209" s="26" t="s">
        <v>5</v>
      </c>
    </row>
    <row r="2210" spans="1:6" ht="16.8" customHeight="1" x14ac:dyDescent="0.3">
      <c r="A2210" s="20">
        <v>43807</v>
      </c>
      <c r="B2210" s="31"/>
      <c r="C2210" s="31"/>
      <c r="D2210" s="31"/>
      <c r="E2210" s="25"/>
      <c r="F2210" s="26"/>
    </row>
    <row r="2211" spans="1:6" ht="16.8" customHeight="1" x14ac:dyDescent="0.3">
      <c r="A2211" s="20">
        <v>43808</v>
      </c>
      <c r="B2211" s="31"/>
      <c r="C2211" s="31"/>
      <c r="D2211" s="31"/>
      <c r="E2211" s="25"/>
      <c r="F2211" s="26"/>
    </row>
    <row r="2212" spans="1:6" ht="16.8" customHeight="1" x14ac:dyDescent="0.3">
      <c r="A2212" s="20">
        <v>43809</v>
      </c>
      <c r="B2212" s="31" t="s">
        <v>256</v>
      </c>
      <c r="C2212" s="31" t="s">
        <v>1129</v>
      </c>
      <c r="D2212" s="31" t="s">
        <v>1130</v>
      </c>
      <c r="E2212" s="25">
        <v>45671</v>
      </c>
      <c r="F2212" s="26" t="s">
        <v>1</v>
      </c>
    </row>
    <row r="2213" spans="1:6" ht="16.8" customHeight="1" x14ac:dyDescent="0.3">
      <c r="A2213" s="20">
        <v>43810</v>
      </c>
      <c r="B2213" s="31" t="s">
        <v>567</v>
      </c>
      <c r="C2213" s="31" t="s">
        <v>299</v>
      </c>
      <c r="D2213" s="31" t="s">
        <v>779</v>
      </c>
      <c r="E2213" s="25">
        <v>45671</v>
      </c>
      <c r="F2213" s="26" t="s">
        <v>2</v>
      </c>
    </row>
    <row r="2214" spans="1:6" ht="16.8" customHeight="1" x14ac:dyDescent="0.3">
      <c r="A2214" s="20">
        <v>43811</v>
      </c>
      <c r="B2214" s="31" t="s">
        <v>187</v>
      </c>
      <c r="C2214" s="31" t="s">
        <v>1131</v>
      </c>
      <c r="D2214" s="31" t="s">
        <v>1132</v>
      </c>
      <c r="E2214" s="25">
        <v>45670</v>
      </c>
      <c r="F2214" s="26" t="s">
        <v>1</v>
      </c>
    </row>
    <row r="2215" spans="1:6" ht="16.8" customHeight="1" x14ac:dyDescent="0.3">
      <c r="A2215" s="20">
        <v>43812</v>
      </c>
      <c r="B2215" s="31" t="s">
        <v>890</v>
      </c>
      <c r="C2215" s="31" t="s">
        <v>891</v>
      </c>
      <c r="D2215" s="31" t="s">
        <v>2373</v>
      </c>
      <c r="E2215" s="25">
        <v>45807</v>
      </c>
      <c r="F2215" s="26" t="s">
        <v>1</v>
      </c>
    </row>
    <row r="2216" spans="1:6" ht="16.8" customHeight="1" x14ac:dyDescent="0.3">
      <c r="A2216" s="20">
        <v>43813</v>
      </c>
      <c r="B2216" s="31" t="s">
        <v>71</v>
      </c>
      <c r="C2216" s="31" t="s">
        <v>106</v>
      </c>
      <c r="D2216" s="31" t="s">
        <v>1133</v>
      </c>
      <c r="E2216" s="25">
        <v>45672</v>
      </c>
      <c r="F2216" s="26" t="s">
        <v>3</v>
      </c>
    </row>
    <row r="2217" spans="1:6" ht="16.8" customHeight="1" x14ac:dyDescent="0.3">
      <c r="A2217" s="20">
        <v>43814</v>
      </c>
      <c r="B2217" s="31" t="s">
        <v>74</v>
      </c>
      <c r="C2217" s="31" t="s">
        <v>367</v>
      </c>
      <c r="D2217" s="31" t="s">
        <v>121</v>
      </c>
      <c r="E2217" s="25">
        <v>45812</v>
      </c>
      <c r="F2217" s="26" t="s">
        <v>4</v>
      </c>
    </row>
    <row r="2218" spans="1:6" ht="16.8" customHeight="1" x14ac:dyDescent="0.3">
      <c r="A2218" s="20">
        <v>43815</v>
      </c>
      <c r="B2218" s="31" t="s">
        <v>41</v>
      </c>
      <c r="C2218" s="31" t="s">
        <v>718</v>
      </c>
      <c r="D2218" s="31" t="s">
        <v>121</v>
      </c>
      <c r="E2218" s="25">
        <v>45895</v>
      </c>
      <c r="F2218" s="26" t="s">
        <v>2708</v>
      </c>
    </row>
    <row r="2219" spans="1:6" ht="16.8" customHeight="1" x14ac:dyDescent="0.3">
      <c r="A2219" s="20">
        <v>43816</v>
      </c>
      <c r="B2219" s="31"/>
      <c r="C2219" s="31"/>
      <c r="D2219" s="31"/>
      <c r="E2219" s="25"/>
      <c r="F2219" s="26"/>
    </row>
    <row r="2220" spans="1:6" ht="16.8" customHeight="1" x14ac:dyDescent="0.3">
      <c r="A2220" s="20">
        <v>43817</v>
      </c>
      <c r="B2220" s="31" t="s">
        <v>639</v>
      </c>
      <c r="C2220" s="31" t="s">
        <v>106</v>
      </c>
      <c r="D2220" s="31" t="s">
        <v>991</v>
      </c>
      <c r="E2220" s="25">
        <v>45671</v>
      </c>
      <c r="F2220" s="26" t="s">
        <v>6</v>
      </c>
    </row>
    <row r="2221" spans="1:6" ht="16.8" customHeight="1" x14ac:dyDescent="0.3">
      <c r="A2221" s="20">
        <v>43818</v>
      </c>
      <c r="B2221" s="31" t="s">
        <v>1137</v>
      </c>
      <c r="C2221" s="31" t="s">
        <v>797</v>
      </c>
      <c r="D2221" s="31" t="s">
        <v>2511</v>
      </c>
      <c r="E2221" s="25">
        <v>45835</v>
      </c>
      <c r="F2221" s="26" t="s">
        <v>2</v>
      </c>
    </row>
    <row r="2222" spans="1:6" ht="16.8" customHeight="1" x14ac:dyDescent="0.3">
      <c r="A2222" s="20">
        <v>43819</v>
      </c>
      <c r="B2222" s="31" t="s">
        <v>41</v>
      </c>
      <c r="C2222" s="31" t="s">
        <v>367</v>
      </c>
      <c r="D2222" s="31" t="s">
        <v>1134</v>
      </c>
      <c r="E2222" s="25">
        <v>45691</v>
      </c>
      <c r="F2222" s="26" t="s">
        <v>2</v>
      </c>
    </row>
    <row r="2223" spans="1:6" ht="16.8" customHeight="1" x14ac:dyDescent="0.3">
      <c r="A2223" s="20">
        <v>43820</v>
      </c>
      <c r="B2223" s="31" t="s">
        <v>1135</v>
      </c>
      <c r="C2223" s="31" t="s">
        <v>63</v>
      </c>
      <c r="D2223" s="31" t="s">
        <v>1136</v>
      </c>
      <c r="E2223" s="25">
        <v>45693</v>
      </c>
      <c r="F2223" s="26" t="s">
        <v>3</v>
      </c>
    </row>
    <row r="2224" spans="1:6" ht="16.8" customHeight="1" x14ac:dyDescent="0.3">
      <c r="A2224" s="20">
        <v>43821</v>
      </c>
      <c r="B2224" s="31" t="s">
        <v>1135</v>
      </c>
      <c r="C2224" s="31" t="s">
        <v>63</v>
      </c>
      <c r="D2224" s="31" t="s">
        <v>1074</v>
      </c>
      <c r="E2224" s="25">
        <v>45693</v>
      </c>
      <c r="F2224" s="26" t="s">
        <v>3</v>
      </c>
    </row>
    <row r="2225" spans="1:6" ht="16.8" customHeight="1" x14ac:dyDescent="0.3">
      <c r="A2225" s="20">
        <v>43822</v>
      </c>
      <c r="B2225" s="31" t="s">
        <v>1135</v>
      </c>
      <c r="C2225" s="31" t="s">
        <v>63</v>
      </c>
      <c r="D2225" s="31" t="s">
        <v>172</v>
      </c>
      <c r="E2225" s="25">
        <v>45693</v>
      </c>
      <c r="F2225" s="26" t="s">
        <v>3</v>
      </c>
    </row>
    <row r="2226" spans="1:6" ht="16.8" customHeight="1" x14ac:dyDescent="0.3">
      <c r="A2226" s="20">
        <v>43823</v>
      </c>
      <c r="B2226" s="31" t="s">
        <v>468</v>
      </c>
      <c r="C2226" s="31" t="s">
        <v>1999</v>
      </c>
      <c r="D2226" s="31" t="s">
        <v>121</v>
      </c>
      <c r="E2226" s="25">
        <v>45771</v>
      </c>
      <c r="F2226" s="26" t="s">
        <v>4</v>
      </c>
    </row>
    <row r="2227" spans="1:6" ht="16.8" customHeight="1" x14ac:dyDescent="0.3">
      <c r="A2227" s="20">
        <v>43824</v>
      </c>
      <c r="B2227" s="31"/>
      <c r="C2227" s="31"/>
      <c r="D2227" s="31"/>
      <c r="E2227" s="25"/>
      <c r="F2227" s="26"/>
    </row>
    <row r="2228" spans="1:6" ht="16.8" customHeight="1" x14ac:dyDescent="0.3">
      <c r="A2228" s="20">
        <v>43825</v>
      </c>
      <c r="B2228" s="31" t="s">
        <v>1137</v>
      </c>
      <c r="C2228" s="31" t="s">
        <v>797</v>
      </c>
      <c r="D2228" s="31" t="s">
        <v>549</v>
      </c>
      <c r="E2228" s="25">
        <v>45670</v>
      </c>
      <c r="F2228" s="26" t="s">
        <v>4</v>
      </c>
    </row>
    <row r="2229" spans="1:6" ht="16.8" customHeight="1" x14ac:dyDescent="0.3">
      <c r="A2229" s="20">
        <v>43826</v>
      </c>
      <c r="B2229" s="31" t="s">
        <v>975</v>
      </c>
      <c r="C2229" s="31" t="s">
        <v>287</v>
      </c>
      <c r="D2229" s="31" t="s">
        <v>1138</v>
      </c>
      <c r="E2229" s="25">
        <v>45686</v>
      </c>
      <c r="F2229" s="26" t="s">
        <v>1</v>
      </c>
    </row>
    <row r="2230" spans="1:6" ht="16.8" customHeight="1" x14ac:dyDescent="0.3">
      <c r="A2230" s="20">
        <v>43827</v>
      </c>
      <c r="B2230" s="31"/>
      <c r="C2230" s="31"/>
      <c r="D2230" s="31"/>
      <c r="E2230" s="25"/>
      <c r="F2230" s="26"/>
    </row>
    <row r="2231" spans="1:6" ht="16.8" customHeight="1" x14ac:dyDescent="0.3">
      <c r="A2231" s="20">
        <v>43828</v>
      </c>
      <c r="B2231" s="31" t="s">
        <v>450</v>
      </c>
      <c r="C2231" s="31" t="s">
        <v>444</v>
      </c>
      <c r="D2231" s="31" t="s">
        <v>732</v>
      </c>
      <c r="E2231" s="25">
        <v>45672</v>
      </c>
      <c r="F2231" s="26" t="s">
        <v>1</v>
      </c>
    </row>
    <row r="2232" spans="1:6" ht="16.8" customHeight="1" x14ac:dyDescent="0.3">
      <c r="A2232" s="20">
        <v>43829</v>
      </c>
      <c r="B2232" s="31" t="s">
        <v>1104</v>
      </c>
      <c r="C2232" s="31" t="s">
        <v>75</v>
      </c>
      <c r="D2232" s="31" t="s">
        <v>146</v>
      </c>
      <c r="E2232" s="25">
        <v>45681</v>
      </c>
      <c r="F2232" s="26" t="s">
        <v>3</v>
      </c>
    </row>
    <row r="2233" spans="1:6" ht="16.8" customHeight="1" x14ac:dyDescent="0.3">
      <c r="A2233" s="20">
        <v>43830</v>
      </c>
      <c r="B2233" s="31" t="s">
        <v>1139</v>
      </c>
      <c r="C2233" s="31" t="s">
        <v>181</v>
      </c>
      <c r="D2233" s="31" t="s">
        <v>207</v>
      </c>
      <c r="E2233" s="25">
        <v>45673</v>
      </c>
      <c r="F2233" s="26" t="s">
        <v>1</v>
      </c>
    </row>
    <row r="2234" spans="1:6" ht="16.8" customHeight="1" x14ac:dyDescent="0.3">
      <c r="A2234" s="20">
        <v>43831</v>
      </c>
      <c r="B2234" s="31" t="s">
        <v>71</v>
      </c>
      <c r="C2234" s="31" t="s">
        <v>533</v>
      </c>
      <c r="D2234" s="31" t="s">
        <v>1987</v>
      </c>
      <c r="E2234" s="25">
        <v>45729</v>
      </c>
      <c r="F2234" s="26" t="s">
        <v>5</v>
      </c>
    </row>
    <row r="2235" spans="1:6" ht="16.8" customHeight="1" x14ac:dyDescent="0.3">
      <c r="A2235" s="20">
        <v>43832</v>
      </c>
      <c r="B2235" s="31" t="s">
        <v>411</v>
      </c>
      <c r="C2235" s="31" t="s">
        <v>179</v>
      </c>
      <c r="D2235" s="31" t="s">
        <v>1140</v>
      </c>
      <c r="E2235" s="25">
        <v>45674</v>
      </c>
      <c r="F2235" s="26" t="s">
        <v>2</v>
      </c>
    </row>
    <row r="2236" spans="1:6" ht="16.8" customHeight="1" x14ac:dyDescent="0.3">
      <c r="A2236" s="20">
        <v>43833</v>
      </c>
      <c r="B2236" s="31"/>
      <c r="C2236" s="31"/>
      <c r="D2236" s="31"/>
      <c r="E2236" s="25"/>
      <c r="F2236" s="26"/>
    </row>
    <row r="2237" spans="1:6" ht="16.8" customHeight="1" x14ac:dyDescent="0.3">
      <c r="A2237" s="20">
        <v>43834</v>
      </c>
      <c r="B2237" s="31" t="s">
        <v>729</v>
      </c>
      <c r="C2237" s="31" t="s">
        <v>369</v>
      </c>
      <c r="D2237" s="31" t="s">
        <v>1961</v>
      </c>
      <c r="E2237" s="25">
        <v>45709</v>
      </c>
      <c r="F2237" s="26" t="s">
        <v>1</v>
      </c>
    </row>
    <row r="2238" spans="1:6" ht="16.8" customHeight="1" x14ac:dyDescent="0.3">
      <c r="A2238" s="20">
        <v>43835</v>
      </c>
      <c r="B2238" s="31" t="s">
        <v>570</v>
      </c>
      <c r="C2238" s="31" t="s">
        <v>240</v>
      </c>
      <c r="D2238" s="31" t="s">
        <v>255</v>
      </c>
      <c r="E2238" s="25">
        <v>45692</v>
      </c>
      <c r="F2238" s="26" t="s">
        <v>8</v>
      </c>
    </row>
    <row r="2239" spans="1:6" ht="16.8" customHeight="1" x14ac:dyDescent="0.3">
      <c r="A2239" s="20">
        <v>43836</v>
      </c>
      <c r="B2239" s="31"/>
      <c r="C2239" s="31"/>
      <c r="D2239" s="31"/>
      <c r="E2239" s="25"/>
      <c r="F2239" s="26"/>
    </row>
    <row r="2240" spans="1:6" ht="16.8" customHeight="1" x14ac:dyDescent="0.3">
      <c r="A2240" s="20">
        <v>43837</v>
      </c>
      <c r="B2240" s="31" t="s">
        <v>1141</v>
      </c>
      <c r="C2240" s="31" t="s">
        <v>803</v>
      </c>
      <c r="D2240" s="31" t="s">
        <v>1142</v>
      </c>
      <c r="E2240" s="25">
        <v>45694</v>
      </c>
      <c r="F2240" s="26" t="s">
        <v>1</v>
      </c>
    </row>
    <row r="2241" spans="1:6" ht="16.8" customHeight="1" x14ac:dyDescent="0.3">
      <c r="A2241" s="20">
        <v>43838</v>
      </c>
      <c r="B2241" s="31" t="s">
        <v>180</v>
      </c>
      <c r="C2241" s="31" t="s">
        <v>181</v>
      </c>
      <c r="D2241" s="31" t="s">
        <v>35</v>
      </c>
      <c r="E2241" s="25">
        <v>45686</v>
      </c>
      <c r="F2241" s="26" t="s">
        <v>1</v>
      </c>
    </row>
    <row r="2242" spans="1:6" ht="16.8" customHeight="1" x14ac:dyDescent="0.3">
      <c r="A2242" s="20">
        <v>43839</v>
      </c>
      <c r="B2242" s="31" t="s">
        <v>256</v>
      </c>
      <c r="C2242" s="31" t="s">
        <v>524</v>
      </c>
      <c r="D2242" s="31" t="s">
        <v>146</v>
      </c>
      <c r="E2242" s="25">
        <v>45692</v>
      </c>
      <c r="F2242" s="26" t="s">
        <v>8</v>
      </c>
    </row>
    <row r="2243" spans="1:6" ht="16.8" customHeight="1" x14ac:dyDescent="0.3">
      <c r="A2243" s="20">
        <v>43840</v>
      </c>
      <c r="B2243" s="31" t="s">
        <v>271</v>
      </c>
      <c r="C2243" s="31" t="s">
        <v>272</v>
      </c>
      <c r="D2243" s="31" t="s">
        <v>2025</v>
      </c>
      <c r="E2243" s="25">
        <v>45735</v>
      </c>
      <c r="F2243" s="26" t="s">
        <v>1</v>
      </c>
    </row>
    <row r="2244" spans="1:6" ht="16.8" customHeight="1" x14ac:dyDescent="0.3">
      <c r="A2244" s="20">
        <v>43841</v>
      </c>
      <c r="B2244" s="31"/>
      <c r="C2244" s="31"/>
      <c r="D2244" s="31"/>
      <c r="E2244" s="25"/>
      <c r="F2244" s="26"/>
    </row>
    <row r="2245" spans="1:6" ht="16.8" customHeight="1" x14ac:dyDescent="0.3">
      <c r="A2245" s="20">
        <v>43842</v>
      </c>
      <c r="B2245" s="31" t="s">
        <v>1143</v>
      </c>
      <c r="C2245" s="31"/>
      <c r="D2245" s="31" t="s">
        <v>27</v>
      </c>
      <c r="E2245" s="25">
        <v>45674</v>
      </c>
      <c r="F2245" s="26" t="s">
        <v>1</v>
      </c>
    </row>
    <row r="2246" spans="1:6" ht="16.8" customHeight="1" x14ac:dyDescent="0.3">
      <c r="A2246" s="20">
        <v>43843</v>
      </c>
      <c r="B2246" s="31" t="s">
        <v>1963</v>
      </c>
      <c r="C2246" s="31" t="s">
        <v>106</v>
      </c>
      <c r="D2246" s="31" t="s">
        <v>1894</v>
      </c>
      <c r="E2246" s="25">
        <v>45709</v>
      </c>
      <c r="F2246" s="26" t="s">
        <v>1</v>
      </c>
    </row>
    <row r="2247" spans="1:6" ht="16.8" customHeight="1" x14ac:dyDescent="0.3">
      <c r="A2247" s="20">
        <v>43844</v>
      </c>
      <c r="B2247" s="31" t="s">
        <v>1090</v>
      </c>
      <c r="C2247" s="31" t="s">
        <v>179</v>
      </c>
      <c r="D2247" s="31" t="s">
        <v>2002</v>
      </c>
      <c r="E2247" s="25">
        <v>45733</v>
      </c>
      <c r="F2247" s="26" t="s">
        <v>6</v>
      </c>
    </row>
    <row r="2248" spans="1:6" ht="16.8" customHeight="1" x14ac:dyDescent="0.3">
      <c r="A2248" s="20">
        <v>43845</v>
      </c>
      <c r="B2248" s="31"/>
      <c r="C2248" s="31"/>
      <c r="D2248" s="31"/>
      <c r="E2248" s="25"/>
      <c r="F2248" s="26"/>
    </row>
    <row r="2249" spans="1:6" ht="16.8" customHeight="1" x14ac:dyDescent="0.3">
      <c r="A2249" s="20">
        <v>43846</v>
      </c>
      <c r="B2249" s="31"/>
      <c r="C2249" s="31"/>
      <c r="D2249" s="31"/>
      <c r="E2249" s="25"/>
      <c r="F2249" s="26"/>
    </row>
    <row r="2250" spans="1:6" ht="16.8" customHeight="1" x14ac:dyDescent="0.3">
      <c r="A2250" s="20">
        <v>43847</v>
      </c>
      <c r="B2250" s="31" t="s">
        <v>584</v>
      </c>
      <c r="C2250" s="31" t="s">
        <v>63</v>
      </c>
      <c r="D2250" s="31" t="s">
        <v>598</v>
      </c>
      <c r="E2250" s="25">
        <v>45687</v>
      </c>
      <c r="F2250" s="26" t="s">
        <v>1</v>
      </c>
    </row>
    <row r="2251" spans="1:6" ht="16.8" customHeight="1" x14ac:dyDescent="0.3">
      <c r="A2251" s="20">
        <v>43848</v>
      </c>
      <c r="B2251" s="31" t="s">
        <v>661</v>
      </c>
      <c r="C2251" s="31" t="s">
        <v>133</v>
      </c>
      <c r="D2251" s="31" t="s">
        <v>1144</v>
      </c>
      <c r="E2251" s="25">
        <v>45686</v>
      </c>
      <c r="F2251" s="26" t="s">
        <v>6</v>
      </c>
    </row>
    <row r="2252" spans="1:6" ht="16.8" customHeight="1" x14ac:dyDescent="0.3">
      <c r="A2252" s="20">
        <v>43849</v>
      </c>
      <c r="B2252" s="31" t="s">
        <v>1090</v>
      </c>
      <c r="C2252" s="31" t="s">
        <v>151</v>
      </c>
      <c r="D2252" s="31" t="s">
        <v>121</v>
      </c>
      <c r="E2252" s="25">
        <v>45812</v>
      </c>
      <c r="F2252" s="26" t="s">
        <v>4</v>
      </c>
    </row>
    <row r="2253" spans="1:6" ht="16.8" customHeight="1" x14ac:dyDescent="0.3">
      <c r="A2253" s="20">
        <v>43850</v>
      </c>
      <c r="B2253" s="31" t="s">
        <v>2026</v>
      </c>
      <c r="C2253" s="31" t="s">
        <v>405</v>
      </c>
      <c r="D2253" s="31"/>
      <c r="E2253" s="25">
        <v>45735</v>
      </c>
      <c r="F2253" s="26" t="s">
        <v>1</v>
      </c>
    </row>
    <row r="2254" spans="1:6" ht="16.8" customHeight="1" x14ac:dyDescent="0.3">
      <c r="A2254" s="20">
        <v>43851</v>
      </c>
      <c r="B2254" s="31" t="s">
        <v>567</v>
      </c>
      <c r="C2254" s="31" t="s">
        <v>295</v>
      </c>
      <c r="D2254" s="31" t="s">
        <v>176</v>
      </c>
      <c r="E2254" s="25">
        <v>45719</v>
      </c>
      <c r="F2254" s="26" t="s">
        <v>1</v>
      </c>
    </row>
    <row r="2255" spans="1:6" ht="16.8" customHeight="1" x14ac:dyDescent="0.3">
      <c r="A2255" s="20">
        <v>43852</v>
      </c>
      <c r="B2255" s="31" t="s">
        <v>180</v>
      </c>
      <c r="C2255" s="31" t="s">
        <v>181</v>
      </c>
      <c r="D2255" s="31" t="s">
        <v>1145</v>
      </c>
      <c r="E2255" s="25">
        <v>45684</v>
      </c>
      <c r="F2255" s="26" t="s">
        <v>1</v>
      </c>
    </row>
    <row r="2256" spans="1:6" ht="16.8" customHeight="1" x14ac:dyDescent="0.3">
      <c r="A2256" s="20">
        <v>43853</v>
      </c>
      <c r="B2256" s="31"/>
      <c r="C2256" s="31"/>
      <c r="D2256" s="31"/>
      <c r="E2256" s="25"/>
      <c r="F2256" s="26"/>
    </row>
    <row r="2257" spans="1:6" ht="16.8" customHeight="1" x14ac:dyDescent="0.3">
      <c r="A2257" s="20">
        <v>43854</v>
      </c>
      <c r="B2257" s="31"/>
      <c r="C2257" s="31"/>
      <c r="D2257" s="31"/>
      <c r="E2257" s="25"/>
      <c r="F2257" s="26"/>
    </row>
    <row r="2258" spans="1:6" ht="16.8" customHeight="1" x14ac:dyDescent="0.3">
      <c r="A2258" s="20">
        <v>43855</v>
      </c>
      <c r="B2258" s="31"/>
      <c r="C2258" s="31"/>
      <c r="D2258" s="31"/>
      <c r="E2258" s="25"/>
      <c r="F2258" s="26"/>
    </row>
    <row r="2259" spans="1:6" ht="16.8" customHeight="1" x14ac:dyDescent="0.3">
      <c r="A2259" s="20">
        <v>43856</v>
      </c>
      <c r="B2259" s="31"/>
      <c r="C2259" s="31"/>
      <c r="D2259" s="31"/>
      <c r="E2259" s="25"/>
      <c r="F2259" s="26"/>
    </row>
    <row r="2260" spans="1:6" ht="16.8" customHeight="1" x14ac:dyDescent="0.3">
      <c r="A2260" s="20">
        <v>43857</v>
      </c>
      <c r="B2260" s="31" t="s">
        <v>1146</v>
      </c>
      <c r="C2260" s="31"/>
      <c r="D2260" s="31" t="s">
        <v>116</v>
      </c>
      <c r="E2260" s="25">
        <v>45687</v>
      </c>
      <c r="F2260" s="26" t="s">
        <v>1</v>
      </c>
    </row>
    <row r="2261" spans="1:6" ht="16.8" customHeight="1" x14ac:dyDescent="0.3">
      <c r="A2261" s="20">
        <v>43858</v>
      </c>
      <c r="B2261" s="31"/>
      <c r="C2261" s="31"/>
      <c r="D2261" s="31"/>
      <c r="E2261" s="25"/>
      <c r="F2261" s="26"/>
    </row>
    <row r="2262" spans="1:6" ht="16.8" customHeight="1" x14ac:dyDescent="0.3">
      <c r="A2262" s="20">
        <v>43859</v>
      </c>
      <c r="B2262" s="31"/>
      <c r="C2262" s="31"/>
      <c r="D2262" s="31"/>
      <c r="E2262" s="25"/>
      <c r="F2262" s="26"/>
    </row>
    <row r="2263" spans="1:6" ht="16.8" customHeight="1" x14ac:dyDescent="0.3">
      <c r="A2263" s="20">
        <v>43860</v>
      </c>
      <c r="B2263" s="31" t="s">
        <v>86</v>
      </c>
      <c r="C2263" s="31" t="s">
        <v>45</v>
      </c>
      <c r="D2263" s="31" t="s">
        <v>671</v>
      </c>
      <c r="E2263" s="25">
        <v>45684</v>
      </c>
      <c r="F2263" s="26" t="s">
        <v>1</v>
      </c>
    </row>
    <row r="2264" spans="1:6" ht="16.8" customHeight="1" x14ac:dyDescent="0.3">
      <c r="A2264" s="20">
        <v>43861</v>
      </c>
      <c r="B2264" s="31" t="s">
        <v>86</v>
      </c>
      <c r="C2264" s="31" t="s">
        <v>45</v>
      </c>
      <c r="D2264" s="31" t="s">
        <v>1147</v>
      </c>
      <c r="E2264" s="25">
        <v>45681</v>
      </c>
      <c r="F2264" s="26" t="s">
        <v>3</v>
      </c>
    </row>
    <row r="2265" spans="1:6" ht="16.8" customHeight="1" x14ac:dyDescent="0.3">
      <c r="A2265" s="20">
        <v>43862</v>
      </c>
      <c r="B2265" s="31" t="s">
        <v>1059</v>
      </c>
      <c r="C2265" s="31" t="s">
        <v>32</v>
      </c>
      <c r="D2265" s="31" t="s">
        <v>1116</v>
      </c>
      <c r="E2265" s="25">
        <v>45687</v>
      </c>
      <c r="F2265" s="26" t="s">
        <v>1</v>
      </c>
    </row>
    <row r="2266" spans="1:6" ht="16.8" customHeight="1" x14ac:dyDescent="0.3">
      <c r="A2266" s="20">
        <v>43863</v>
      </c>
      <c r="B2266" s="31" t="s">
        <v>559</v>
      </c>
      <c r="C2266" s="31" t="s">
        <v>1017</v>
      </c>
      <c r="D2266" s="31" t="s">
        <v>1148</v>
      </c>
      <c r="E2266" s="25">
        <v>45686</v>
      </c>
      <c r="F2266" s="26" t="s">
        <v>2</v>
      </c>
    </row>
    <row r="2267" spans="1:6" ht="16.8" customHeight="1" x14ac:dyDescent="0.3">
      <c r="A2267" s="20">
        <v>43864</v>
      </c>
      <c r="B2267" s="31" t="s">
        <v>1149</v>
      </c>
      <c r="C2267" s="31"/>
      <c r="D2267" s="31" t="s">
        <v>1150</v>
      </c>
      <c r="E2267" s="25">
        <v>45694</v>
      </c>
      <c r="F2267" s="26" t="s">
        <v>1</v>
      </c>
    </row>
    <row r="2268" spans="1:6" ht="16.8" customHeight="1" x14ac:dyDescent="0.3">
      <c r="A2268" s="20">
        <v>43865</v>
      </c>
      <c r="B2268" s="31"/>
      <c r="C2268" s="31"/>
      <c r="D2268" s="31"/>
      <c r="E2268" s="25"/>
      <c r="F2268" s="26"/>
    </row>
    <row r="2269" spans="1:6" ht="16.8" customHeight="1" x14ac:dyDescent="0.3">
      <c r="A2269" s="20">
        <v>43866</v>
      </c>
      <c r="B2269" s="31" t="s">
        <v>1059</v>
      </c>
      <c r="C2269" s="31" t="s">
        <v>32</v>
      </c>
      <c r="D2269" s="31" t="s">
        <v>1151</v>
      </c>
      <c r="E2269" s="25">
        <v>45684</v>
      </c>
      <c r="F2269" s="26" t="s">
        <v>1</v>
      </c>
    </row>
    <row r="2270" spans="1:6" ht="16.8" customHeight="1" x14ac:dyDescent="0.3">
      <c r="A2270" s="20">
        <v>43867</v>
      </c>
      <c r="B2270" s="31"/>
      <c r="C2270" s="31"/>
      <c r="D2270" s="31"/>
      <c r="E2270" s="25"/>
      <c r="F2270" s="26"/>
    </row>
    <row r="2271" spans="1:6" ht="16.8" customHeight="1" x14ac:dyDescent="0.3">
      <c r="A2271" s="20">
        <v>43868</v>
      </c>
      <c r="B2271" s="31" t="s">
        <v>36</v>
      </c>
      <c r="C2271" s="31" t="s">
        <v>37</v>
      </c>
      <c r="D2271" s="31" t="s">
        <v>534</v>
      </c>
      <c r="E2271" s="25">
        <v>45799</v>
      </c>
      <c r="F2271" s="26" t="s">
        <v>1</v>
      </c>
    </row>
    <row r="2272" spans="1:6" ht="16.8" customHeight="1" x14ac:dyDescent="0.3">
      <c r="A2272" s="20">
        <v>43869</v>
      </c>
      <c r="B2272" s="31" t="s">
        <v>155</v>
      </c>
      <c r="C2272" s="31" t="s">
        <v>524</v>
      </c>
      <c r="D2272" s="31" t="s">
        <v>1049</v>
      </c>
      <c r="E2272" s="25">
        <v>45730</v>
      </c>
      <c r="F2272" s="26" t="s">
        <v>1</v>
      </c>
    </row>
    <row r="2273" spans="1:6" ht="16.8" customHeight="1" x14ac:dyDescent="0.3">
      <c r="A2273" s="20">
        <v>43870</v>
      </c>
      <c r="B2273" s="31" t="s">
        <v>41</v>
      </c>
      <c r="C2273" s="31" t="s">
        <v>453</v>
      </c>
      <c r="D2273" s="31" t="s">
        <v>787</v>
      </c>
      <c r="E2273" s="25">
        <v>45730</v>
      </c>
      <c r="F2273" s="26" t="s">
        <v>4</v>
      </c>
    </row>
    <row r="2274" spans="1:6" ht="16.8" customHeight="1" x14ac:dyDescent="0.3">
      <c r="A2274" s="20">
        <v>43871</v>
      </c>
      <c r="B2274" s="31"/>
      <c r="C2274" s="31"/>
      <c r="D2274" s="31"/>
      <c r="E2274" s="25"/>
      <c r="F2274" s="26"/>
    </row>
    <row r="2275" spans="1:6" ht="16.8" customHeight="1" x14ac:dyDescent="0.3">
      <c r="A2275" s="20">
        <v>43872</v>
      </c>
      <c r="B2275" s="31" t="s">
        <v>439</v>
      </c>
      <c r="C2275" s="31" t="s">
        <v>718</v>
      </c>
      <c r="D2275" s="31" t="s">
        <v>1134</v>
      </c>
      <c r="E2275" s="25">
        <v>45685</v>
      </c>
      <c r="F2275" s="26" t="s">
        <v>2</v>
      </c>
    </row>
    <row r="2276" spans="1:6" ht="16.8" customHeight="1" x14ac:dyDescent="0.3">
      <c r="A2276" s="20">
        <v>43873</v>
      </c>
      <c r="B2276" s="31"/>
      <c r="C2276" s="31"/>
      <c r="D2276" s="31"/>
      <c r="E2276" s="25"/>
      <c r="F2276" s="26"/>
    </row>
    <row r="2277" spans="1:6" ht="16.8" customHeight="1" x14ac:dyDescent="0.3">
      <c r="A2277" s="20">
        <v>43874</v>
      </c>
      <c r="B2277" s="31"/>
      <c r="C2277" s="31"/>
      <c r="D2277" s="31"/>
      <c r="E2277" s="25"/>
      <c r="F2277" s="26"/>
    </row>
    <row r="2278" spans="1:6" ht="16.8" customHeight="1" x14ac:dyDescent="0.3">
      <c r="A2278" s="20">
        <v>43875</v>
      </c>
      <c r="B2278" s="31" t="s">
        <v>236</v>
      </c>
      <c r="C2278" s="31" t="s">
        <v>75</v>
      </c>
      <c r="D2278" s="31" t="s">
        <v>35</v>
      </c>
      <c r="E2278" s="25">
        <v>45729</v>
      </c>
      <c r="F2278" s="26" t="s">
        <v>1</v>
      </c>
    </row>
    <row r="2279" spans="1:6" ht="16.8" customHeight="1" x14ac:dyDescent="0.3">
      <c r="A2279" s="20">
        <v>43876</v>
      </c>
      <c r="B2279" s="31" t="s">
        <v>180</v>
      </c>
      <c r="C2279" s="31" t="s">
        <v>181</v>
      </c>
      <c r="D2279" s="31" t="s">
        <v>1072</v>
      </c>
      <c r="E2279" s="25">
        <v>45692</v>
      </c>
      <c r="F2279" s="26" t="s">
        <v>1</v>
      </c>
    </row>
    <row r="2280" spans="1:6" ht="16.8" customHeight="1" x14ac:dyDescent="0.3">
      <c r="A2280" s="20">
        <v>43877</v>
      </c>
      <c r="B2280" s="31" t="s">
        <v>498</v>
      </c>
      <c r="C2280" s="31" t="s">
        <v>148</v>
      </c>
      <c r="D2280" s="31" t="s">
        <v>416</v>
      </c>
      <c r="E2280" s="25">
        <v>45701</v>
      </c>
      <c r="F2280" s="26" t="s">
        <v>1</v>
      </c>
    </row>
    <row r="2281" spans="1:6" ht="16.8" customHeight="1" x14ac:dyDescent="0.3">
      <c r="A2281" s="20">
        <v>43878</v>
      </c>
      <c r="B2281" s="31"/>
      <c r="C2281" s="31"/>
      <c r="D2281" s="31"/>
      <c r="E2281" s="25"/>
      <c r="F2281" s="26"/>
    </row>
    <row r="2282" spans="1:6" ht="16.8" customHeight="1" x14ac:dyDescent="0.3">
      <c r="A2282" s="20">
        <v>43879</v>
      </c>
      <c r="B2282" s="31" t="s">
        <v>41</v>
      </c>
      <c r="C2282" s="31" t="s">
        <v>2018</v>
      </c>
      <c r="D2282" s="31" t="s">
        <v>2019</v>
      </c>
      <c r="E2282" s="25">
        <v>45734</v>
      </c>
      <c r="F2282" s="26" t="s">
        <v>5</v>
      </c>
    </row>
    <row r="2283" spans="1:6" ht="16.8" customHeight="1" x14ac:dyDescent="0.3">
      <c r="A2283" s="20">
        <v>43880</v>
      </c>
      <c r="B2283" s="31" t="s">
        <v>41</v>
      </c>
      <c r="C2283" s="31" t="s">
        <v>2181</v>
      </c>
      <c r="D2283" s="31" t="s">
        <v>85</v>
      </c>
      <c r="E2283" s="25">
        <v>45796</v>
      </c>
      <c r="F2283" s="26" t="s">
        <v>4</v>
      </c>
    </row>
    <row r="2284" spans="1:6" ht="16.8" customHeight="1" x14ac:dyDescent="0.3">
      <c r="A2284" s="20">
        <v>43881</v>
      </c>
      <c r="B2284" s="31"/>
      <c r="C2284" s="31"/>
      <c r="D2284" s="31"/>
      <c r="E2284" s="25"/>
      <c r="F2284" s="26"/>
    </row>
    <row r="2285" spans="1:6" ht="16.8" customHeight="1" x14ac:dyDescent="0.3">
      <c r="A2285" s="20">
        <v>43882</v>
      </c>
      <c r="B2285" s="31"/>
      <c r="C2285" s="31"/>
      <c r="D2285" s="31"/>
      <c r="E2285" s="25"/>
      <c r="F2285" s="26"/>
    </row>
    <row r="2286" spans="1:6" ht="16.8" customHeight="1" x14ac:dyDescent="0.3">
      <c r="A2286" s="20">
        <v>43883</v>
      </c>
      <c r="B2286" s="31" t="s">
        <v>71</v>
      </c>
      <c r="C2286" s="31" t="s">
        <v>32</v>
      </c>
      <c r="D2286" s="31" t="s">
        <v>2211</v>
      </c>
      <c r="E2286" s="25">
        <v>45855</v>
      </c>
      <c r="F2286" s="26" t="s">
        <v>2077</v>
      </c>
    </row>
    <row r="2287" spans="1:6" ht="16.8" customHeight="1" x14ac:dyDescent="0.3">
      <c r="A2287" s="20">
        <v>43884</v>
      </c>
      <c r="B2287" s="31" t="s">
        <v>919</v>
      </c>
      <c r="C2287" s="31" t="s">
        <v>1105</v>
      </c>
      <c r="D2287" s="31" t="s">
        <v>958</v>
      </c>
      <c r="E2287" s="25">
        <v>45692</v>
      </c>
      <c r="F2287" s="26" t="s">
        <v>1</v>
      </c>
    </row>
    <row r="2288" spans="1:6" ht="16.8" customHeight="1" x14ac:dyDescent="0.3">
      <c r="A2288" s="20">
        <v>43885</v>
      </c>
      <c r="B2288" s="31"/>
      <c r="C2288" s="31"/>
      <c r="D2288" s="31"/>
      <c r="E2288" s="25"/>
      <c r="F2288" s="26"/>
    </row>
    <row r="2289" spans="1:6" ht="16.8" customHeight="1" x14ac:dyDescent="0.3">
      <c r="A2289" s="20">
        <v>43886</v>
      </c>
      <c r="B2289" s="31"/>
      <c r="C2289" s="31"/>
      <c r="D2289" s="31"/>
      <c r="E2289" s="25"/>
      <c r="F2289" s="26"/>
    </row>
    <row r="2290" spans="1:6" ht="16.8" customHeight="1" x14ac:dyDescent="0.3">
      <c r="A2290" s="20">
        <v>43887</v>
      </c>
      <c r="B2290" s="31"/>
      <c r="C2290" s="31"/>
      <c r="D2290" s="31"/>
      <c r="E2290" s="25"/>
      <c r="F2290" s="26"/>
    </row>
    <row r="2291" spans="1:6" ht="16.8" customHeight="1" x14ac:dyDescent="0.3">
      <c r="A2291" s="20">
        <v>43888</v>
      </c>
      <c r="B2291" s="31" t="s">
        <v>773</v>
      </c>
      <c r="C2291" s="31" t="s">
        <v>94</v>
      </c>
      <c r="D2291" s="31" t="s">
        <v>947</v>
      </c>
      <c r="E2291" s="25">
        <v>45719</v>
      </c>
      <c r="F2291" s="26" t="s">
        <v>1</v>
      </c>
    </row>
    <row r="2292" spans="1:6" ht="16.8" customHeight="1" x14ac:dyDescent="0.3">
      <c r="A2292" s="20">
        <v>43889</v>
      </c>
      <c r="B2292" s="31"/>
      <c r="C2292" s="31"/>
      <c r="D2292" s="31"/>
      <c r="E2292" s="25"/>
      <c r="F2292" s="26"/>
    </row>
    <row r="2293" spans="1:6" ht="16.8" customHeight="1" x14ac:dyDescent="0.3">
      <c r="A2293" s="20">
        <v>43890</v>
      </c>
      <c r="B2293" s="31" t="s">
        <v>1035</v>
      </c>
      <c r="C2293" s="31" t="s">
        <v>408</v>
      </c>
      <c r="D2293" s="31" t="s">
        <v>146</v>
      </c>
      <c r="E2293" s="25">
        <v>45719</v>
      </c>
      <c r="F2293" s="26" t="s">
        <v>1</v>
      </c>
    </row>
    <row r="2294" spans="1:6" ht="16.8" customHeight="1" x14ac:dyDescent="0.3">
      <c r="A2294" s="20">
        <v>43891</v>
      </c>
      <c r="B2294" s="31"/>
      <c r="C2294" s="31"/>
      <c r="D2294" s="31"/>
      <c r="E2294" s="25"/>
      <c r="F2294" s="26"/>
    </row>
    <row r="2295" spans="1:6" ht="16.8" customHeight="1" x14ac:dyDescent="0.3">
      <c r="A2295" s="20">
        <v>43892</v>
      </c>
      <c r="B2295" s="31" t="s">
        <v>71</v>
      </c>
      <c r="C2295" s="31" t="s">
        <v>57</v>
      </c>
      <c r="D2295" s="31" t="s">
        <v>416</v>
      </c>
      <c r="E2295" s="25">
        <v>45729</v>
      </c>
      <c r="F2295" s="26" t="s">
        <v>2077</v>
      </c>
    </row>
    <row r="2296" spans="1:6" ht="16.8" customHeight="1" x14ac:dyDescent="0.3">
      <c r="A2296" s="20">
        <v>43893</v>
      </c>
      <c r="B2296" s="31" t="s">
        <v>426</v>
      </c>
      <c r="C2296" s="31" t="s">
        <v>232</v>
      </c>
      <c r="D2296" s="31" t="s">
        <v>1995</v>
      </c>
      <c r="E2296" s="25">
        <v>45729</v>
      </c>
      <c r="F2296" s="26" t="s">
        <v>1</v>
      </c>
    </row>
    <row r="2297" spans="1:6" ht="16.8" customHeight="1" x14ac:dyDescent="0.3">
      <c r="A2297" s="20">
        <v>43894</v>
      </c>
      <c r="B2297" s="31" t="s">
        <v>486</v>
      </c>
      <c r="C2297" s="31" t="s">
        <v>487</v>
      </c>
      <c r="D2297" s="31" t="s">
        <v>2120</v>
      </c>
      <c r="E2297" s="25">
        <v>45777</v>
      </c>
      <c r="F2297" s="26" t="s">
        <v>5</v>
      </c>
    </row>
    <row r="2298" spans="1:6" ht="16.8" customHeight="1" x14ac:dyDescent="0.3">
      <c r="A2298" s="20">
        <v>43895</v>
      </c>
      <c r="B2298" s="31"/>
      <c r="C2298" s="31"/>
      <c r="D2298" s="31"/>
      <c r="E2298" s="25"/>
      <c r="F2298" s="26"/>
    </row>
    <row r="2299" spans="1:6" ht="16.8" customHeight="1" x14ac:dyDescent="0.3">
      <c r="A2299" s="20">
        <v>43896</v>
      </c>
      <c r="B2299" s="31" t="s">
        <v>778</v>
      </c>
      <c r="C2299" s="31" t="s">
        <v>752</v>
      </c>
      <c r="D2299" s="31" t="s">
        <v>1001</v>
      </c>
      <c r="E2299" s="25">
        <v>45729</v>
      </c>
      <c r="F2299" s="26" t="s">
        <v>1</v>
      </c>
    </row>
    <row r="2300" spans="1:6" ht="16.8" customHeight="1" x14ac:dyDescent="0.3">
      <c r="A2300" s="20">
        <v>43897</v>
      </c>
      <c r="B2300" s="31" t="s">
        <v>239</v>
      </c>
      <c r="C2300" s="31" t="s">
        <v>546</v>
      </c>
      <c r="D2300" s="31" t="s">
        <v>1049</v>
      </c>
      <c r="E2300" s="25">
        <v>45691</v>
      </c>
      <c r="F2300" s="26" t="s">
        <v>2</v>
      </c>
    </row>
    <row r="2301" spans="1:6" ht="16.8" customHeight="1" x14ac:dyDescent="0.3">
      <c r="A2301" s="20">
        <v>43898</v>
      </c>
      <c r="B2301" s="31"/>
      <c r="C2301" s="31"/>
      <c r="D2301" s="31"/>
      <c r="E2301" s="25"/>
      <c r="F2301" s="26"/>
    </row>
    <row r="2302" spans="1:6" ht="16.8" customHeight="1" x14ac:dyDescent="0.3">
      <c r="A2302" s="20">
        <v>43899</v>
      </c>
      <c r="B2302" s="31" t="s">
        <v>74</v>
      </c>
      <c r="C2302" s="31" t="s">
        <v>217</v>
      </c>
      <c r="D2302" s="31" t="s">
        <v>2078</v>
      </c>
      <c r="E2302" s="25">
        <v>45719</v>
      </c>
      <c r="F2302" s="26" t="s">
        <v>3</v>
      </c>
    </row>
    <row r="2303" spans="1:6" ht="16.8" customHeight="1" x14ac:dyDescent="0.3">
      <c r="A2303" s="20">
        <v>43900</v>
      </c>
      <c r="B2303" s="31" t="s">
        <v>1152</v>
      </c>
      <c r="C2303" s="31"/>
      <c r="D2303" s="31" t="s">
        <v>27</v>
      </c>
      <c r="E2303" s="25">
        <v>45694</v>
      </c>
      <c r="F2303" s="26" t="s">
        <v>1</v>
      </c>
    </row>
    <row r="2304" spans="1:6" ht="16.8" customHeight="1" x14ac:dyDescent="0.3">
      <c r="A2304" s="20">
        <v>43901</v>
      </c>
      <c r="B2304" s="31"/>
      <c r="C2304" s="31"/>
      <c r="D2304" s="31"/>
      <c r="E2304" s="25"/>
      <c r="F2304" s="26"/>
    </row>
    <row r="2305" spans="1:6" ht="16.8" customHeight="1" x14ac:dyDescent="0.3">
      <c r="A2305" s="20">
        <v>43902</v>
      </c>
      <c r="B2305" s="31" t="s">
        <v>337</v>
      </c>
      <c r="C2305" s="31" t="s">
        <v>75</v>
      </c>
      <c r="D2305" s="31" t="s">
        <v>1962</v>
      </c>
      <c r="E2305" s="25">
        <v>45709</v>
      </c>
      <c r="F2305" s="26" t="s">
        <v>1</v>
      </c>
    </row>
    <row r="2306" spans="1:6" ht="16.8" customHeight="1" x14ac:dyDescent="0.3">
      <c r="A2306" s="20">
        <v>43903</v>
      </c>
      <c r="B2306" s="31"/>
      <c r="C2306" s="31"/>
      <c r="D2306" s="31"/>
      <c r="E2306" s="25"/>
      <c r="F2306" s="26"/>
    </row>
    <row r="2307" spans="1:6" ht="16.8" customHeight="1" x14ac:dyDescent="0.3">
      <c r="A2307" s="20">
        <v>43904</v>
      </c>
      <c r="B2307" s="31" t="s">
        <v>199</v>
      </c>
      <c r="C2307" s="31" t="s">
        <v>2402</v>
      </c>
      <c r="D2307" s="31" t="s">
        <v>2403</v>
      </c>
      <c r="E2307" s="25">
        <v>45812</v>
      </c>
      <c r="F2307" s="26" t="s">
        <v>4</v>
      </c>
    </row>
    <row r="2308" spans="1:6" ht="16.8" customHeight="1" x14ac:dyDescent="0.3">
      <c r="A2308" s="20">
        <v>43905</v>
      </c>
      <c r="B2308" s="31" t="s">
        <v>73</v>
      </c>
      <c r="C2308" s="31"/>
      <c r="D2308" s="31" t="s">
        <v>1945</v>
      </c>
      <c r="E2308" s="25">
        <v>45701</v>
      </c>
      <c r="F2308" s="26" t="s">
        <v>1</v>
      </c>
    </row>
    <row r="2309" spans="1:6" ht="16.8" customHeight="1" x14ac:dyDescent="0.3">
      <c r="A2309" s="20">
        <v>43906</v>
      </c>
      <c r="B2309" s="31" t="s">
        <v>309</v>
      </c>
      <c r="C2309" s="31" t="s">
        <v>106</v>
      </c>
      <c r="D2309" s="31" t="s">
        <v>215</v>
      </c>
      <c r="E2309" s="25">
        <v>45694</v>
      </c>
      <c r="F2309" s="26" t="s">
        <v>4</v>
      </c>
    </row>
    <row r="2310" spans="1:6" ht="16.8" customHeight="1" x14ac:dyDescent="0.3">
      <c r="A2310" s="20">
        <v>43907</v>
      </c>
      <c r="B2310" s="31" t="s">
        <v>799</v>
      </c>
      <c r="C2310" s="31" t="s">
        <v>179</v>
      </c>
      <c r="D2310" s="31" t="s">
        <v>70</v>
      </c>
      <c r="E2310" s="25">
        <v>45699</v>
      </c>
      <c r="F2310" s="26" t="s">
        <v>1</v>
      </c>
    </row>
    <row r="2311" spans="1:6" ht="16.8" customHeight="1" x14ac:dyDescent="0.3">
      <c r="A2311" s="20">
        <v>43908</v>
      </c>
      <c r="B2311" s="31" t="s">
        <v>2106</v>
      </c>
      <c r="C2311" s="31" t="s">
        <v>2107</v>
      </c>
      <c r="D2311" s="31" t="s">
        <v>121</v>
      </c>
      <c r="E2311" s="25">
        <v>45776</v>
      </c>
      <c r="F2311" s="26" t="s">
        <v>4</v>
      </c>
    </row>
    <row r="2312" spans="1:6" ht="16.8" customHeight="1" x14ac:dyDescent="0.3">
      <c r="A2312" s="20">
        <v>43909</v>
      </c>
      <c r="B2312" s="31" t="s">
        <v>639</v>
      </c>
      <c r="C2312" s="31" t="s">
        <v>94</v>
      </c>
      <c r="D2312" s="31" t="s">
        <v>121</v>
      </c>
      <c r="E2312" s="25">
        <v>45771</v>
      </c>
      <c r="F2312" s="26" t="s">
        <v>4</v>
      </c>
    </row>
    <row r="2313" spans="1:6" ht="16.8" customHeight="1" x14ac:dyDescent="0.3">
      <c r="A2313" s="20">
        <v>43910</v>
      </c>
      <c r="B2313" s="31" t="s">
        <v>2052</v>
      </c>
      <c r="C2313" s="31" t="s">
        <v>2053</v>
      </c>
      <c r="D2313" s="31" t="s">
        <v>85</v>
      </c>
      <c r="E2313" s="25">
        <v>45741</v>
      </c>
      <c r="F2313" s="26" t="s">
        <v>6</v>
      </c>
    </row>
    <row r="2314" spans="1:6" ht="16.8" customHeight="1" x14ac:dyDescent="0.3">
      <c r="A2314" s="20">
        <v>43911</v>
      </c>
      <c r="B2314" s="31" t="s">
        <v>951</v>
      </c>
      <c r="C2314" s="31" t="s">
        <v>688</v>
      </c>
      <c r="D2314" s="31" t="s">
        <v>1943</v>
      </c>
      <c r="E2314" s="25">
        <v>45699</v>
      </c>
      <c r="F2314" s="26" t="s">
        <v>1</v>
      </c>
    </row>
    <row r="2315" spans="1:6" ht="16.8" customHeight="1" x14ac:dyDescent="0.3">
      <c r="A2315" s="20">
        <v>43912</v>
      </c>
      <c r="B2315" s="31" t="s">
        <v>1040</v>
      </c>
      <c r="C2315" s="31" t="s">
        <v>260</v>
      </c>
      <c r="D2315" s="31" t="s">
        <v>401</v>
      </c>
      <c r="E2315" s="25">
        <v>45699</v>
      </c>
      <c r="F2315" s="26" t="s">
        <v>1</v>
      </c>
    </row>
    <row r="2316" spans="1:6" ht="16.8" customHeight="1" x14ac:dyDescent="0.3">
      <c r="A2316" s="20">
        <v>43913</v>
      </c>
      <c r="B2316" s="31"/>
      <c r="C2316" s="31"/>
      <c r="D2316" s="31"/>
      <c r="E2316" s="25"/>
      <c r="F2316" s="26"/>
    </row>
    <row r="2317" spans="1:6" ht="16.8" customHeight="1" x14ac:dyDescent="0.3">
      <c r="A2317" s="20">
        <v>43914</v>
      </c>
      <c r="B2317" s="31"/>
      <c r="C2317" s="31"/>
      <c r="D2317" s="31"/>
      <c r="E2317" s="25"/>
      <c r="F2317" s="26"/>
    </row>
    <row r="2318" spans="1:6" ht="16.8" customHeight="1" x14ac:dyDescent="0.3">
      <c r="A2318" s="20">
        <v>43915</v>
      </c>
      <c r="B2318" s="31"/>
      <c r="C2318" s="31"/>
      <c r="D2318" s="31"/>
      <c r="E2318" s="25"/>
      <c r="F2318" s="26"/>
    </row>
    <row r="2319" spans="1:6" ht="16.8" customHeight="1" x14ac:dyDescent="0.3">
      <c r="A2319" s="20">
        <v>43916</v>
      </c>
      <c r="B2319" s="31" t="s">
        <v>128</v>
      </c>
      <c r="C2319" s="31" t="s">
        <v>533</v>
      </c>
      <c r="D2319" s="31" t="s">
        <v>121</v>
      </c>
      <c r="E2319" s="25">
        <v>45831</v>
      </c>
      <c r="F2319" s="26" t="s">
        <v>4</v>
      </c>
    </row>
    <row r="2320" spans="1:6" ht="16.8" customHeight="1" x14ac:dyDescent="0.3">
      <c r="A2320" s="20">
        <v>43917</v>
      </c>
      <c r="B2320" s="31"/>
      <c r="C2320" s="31"/>
      <c r="D2320" s="31"/>
      <c r="E2320" s="25"/>
      <c r="F2320" s="26"/>
    </row>
    <row r="2321" spans="1:6" ht="16.8" customHeight="1" x14ac:dyDescent="0.3">
      <c r="A2321" s="20">
        <v>43918</v>
      </c>
      <c r="B2321" s="31"/>
      <c r="C2321" s="31"/>
      <c r="D2321" s="31"/>
      <c r="E2321" s="25"/>
      <c r="F2321" s="26"/>
    </row>
    <row r="2322" spans="1:6" ht="16.8" customHeight="1" x14ac:dyDescent="0.3">
      <c r="A2322" s="20">
        <v>43919</v>
      </c>
      <c r="B2322" s="31" t="s">
        <v>1964</v>
      </c>
      <c r="C2322" s="31" t="s">
        <v>1965</v>
      </c>
      <c r="D2322" s="31"/>
      <c r="E2322" s="25">
        <v>45709</v>
      </c>
      <c r="F2322" s="26" t="s">
        <v>1</v>
      </c>
    </row>
    <row r="2323" spans="1:6" ht="16.8" customHeight="1" x14ac:dyDescent="0.3">
      <c r="A2323" s="20">
        <v>43920</v>
      </c>
      <c r="B2323" s="31" t="s">
        <v>543</v>
      </c>
      <c r="C2323" s="31" t="s">
        <v>544</v>
      </c>
      <c r="D2323" s="31" t="s">
        <v>403</v>
      </c>
      <c r="E2323" s="25">
        <v>45707</v>
      </c>
      <c r="F2323" s="26" t="s">
        <v>6</v>
      </c>
    </row>
    <row r="2324" spans="1:6" ht="16.8" customHeight="1" x14ac:dyDescent="0.3">
      <c r="A2324" s="20">
        <v>43921</v>
      </c>
      <c r="B2324" s="31" t="s">
        <v>41</v>
      </c>
      <c r="C2324" s="31" t="s">
        <v>75</v>
      </c>
      <c r="D2324" s="31" t="s">
        <v>569</v>
      </c>
      <c r="E2324" s="25">
        <v>45777</v>
      </c>
      <c r="F2324" s="26" t="s">
        <v>4</v>
      </c>
    </row>
    <row r="2325" spans="1:6" ht="16.8" customHeight="1" x14ac:dyDescent="0.3">
      <c r="A2325" s="20">
        <v>43922</v>
      </c>
      <c r="B2325" s="31" t="s">
        <v>262</v>
      </c>
      <c r="C2325" s="31" t="s">
        <v>263</v>
      </c>
      <c r="D2325" s="31" t="s">
        <v>2532</v>
      </c>
      <c r="E2325" s="25">
        <v>45835</v>
      </c>
      <c r="F2325" s="26" t="s">
        <v>4</v>
      </c>
    </row>
    <row r="2326" spans="1:6" ht="16.8" customHeight="1" x14ac:dyDescent="0.3">
      <c r="A2326" s="20">
        <v>43923</v>
      </c>
      <c r="B2326" s="31" t="s">
        <v>674</v>
      </c>
      <c r="C2326" s="31" t="s">
        <v>106</v>
      </c>
      <c r="D2326" s="31" t="s">
        <v>950</v>
      </c>
      <c r="E2326" s="25">
        <v>45707</v>
      </c>
      <c r="F2326" s="26" t="s">
        <v>1</v>
      </c>
    </row>
    <row r="2327" spans="1:6" ht="16.8" customHeight="1" x14ac:dyDescent="0.3">
      <c r="A2327" s="20">
        <v>43924</v>
      </c>
      <c r="B2327" s="31" t="s">
        <v>1994</v>
      </c>
      <c r="C2327" s="31"/>
      <c r="D2327" s="31" t="s">
        <v>1575</v>
      </c>
      <c r="E2327" s="25">
        <v>45730</v>
      </c>
      <c r="F2327" s="26" t="s">
        <v>1</v>
      </c>
    </row>
    <row r="2328" spans="1:6" ht="16.8" customHeight="1" x14ac:dyDescent="0.3">
      <c r="A2328" s="20">
        <v>43925</v>
      </c>
      <c r="B2328" s="31" t="s">
        <v>441</v>
      </c>
      <c r="C2328" s="31" t="s">
        <v>75</v>
      </c>
      <c r="D2328" s="31" t="s">
        <v>1946</v>
      </c>
      <c r="E2328" s="25">
        <v>45701</v>
      </c>
      <c r="F2328" s="26" t="s">
        <v>1</v>
      </c>
    </row>
    <row r="2329" spans="1:6" ht="16.8" customHeight="1" x14ac:dyDescent="0.3">
      <c r="A2329" s="20">
        <v>43926</v>
      </c>
      <c r="B2329" s="31"/>
      <c r="C2329" s="31"/>
      <c r="D2329" s="31"/>
      <c r="E2329" s="25"/>
      <c r="F2329" s="26"/>
    </row>
    <row r="2330" spans="1:6" ht="16.8" customHeight="1" x14ac:dyDescent="0.3">
      <c r="A2330" s="20">
        <v>43927</v>
      </c>
      <c r="B2330" s="31" t="s">
        <v>559</v>
      </c>
      <c r="C2330" s="31" t="s">
        <v>2121</v>
      </c>
      <c r="D2330" s="31" t="s">
        <v>186</v>
      </c>
      <c r="E2330" s="25">
        <v>45777</v>
      </c>
      <c r="F2330" s="26" t="s">
        <v>1</v>
      </c>
    </row>
    <row r="2331" spans="1:6" ht="16.8" customHeight="1" x14ac:dyDescent="0.3">
      <c r="A2331" s="20">
        <v>43928</v>
      </c>
      <c r="B2331" s="31" t="s">
        <v>262</v>
      </c>
      <c r="C2331" s="31" t="s">
        <v>596</v>
      </c>
      <c r="D2331" s="31" t="s">
        <v>85</v>
      </c>
      <c r="E2331" s="25">
        <v>45709</v>
      </c>
      <c r="F2331" s="26" t="s">
        <v>1</v>
      </c>
    </row>
    <row r="2332" spans="1:6" ht="16.8" customHeight="1" x14ac:dyDescent="0.3">
      <c r="A2332" s="20">
        <v>43929</v>
      </c>
      <c r="B2332" s="31" t="s">
        <v>262</v>
      </c>
      <c r="C2332" s="31" t="s">
        <v>596</v>
      </c>
      <c r="D2332" s="31" t="s">
        <v>2190</v>
      </c>
      <c r="E2332" s="25">
        <v>45798</v>
      </c>
      <c r="F2332" s="26" t="s">
        <v>2</v>
      </c>
    </row>
    <row r="2333" spans="1:6" ht="16.8" customHeight="1" x14ac:dyDescent="0.3">
      <c r="A2333" s="20">
        <v>43930</v>
      </c>
      <c r="B2333" s="31"/>
      <c r="C2333" s="31"/>
      <c r="D2333" s="31"/>
      <c r="E2333" s="25"/>
      <c r="F2333" s="26"/>
    </row>
    <row r="2334" spans="1:6" ht="16.8" customHeight="1" x14ac:dyDescent="0.3">
      <c r="A2334" s="20">
        <v>43931</v>
      </c>
      <c r="B2334" s="31" t="s">
        <v>610</v>
      </c>
      <c r="C2334" s="31" t="s">
        <v>1980</v>
      </c>
      <c r="D2334" s="31" t="s">
        <v>116</v>
      </c>
      <c r="E2334" s="25">
        <v>45719</v>
      </c>
      <c r="F2334" s="26" t="s">
        <v>1</v>
      </c>
    </row>
    <row r="2335" spans="1:6" ht="16.8" customHeight="1" x14ac:dyDescent="0.3">
      <c r="A2335" s="20">
        <v>43932</v>
      </c>
      <c r="B2335" s="31" t="s">
        <v>41</v>
      </c>
      <c r="C2335" s="31" t="s">
        <v>718</v>
      </c>
      <c r="D2335" s="31" t="s">
        <v>1993</v>
      </c>
      <c r="E2335" s="25">
        <v>45730</v>
      </c>
      <c r="F2335" s="26" t="s">
        <v>5</v>
      </c>
    </row>
    <row r="2336" spans="1:6" ht="16.8" customHeight="1" x14ac:dyDescent="0.3">
      <c r="A2336" s="20">
        <v>43933</v>
      </c>
      <c r="B2336" s="31" t="s">
        <v>746</v>
      </c>
      <c r="C2336" s="31" t="s">
        <v>718</v>
      </c>
      <c r="D2336" s="31" t="s">
        <v>2179</v>
      </c>
      <c r="E2336" s="25">
        <v>45796</v>
      </c>
      <c r="F2336" s="26" t="s">
        <v>5</v>
      </c>
    </row>
    <row r="2337" spans="1:6" ht="16.8" customHeight="1" x14ac:dyDescent="0.3">
      <c r="A2337" s="20">
        <v>43934</v>
      </c>
      <c r="B2337" s="31"/>
      <c r="C2337" s="31"/>
      <c r="D2337" s="31"/>
      <c r="E2337" s="25"/>
      <c r="F2337" s="26"/>
    </row>
    <row r="2338" spans="1:6" ht="16.8" customHeight="1" x14ac:dyDescent="0.3">
      <c r="A2338" s="20">
        <v>43935</v>
      </c>
      <c r="B2338" s="31" t="s">
        <v>509</v>
      </c>
      <c r="C2338" s="31" t="s">
        <v>440</v>
      </c>
      <c r="D2338" s="31" t="s">
        <v>1979</v>
      </c>
      <c r="E2338" s="25">
        <v>45719</v>
      </c>
      <c r="F2338" s="26" t="s">
        <v>3</v>
      </c>
    </row>
    <row r="2339" spans="1:6" ht="16.8" customHeight="1" x14ac:dyDescent="0.3">
      <c r="A2339" s="20">
        <v>43936</v>
      </c>
      <c r="B2339" s="31" t="s">
        <v>239</v>
      </c>
      <c r="C2339" s="31" t="s">
        <v>1203</v>
      </c>
      <c r="D2339" s="31" t="s">
        <v>2027</v>
      </c>
      <c r="E2339" s="25">
        <v>45735</v>
      </c>
      <c r="F2339" s="26" t="s">
        <v>1</v>
      </c>
    </row>
    <row r="2340" spans="1:6" ht="16.8" customHeight="1" x14ac:dyDescent="0.3">
      <c r="A2340" s="20">
        <v>43937</v>
      </c>
      <c r="B2340" s="31" t="s">
        <v>1711</v>
      </c>
      <c r="C2340" s="31" t="s">
        <v>1712</v>
      </c>
      <c r="D2340" s="31" t="s">
        <v>1989</v>
      </c>
      <c r="E2340" s="25">
        <v>45730</v>
      </c>
      <c r="F2340" s="26" t="s">
        <v>2</v>
      </c>
    </row>
    <row r="2341" spans="1:6" ht="16.8" customHeight="1" x14ac:dyDescent="0.3">
      <c r="A2341" s="20">
        <v>43938</v>
      </c>
      <c r="B2341" s="31"/>
      <c r="C2341" s="31"/>
      <c r="D2341" s="31"/>
      <c r="E2341" s="25"/>
      <c r="F2341" s="26"/>
    </row>
    <row r="2342" spans="1:6" ht="16.8" customHeight="1" x14ac:dyDescent="0.3">
      <c r="A2342" s="20">
        <v>43939</v>
      </c>
      <c r="B2342" s="31" t="s">
        <v>450</v>
      </c>
      <c r="C2342" s="31" t="s">
        <v>524</v>
      </c>
      <c r="D2342" s="31" t="s">
        <v>1992</v>
      </c>
      <c r="E2342" s="25">
        <v>45730</v>
      </c>
      <c r="F2342" s="26" t="s">
        <v>1</v>
      </c>
    </row>
    <row r="2343" spans="1:6" ht="16.8" customHeight="1" x14ac:dyDescent="0.3">
      <c r="A2343" s="20">
        <v>43940</v>
      </c>
      <c r="B2343" s="31" t="s">
        <v>1960</v>
      </c>
      <c r="C2343" s="31" t="s">
        <v>312</v>
      </c>
      <c r="D2343" s="31" t="s">
        <v>2040</v>
      </c>
      <c r="E2343" s="25">
        <v>45741</v>
      </c>
      <c r="F2343" s="26" t="s">
        <v>1</v>
      </c>
    </row>
    <row r="2344" spans="1:6" ht="16.8" customHeight="1" x14ac:dyDescent="0.3">
      <c r="A2344" s="20">
        <v>43941</v>
      </c>
      <c r="B2344" s="31" t="s">
        <v>2031</v>
      </c>
      <c r="C2344" s="31" t="s">
        <v>2032</v>
      </c>
      <c r="D2344" s="31" t="s">
        <v>153</v>
      </c>
      <c r="E2344" s="25">
        <v>45735</v>
      </c>
      <c r="F2344" s="26" t="s">
        <v>1</v>
      </c>
    </row>
    <row r="2345" spans="1:6" ht="16.8" customHeight="1" x14ac:dyDescent="0.3">
      <c r="A2345" s="20">
        <v>43942</v>
      </c>
      <c r="B2345" s="31" t="s">
        <v>155</v>
      </c>
      <c r="C2345" s="31" t="s">
        <v>170</v>
      </c>
      <c r="D2345" s="31" t="s">
        <v>176</v>
      </c>
      <c r="E2345" s="25">
        <v>45719</v>
      </c>
      <c r="F2345" s="26" t="s">
        <v>1</v>
      </c>
    </row>
    <row r="2346" spans="1:6" ht="16.8" customHeight="1" x14ac:dyDescent="0.3">
      <c r="A2346" s="20">
        <v>43943</v>
      </c>
      <c r="B2346" s="31" t="s">
        <v>1974</v>
      </c>
      <c r="C2346" s="31" t="s">
        <v>797</v>
      </c>
      <c r="D2346" s="31" t="s">
        <v>1975</v>
      </c>
      <c r="E2346" s="25">
        <v>45719</v>
      </c>
      <c r="F2346" s="26" t="s">
        <v>2</v>
      </c>
    </row>
    <row r="2347" spans="1:6" ht="16.8" customHeight="1" x14ac:dyDescent="0.3">
      <c r="A2347" s="20">
        <v>43944</v>
      </c>
      <c r="B2347" s="31" t="s">
        <v>1996</v>
      </c>
      <c r="C2347" s="31" t="s">
        <v>175</v>
      </c>
      <c r="D2347" s="31" t="s">
        <v>1997</v>
      </c>
      <c r="E2347" s="25">
        <v>45730</v>
      </c>
      <c r="F2347" s="26" t="s">
        <v>1</v>
      </c>
    </row>
    <row r="2348" spans="1:6" ht="16.8" customHeight="1" x14ac:dyDescent="0.3">
      <c r="A2348" s="20">
        <v>43945</v>
      </c>
      <c r="B2348" s="31" t="s">
        <v>328</v>
      </c>
      <c r="C2348" s="31" t="s">
        <v>148</v>
      </c>
      <c r="D2348" s="31" t="s">
        <v>946</v>
      </c>
      <c r="E2348" s="25">
        <v>45777</v>
      </c>
      <c r="F2348" s="26" t="s">
        <v>1</v>
      </c>
    </row>
    <row r="2349" spans="1:6" ht="16.8" customHeight="1" x14ac:dyDescent="0.3">
      <c r="A2349" s="20">
        <v>43946</v>
      </c>
      <c r="B2349" s="31" t="s">
        <v>108</v>
      </c>
      <c r="C2349" s="31" t="s">
        <v>1123</v>
      </c>
      <c r="D2349" s="31" t="s">
        <v>2049</v>
      </c>
      <c r="E2349" s="25">
        <v>45741</v>
      </c>
      <c r="F2349" s="26" t="s">
        <v>2</v>
      </c>
    </row>
    <row r="2350" spans="1:6" ht="16.8" customHeight="1" x14ac:dyDescent="0.3">
      <c r="A2350" s="20">
        <v>43947</v>
      </c>
      <c r="B2350" s="31"/>
      <c r="C2350" s="31"/>
      <c r="D2350" s="31"/>
      <c r="E2350" s="25"/>
      <c r="F2350" s="26"/>
    </row>
    <row r="2351" spans="1:6" ht="16.8" customHeight="1" x14ac:dyDescent="0.3">
      <c r="A2351" s="20">
        <v>43948</v>
      </c>
      <c r="B2351" s="31" t="s">
        <v>187</v>
      </c>
      <c r="C2351" s="31" t="s">
        <v>106</v>
      </c>
      <c r="D2351" s="31" t="s">
        <v>2067</v>
      </c>
      <c r="E2351" s="25">
        <v>45756</v>
      </c>
      <c r="F2351" s="26" t="s">
        <v>1</v>
      </c>
    </row>
    <row r="2352" spans="1:6" ht="16.8" customHeight="1" x14ac:dyDescent="0.3">
      <c r="A2352" s="20">
        <v>43949</v>
      </c>
      <c r="B2352" s="31" t="s">
        <v>729</v>
      </c>
      <c r="C2352" s="31" t="s">
        <v>369</v>
      </c>
      <c r="D2352" s="31" t="s">
        <v>2126</v>
      </c>
      <c r="E2352" s="25">
        <v>45777</v>
      </c>
      <c r="F2352" s="26" t="s">
        <v>2077</v>
      </c>
    </row>
    <row r="2353" spans="1:6" ht="16.8" customHeight="1" x14ac:dyDescent="0.3">
      <c r="A2353" s="20">
        <v>43950</v>
      </c>
      <c r="B2353" s="31" t="s">
        <v>729</v>
      </c>
      <c r="C2353" s="31" t="s">
        <v>249</v>
      </c>
      <c r="D2353" s="31" t="s">
        <v>113</v>
      </c>
      <c r="E2353" s="25">
        <v>45789</v>
      </c>
      <c r="F2353" s="26" t="s">
        <v>1</v>
      </c>
    </row>
    <row r="2354" spans="1:6" ht="16.8" customHeight="1" x14ac:dyDescent="0.3">
      <c r="A2354" s="20">
        <v>43951</v>
      </c>
      <c r="B2354" s="31"/>
      <c r="C2354" s="31"/>
      <c r="D2354" s="31"/>
      <c r="E2354" s="25"/>
      <c r="F2354" s="26"/>
    </row>
    <row r="2355" spans="1:6" ht="16.8" customHeight="1" x14ac:dyDescent="0.3">
      <c r="A2355" s="20">
        <v>43952</v>
      </c>
      <c r="B2355" s="31"/>
      <c r="C2355" s="31"/>
      <c r="D2355" s="31"/>
      <c r="E2355" s="25"/>
      <c r="F2355" s="26"/>
    </row>
    <row r="2356" spans="1:6" ht="16.8" customHeight="1" x14ac:dyDescent="0.3">
      <c r="A2356" s="20">
        <v>43953</v>
      </c>
      <c r="B2356" s="31" t="s">
        <v>2102</v>
      </c>
      <c r="C2356" s="31" t="s">
        <v>2103</v>
      </c>
      <c r="D2356" s="31" t="s">
        <v>121</v>
      </c>
      <c r="E2356" s="25">
        <v>45771</v>
      </c>
      <c r="F2356" s="26" t="s">
        <v>4</v>
      </c>
    </row>
    <row r="2357" spans="1:6" ht="16.8" customHeight="1" x14ac:dyDescent="0.3">
      <c r="A2357" s="20">
        <v>43954</v>
      </c>
      <c r="B2357" s="31" t="s">
        <v>1247</v>
      </c>
      <c r="C2357" s="31" t="s">
        <v>2093</v>
      </c>
      <c r="D2357" s="31" t="s">
        <v>121</v>
      </c>
      <c r="E2357" s="25">
        <v>45769</v>
      </c>
      <c r="F2357" s="26" t="s">
        <v>4</v>
      </c>
    </row>
    <row r="2358" spans="1:6" ht="16.8" customHeight="1" x14ac:dyDescent="0.3">
      <c r="A2358" s="20">
        <v>43955</v>
      </c>
      <c r="B2358" s="31" t="s">
        <v>2041</v>
      </c>
      <c r="C2358" s="31" t="s">
        <v>2042</v>
      </c>
      <c r="D2358" s="31" t="s">
        <v>121</v>
      </c>
      <c r="E2358" s="25">
        <v>45741</v>
      </c>
      <c r="F2358" s="26" t="s">
        <v>4</v>
      </c>
    </row>
    <row r="2359" spans="1:6" ht="16.8" customHeight="1" x14ac:dyDescent="0.3">
      <c r="A2359" s="20">
        <v>43956</v>
      </c>
      <c r="B2359" s="31" t="s">
        <v>2057</v>
      </c>
      <c r="C2359" s="31" t="s">
        <v>2058</v>
      </c>
      <c r="D2359" s="31" t="s">
        <v>2059</v>
      </c>
      <c r="E2359" s="25">
        <v>45744</v>
      </c>
      <c r="F2359" s="26" t="s">
        <v>1</v>
      </c>
    </row>
    <row r="2360" spans="1:6" ht="16.8" customHeight="1" x14ac:dyDescent="0.3">
      <c r="A2360" s="20">
        <v>43957</v>
      </c>
      <c r="B2360" s="31" t="s">
        <v>773</v>
      </c>
      <c r="C2360" s="31" t="s">
        <v>94</v>
      </c>
      <c r="D2360" s="31" t="s">
        <v>1981</v>
      </c>
      <c r="E2360" s="25">
        <v>45719</v>
      </c>
      <c r="F2360" s="26" t="s">
        <v>1</v>
      </c>
    </row>
    <row r="2361" spans="1:6" ht="16.8" customHeight="1" x14ac:dyDescent="0.3">
      <c r="A2361" s="20">
        <v>43958</v>
      </c>
      <c r="B2361" s="31" t="s">
        <v>41</v>
      </c>
      <c r="C2361" s="31" t="s">
        <v>227</v>
      </c>
      <c r="D2361" s="31" t="s">
        <v>2636</v>
      </c>
      <c r="E2361" s="25">
        <v>45860</v>
      </c>
      <c r="F2361" s="26" t="s">
        <v>4</v>
      </c>
    </row>
    <row r="2362" spans="1:6" ht="16.8" customHeight="1" x14ac:dyDescent="0.3">
      <c r="A2362" s="20">
        <v>43959</v>
      </c>
      <c r="B2362" s="31" t="s">
        <v>65</v>
      </c>
      <c r="C2362" s="31" t="s">
        <v>1998</v>
      </c>
      <c r="D2362" s="31" t="s">
        <v>245</v>
      </c>
      <c r="E2362" s="25">
        <v>45733</v>
      </c>
      <c r="F2362" s="26" t="s">
        <v>1</v>
      </c>
    </row>
    <row r="2363" spans="1:6" ht="16.8" customHeight="1" x14ac:dyDescent="0.3">
      <c r="A2363" s="20">
        <v>43960</v>
      </c>
      <c r="B2363" s="31" t="s">
        <v>256</v>
      </c>
      <c r="C2363" s="31" t="s">
        <v>1129</v>
      </c>
      <c r="D2363" s="31" t="s">
        <v>70</v>
      </c>
      <c r="E2363" s="25">
        <v>45729</v>
      </c>
      <c r="F2363" s="26" t="s">
        <v>1</v>
      </c>
    </row>
    <row r="2364" spans="1:6" ht="16.8" customHeight="1" x14ac:dyDescent="0.3">
      <c r="A2364" s="20">
        <v>43961</v>
      </c>
      <c r="B2364" s="31" t="s">
        <v>292</v>
      </c>
      <c r="C2364" s="31" t="s">
        <v>75</v>
      </c>
      <c r="D2364" s="31" t="s">
        <v>1088</v>
      </c>
      <c r="E2364" s="25">
        <v>45730</v>
      </c>
      <c r="F2364" s="26" t="s">
        <v>3</v>
      </c>
    </row>
    <row r="2365" spans="1:6" ht="16.8" customHeight="1" x14ac:dyDescent="0.3">
      <c r="A2365" s="20">
        <v>43962</v>
      </c>
      <c r="B2365" s="31" t="s">
        <v>1135</v>
      </c>
      <c r="C2365" s="31" t="s">
        <v>63</v>
      </c>
      <c r="D2365" s="31" t="s">
        <v>145</v>
      </c>
      <c r="E2365" s="25">
        <v>45730</v>
      </c>
      <c r="F2365" s="26" t="s">
        <v>3</v>
      </c>
    </row>
    <row r="2366" spans="1:6" ht="16.8" customHeight="1" x14ac:dyDescent="0.3">
      <c r="A2366" s="20">
        <v>43963</v>
      </c>
      <c r="B2366" s="31" t="s">
        <v>1135</v>
      </c>
      <c r="C2366" s="31" t="s">
        <v>63</v>
      </c>
      <c r="D2366" s="31" t="s">
        <v>255</v>
      </c>
      <c r="E2366" s="25">
        <v>45736</v>
      </c>
      <c r="F2366" s="26" t="s">
        <v>3</v>
      </c>
    </row>
    <row r="2367" spans="1:6" ht="16.8" customHeight="1" x14ac:dyDescent="0.3">
      <c r="A2367" s="20">
        <v>43964</v>
      </c>
      <c r="B2367" s="31" t="s">
        <v>292</v>
      </c>
      <c r="C2367" s="31" t="s">
        <v>75</v>
      </c>
      <c r="D2367" s="31" t="s">
        <v>1798</v>
      </c>
      <c r="E2367" s="25">
        <v>45733</v>
      </c>
      <c r="F2367" s="26" t="s">
        <v>6</v>
      </c>
    </row>
    <row r="2368" spans="1:6" ht="16.8" customHeight="1" x14ac:dyDescent="0.3">
      <c r="A2368" s="20">
        <v>43965</v>
      </c>
      <c r="B2368" s="31" t="s">
        <v>1972</v>
      </c>
      <c r="C2368" s="31"/>
      <c r="D2368" s="31" t="s">
        <v>116</v>
      </c>
      <c r="E2368" s="25">
        <v>45719</v>
      </c>
      <c r="F2368" s="26" t="s">
        <v>1</v>
      </c>
    </row>
    <row r="2369" spans="1:6" ht="16.8" customHeight="1" x14ac:dyDescent="0.3">
      <c r="A2369" s="20">
        <v>43966</v>
      </c>
      <c r="B2369" s="31"/>
      <c r="C2369" s="31"/>
      <c r="D2369" s="31"/>
      <c r="E2369" s="25"/>
      <c r="F2369" s="26"/>
    </row>
    <row r="2370" spans="1:6" ht="16.8" customHeight="1" x14ac:dyDescent="0.3">
      <c r="A2370" s="20">
        <v>43967</v>
      </c>
      <c r="B2370" s="31"/>
      <c r="C2370" s="31"/>
      <c r="D2370" s="31"/>
      <c r="E2370" s="25"/>
      <c r="F2370" s="26"/>
    </row>
    <row r="2371" spans="1:6" ht="16.8" customHeight="1" x14ac:dyDescent="0.3">
      <c r="A2371" s="20">
        <v>43968</v>
      </c>
      <c r="B2371" s="31"/>
      <c r="C2371" s="31"/>
      <c r="D2371" s="31"/>
      <c r="E2371" s="25"/>
      <c r="F2371" s="26"/>
    </row>
    <row r="2372" spans="1:6" ht="16.8" customHeight="1" x14ac:dyDescent="0.3">
      <c r="A2372" s="20">
        <v>43969</v>
      </c>
      <c r="B2372" s="31"/>
      <c r="C2372" s="31"/>
      <c r="D2372" s="31"/>
      <c r="E2372" s="25"/>
      <c r="F2372" s="26"/>
    </row>
    <row r="2373" spans="1:6" ht="16.8" customHeight="1" x14ac:dyDescent="0.3">
      <c r="A2373" s="20">
        <v>43970</v>
      </c>
      <c r="B2373" s="31" t="s">
        <v>122</v>
      </c>
      <c r="C2373" s="31" t="s">
        <v>2111</v>
      </c>
      <c r="D2373" s="31" t="s">
        <v>720</v>
      </c>
      <c r="E2373" s="25">
        <v>45776</v>
      </c>
      <c r="F2373" s="26" t="s">
        <v>1</v>
      </c>
    </row>
    <row r="2374" spans="1:6" ht="16.8" customHeight="1" x14ac:dyDescent="0.3">
      <c r="A2374" s="20">
        <v>43971</v>
      </c>
      <c r="B2374" s="31" t="s">
        <v>761</v>
      </c>
      <c r="C2374" s="31" t="s">
        <v>1999</v>
      </c>
      <c r="D2374" s="31" t="s">
        <v>85</v>
      </c>
      <c r="E2374" s="25">
        <v>45729</v>
      </c>
      <c r="F2374" s="26" t="s">
        <v>1</v>
      </c>
    </row>
    <row r="2375" spans="1:6" ht="16.8" customHeight="1" x14ac:dyDescent="0.3">
      <c r="A2375" s="20">
        <v>43972</v>
      </c>
      <c r="B2375" s="31" t="s">
        <v>1701</v>
      </c>
      <c r="C2375" s="31" t="s">
        <v>563</v>
      </c>
      <c r="D2375" s="31" t="s">
        <v>1660</v>
      </c>
      <c r="E2375" s="25">
        <v>45735</v>
      </c>
      <c r="F2375" s="26" t="s">
        <v>3</v>
      </c>
    </row>
    <row r="2376" spans="1:6" ht="16.8" customHeight="1" x14ac:dyDescent="0.3">
      <c r="A2376" s="20">
        <v>43973</v>
      </c>
      <c r="B2376" s="31" t="s">
        <v>470</v>
      </c>
      <c r="C2376" s="31" t="s">
        <v>982</v>
      </c>
      <c r="D2376" s="31" t="s">
        <v>2372</v>
      </c>
      <c r="E2376" s="25">
        <v>45807</v>
      </c>
      <c r="F2376" s="26" t="s">
        <v>4</v>
      </c>
    </row>
    <row r="2377" spans="1:6" ht="16.8" customHeight="1" x14ac:dyDescent="0.3">
      <c r="A2377" s="20">
        <v>43974</v>
      </c>
      <c r="B2377" s="31" t="s">
        <v>1977</v>
      </c>
      <c r="C2377" s="31" t="s">
        <v>1978</v>
      </c>
      <c r="D2377" s="31" t="s">
        <v>121</v>
      </c>
      <c r="E2377" s="25">
        <v>45719</v>
      </c>
      <c r="F2377" s="26" t="s">
        <v>4</v>
      </c>
    </row>
    <row r="2378" spans="1:6" ht="16.8" customHeight="1" x14ac:dyDescent="0.3">
      <c r="A2378" s="20">
        <v>43975</v>
      </c>
      <c r="B2378" s="31" t="s">
        <v>180</v>
      </c>
      <c r="C2378" s="31" t="s">
        <v>181</v>
      </c>
      <c r="D2378" s="31" t="s">
        <v>2000</v>
      </c>
      <c r="E2378" s="25">
        <v>45733</v>
      </c>
      <c r="F2378" s="26" t="s">
        <v>10</v>
      </c>
    </row>
    <row r="2379" spans="1:6" ht="16.8" customHeight="1" x14ac:dyDescent="0.3">
      <c r="A2379" s="20">
        <v>43976</v>
      </c>
      <c r="B2379" s="31"/>
      <c r="C2379" s="31"/>
      <c r="D2379" s="31"/>
      <c r="E2379" s="25"/>
      <c r="F2379" s="26"/>
    </row>
    <row r="2380" spans="1:6" ht="16.8" customHeight="1" x14ac:dyDescent="0.3">
      <c r="A2380" s="20">
        <v>43977</v>
      </c>
      <c r="B2380" s="31" t="s">
        <v>975</v>
      </c>
      <c r="C2380" s="31" t="s">
        <v>2226</v>
      </c>
      <c r="D2380" s="31" t="s">
        <v>176</v>
      </c>
      <c r="E2380" s="25">
        <v>45800</v>
      </c>
      <c r="F2380" s="26" t="s">
        <v>2077</v>
      </c>
    </row>
    <row r="2381" spans="1:6" ht="16.8" customHeight="1" x14ac:dyDescent="0.3">
      <c r="A2381" s="20">
        <v>43978</v>
      </c>
      <c r="B2381" s="31" t="s">
        <v>1960</v>
      </c>
      <c r="C2381" s="31" t="s">
        <v>295</v>
      </c>
      <c r="D2381" s="31" t="s">
        <v>787</v>
      </c>
      <c r="E2381" s="25">
        <v>45720</v>
      </c>
      <c r="F2381" s="26" t="s">
        <v>1</v>
      </c>
    </row>
    <row r="2382" spans="1:6" ht="16.8" customHeight="1" x14ac:dyDescent="0.3">
      <c r="A2382" s="20">
        <v>43979</v>
      </c>
      <c r="B2382" s="31" t="s">
        <v>74</v>
      </c>
      <c r="C2382" s="31" t="s">
        <v>367</v>
      </c>
      <c r="D2382" s="31" t="s">
        <v>1134</v>
      </c>
      <c r="E2382" s="25">
        <v>45730</v>
      </c>
      <c r="F2382" s="26" t="s">
        <v>2</v>
      </c>
    </row>
    <row r="2383" spans="1:6" ht="16.8" customHeight="1" x14ac:dyDescent="0.3">
      <c r="A2383" s="20">
        <v>43980</v>
      </c>
      <c r="B2383" s="31" t="s">
        <v>611</v>
      </c>
      <c r="C2383" s="31" t="s">
        <v>2104</v>
      </c>
      <c r="D2383" s="31" t="s">
        <v>121</v>
      </c>
      <c r="E2383" s="25">
        <v>45771</v>
      </c>
      <c r="F2383" s="26" t="s">
        <v>4</v>
      </c>
    </row>
    <row r="2384" spans="1:6" ht="16.8" customHeight="1" x14ac:dyDescent="0.3">
      <c r="A2384" s="20">
        <v>43981</v>
      </c>
      <c r="B2384" s="31"/>
      <c r="C2384" s="31"/>
      <c r="D2384" s="31"/>
      <c r="E2384" s="25"/>
      <c r="F2384" s="26"/>
    </row>
    <row r="2385" spans="1:6" ht="16.8" customHeight="1" x14ac:dyDescent="0.3">
      <c r="A2385" s="20">
        <v>43982</v>
      </c>
      <c r="B2385" s="31" t="s">
        <v>41</v>
      </c>
      <c r="C2385" s="31" t="s">
        <v>106</v>
      </c>
      <c r="D2385" s="31" t="s">
        <v>1948</v>
      </c>
      <c r="E2385" s="25">
        <v>45929</v>
      </c>
      <c r="F2385" s="26" t="s">
        <v>4</v>
      </c>
    </row>
    <row r="2386" spans="1:6" ht="16.8" customHeight="1" x14ac:dyDescent="0.3">
      <c r="A2386" s="20">
        <v>43983</v>
      </c>
      <c r="B2386" s="31"/>
      <c r="C2386" s="31"/>
      <c r="D2386" s="31"/>
      <c r="E2386" s="25"/>
      <c r="F2386" s="26"/>
    </row>
    <row r="2387" spans="1:6" ht="16.8" customHeight="1" x14ac:dyDescent="0.3">
      <c r="A2387" s="20">
        <v>43984</v>
      </c>
      <c r="B2387" s="31" t="s">
        <v>239</v>
      </c>
      <c r="C2387" s="31" t="s">
        <v>546</v>
      </c>
      <c r="D2387" s="31" t="s">
        <v>172</v>
      </c>
      <c r="E2387" s="25">
        <v>45733</v>
      </c>
      <c r="F2387" s="26" t="s">
        <v>2</v>
      </c>
    </row>
    <row r="2388" spans="1:6" ht="16.8" customHeight="1" x14ac:dyDescent="0.3">
      <c r="A2388" s="20">
        <v>43985</v>
      </c>
      <c r="B2388" s="31"/>
      <c r="C2388" s="31"/>
      <c r="D2388" s="31"/>
      <c r="E2388" s="25"/>
      <c r="F2388" s="26"/>
    </row>
    <row r="2389" spans="1:6" ht="16.8" customHeight="1" x14ac:dyDescent="0.3">
      <c r="A2389" s="20">
        <v>43986</v>
      </c>
      <c r="B2389" s="31"/>
      <c r="C2389" s="31"/>
      <c r="D2389" s="31"/>
      <c r="E2389" s="25"/>
      <c r="F2389" s="26"/>
    </row>
    <row r="2390" spans="1:6" ht="16.8" customHeight="1" x14ac:dyDescent="0.3">
      <c r="A2390" s="20">
        <v>43987</v>
      </c>
      <c r="B2390" s="31"/>
      <c r="C2390" s="31"/>
      <c r="D2390" s="31"/>
      <c r="E2390" s="25"/>
      <c r="F2390" s="26"/>
    </row>
    <row r="2391" spans="1:6" ht="16.8" customHeight="1" x14ac:dyDescent="0.3">
      <c r="A2391" s="20">
        <v>43988</v>
      </c>
      <c r="B2391" s="31" t="s">
        <v>1124</v>
      </c>
      <c r="C2391" s="31" t="s">
        <v>1125</v>
      </c>
      <c r="D2391" s="31" t="s">
        <v>428</v>
      </c>
      <c r="E2391" s="25">
        <v>45733</v>
      </c>
      <c r="F2391" s="26" t="s">
        <v>1</v>
      </c>
    </row>
    <row r="2392" spans="1:6" ht="16.8" customHeight="1" x14ac:dyDescent="0.3">
      <c r="A2392" s="20">
        <v>43989</v>
      </c>
      <c r="B2392" s="31" t="s">
        <v>2137</v>
      </c>
      <c r="C2392" s="31" t="s">
        <v>295</v>
      </c>
      <c r="D2392" s="31" t="s">
        <v>176</v>
      </c>
      <c r="E2392" s="25">
        <v>45782</v>
      </c>
      <c r="F2392" s="26" t="s">
        <v>1</v>
      </c>
    </row>
    <row r="2393" spans="1:6" ht="16.8" customHeight="1" x14ac:dyDescent="0.3">
      <c r="A2393" s="20">
        <v>43990</v>
      </c>
      <c r="B2393" s="31" t="s">
        <v>1009</v>
      </c>
      <c r="C2393" s="31" t="s">
        <v>227</v>
      </c>
      <c r="D2393" s="31" t="s">
        <v>356</v>
      </c>
      <c r="E2393" s="25">
        <v>45730</v>
      </c>
      <c r="F2393" s="26" t="s">
        <v>1</v>
      </c>
    </row>
    <row r="2394" spans="1:6" ht="16.8" customHeight="1" x14ac:dyDescent="0.3">
      <c r="A2394" s="20">
        <v>43991</v>
      </c>
      <c r="B2394" s="31" t="s">
        <v>2039</v>
      </c>
      <c r="C2394" s="31" t="s">
        <v>2109</v>
      </c>
      <c r="D2394" s="31" t="s">
        <v>121</v>
      </c>
      <c r="E2394" s="25">
        <v>45784</v>
      </c>
      <c r="F2394" s="26" t="s">
        <v>4</v>
      </c>
    </row>
    <row r="2395" spans="1:6" ht="16.8" customHeight="1" x14ac:dyDescent="0.3">
      <c r="A2395" s="20">
        <v>43992</v>
      </c>
      <c r="B2395" s="31" t="s">
        <v>41</v>
      </c>
      <c r="C2395" s="31" t="s">
        <v>2680</v>
      </c>
      <c r="D2395" s="31" t="s">
        <v>98</v>
      </c>
      <c r="E2395" s="25">
        <v>45874</v>
      </c>
      <c r="F2395" s="26" t="s">
        <v>4</v>
      </c>
    </row>
    <row r="2396" spans="1:6" ht="16.8" customHeight="1" x14ac:dyDescent="0.3">
      <c r="A2396" s="20">
        <v>43993</v>
      </c>
      <c r="B2396" s="31"/>
      <c r="C2396" s="31"/>
      <c r="D2396" s="31"/>
      <c r="E2396" s="25"/>
      <c r="F2396" s="26"/>
    </row>
    <row r="2397" spans="1:6" ht="16.8" customHeight="1" x14ac:dyDescent="0.3">
      <c r="A2397" s="20">
        <v>43994</v>
      </c>
      <c r="B2397" s="31"/>
      <c r="C2397" s="31"/>
      <c r="D2397" s="31"/>
      <c r="E2397" s="25"/>
      <c r="F2397" s="26"/>
    </row>
    <row r="2398" spans="1:6" ht="16.8" customHeight="1" x14ac:dyDescent="0.3">
      <c r="A2398" s="20">
        <v>43995</v>
      </c>
      <c r="B2398" s="31"/>
      <c r="C2398" s="31"/>
      <c r="D2398" s="31"/>
      <c r="E2398" s="25"/>
      <c r="F2398" s="26"/>
    </row>
    <row r="2399" spans="1:6" ht="16.8" customHeight="1" x14ac:dyDescent="0.3">
      <c r="A2399" s="20">
        <v>43996</v>
      </c>
      <c r="B2399" s="31" t="s">
        <v>687</v>
      </c>
      <c r="C2399" s="31" t="s">
        <v>162</v>
      </c>
      <c r="D2399" s="31" t="s">
        <v>2051</v>
      </c>
      <c r="E2399" s="25">
        <v>45741</v>
      </c>
      <c r="F2399" s="26" t="s">
        <v>1</v>
      </c>
    </row>
    <row r="2400" spans="1:6" ht="16.8" customHeight="1" x14ac:dyDescent="0.3">
      <c r="A2400" s="20">
        <v>43997</v>
      </c>
      <c r="B2400" s="31" t="s">
        <v>74</v>
      </c>
      <c r="C2400" s="31" t="s">
        <v>2182</v>
      </c>
      <c r="D2400" s="31" t="s">
        <v>1547</v>
      </c>
      <c r="E2400" s="25">
        <v>45797</v>
      </c>
      <c r="F2400" s="26" t="s">
        <v>1</v>
      </c>
    </row>
    <row r="2401" spans="1:6" ht="16.8" customHeight="1" x14ac:dyDescent="0.3">
      <c r="A2401" s="20">
        <v>43998</v>
      </c>
      <c r="B2401" s="31" t="s">
        <v>199</v>
      </c>
      <c r="C2401" s="31" t="s">
        <v>293</v>
      </c>
      <c r="D2401" s="31" t="s">
        <v>98</v>
      </c>
      <c r="E2401" s="25">
        <v>45730</v>
      </c>
      <c r="F2401" s="26" t="s">
        <v>4</v>
      </c>
    </row>
    <row r="2402" spans="1:6" ht="16.8" customHeight="1" x14ac:dyDescent="0.3">
      <c r="A2402" s="20">
        <v>43999</v>
      </c>
      <c r="B2402" s="31" t="s">
        <v>2029</v>
      </c>
      <c r="C2402" s="31"/>
      <c r="D2402" s="31" t="s">
        <v>554</v>
      </c>
      <c r="E2402" s="25">
        <v>45735</v>
      </c>
      <c r="F2402" s="26" t="s">
        <v>1</v>
      </c>
    </row>
    <row r="2403" spans="1:6" ht="16.8" customHeight="1" x14ac:dyDescent="0.3">
      <c r="A2403" s="20">
        <v>44000</v>
      </c>
      <c r="B2403" s="31"/>
      <c r="C2403" s="31"/>
      <c r="D2403" s="31"/>
      <c r="E2403" s="25"/>
      <c r="F2403" s="26"/>
    </row>
    <row r="2404" spans="1:6" ht="16.8" customHeight="1" x14ac:dyDescent="0.3">
      <c r="A2404" s="20">
        <v>44001</v>
      </c>
      <c r="B2404" s="31"/>
      <c r="C2404" s="31"/>
      <c r="D2404" s="31"/>
      <c r="E2404" s="25"/>
      <c r="F2404" s="26"/>
    </row>
    <row r="2405" spans="1:6" ht="16.8" customHeight="1" x14ac:dyDescent="0.3">
      <c r="A2405" s="20">
        <v>44002</v>
      </c>
      <c r="B2405" s="31" t="s">
        <v>486</v>
      </c>
      <c r="C2405" s="31" t="s">
        <v>223</v>
      </c>
      <c r="D2405" s="31" t="s">
        <v>686</v>
      </c>
      <c r="E2405" s="25">
        <v>45733</v>
      </c>
      <c r="F2405" s="26" t="s">
        <v>1</v>
      </c>
    </row>
    <row r="2406" spans="1:6" ht="16.8" customHeight="1" x14ac:dyDescent="0.3">
      <c r="A2406" s="20">
        <v>44003</v>
      </c>
      <c r="B2406" s="31" t="s">
        <v>189</v>
      </c>
      <c r="C2406" s="31" t="s">
        <v>2030</v>
      </c>
      <c r="D2406" s="31" t="s">
        <v>1757</v>
      </c>
      <c r="E2406" s="25">
        <v>45735</v>
      </c>
      <c r="F2406" s="26" t="s">
        <v>1</v>
      </c>
    </row>
    <row r="2407" spans="1:6" ht="16.8" customHeight="1" x14ac:dyDescent="0.3">
      <c r="A2407" s="20">
        <v>44004</v>
      </c>
      <c r="B2407" s="31" t="s">
        <v>570</v>
      </c>
      <c r="C2407" s="31" t="s">
        <v>1054</v>
      </c>
      <c r="D2407" s="31" t="s">
        <v>373</v>
      </c>
      <c r="E2407" s="25">
        <v>45761</v>
      </c>
      <c r="F2407" s="26" t="s">
        <v>1</v>
      </c>
    </row>
    <row r="2408" spans="1:6" ht="16.8" customHeight="1" x14ac:dyDescent="0.3">
      <c r="A2408" s="20">
        <v>44005</v>
      </c>
      <c r="B2408" s="31" t="s">
        <v>2854</v>
      </c>
      <c r="C2408" s="31" t="s">
        <v>162</v>
      </c>
      <c r="D2408" s="31" t="s">
        <v>2855</v>
      </c>
      <c r="E2408" s="25">
        <v>45929</v>
      </c>
      <c r="F2408" s="26" t="s">
        <v>1</v>
      </c>
    </row>
    <row r="2409" spans="1:6" ht="16.8" customHeight="1" x14ac:dyDescent="0.3">
      <c r="A2409" s="20">
        <v>44006</v>
      </c>
      <c r="B2409" s="31" t="s">
        <v>1090</v>
      </c>
      <c r="C2409" s="31" t="s">
        <v>179</v>
      </c>
      <c r="D2409" s="31" t="s">
        <v>2155</v>
      </c>
      <c r="E2409" s="25">
        <v>45789</v>
      </c>
      <c r="F2409" s="26" t="s">
        <v>1</v>
      </c>
    </row>
    <row r="2410" spans="1:6" ht="16.8" customHeight="1" x14ac:dyDescent="0.3">
      <c r="A2410" s="20">
        <v>44007</v>
      </c>
      <c r="B2410" s="31" t="s">
        <v>1124</v>
      </c>
      <c r="C2410" s="31" t="s">
        <v>2043</v>
      </c>
      <c r="D2410" s="31" t="s">
        <v>2044</v>
      </c>
      <c r="E2410" s="25">
        <v>45741</v>
      </c>
      <c r="F2410" s="26" t="s">
        <v>8</v>
      </c>
    </row>
    <row r="2411" spans="1:6" ht="16.8" customHeight="1" x14ac:dyDescent="0.3">
      <c r="A2411" s="20">
        <v>44008</v>
      </c>
      <c r="B2411" s="31"/>
      <c r="C2411" s="31"/>
      <c r="D2411" s="31"/>
      <c r="E2411" s="25"/>
      <c r="F2411" s="26"/>
    </row>
    <row r="2412" spans="1:6" ht="16.8" customHeight="1" x14ac:dyDescent="0.3">
      <c r="A2412" s="20">
        <v>44009</v>
      </c>
      <c r="B2412" s="31" t="s">
        <v>468</v>
      </c>
      <c r="C2412" s="31" t="s">
        <v>1999</v>
      </c>
      <c r="D2412" s="31" t="s">
        <v>121</v>
      </c>
      <c r="E2412" s="25">
        <v>45771</v>
      </c>
      <c r="F2412" s="26" t="s">
        <v>4</v>
      </c>
    </row>
    <row r="2413" spans="1:6" ht="16.8" customHeight="1" x14ac:dyDescent="0.3">
      <c r="A2413" s="20">
        <v>44010</v>
      </c>
      <c r="B2413" s="31" t="s">
        <v>41</v>
      </c>
      <c r="C2413" s="31" t="s">
        <v>2607</v>
      </c>
      <c r="D2413" s="31" t="s">
        <v>2686</v>
      </c>
      <c r="E2413" s="25">
        <v>45930</v>
      </c>
      <c r="F2413" s="26" t="s">
        <v>4</v>
      </c>
    </row>
    <row r="2414" spans="1:6" ht="16.8" customHeight="1" x14ac:dyDescent="0.3">
      <c r="A2414" s="20">
        <v>44011</v>
      </c>
      <c r="B2414" s="31" t="s">
        <v>189</v>
      </c>
      <c r="C2414" s="31" t="s">
        <v>190</v>
      </c>
      <c r="D2414" s="31" t="s">
        <v>2712</v>
      </c>
      <c r="E2414" s="25">
        <v>45896</v>
      </c>
      <c r="F2414" s="26" t="s">
        <v>1</v>
      </c>
    </row>
    <row r="2415" spans="1:6" ht="16.8" customHeight="1" x14ac:dyDescent="0.3">
      <c r="A2415" s="20">
        <v>44012</v>
      </c>
      <c r="B2415" s="31"/>
      <c r="C2415" s="31"/>
      <c r="D2415" s="31"/>
      <c r="E2415" s="25"/>
      <c r="F2415" s="26"/>
    </row>
    <row r="2416" spans="1:6" ht="16.8" customHeight="1" x14ac:dyDescent="0.3">
      <c r="A2416" s="20">
        <v>44013</v>
      </c>
      <c r="B2416" s="31"/>
      <c r="C2416" s="31"/>
      <c r="D2416" s="31"/>
      <c r="E2416" s="25"/>
      <c r="F2416" s="26"/>
    </row>
    <row r="2417" spans="1:6" ht="16.8" customHeight="1" x14ac:dyDescent="0.3">
      <c r="A2417" s="20">
        <v>44014</v>
      </c>
      <c r="B2417" s="31"/>
      <c r="C2417" s="31"/>
      <c r="D2417" s="31"/>
      <c r="E2417" s="25"/>
      <c r="F2417" s="26"/>
    </row>
    <row r="2418" spans="1:6" ht="16.8" customHeight="1" x14ac:dyDescent="0.3">
      <c r="A2418" s="20">
        <v>44015</v>
      </c>
      <c r="B2418" s="31" t="s">
        <v>799</v>
      </c>
      <c r="C2418" s="31" t="s">
        <v>179</v>
      </c>
      <c r="D2418" s="31" t="s">
        <v>525</v>
      </c>
      <c r="E2418" s="25">
        <v>45777</v>
      </c>
      <c r="F2418" s="26" t="s">
        <v>2077</v>
      </c>
    </row>
    <row r="2419" spans="1:6" ht="16.8" customHeight="1" x14ac:dyDescent="0.3">
      <c r="A2419" s="20">
        <v>44016</v>
      </c>
      <c r="B2419" s="31"/>
      <c r="C2419" s="31"/>
      <c r="D2419" s="31"/>
      <c r="E2419" s="25"/>
      <c r="F2419" s="26"/>
    </row>
    <row r="2420" spans="1:6" ht="16.8" customHeight="1" x14ac:dyDescent="0.3">
      <c r="A2420" s="20">
        <v>44017</v>
      </c>
      <c r="B2420" s="31" t="s">
        <v>79</v>
      </c>
      <c r="C2420" s="31" t="s">
        <v>32</v>
      </c>
      <c r="D2420" s="31" t="s">
        <v>615</v>
      </c>
      <c r="E2420" s="25">
        <v>45733</v>
      </c>
      <c r="F2420" s="26" t="s">
        <v>1</v>
      </c>
    </row>
    <row r="2421" spans="1:6" ht="16.8" customHeight="1" x14ac:dyDescent="0.3">
      <c r="A2421" s="20">
        <v>44018</v>
      </c>
      <c r="B2421" s="31" t="s">
        <v>962</v>
      </c>
      <c r="C2421" s="31" t="s">
        <v>2003</v>
      </c>
      <c r="D2421" s="31" t="s">
        <v>549</v>
      </c>
      <c r="E2421" s="25">
        <v>45733</v>
      </c>
      <c r="F2421" s="26" t="s">
        <v>4</v>
      </c>
    </row>
    <row r="2422" spans="1:6" ht="16.8" customHeight="1" x14ac:dyDescent="0.3">
      <c r="A2422" s="20">
        <v>44019</v>
      </c>
      <c r="B2422" s="31"/>
      <c r="C2422" s="31"/>
      <c r="D2422" s="31"/>
      <c r="E2422" s="25"/>
      <c r="F2422" s="26"/>
    </row>
    <row r="2423" spans="1:6" ht="16.8" customHeight="1" x14ac:dyDescent="0.3">
      <c r="A2423" s="20">
        <v>44020</v>
      </c>
      <c r="B2423" s="31" t="s">
        <v>2004</v>
      </c>
      <c r="C2423" s="31"/>
      <c r="D2423" s="31"/>
      <c r="E2423" s="25">
        <v>45733</v>
      </c>
      <c r="F2423" s="26" t="s">
        <v>1</v>
      </c>
    </row>
    <row r="2424" spans="1:6" ht="16.8" customHeight="1" x14ac:dyDescent="0.3">
      <c r="A2424" s="20">
        <v>44021</v>
      </c>
      <c r="B2424" s="31" t="s">
        <v>276</v>
      </c>
      <c r="C2424" s="31" t="s">
        <v>2005</v>
      </c>
      <c r="D2424" s="31" t="s">
        <v>495</v>
      </c>
      <c r="E2424" s="25">
        <v>45733</v>
      </c>
      <c r="F2424" s="26" t="s">
        <v>1</v>
      </c>
    </row>
    <row r="2425" spans="1:6" ht="16.8" customHeight="1" x14ac:dyDescent="0.3">
      <c r="A2425" s="20">
        <v>44022</v>
      </c>
      <c r="B2425" s="31" t="s">
        <v>446</v>
      </c>
      <c r="C2425" s="31" t="s">
        <v>367</v>
      </c>
      <c r="D2425" s="31" t="s">
        <v>1436</v>
      </c>
      <c r="E2425" s="25">
        <v>45730</v>
      </c>
      <c r="F2425" s="26" t="s">
        <v>2</v>
      </c>
    </row>
    <row r="2426" spans="1:6" ht="16.8" customHeight="1" x14ac:dyDescent="0.3">
      <c r="A2426" s="20">
        <v>44023</v>
      </c>
      <c r="B2426" s="31"/>
      <c r="C2426" s="31"/>
      <c r="D2426" s="31"/>
      <c r="E2426" s="25"/>
      <c r="F2426" s="26"/>
    </row>
    <row r="2427" spans="1:6" ht="16.8" customHeight="1" x14ac:dyDescent="0.3">
      <c r="A2427" s="20">
        <v>44024</v>
      </c>
      <c r="B2427" s="31" t="s">
        <v>446</v>
      </c>
      <c r="C2427" s="31" t="s">
        <v>75</v>
      </c>
      <c r="D2427" s="31" t="s">
        <v>1597</v>
      </c>
      <c r="E2427" s="25">
        <v>45831</v>
      </c>
      <c r="F2427" s="26" t="s">
        <v>4</v>
      </c>
    </row>
    <row r="2428" spans="1:6" ht="16.8" customHeight="1" x14ac:dyDescent="0.3">
      <c r="A2428" s="20">
        <v>44025</v>
      </c>
      <c r="B2428" s="31" t="s">
        <v>292</v>
      </c>
      <c r="C2428" s="31" t="s">
        <v>75</v>
      </c>
      <c r="D2428" s="31" t="s">
        <v>61</v>
      </c>
      <c r="E2428" s="25">
        <v>45924</v>
      </c>
      <c r="F2428" s="26" t="s">
        <v>1</v>
      </c>
    </row>
    <row r="2429" spans="1:6" ht="16.8" customHeight="1" x14ac:dyDescent="0.3">
      <c r="A2429" s="20">
        <v>44026</v>
      </c>
      <c r="B2429" s="31"/>
      <c r="C2429" s="31"/>
      <c r="D2429" s="31"/>
      <c r="E2429" s="25"/>
      <c r="F2429" s="26"/>
    </row>
    <row r="2430" spans="1:6" ht="16.8" customHeight="1" x14ac:dyDescent="0.3">
      <c r="A2430" s="20">
        <v>44027</v>
      </c>
      <c r="B2430" s="31"/>
      <c r="C2430" s="31"/>
      <c r="D2430" s="31"/>
      <c r="E2430" s="25"/>
      <c r="F2430" s="26"/>
    </row>
    <row r="2431" spans="1:6" ht="16.8" customHeight="1" x14ac:dyDescent="0.3">
      <c r="A2431" s="20">
        <v>44028</v>
      </c>
      <c r="B2431" s="31"/>
      <c r="C2431" s="31"/>
      <c r="D2431" s="31"/>
      <c r="E2431" s="25"/>
      <c r="F2431" s="26"/>
    </row>
    <row r="2432" spans="1:6" ht="16.8" customHeight="1" x14ac:dyDescent="0.3">
      <c r="A2432" s="20">
        <v>44029</v>
      </c>
      <c r="B2432" s="31" t="s">
        <v>426</v>
      </c>
      <c r="C2432" s="31" t="s">
        <v>2489</v>
      </c>
      <c r="D2432" s="31" t="s">
        <v>98</v>
      </c>
      <c r="E2432" s="25">
        <v>45831</v>
      </c>
      <c r="F2432" s="26" t="s">
        <v>4</v>
      </c>
    </row>
    <row r="2433" spans="1:6" ht="16.8" customHeight="1" x14ac:dyDescent="0.3">
      <c r="A2433" s="20">
        <v>44030</v>
      </c>
      <c r="B2433" s="31"/>
      <c r="C2433" s="31"/>
      <c r="D2433" s="31"/>
      <c r="E2433" s="25"/>
      <c r="F2433" s="26"/>
    </row>
    <row r="2434" spans="1:6" ht="16.8" customHeight="1" x14ac:dyDescent="0.3">
      <c r="A2434" s="20">
        <v>44031</v>
      </c>
      <c r="B2434" s="31"/>
      <c r="C2434" s="31"/>
      <c r="D2434" s="31"/>
      <c r="E2434" s="25"/>
      <c r="F2434" s="26"/>
    </row>
    <row r="2435" spans="1:6" ht="16.8" customHeight="1" x14ac:dyDescent="0.3">
      <c r="A2435" s="20">
        <v>44032</v>
      </c>
      <c r="B2435" s="31" t="s">
        <v>328</v>
      </c>
      <c r="C2435" s="31" t="s">
        <v>487</v>
      </c>
      <c r="D2435" s="31" t="s">
        <v>592</v>
      </c>
      <c r="E2435" s="25">
        <v>45784</v>
      </c>
      <c r="F2435" s="26" t="s">
        <v>2077</v>
      </c>
    </row>
    <row r="2436" spans="1:6" ht="16.8" customHeight="1" x14ac:dyDescent="0.3">
      <c r="A2436" s="20">
        <v>44033</v>
      </c>
      <c r="B2436" s="31" t="s">
        <v>870</v>
      </c>
      <c r="C2436" s="31" t="s">
        <v>179</v>
      </c>
      <c r="D2436" s="31" t="s">
        <v>777</v>
      </c>
      <c r="E2436" s="25">
        <v>45735</v>
      </c>
      <c r="F2436" s="26" t="s">
        <v>1</v>
      </c>
    </row>
    <row r="2437" spans="1:6" ht="16.8" customHeight="1" x14ac:dyDescent="0.3">
      <c r="A2437" s="20">
        <v>44034</v>
      </c>
      <c r="B2437" s="31" t="s">
        <v>365</v>
      </c>
      <c r="C2437" s="31" t="s">
        <v>148</v>
      </c>
      <c r="D2437" s="31" t="s">
        <v>779</v>
      </c>
      <c r="E2437" s="25">
        <v>45744</v>
      </c>
      <c r="F2437" s="26" t="s">
        <v>1</v>
      </c>
    </row>
    <row r="2438" spans="1:6" ht="16.8" customHeight="1" x14ac:dyDescent="0.3">
      <c r="A2438" s="20">
        <v>44035</v>
      </c>
      <c r="B2438" s="31" t="s">
        <v>325</v>
      </c>
      <c r="C2438" s="31" t="s">
        <v>367</v>
      </c>
      <c r="D2438" s="31" t="s">
        <v>163</v>
      </c>
      <c r="E2438" s="25">
        <v>45744</v>
      </c>
      <c r="F2438" s="26" t="s">
        <v>3</v>
      </c>
    </row>
    <row r="2439" spans="1:6" ht="16.8" customHeight="1" x14ac:dyDescent="0.3">
      <c r="A2439" s="20">
        <v>44036</v>
      </c>
      <c r="B2439" s="31" t="s">
        <v>325</v>
      </c>
      <c r="C2439" s="31" t="s">
        <v>367</v>
      </c>
      <c r="D2439" s="31" t="s">
        <v>491</v>
      </c>
      <c r="E2439" s="25">
        <v>45734</v>
      </c>
      <c r="F2439" s="26" t="s">
        <v>2</v>
      </c>
    </row>
    <row r="2440" spans="1:6" ht="16.8" customHeight="1" x14ac:dyDescent="0.3">
      <c r="A2440" s="20">
        <v>44037</v>
      </c>
      <c r="B2440" s="31" t="s">
        <v>325</v>
      </c>
      <c r="C2440" s="31" t="s">
        <v>367</v>
      </c>
      <c r="D2440" s="31" t="s">
        <v>218</v>
      </c>
      <c r="E2440" s="25">
        <v>45744</v>
      </c>
      <c r="F2440" s="26" t="s">
        <v>3</v>
      </c>
    </row>
    <row r="2441" spans="1:6" ht="16.8" customHeight="1" x14ac:dyDescent="0.3">
      <c r="A2441" s="20">
        <v>44038</v>
      </c>
      <c r="B2441" s="31" t="s">
        <v>236</v>
      </c>
      <c r="C2441" s="31" t="s">
        <v>2145</v>
      </c>
      <c r="D2441" s="31" t="s">
        <v>2146</v>
      </c>
      <c r="E2441" s="25">
        <v>45784</v>
      </c>
      <c r="F2441" s="26" t="s">
        <v>1</v>
      </c>
    </row>
    <row r="2442" spans="1:6" ht="16.8" customHeight="1" x14ac:dyDescent="0.3">
      <c r="A2442" s="20">
        <v>44039</v>
      </c>
      <c r="B2442" s="31" t="s">
        <v>746</v>
      </c>
      <c r="C2442" s="31" t="s">
        <v>718</v>
      </c>
      <c r="D2442" s="31" t="s">
        <v>549</v>
      </c>
      <c r="E2442" s="25">
        <v>45729</v>
      </c>
      <c r="F2442" s="26" t="s">
        <v>4</v>
      </c>
    </row>
    <row r="2443" spans="1:6" ht="16.8" customHeight="1" x14ac:dyDescent="0.3">
      <c r="A2443" s="20">
        <v>44040</v>
      </c>
      <c r="B2443" s="31" t="s">
        <v>2156</v>
      </c>
      <c r="C2443" s="31" t="s">
        <v>2157</v>
      </c>
      <c r="D2443" s="31" t="s">
        <v>2158</v>
      </c>
      <c r="E2443" s="25">
        <v>45790</v>
      </c>
      <c r="F2443" s="26" t="s">
        <v>1</v>
      </c>
    </row>
    <row r="2444" spans="1:6" ht="16.8" customHeight="1" x14ac:dyDescent="0.3">
      <c r="A2444" s="20">
        <v>44041</v>
      </c>
      <c r="B2444" s="31"/>
      <c r="C2444" s="31"/>
      <c r="D2444" s="31"/>
      <c r="E2444" s="25"/>
      <c r="F2444" s="26"/>
    </row>
    <row r="2445" spans="1:6" ht="16.8" customHeight="1" x14ac:dyDescent="0.3">
      <c r="A2445" s="20">
        <v>44042</v>
      </c>
      <c r="B2445" s="31" t="s">
        <v>399</v>
      </c>
      <c r="C2445" s="31" t="s">
        <v>66</v>
      </c>
      <c r="D2445" s="31" t="s">
        <v>495</v>
      </c>
      <c r="E2445" s="25">
        <v>45741</v>
      </c>
      <c r="F2445" s="26" t="s">
        <v>1</v>
      </c>
    </row>
    <row r="2446" spans="1:6" ht="16.8" customHeight="1" x14ac:dyDescent="0.3">
      <c r="A2446" s="20">
        <v>44043</v>
      </c>
      <c r="B2446" s="31"/>
      <c r="C2446" s="31"/>
      <c r="D2446" s="31"/>
      <c r="E2446" s="25"/>
      <c r="F2446" s="26"/>
    </row>
    <row r="2447" spans="1:6" ht="16.8" customHeight="1" x14ac:dyDescent="0.3">
      <c r="A2447" s="20">
        <v>44044</v>
      </c>
      <c r="B2447" s="31" t="s">
        <v>199</v>
      </c>
      <c r="C2447" s="31" t="s">
        <v>293</v>
      </c>
      <c r="D2447" s="31" t="s">
        <v>2045</v>
      </c>
      <c r="E2447" s="25">
        <v>45741</v>
      </c>
      <c r="F2447" s="26" t="s">
        <v>4</v>
      </c>
    </row>
    <row r="2448" spans="1:6" ht="16.8" customHeight="1" x14ac:dyDescent="0.3">
      <c r="A2448" s="20">
        <v>44045</v>
      </c>
      <c r="B2448" s="31" t="s">
        <v>2122</v>
      </c>
      <c r="C2448" s="31" t="s">
        <v>66</v>
      </c>
      <c r="D2448" s="31" t="s">
        <v>176</v>
      </c>
      <c r="E2448" s="25">
        <v>45777</v>
      </c>
      <c r="F2448" s="26" t="s">
        <v>1</v>
      </c>
    </row>
    <row r="2449" spans="1:6" ht="16.8" customHeight="1" x14ac:dyDescent="0.3">
      <c r="A2449" s="20">
        <v>44046</v>
      </c>
      <c r="B2449" s="31" t="s">
        <v>429</v>
      </c>
      <c r="C2449" s="31" t="s">
        <v>263</v>
      </c>
      <c r="D2449" s="31" t="s">
        <v>121</v>
      </c>
      <c r="E2449" s="25">
        <v>45812</v>
      </c>
      <c r="F2449" s="26" t="s">
        <v>4</v>
      </c>
    </row>
    <row r="2450" spans="1:6" ht="16.8" customHeight="1" x14ac:dyDescent="0.3">
      <c r="A2450" s="20">
        <v>44047</v>
      </c>
      <c r="B2450" s="31" t="s">
        <v>65</v>
      </c>
      <c r="C2450" s="31" t="s">
        <v>408</v>
      </c>
      <c r="D2450" s="31" t="s">
        <v>1049</v>
      </c>
      <c r="E2450" s="25">
        <v>45735</v>
      </c>
      <c r="F2450" s="26" t="s">
        <v>1</v>
      </c>
    </row>
    <row r="2451" spans="1:6" ht="16.8" customHeight="1" x14ac:dyDescent="0.3">
      <c r="A2451" s="20">
        <v>44048</v>
      </c>
      <c r="B2451" s="31"/>
      <c r="C2451" s="31"/>
      <c r="D2451" s="31"/>
      <c r="E2451" s="25"/>
      <c r="F2451" s="26"/>
    </row>
    <row r="2452" spans="1:6" ht="16.8" customHeight="1" x14ac:dyDescent="0.3">
      <c r="A2452" s="20">
        <v>44049</v>
      </c>
      <c r="B2452" s="31" t="s">
        <v>622</v>
      </c>
      <c r="C2452" s="31" t="s">
        <v>133</v>
      </c>
      <c r="D2452" s="31" t="s">
        <v>801</v>
      </c>
      <c r="E2452" s="25">
        <v>45740</v>
      </c>
      <c r="F2452" s="26" t="s">
        <v>3</v>
      </c>
    </row>
    <row r="2453" spans="1:6" ht="16.8" customHeight="1" x14ac:dyDescent="0.3">
      <c r="A2453" s="20">
        <v>44050</v>
      </c>
      <c r="B2453" s="31" t="s">
        <v>1090</v>
      </c>
      <c r="C2453" s="31" t="s">
        <v>2630</v>
      </c>
      <c r="D2453" s="31" t="s">
        <v>176</v>
      </c>
      <c r="E2453" s="25">
        <v>45856</v>
      </c>
      <c r="F2453" s="26" t="s">
        <v>1</v>
      </c>
    </row>
    <row r="2454" spans="1:6" ht="16.8" customHeight="1" x14ac:dyDescent="0.3">
      <c r="A2454" s="20">
        <v>44051</v>
      </c>
      <c r="B2454" s="31" t="s">
        <v>71</v>
      </c>
      <c r="C2454" s="31" t="s">
        <v>106</v>
      </c>
      <c r="D2454" s="31" t="s">
        <v>922</v>
      </c>
      <c r="E2454" s="25">
        <v>45741</v>
      </c>
      <c r="F2454" s="26" t="s">
        <v>2</v>
      </c>
    </row>
    <row r="2455" spans="1:6" ht="16.8" customHeight="1" x14ac:dyDescent="0.3">
      <c r="A2455" s="20">
        <v>44052</v>
      </c>
      <c r="B2455" s="31" t="s">
        <v>2046</v>
      </c>
      <c r="C2455" s="31" t="s">
        <v>588</v>
      </c>
      <c r="D2455" s="31" t="s">
        <v>315</v>
      </c>
      <c r="E2455" s="25">
        <v>45741</v>
      </c>
      <c r="F2455" s="26" t="s">
        <v>1</v>
      </c>
    </row>
    <row r="2456" spans="1:6" ht="16.8" customHeight="1" x14ac:dyDescent="0.3">
      <c r="A2456" s="20">
        <v>44053</v>
      </c>
      <c r="B2456" s="31" t="s">
        <v>262</v>
      </c>
      <c r="C2456" s="31" t="s">
        <v>263</v>
      </c>
      <c r="D2456" s="31" t="s">
        <v>2196</v>
      </c>
      <c r="E2456" s="25">
        <v>45798</v>
      </c>
      <c r="F2456" s="26" t="s">
        <v>2</v>
      </c>
    </row>
    <row r="2457" spans="1:6" ht="16.8" customHeight="1" x14ac:dyDescent="0.3">
      <c r="A2457" s="20">
        <v>44054</v>
      </c>
      <c r="B2457" s="31"/>
      <c r="C2457" s="31"/>
      <c r="D2457" s="31"/>
      <c r="E2457" s="25"/>
      <c r="F2457" s="26"/>
    </row>
    <row r="2458" spans="1:6" ht="16.8" customHeight="1" x14ac:dyDescent="0.3">
      <c r="A2458" s="20">
        <v>44055</v>
      </c>
      <c r="B2458" s="31" t="s">
        <v>44</v>
      </c>
      <c r="C2458" s="31" t="s">
        <v>32</v>
      </c>
      <c r="D2458" s="31" t="s">
        <v>2047</v>
      </c>
      <c r="E2458" s="25">
        <v>45741</v>
      </c>
      <c r="F2458" s="26" t="s">
        <v>1</v>
      </c>
    </row>
    <row r="2459" spans="1:6" ht="16.8" customHeight="1" x14ac:dyDescent="0.3">
      <c r="A2459" s="20">
        <v>44056</v>
      </c>
      <c r="B2459" s="31"/>
      <c r="C2459" s="31"/>
      <c r="D2459" s="31"/>
      <c r="E2459" s="25"/>
      <c r="F2459" s="26"/>
    </row>
    <row r="2460" spans="1:6" ht="16.8" customHeight="1" x14ac:dyDescent="0.3">
      <c r="A2460" s="20">
        <v>44057</v>
      </c>
      <c r="B2460" s="31" t="s">
        <v>600</v>
      </c>
      <c r="C2460" s="31" t="s">
        <v>2088</v>
      </c>
      <c r="D2460" s="31" t="s">
        <v>2089</v>
      </c>
      <c r="E2460" s="25">
        <v>45765</v>
      </c>
      <c r="F2460" s="26" t="s">
        <v>1</v>
      </c>
    </row>
    <row r="2461" spans="1:6" ht="16.8" customHeight="1" x14ac:dyDescent="0.3">
      <c r="A2461" s="20">
        <v>44058</v>
      </c>
      <c r="B2461" s="31"/>
      <c r="C2461" s="31"/>
      <c r="D2461" s="31"/>
      <c r="E2461" s="25"/>
      <c r="F2461" s="26"/>
    </row>
    <row r="2462" spans="1:6" ht="16.8" customHeight="1" x14ac:dyDescent="0.3">
      <c r="A2462" s="20">
        <v>44059</v>
      </c>
      <c r="B2462" s="31" t="s">
        <v>672</v>
      </c>
      <c r="C2462" s="31" t="s">
        <v>240</v>
      </c>
      <c r="D2462" s="31"/>
      <c r="E2462" s="25">
        <v>45777</v>
      </c>
      <c r="F2462" s="26" t="s">
        <v>1</v>
      </c>
    </row>
    <row r="2463" spans="1:6" ht="16.8" customHeight="1" x14ac:dyDescent="0.3">
      <c r="A2463" s="20">
        <v>44060</v>
      </c>
      <c r="B2463" s="31" t="s">
        <v>71</v>
      </c>
      <c r="C2463" s="31" t="s">
        <v>106</v>
      </c>
      <c r="D2463" s="31" t="s">
        <v>2054</v>
      </c>
      <c r="E2463" s="25">
        <v>45741</v>
      </c>
      <c r="F2463" s="26" t="s">
        <v>1</v>
      </c>
    </row>
    <row r="2464" spans="1:6" ht="16.8" customHeight="1" x14ac:dyDescent="0.3">
      <c r="A2464" s="20">
        <v>44061</v>
      </c>
      <c r="B2464" s="31" t="s">
        <v>86</v>
      </c>
      <c r="C2464" s="31" t="s">
        <v>45</v>
      </c>
      <c r="D2464" s="31" t="s">
        <v>1645</v>
      </c>
      <c r="E2464" s="25">
        <v>45784</v>
      </c>
      <c r="F2464" s="26" t="s">
        <v>1</v>
      </c>
    </row>
    <row r="2465" spans="1:6" ht="16.8" customHeight="1" x14ac:dyDescent="0.3">
      <c r="A2465" s="20">
        <v>44062</v>
      </c>
      <c r="B2465" s="31" t="s">
        <v>41</v>
      </c>
      <c r="C2465" s="31" t="s">
        <v>2678</v>
      </c>
      <c r="D2465" s="31"/>
      <c r="E2465" s="25">
        <v>45874</v>
      </c>
      <c r="F2465" s="26" t="s">
        <v>4</v>
      </c>
    </row>
    <row r="2466" spans="1:6" ht="16.8" customHeight="1" x14ac:dyDescent="0.3">
      <c r="A2466" s="20">
        <v>44063</v>
      </c>
      <c r="B2466" s="31" t="s">
        <v>325</v>
      </c>
      <c r="C2466" s="31" t="s">
        <v>367</v>
      </c>
      <c r="D2466" s="31" t="s">
        <v>172</v>
      </c>
      <c r="E2466" s="25">
        <v>45744</v>
      </c>
      <c r="F2466" s="26" t="s">
        <v>3</v>
      </c>
    </row>
    <row r="2467" spans="1:6" ht="16.8" customHeight="1" x14ac:dyDescent="0.3">
      <c r="A2467" s="20">
        <v>44064</v>
      </c>
      <c r="B2467" s="31" t="s">
        <v>474</v>
      </c>
      <c r="C2467" s="31" t="s">
        <v>45</v>
      </c>
      <c r="D2467" s="31" t="s">
        <v>145</v>
      </c>
      <c r="E2467" s="25">
        <v>45744</v>
      </c>
      <c r="F2467" s="26" t="s">
        <v>1</v>
      </c>
    </row>
    <row r="2468" spans="1:6" ht="16.8" customHeight="1" x14ac:dyDescent="0.3">
      <c r="A2468" s="20">
        <v>44065</v>
      </c>
      <c r="B2468" s="31" t="s">
        <v>309</v>
      </c>
      <c r="C2468" s="31" t="s">
        <v>2105</v>
      </c>
      <c r="D2468" s="31" t="s">
        <v>126</v>
      </c>
      <c r="E2468" s="25">
        <v>45771</v>
      </c>
      <c r="F2468" s="26" t="s">
        <v>1</v>
      </c>
    </row>
    <row r="2469" spans="1:6" ht="16.8" customHeight="1" x14ac:dyDescent="0.3">
      <c r="A2469" s="20">
        <v>44066</v>
      </c>
      <c r="B2469" s="31"/>
      <c r="C2469" s="31"/>
      <c r="D2469" s="31"/>
      <c r="E2469" s="25"/>
      <c r="F2469" s="26"/>
    </row>
    <row r="2470" spans="1:6" ht="16.8" customHeight="1" x14ac:dyDescent="0.3">
      <c r="A2470" s="20">
        <v>44067</v>
      </c>
      <c r="B2470" s="31"/>
      <c r="C2470" s="31"/>
      <c r="D2470" s="31"/>
      <c r="E2470" s="25"/>
      <c r="F2470" s="26"/>
    </row>
    <row r="2471" spans="1:6" ht="16.8" customHeight="1" x14ac:dyDescent="0.3">
      <c r="A2471" s="20">
        <v>44068</v>
      </c>
      <c r="B2471" s="31"/>
      <c r="C2471" s="31"/>
      <c r="D2471" s="31"/>
      <c r="E2471" s="25"/>
      <c r="F2471" s="26"/>
    </row>
    <row r="2472" spans="1:6" ht="16.8" customHeight="1" x14ac:dyDescent="0.3">
      <c r="A2472" s="20">
        <v>44069</v>
      </c>
      <c r="B2472" s="31" t="s">
        <v>420</v>
      </c>
      <c r="C2472" s="31"/>
      <c r="D2472" s="31" t="s">
        <v>27</v>
      </c>
      <c r="E2472" s="25">
        <v>45740</v>
      </c>
      <c r="F2472" s="26" t="s">
        <v>1</v>
      </c>
    </row>
    <row r="2473" spans="1:6" ht="16.8" customHeight="1" x14ac:dyDescent="0.3">
      <c r="A2473" s="20">
        <v>44070</v>
      </c>
      <c r="B2473" s="31" t="s">
        <v>41</v>
      </c>
      <c r="C2473" s="31" t="s">
        <v>1052</v>
      </c>
      <c r="D2473" s="31" t="s">
        <v>98</v>
      </c>
      <c r="E2473" s="25">
        <v>45771</v>
      </c>
      <c r="F2473" s="26" t="s">
        <v>4</v>
      </c>
    </row>
    <row r="2474" spans="1:6" ht="16.8" customHeight="1" x14ac:dyDescent="0.3">
      <c r="A2474" s="20">
        <v>44071</v>
      </c>
      <c r="B2474" s="31"/>
      <c r="C2474" s="31"/>
      <c r="D2474" s="31"/>
      <c r="E2474" s="25"/>
      <c r="F2474" s="26"/>
    </row>
    <row r="2475" spans="1:6" ht="16.8" customHeight="1" x14ac:dyDescent="0.3">
      <c r="A2475" s="20">
        <v>44072</v>
      </c>
      <c r="B2475" s="31"/>
      <c r="C2475" s="31"/>
      <c r="D2475" s="31"/>
      <c r="E2475" s="25"/>
      <c r="F2475" s="26"/>
    </row>
    <row r="2476" spans="1:6" ht="16.8" customHeight="1" x14ac:dyDescent="0.3">
      <c r="A2476" s="20">
        <v>44073</v>
      </c>
      <c r="B2476" s="31" t="s">
        <v>2071</v>
      </c>
      <c r="C2476" s="31" t="s">
        <v>2072</v>
      </c>
      <c r="D2476" s="31" t="s">
        <v>615</v>
      </c>
      <c r="E2476" s="25">
        <v>45761</v>
      </c>
      <c r="F2476" s="26" t="s">
        <v>1</v>
      </c>
    </row>
    <row r="2477" spans="1:6" ht="16.8" customHeight="1" x14ac:dyDescent="0.3">
      <c r="A2477" s="20">
        <v>44074</v>
      </c>
      <c r="B2477" s="31"/>
      <c r="C2477" s="31"/>
      <c r="D2477" s="31"/>
      <c r="E2477" s="25"/>
      <c r="F2477" s="26"/>
    </row>
    <row r="2478" spans="1:6" ht="16.8" customHeight="1" x14ac:dyDescent="0.3">
      <c r="A2478" s="20">
        <v>44075</v>
      </c>
      <c r="B2478" s="31" t="s">
        <v>286</v>
      </c>
      <c r="C2478" s="31" t="s">
        <v>287</v>
      </c>
      <c r="D2478" s="31" t="s">
        <v>207</v>
      </c>
      <c r="E2478" s="25">
        <v>45784</v>
      </c>
      <c r="F2478" s="26" t="s">
        <v>1</v>
      </c>
    </row>
    <row r="2479" spans="1:6" ht="16.8" customHeight="1" x14ac:dyDescent="0.3">
      <c r="A2479" s="20">
        <v>44076</v>
      </c>
      <c r="B2479" s="31" t="s">
        <v>576</v>
      </c>
      <c r="C2479" s="31" t="s">
        <v>2404</v>
      </c>
      <c r="D2479" s="31" t="s">
        <v>121</v>
      </c>
      <c r="E2479" s="25">
        <v>45812</v>
      </c>
      <c r="F2479" s="26" t="s">
        <v>4</v>
      </c>
    </row>
    <row r="2480" spans="1:6" ht="16.8" customHeight="1" x14ac:dyDescent="0.3">
      <c r="A2480" s="20">
        <v>44077</v>
      </c>
      <c r="B2480" s="31" t="s">
        <v>2048</v>
      </c>
      <c r="C2480" s="31"/>
      <c r="D2480" s="31" t="s">
        <v>27</v>
      </c>
      <c r="E2480" s="25">
        <v>45741</v>
      </c>
      <c r="F2480" s="26" t="s">
        <v>1</v>
      </c>
    </row>
    <row r="2481" spans="1:6" ht="16.8" customHeight="1" x14ac:dyDescent="0.3">
      <c r="A2481" s="20">
        <v>44078</v>
      </c>
      <c r="B2481" s="31" t="s">
        <v>325</v>
      </c>
      <c r="C2481" s="31" t="s">
        <v>367</v>
      </c>
      <c r="D2481" s="31" t="s">
        <v>186</v>
      </c>
      <c r="E2481" s="25">
        <v>45744</v>
      </c>
      <c r="F2481" s="26" t="s">
        <v>3</v>
      </c>
    </row>
    <row r="2482" spans="1:6" ht="16.8" customHeight="1" x14ac:dyDescent="0.3">
      <c r="A2482" s="20">
        <v>44079</v>
      </c>
      <c r="B2482" s="31" t="s">
        <v>225</v>
      </c>
      <c r="C2482" s="31" t="s">
        <v>2405</v>
      </c>
      <c r="D2482" s="31" t="s">
        <v>121</v>
      </c>
      <c r="E2482" s="25">
        <v>45812</v>
      </c>
      <c r="F2482" s="26" t="s">
        <v>4</v>
      </c>
    </row>
    <row r="2483" spans="1:6" ht="16.8" customHeight="1" x14ac:dyDescent="0.3">
      <c r="A2483" s="20">
        <v>44080</v>
      </c>
      <c r="B2483" s="31" t="s">
        <v>951</v>
      </c>
      <c r="C2483" s="31" t="s">
        <v>688</v>
      </c>
      <c r="D2483" s="31" t="s">
        <v>134</v>
      </c>
      <c r="E2483" s="25">
        <v>45860</v>
      </c>
      <c r="F2483" s="26" t="s">
        <v>8</v>
      </c>
    </row>
    <row r="2484" spans="1:6" ht="16.8" customHeight="1" x14ac:dyDescent="0.3">
      <c r="A2484" s="20">
        <v>44081</v>
      </c>
      <c r="B2484" s="31" t="s">
        <v>259</v>
      </c>
      <c r="C2484" s="31" t="s">
        <v>63</v>
      </c>
      <c r="D2484" s="31" t="s">
        <v>671</v>
      </c>
      <c r="E2484" s="25">
        <v>45771</v>
      </c>
      <c r="F2484" s="26" t="s">
        <v>1</v>
      </c>
    </row>
    <row r="2485" spans="1:6" ht="16.8" customHeight="1" x14ac:dyDescent="0.3">
      <c r="A2485" s="20">
        <v>44082</v>
      </c>
      <c r="B2485" s="31"/>
      <c r="C2485" s="31"/>
      <c r="D2485" s="31"/>
      <c r="E2485" s="25"/>
      <c r="F2485" s="26"/>
    </row>
    <row r="2486" spans="1:6" ht="16.8" customHeight="1" x14ac:dyDescent="0.3">
      <c r="A2486" s="20">
        <v>44083</v>
      </c>
      <c r="B2486" s="31" t="s">
        <v>1081</v>
      </c>
      <c r="C2486" s="31" t="s">
        <v>45</v>
      </c>
      <c r="D2486" s="31" t="s">
        <v>410</v>
      </c>
      <c r="E2486" s="25">
        <v>45799</v>
      </c>
      <c r="F2486" s="26" t="s">
        <v>8</v>
      </c>
    </row>
    <row r="2487" spans="1:6" ht="16.8" customHeight="1" x14ac:dyDescent="0.3">
      <c r="A2487" s="20">
        <v>44084</v>
      </c>
      <c r="B2487" s="31" t="s">
        <v>294</v>
      </c>
      <c r="C2487" s="31" t="s">
        <v>718</v>
      </c>
      <c r="D2487" s="31" t="s">
        <v>121</v>
      </c>
      <c r="E2487" s="25">
        <v>45812</v>
      </c>
      <c r="F2487" s="26" t="s">
        <v>4</v>
      </c>
    </row>
    <row r="2488" spans="1:6" ht="16.8" customHeight="1" x14ac:dyDescent="0.3">
      <c r="A2488" s="20">
        <v>44085</v>
      </c>
      <c r="B2488" s="31" t="s">
        <v>292</v>
      </c>
      <c r="C2488" s="31" t="s">
        <v>718</v>
      </c>
      <c r="D2488" s="31" t="s">
        <v>121</v>
      </c>
      <c r="E2488" s="25">
        <v>45812</v>
      </c>
      <c r="F2488" s="26" t="s">
        <v>4</v>
      </c>
    </row>
    <row r="2489" spans="1:6" ht="16.8" customHeight="1" x14ac:dyDescent="0.3">
      <c r="A2489" s="20">
        <v>44086</v>
      </c>
      <c r="B2489" s="31" t="s">
        <v>2123</v>
      </c>
      <c r="C2489" s="31" t="s">
        <v>106</v>
      </c>
      <c r="D2489" s="31" t="s">
        <v>134</v>
      </c>
      <c r="E2489" s="25">
        <v>45777</v>
      </c>
      <c r="F2489" s="26" t="s">
        <v>1</v>
      </c>
    </row>
    <row r="2490" spans="1:6" ht="16.8" customHeight="1" x14ac:dyDescent="0.3">
      <c r="A2490" s="20">
        <v>44087</v>
      </c>
      <c r="B2490" s="31" t="s">
        <v>450</v>
      </c>
      <c r="C2490" s="31" t="s">
        <v>379</v>
      </c>
      <c r="D2490" s="31" t="s">
        <v>843</v>
      </c>
      <c r="E2490" s="25">
        <v>45744</v>
      </c>
      <c r="F2490" s="26" t="s">
        <v>1</v>
      </c>
    </row>
    <row r="2491" spans="1:6" ht="16.8" customHeight="1" x14ac:dyDescent="0.3">
      <c r="A2491" s="20">
        <v>44088</v>
      </c>
      <c r="B2491" s="31" t="s">
        <v>511</v>
      </c>
      <c r="C2491" s="31" t="s">
        <v>106</v>
      </c>
      <c r="D2491" s="31" t="s">
        <v>1221</v>
      </c>
      <c r="E2491" s="25">
        <v>45777</v>
      </c>
      <c r="F2491" s="26" t="s">
        <v>1</v>
      </c>
    </row>
    <row r="2492" spans="1:6" ht="16.8" customHeight="1" x14ac:dyDescent="0.3">
      <c r="A2492" s="20">
        <v>44089</v>
      </c>
      <c r="B2492" s="31" t="s">
        <v>2056</v>
      </c>
      <c r="C2492" s="31"/>
      <c r="D2492" s="31" t="s">
        <v>27</v>
      </c>
      <c r="E2492" s="25">
        <v>45744</v>
      </c>
      <c r="F2492" s="26" t="s">
        <v>1</v>
      </c>
    </row>
    <row r="2493" spans="1:6" ht="16.8" customHeight="1" x14ac:dyDescent="0.3">
      <c r="A2493" s="20">
        <v>44090</v>
      </c>
      <c r="B2493" s="31" t="s">
        <v>155</v>
      </c>
      <c r="C2493" s="31" t="s">
        <v>2225</v>
      </c>
      <c r="D2493" s="31" t="s">
        <v>1470</v>
      </c>
      <c r="E2493" s="25">
        <v>45800</v>
      </c>
      <c r="F2493" s="26" t="s">
        <v>1</v>
      </c>
    </row>
    <row r="2494" spans="1:6" ht="16.8" customHeight="1" x14ac:dyDescent="0.3">
      <c r="A2494" s="20">
        <v>44091</v>
      </c>
      <c r="B2494" s="31" t="s">
        <v>164</v>
      </c>
      <c r="C2494" s="31" t="s">
        <v>453</v>
      </c>
      <c r="D2494" s="31" t="s">
        <v>134</v>
      </c>
      <c r="E2494" s="25">
        <v>45777</v>
      </c>
      <c r="F2494" s="26" t="s">
        <v>1</v>
      </c>
    </row>
    <row r="2495" spans="1:6" ht="16.8" customHeight="1" x14ac:dyDescent="0.3">
      <c r="A2495" s="20">
        <v>44092</v>
      </c>
      <c r="B2495" s="31" t="s">
        <v>498</v>
      </c>
      <c r="C2495" s="31" t="s">
        <v>32</v>
      </c>
      <c r="D2495" s="31" t="s">
        <v>159</v>
      </c>
      <c r="E2495" s="25">
        <v>45812</v>
      </c>
      <c r="F2495" s="26" t="s">
        <v>1</v>
      </c>
    </row>
    <row r="2496" spans="1:6" ht="16.8" customHeight="1" x14ac:dyDescent="0.3">
      <c r="A2496" s="20">
        <v>44093</v>
      </c>
      <c r="B2496" s="31" t="s">
        <v>1135</v>
      </c>
      <c r="C2496" s="31" t="s">
        <v>63</v>
      </c>
      <c r="D2496" s="31" t="s">
        <v>172</v>
      </c>
      <c r="E2496" s="25">
        <v>45790</v>
      </c>
      <c r="F2496" s="26" t="s">
        <v>1</v>
      </c>
    </row>
    <row r="2497" spans="1:6" ht="16.8" customHeight="1" x14ac:dyDescent="0.3">
      <c r="A2497" s="20">
        <v>44094</v>
      </c>
      <c r="B2497" s="31" t="s">
        <v>2159</v>
      </c>
      <c r="C2497" s="31" t="s">
        <v>2160</v>
      </c>
      <c r="D2497" s="31" t="s">
        <v>615</v>
      </c>
      <c r="E2497" s="25">
        <v>45790</v>
      </c>
      <c r="F2497" s="26" t="s">
        <v>1</v>
      </c>
    </row>
    <row r="2498" spans="1:6" ht="16.8" customHeight="1" x14ac:dyDescent="0.3">
      <c r="A2498" s="20">
        <v>44095</v>
      </c>
      <c r="B2498" s="31"/>
      <c r="C2498" s="31"/>
      <c r="D2498" s="31"/>
      <c r="E2498" s="25"/>
      <c r="F2498" s="26"/>
    </row>
    <row r="2499" spans="1:6" ht="16.8" customHeight="1" x14ac:dyDescent="0.3">
      <c r="A2499" s="20">
        <v>44096</v>
      </c>
      <c r="B2499" s="31" t="s">
        <v>2533</v>
      </c>
      <c r="C2499" s="31" t="s">
        <v>148</v>
      </c>
      <c r="D2499" s="31" t="s">
        <v>98</v>
      </c>
      <c r="E2499" s="25">
        <v>45835</v>
      </c>
      <c r="F2499" s="26" t="s">
        <v>4</v>
      </c>
    </row>
    <row r="2500" spans="1:6" ht="16.8" customHeight="1" x14ac:dyDescent="0.3">
      <c r="A2500" s="20">
        <v>44097</v>
      </c>
      <c r="B2500" s="31" t="s">
        <v>1247</v>
      </c>
      <c r="C2500" s="31" t="s">
        <v>227</v>
      </c>
      <c r="D2500" s="31" t="s">
        <v>2092</v>
      </c>
      <c r="E2500" s="25">
        <v>45769</v>
      </c>
      <c r="F2500" s="26" t="s">
        <v>4</v>
      </c>
    </row>
    <row r="2501" spans="1:6" ht="16.8" customHeight="1" x14ac:dyDescent="0.3">
      <c r="A2501" s="20">
        <v>44098</v>
      </c>
      <c r="B2501" s="31" t="s">
        <v>523</v>
      </c>
      <c r="C2501" s="31" t="s">
        <v>524</v>
      </c>
      <c r="D2501" s="31" t="s">
        <v>2161</v>
      </c>
      <c r="E2501" s="25">
        <v>45790</v>
      </c>
      <c r="F2501" s="26" t="s">
        <v>1</v>
      </c>
    </row>
    <row r="2502" spans="1:6" ht="16.8" customHeight="1" x14ac:dyDescent="0.3">
      <c r="A2502" s="20">
        <v>44099</v>
      </c>
      <c r="B2502" s="31" t="s">
        <v>276</v>
      </c>
      <c r="C2502" s="31" t="s">
        <v>277</v>
      </c>
      <c r="D2502" s="31" t="s">
        <v>153</v>
      </c>
      <c r="E2502" s="25">
        <v>45790</v>
      </c>
      <c r="F2502" s="26" t="s">
        <v>1</v>
      </c>
    </row>
    <row r="2503" spans="1:6" ht="16.8" customHeight="1" x14ac:dyDescent="0.3">
      <c r="A2503" s="20">
        <v>44100</v>
      </c>
      <c r="B2503" s="31" t="s">
        <v>2147</v>
      </c>
      <c r="C2503" s="31" t="s">
        <v>252</v>
      </c>
      <c r="D2503" s="31" t="s">
        <v>1001</v>
      </c>
      <c r="E2503" s="25">
        <v>45784</v>
      </c>
      <c r="F2503" s="26" t="s">
        <v>1</v>
      </c>
    </row>
    <row r="2504" spans="1:6" ht="16.8" customHeight="1" x14ac:dyDescent="0.3">
      <c r="A2504" s="20">
        <v>44101</v>
      </c>
      <c r="B2504" s="31" t="s">
        <v>34</v>
      </c>
      <c r="C2504" s="31" t="s">
        <v>1054</v>
      </c>
      <c r="D2504" s="31" t="s">
        <v>1831</v>
      </c>
      <c r="E2504" s="25">
        <v>45777</v>
      </c>
      <c r="F2504" s="26" t="s">
        <v>1</v>
      </c>
    </row>
    <row r="2505" spans="1:6" ht="16.8" customHeight="1" x14ac:dyDescent="0.3">
      <c r="A2505" s="20">
        <v>44102</v>
      </c>
      <c r="B2505" s="31" t="s">
        <v>62</v>
      </c>
      <c r="C2505" s="31" t="s">
        <v>63</v>
      </c>
      <c r="D2505" s="31" t="s">
        <v>2144</v>
      </c>
      <c r="E2505" s="25">
        <v>45784</v>
      </c>
      <c r="F2505" s="26" t="s">
        <v>1</v>
      </c>
    </row>
    <row r="2506" spans="1:6" ht="16.8" customHeight="1" x14ac:dyDescent="0.3">
      <c r="A2506" s="20">
        <v>44103</v>
      </c>
      <c r="B2506" s="31" t="s">
        <v>1009</v>
      </c>
      <c r="C2506" s="31" t="s">
        <v>227</v>
      </c>
      <c r="D2506" s="31" t="s">
        <v>201</v>
      </c>
      <c r="E2506" s="25">
        <v>45790</v>
      </c>
      <c r="F2506" s="26" t="s">
        <v>1</v>
      </c>
    </row>
    <row r="2507" spans="1:6" ht="16.8" customHeight="1" x14ac:dyDescent="0.3">
      <c r="A2507" s="20">
        <v>44104</v>
      </c>
      <c r="B2507" s="31" t="s">
        <v>1716</v>
      </c>
      <c r="C2507" s="31" t="s">
        <v>1123</v>
      </c>
      <c r="D2507" s="31" t="s">
        <v>2517</v>
      </c>
      <c r="E2507" s="25">
        <v>45854</v>
      </c>
      <c r="F2507" s="26" t="s">
        <v>2</v>
      </c>
    </row>
    <row r="2508" spans="1:6" ht="16.8" customHeight="1" x14ac:dyDescent="0.3">
      <c r="A2508" s="20">
        <v>44105</v>
      </c>
      <c r="B2508" s="31" t="s">
        <v>2374</v>
      </c>
      <c r="C2508" s="31" t="s">
        <v>263</v>
      </c>
      <c r="D2508" s="31" t="s">
        <v>98</v>
      </c>
      <c r="E2508" s="25">
        <v>45807</v>
      </c>
      <c r="F2508" s="26" t="s">
        <v>4</v>
      </c>
    </row>
    <row r="2509" spans="1:6" ht="16.8" customHeight="1" x14ac:dyDescent="0.3">
      <c r="A2509" s="20">
        <v>44106</v>
      </c>
      <c r="B2509" s="31"/>
      <c r="C2509" s="31"/>
      <c r="D2509" s="31"/>
      <c r="E2509" s="25"/>
      <c r="F2509" s="26"/>
    </row>
    <row r="2510" spans="1:6" ht="16.8" customHeight="1" x14ac:dyDescent="0.3">
      <c r="A2510" s="20">
        <v>44107</v>
      </c>
      <c r="B2510" s="31" t="s">
        <v>328</v>
      </c>
      <c r="C2510" s="31" t="s">
        <v>487</v>
      </c>
      <c r="D2510" s="31" t="s">
        <v>1049</v>
      </c>
      <c r="E2510" s="25">
        <v>45784</v>
      </c>
      <c r="F2510" s="26" t="s">
        <v>1</v>
      </c>
    </row>
    <row r="2511" spans="1:6" ht="16.8" customHeight="1" x14ac:dyDescent="0.3">
      <c r="A2511" s="20">
        <v>44108</v>
      </c>
      <c r="B2511" s="31" t="s">
        <v>2108</v>
      </c>
      <c r="C2511" s="31" t="s">
        <v>658</v>
      </c>
      <c r="D2511" s="31" t="s">
        <v>2059</v>
      </c>
      <c r="E2511" s="25">
        <v>45776</v>
      </c>
      <c r="F2511" s="26" t="s">
        <v>1</v>
      </c>
    </row>
    <row r="2512" spans="1:6" ht="16.8" customHeight="1" x14ac:dyDescent="0.3">
      <c r="A2512" s="20">
        <v>44109</v>
      </c>
      <c r="B2512" s="31" t="s">
        <v>79</v>
      </c>
      <c r="C2512" s="31" t="s">
        <v>75</v>
      </c>
      <c r="D2512" s="31" t="s">
        <v>297</v>
      </c>
      <c r="E2512" s="25">
        <v>45790</v>
      </c>
      <c r="F2512" s="26" t="s">
        <v>1</v>
      </c>
    </row>
    <row r="2513" spans="1:6" ht="16.8" customHeight="1" x14ac:dyDescent="0.3">
      <c r="A2513" s="20">
        <v>44110</v>
      </c>
      <c r="B2513" s="31" t="s">
        <v>79</v>
      </c>
      <c r="C2513" s="31" t="s">
        <v>32</v>
      </c>
      <c r="D2513" s="31" t="s">
        <v>1049</v>
      </c>
      <c r="E2513" s="25">
        <v>45790</v>
      </c>
      <c r="F2513" s="26" t="s">
        <v>1</v>
      </c>
    </row>
    <row r="2514" spans="1:6" ht="16.8" customHeight="1" x14ac:dyDescent="0.3">
      <c r="A2514" s="20">
        <v>44111</v>
      </c>
      <c r="B2514" s="31" t="s">
        <v>794</v>
      </c>
      <c r="C2514" s="31" t="s">
        <v>2109</v>
      </c>
      <c r="D2514" s="31" t="s">
        <v>121</v>
      </c>
      <c r="E2514" s="25">
        <v>45776</v>
      </c>
      <c r="F2514" s="26" t="s">
        <v>4</v>
      </c>
    </row>
    <row r="2515" spans="1:6" ht="16.8" customHeight="1" x14ac:dyDescent="0.3">
      <c r="A2515" s="20">
        <v>44112</v>
      </c>
      <c r="B2515" s="31" t="s">
        <v>434</v>
      </c>
      <c r="C2515" s="31" t="s">
        <v>232</v>
      </c>
      <c r="D2515" s="31" t="s">
        <v>2206</v>
      </c>
      <c r="E2515" s="25">
        <v>45798</v>
      </c>
      <c r="F2515" s="26" t="s">
        <v>2</v>
      </c>
    </row>
    <row r="2516" spans="1:6" ht="16.8" customHeight="1" x14ac:dyDescent="0.3">
      <c r="A2516" s="20">
        <v>44113</v>
      </c>
      <c r="B2516" s="31" t="s">
        <v>213</v>
      </c>
      <c r="C2516" s="31"/>
      <c r="D2516" s="31" t="s">
        <v>116</v>
      </c>
      <c r="E2516" s="25">
        <v>45750</v>
      </c>
      <c r="F2516" s="26" t="s">
        <v>1</v>
      </c>
    </row>
    <row r="2517" spans="1:6" ht="16.8" customHeight="1" x14ac:dyDescent="0.3">
      <c r="A2517" s="20">
        <v>44114</v>
      </c>
      <c r="B2517" s="31" t="s">
        <v>2124</v>
      </c>
      <c r="C2517" s="31" t="s">
        <v>2125</v>
      </c>
      <c r="D2517" s="31" t="s">
        <v>121</v>
      </c>
      <c r="E2517" s="25">
        <v>45777</v>
      </c>
      <c r="F2517" s="26" t="s">
        <v>4</v>
      </c>
    </row>
    <row r="2518" spans="1:6" ht="16.8" customHeight="1" x14ac:dyDescent="0.3">
      <c r="A2518" s="20">
        <v>44115</v>
      </c>
      <c r="B2518" s="31" t="s">
        <v>674</v>
      </c>
      <c r="C2518" s="31" t="s">
        <v>675</v>
      </c>
      <c r="D2518" s="31" t="s">
        <v>2110</v>
      </c>
      <c r="E2518" s="25">
        <v>45776</v>
      </c>
      <c r="F2518" s="26" t="s">
        <v>1</v>
      </c>
    </row>
    <row r="2519" spans="1:6" ht="16.8" customHeight="1" x14ac:dyDescent="0.3">
      <c r="A2519" s="20">
        <v>44116</v>
      </c>
      <c r="B2519" s="31" t="s">
        <v>2063</v>
      </c>
      <c r="C2519" s="31" t="s">
        <v>252</v>
      </c>
      <c r="D2519" s="31" t="s">
        <v>255</v>
      </c>
      <c r="E2519" s="25">
        <v>45748</v>
      </c>
      <c r="F2519" s="26" t="s">
        <v>1</v>
      </c>
    </row>
    <row r="2520" spans="1:6" ht="16.8" customHeight="1" x14ac:dyDescent="0.3">
      <c r="A2520" s="20">
        <v>44117</v>
      </c>
      <c r="B2520" s="31"/>
      <c r="C2520" s="31"/>
      <c r="D2520" s="31"/>
      <c r="E2520" s="25"/>
      <c r="F2520" s="26"/>
    </row>
    <row r="2521" spans="1:6" ht="16.8" customHeight="1" x14ac:dyDescent="0.3">
      <c r="A2521" s="20">
        <v>44118</v>
      </c>
      <c r="B2521" s="31" t="s">
        <v>292</v>
      </c>
      <c r="C2521" s="31" t="s">
        <v>2091</v>
      </c>
      <c r="D2521" s="31" t="s">
        <v>85</v>
      </c>
      <c r="E2521" s="25">
        <v>45777</v>
      </c>
      <c r="F2521" s="26" t="s">
        <v>1</v>
      </c>
    </row>
    <row r="2522" spans="1:6" ht="16.8" customHeight="1" x14ac:dyDescent="0.3">
      <c r="A2522" s="20">
        <v>44119</v>
      </c>
      <c r="B2522" s="31" t="s">
        <v>73</v>
      </c>
      <c r="C2522" s="31" t="s">
        <v>227</v>
      </c>
      <c r="D2522" s="31" t="s">
        <v>505</v>
      </c>
      <c r="E2522" s="25">
        <v>45777</v>
      </c>
      <c r="F2522" s="26" t="s">
        <v>1</v>
      </c>
    </row>
    <row r="2523" spans="1:6" ht="16.8" customHeight="1" x14ac:dyDescent="0.3">
      <c r="A2523" s="20">
        <v>44120</v>
      </c>
      <c r="B2523" s="31" t="s">
        <v>342</v>
      </c>
      <c r="C2523" s="31" t="s">
        <v>2091</v>
      </c>
      <c r="D2523" s="31" t="s">
        <v>2025</v>
      </c>
      <c r="E2523" s="25">
        <v>45769</v>
      </c>
      <c r="F2523" s="26" t="s">
        <v>1</v>
      </c>
    </row>
    <row r="2524" spans="1:6" ht="16.8" customHeight="1" x14ac:dyDescent="0.3">
      <c r="A2524" s="20">
        <v>44121</v>
      </c>
      <c r="B2524" s="31" t="s">
        <v>951</v>
      </c>
      <c r="C2524" s="31" t="s">
        <v>688</v>
      </c>
      <c r="D2524" s="31" t="s">
        <v>145</v>
      </c>
      <c r="E2524" s="25">
        <v>45845</v>
      </c>
      <c r="F2524" s="26" t="s">
        <v>1</v>
      </c>
    </row>
    <row r="2525" spans="1:6" ht="16.8" customHeight="1" x14ac:dyDescent="0.3">
      <c r="A2525" s="20">
        <v>44122</v>
      </c>
      <c r="B2525" s="31" t="s">
        <v>486</v>
      </c>
      <c r="C2525" s="31" t="s">
        <v>223</v>
      </c>
      <c r="D2525" s="31" t="s">
        <v>615</v>
      </c>
      <c r="E2525" s="25">
        <v>45831</v>
      </c>
      <c r="F2525" s="26" t="s">
        <v>1</v>
      </c>
    </row>
    <row r="2526" spans="1:6" ht="16.8" customHeight="1" x14ac:dyDescent="0.3">
      <c r="A2526" s="20">
        <v>44123</v>
      </c>
      <c r="B2526" s="31" t="s">
        <v>450</v>
      </c>
      <c r="C2526" s="31" t="s">
        <v>379</v>
      </c>
      <c r="D2526" s="31" t="s">
        <v>145</v>
      </c>
      <c r="E2526" s="25">
        <v>45777</v>
      </c>
      <c r="F2526" s="26" t="s">
        <v>1</v>
      </c>
    </row>
    <row r="2527" spans="1:6" ht="16.8" customHeight="1" x14ac:dyDescent="0.3">
      <c r="A2527" s="20">
        <v>44124</v>
      </c>
      <c r="B2527" s="31" t="s">
        <v>325</v>
      </c>
      <c r="C2527" s="31" t="s">
        <v>367</v>
      </c>
      <c r="D2527" s="31" t="s">
        <v>2094</v>
      </c>
      <c r="E2527" s="25">
        <v>45769</v>
      </c>
      <c r="F2527" s="26" t="s">
        <v>3</v>
      </c>
    </row>
    <row r="2528" spans="1:6" ht="16.8" customHeight="1" x14ac:dyDescent="0.3">
      <c r="A2528" s="20">
        <v>44125</v>
      </c>
      <c r="B2528" s="31" t="s">
        <v>71</v>
      </c>
      <c r="C2528" s="31" t="s">
        <v>106</v>
      </c>
      <c r="D2528" s="31" t="s">
        <v>1074</v>
      </c>
      <c r="E2528" s="25">
        <v>45755</v>
      </c>
      <c r="F2528" s="26" t="s">
        <v>3</v>
      </c>
    </row>
    <row r="2529" spans="1:6" ht="16.8" customHeight="1" x14ac:dyDescent="0.3">
      <c r="A2529" s="20">
        <v>44126</v>
      </c>
      <c r="B2529" s="31"/>
      <c r="C2529" s="31"/>
      <c r="D2529" s="31"/>
      <c r="E2529" s="25"/>
      <c r="F2529" s="26"/>
    </row>
    <row r="2530" spans="1:6" ht="16.8" customHeight="1" x14ac:dyDescent="0.3">
      <c r="A2530" s="20">
        <v>44127</v>
      </c>
      <c r="B2530" s="31"/>
      <c r="C2530" s="31"/>
      <c r="D2530" s="31"/>
      <c r="E2530" s="25"/>
      <c r="F2530" s="26"/>
    </row>
    <row r="2531" spans="1:6" ht="16.8" customHeight="1" x14ac:dyDescent="0.3">
      <c r="A2531" s="20">
        <v>44128</v>
      </c>
      <c r="B2531" s="31" t="s">
        <v>1009</v>
      </c>
      <c r="C2531" s="31" t="s">
        <v>227</v>
      </c>
      <c r="D2531" s="31" t="s">
        <v>145</v>
      </c>
      <c r="E2531" s="25">
        <v>45777</v>
      </c>
      <c r="F2531" s="26" t="s">
        <v>1</v>
      </c>
    </row>
    <row r="2532" spans="1:6" ht="16.8" customHeight="1" x14ac:dyDescent="0.3">
      <c r="A2532" s="20">
        <v>44129</v>
      </c>
      <c r="B2532" s="31" t="s">
        <v>321</v>
      </c>
      <c r="C2532" s="31"/>
      <c r="D2532" s="31" t="s">
        <v>116</v>
      </c>
      <c r="E2532" s="25">
        <v>45750</v>
      </c>
      <c r="F2532" s="26" t="s">
        <v>1</v>
      </c>
    </row>
    <row r="2533" spans="1:6" ht="16.8" customHeight="1" x14ac:dyDescent="0.3">
      <c r="A2533" s="20">
        <v>44130</v>
      </c>
      <c r="B2533" s="31" t="s">
        <v>676</v>
      </c>
      <c r="C2533" s="31" t="s">
        <v>677</v>
      </c>
      <c r="D2533" s="31" t="s">
        <v>1085</v>
      </c>
      <c r="E2533" s="25">
        <v>45790</v>
      </c>
      <c r="F2533" s="26" t="s">
        <v>1</v>
      </c>
    </row>
    <row r="2534" spans="1:6" ht="16.8" customHeight="1" x14ac:dyDescent="0.3">
      <c r="A2534" s="20">
        <v>44131</v>
      </c>
      <c r="B2534" s="31" t="s">
        <v>434</v>
      </c>
      <c r="C2534" s="31" t="s">
        <v>232</v>
      </c>
      <c r="D2534" s="31" t="s">
        <v>121</v>
      </c>
      <c r="E2534" s="25">
        <v>45814</v>
      </c>
      <c r="F2534" s="26" t="s">
        <v>4</v>
      </c>
    </row>
    <row r="2535" spans="1:6" ht="16.8" customHeight="1" x14ac:dyDescent="0.3">
      <c r="A2535" s="20">
        <v>44132</v>
      </c>
      <c r="B2535" s="31"/>
      <c r="C2535" s="31"/>
      <c r="D2535" s="31"/>
      <c r="E2535" s="25"/>
      <c r="F2535" s="26"/>
    </row>
    <row r="2536" spans="1:6" ht="16.8" customHeight="1" x14ac:dyDescent="0.3">
      <c r="A2536" s="20">
        <v>44133</v>
      </c>
      <c r="B2536" s="31" t="s">
        <v>375</v>
      </c>
      <c r="C2536" s="31" t="s">
        <v>75</v>
      </c>
      <c r="D2536" s="31" t="s">
        <v>816</v>
      </c>
      <c r="E2536" s="25">
        <v>45777</v>
      </c>
      <c r="F2536" s="26" t="s">
        <v>8</v>
      </c>
    </row>
    <row r="2537" spans="1:6" ht="16.8" customHeight="1" x14ac:dyDescent="0.3">
      <c r="A2537" s="20">
        <v>44134</v>
      </c>
      <c r="B2537" s="31" t="s">
        <v>90</v>
      </c>
      <c r="C2537" s="31" t="s">
        <v>431</v>
      </c>
      <c r="D2537" s="31" t="s">
        <v>85</v>
      </c>
      <c r="E2537" s="25">
        <v>45779</v>
      </c>
      <c r="F2537" s="26" t="s">
        <v>1</v>
      </c>
    </row>
    <row r="2538" spans="1:6" ht="16.8" customHeight="1" x14ac:dyDescent="0.3">
      <c r="A2538" s="20">
        <v>44135</v>
      </c>
      <c r="B2538" s="31" t="s">
        <v>570</v>
      </c>
      <c r="C2538" s="31" t="s">
        <v>453</v>
      </c>
      <c r="D2538" s="31" t="s">
        <v>2127</v>
      </c>
      <c r="E2538" s="25">
        <v>45779</v>
      </c>
      <c r="F2538" s="26" t="s">
        <v>1</v>
      </c>
    </row>
    <row r="2539" spans="1:6" ht="16.8" customHeight="1" x14ac:dyDescent="0.3">
      <c r="A2539" s="20">
        <v>44136</v>
      </c>
      <c r="B2539" s="31" t="s">
        <v>2227</v>
      </c>
      <c r="C2539" s="31" t="s">
        <v>2228</v>
      </c>
      <c r="D2539" s="31" t="s">
        <v>126</v>
      </c>
      <c r="E2539" s="25">
        <v>45800</v>
      </c>
      <c r="F2539" s="26" t="s">
        <v>2077</v>
      </c>
    </row>
    <row r="2540" spans="1:6" ht="16.8" customHeight="1" x14ac:dyDescent="0.3">
      <c r="A2540" s="20">
        <v>44137</v>
      </c>
      <c r="B2540" s="31" t="s">
        <v>523</v>
      </c>
      <c r="C2540" s="31" t="s">
        <v>75</v>
      </c>
      <c r="D2540" s="31" t="s">
        <v>2128</v>
      </c>
      <c r="E2540" s="25">
        <v>45779</v>
      </c>
      <c r="F2540" s="26" t="s">
        <v>4</v>
      </c>
    </row>
    <row r="2541" spans="1:6" ht="16.8" customHeight="1" x14ac:dyDescent="0.3">
      <c r="A2541" s="20">
        <v>44138</v>
      </c>
      <c r="B2541" s="31" t="s">
        <v>474</v>
      </c>
      <c r="C2541" s="31" t="s">
        <v>2068</v>
      </c>
      <c r="D2541" s="31" t="s">
        <v>2151</v>
      </c>
      <c r="E2541" s="25">
        <v>45784</v>
      </c>
      <c r="F2541" s="26" t="s">
        <v>8</v>
      </c>
    </row>
    <row r="2542" spans="1:6" ht="16.8" customHeight="1" x14ac:dyDescent="0.3">
      <c r="A2542" s="20">
        <v>44139</v>
      </c>
      <c r="B2542" s="31" t="s">
        <v>309</v>
      </c>
      <c r="C2542" s="31" t="s">
        <v>32</v>
      </c>
      <c r="D2542" s="31" t="s">
        <v>425</v>
      </c>
      <c r="E2542" s="25">
        <v>45929</v>
      </c>
      <c r="F2542" s="26" t="s">
        <v>4</v>
      </c>
    </row>
    <row r="2543" spans="1:6" ht="16.8" customHeight="1" x14ac:dyDescent="0.3">
      <c r="A2543" s="20">
        <v>44140</v>
      </c>
      <c r="B2543" s="31" t="s">
        <v>74</v>
      </c>
      <c r="C2543" s="31" t="s">
        <v>367</v>
      </c>
      <c r="D2543" s="31" t="s">
        <v>1406</v>
      </c>
      <c r="E2543" s="25">
        <v>45776</v>
      </c>
      <c r="F2543" s="26" t="s">
        <v>2</v>
      </c>
    </row>
    <row r="2544" spans="1:6" ht="16.8" customHeight="1" x14ac:dyDescent="0.3">
      <c r="A2544" s="20">
        <v>44141</v>
      </c>
      <c r="B2544" s="31" t="s">
        <v>41</v>
      </c>
      <c r="C2544" s="31" t="s">
        <v>1233</v>
      </c>
      <c r="D2544" s="31" t="s">
        <v>2775</v>
      </c>
      <c r="E2544" s="25">
        <v>45917</v>
      </c>
      <c r="F2544" s="26" t="s">
        <v>4</v>
      </c>
    </row>
    <row r="2545" spans="1:6" ht="16.8" customHeight="1" x14ac:dyDescent="0.3">
      <c r="A2545" s="20">
        <v>44142</v>
      </c>
      <c r="B2545" s="31" t="s">
        <v>1536</v>
      </c>
      <c r="C2545" s="31" t="s">
        <v>75</v>
      </c>
      <c r="D2545" s="31" t="s">
        <v>424</v>
      </c>
      <c r="E2545" s="25">
        <v>45782</v>
      </c>
      <c r="F2545" s="26" t="s">
        <v>1</v>
      </c>
    </row>
    <row r="2546" spans="1:6" ht="16.8" customHeight="1" x14ac:dyDescent="0.3">
      <c r="A2546" s="20">
        <v>44143</v>
      </c>
      <c r="B2546" s="31" t="s">
        <v>122</v>
      </c>
      <c r="C2546" s="31" t="s">
        <v>123</v>
      </c>
      <c r="D2546" s="31" t="s">
        <v>958</v>
      </c>
      <c r="E2546" s="25">
        <v>45776</v>
      </c>
      <c r="F2546" s="26" t="s">
        <v>1</v>
      </c>
    </row>
    <row r="2547" spans="1:6" ht="16.8" customHeight="1" x14ac:dyDescent="0.3">
      <c r="A2547" s="20">
        <v>44144</v>
      </c>
      <c r="B2547" s="31" t="s">
        <v>895</v>
      </c>
      <c r="C2547" s="31" t="s">
        <v>714</v>
      </c>
      <c r="D2547" s="31" t="s">
        <v>401</v>
      </c>
      <c r="E2547" s="25">
        <v>45790</v>
      </c>
      <c r="F2547" s="26" t="s">
        <v>1</v>
      </c>
    </row>
    <row r="2548" spans="1:6" ht="16.8" customHeight="1" x14ac:dyDescent="0.3">
      <c r="A2548" s="20">
        <v>44145</v>
      </c>
      <c r="B2548" s="31" t="s">
        <v>74</v>
      </c>
      <c r="C2548" s="31" t="s">
        <v>179</v>
      </c>
      <c r="D2548" s="31" t="s">
        <v>2066</v>
      </c>
      <c r="E2548" s="25">
        <v>45755</v>
      </c>
      <c r="F2548" s="26" t="s">
        <v>1</v>
      </c>
    </row>
    <row r="2549" spans="1:6" ht="16.8" customHeight="1" x14ac:dyDescent="0.3">
      <c r="A2549" s="20">
        <v>44146</v>
      </c>
      <c r="B2549" s="31" t="s">
        <v>36</v>
      </c>
      <c r="C2549" s="31" t="s">
        <v>263</v>
      </c>
      <c r="D2549" s="31" t="s">
        <v>2222</v>
      </c>
      <c r="E2549" s="25">
        <v>45799</v>
      </c>
      <c r="F2549" s="26" t="s">
        <v>2</v>
      </c>
    </row>
    <row r="2550" spans="1:6" ht="16.8" customHeight="1" x14ac:dyDescent="0.3">
      <c r="A2550" s="20">
        <v>44147</v>
      </c>
      <c r="B2550" s="31" t="s">
        <v>630</v>
      </c>
      <c r="C2550" s="31" t="s">
        <v>287</v>
      </c>
      <c r="D2550" s="31" t="s">
        <v>255</v>
      </c>
      <c r="E2550" s="25">
        <v>45874</v>
      </c>
      <c r="F2550" s="26" t="s">
        <v>1</v>
      </c>
    </row>
    <row r="2551" spans="1:6" ht="16.8" customHeight="1" x14ac:dyDescent="0.3">
      <c r="A2551" s="20">
        <v>44148</v>
      </c>
      <c r="B2551" s="31" t="s">
        <v>375</v>
      </c>
      <c r="C2551" s="31" t="s">
        <v>133</v>
      </c>
      <c r="D2551" s="31" t="s">
        <v>1049</v>
      </c>
      <c r="E2551" s="25">
        <v>45819</v>
      </c>
      <c r="F2551" s="26" t="s">
        <v>4</v>
      </c>
    </row>
    <row r="2552" spans="1:6" ht="16.8" customHeight="1" x14ac:dyDescent="0.3">
      <c r="A2552" s="20">
        <v>44149</v>
      </c>
      <c r="B2552" s="31"/>
      <c r="C2552" s="31"/>
      <c r="D2552" s="31"/>
      <c r="E2552" s="25"/>
      <c r="F2552" s="26"/>
    </row>
    <row r="2553" spans="1:6" ht="16.8" customHeight="1" x14ac:dyDescent="0.3">
      <c r="A2553" s="20">
        <v>44150</v>
      </c>
      <c r="B2553" s="31"/>
      <c r="C2553" s="31"/>
      <c r="D2553" s="31"/>
      <c r="E2553" s="25"/>
      <c r="F2553" s="26"/>
    </row>
    <row r="2554" spans="1:6" ht="16.8" customHeight="1" x14ac:dyDescent="0.3">
      <c r="A2554" s="20">
        <v>44151</v>
      </c>
      <c r="B2554" s="31" t="s">
        <v>2112</v>
      </c>
      <c r="C2554" s="31" t="s">
        <v>1999</v>
      </c>
      <c r="D2554" s="31" t="s">
        <v>121</v>
      </c>
      <c r="E2554" s="25">
        <v>45776</v>
      </c>
      <c r="F2554" s="26" t="s">
        <v>4</v>
      </c>
    </row>
    <row r="2555" spans="1:6" ht="16.8" customHeight="1" x14ac:dyDescent="0.3">
      <c r="A2555" s="20">
        <v>44152</v>
      </c>
      <c r="B2555" s="31" t="s">
        <v>457</v>
      </c>
      <c r="C2555" s="31"/>
      <c r="D2555" s="31" t="s">
        <v>27</v>
      </c>
      <c r="E2555" s="25">
        <v>45755</v>
      </c>
      <c r="F2555" s="26" t="s">
        <v>1</v>
      </c>
    </row>
    <row r="2556" spans="1:6" ht="16.8" customHeight="1" x14ac:dyDescent="0.3">
      <c r="A2556" s="20">
        <v>44153</v>
      </c>
      <c r="B2556" s="31" t="s">
        <v>292</v>
      </c>
      <c r="C2556" s="31" t="s">
        <v>75</v>
      </c>
      <c r="D2556" s="31" t="s">
        <v>2116</v>
      </c>
      <c r="E2556" s="25">
        <v>45776</v>
      </c>
      <c r="F2556" s="26" t="s">
        <v>3</v>
      </c>
    </row>
    <row r="2557" spans="1:6" ht="16.8" customHeight="1" x14ac:dyDescent="0.3">
      <c r="A2557" s="20">
        <v>44154</v>
      </c>
      <c r="B2557" s="31"/>
      <c r="C2557" s="31"/>
      <c r="D2557" s="31"/>
      <c r="E2557" s="25"/>
      <c r="F2557" s="26"/>
    </row>
    <row r="2558" spans="1:6" ht="16.8" customHeight="1" x14ac:dyDescent="0.3">
      <c r="A2558" s="20">
        <v>44155</v>
      </c>
      <c r="B2558" s="31" t="s">
        <v>239</v>
      </c>
      <c r="C2558" s="31" t="s">
        <v>2490</v>
      </c>
      <c r="D2558" s="31" t="s">
        <v>27</v>
      </c>
      <c r="E2558" s="25">
        <v>45831</v>
      </c>
      <c r="F2558" s="26" t="s">
        <v>1</v>
      </c>
    </row>
    <row r="2559" spans="1:6" ht="16.8" customHeight="1" x14ac:dyDescent="0.3">
      <c r="A2559" s="20">
        <v>44156</v>
      </c>
      <c r="B2559" s="31" t="s">
        <v>482</v>
      </c>
      <c r="C2559" s="31" t="s">
        <v>179</v>
      </c>
      <c r="D2559" s="31" t="s">
        <v>1049</v>
      </c>
      <c r="E2559" s="25">
        <v>45779</v>
      </c>
      <c r="F2559" s="26" t="s">
        <v>1</v>
      </c>
    </row>
    <row r="2560" spans="1:6" ht="16.8" customHeight="1" x14ac:dyDescent="0.3">
      <c r="A2560" s="20">
        <v>44157</v>
      </c>
      <c r="B2560" s="31" t="s">
        <v>2172</v>
      </c>
      <c r="C2560" s="31" t="s">
        <v>91</v>
      </c>
      <c r="D2560" s="31" t="s">
        <v>1834</v>
      </c>
      <c r="E2560" s="25">
        <v>45832</v>
      </c>
      <c r="F2560" s="26" t="s">
        <v>2</v>
      </c>
    </row>
    <row r="2561" spans="1:6" ht="16.8" customHeight="1" x14ac:dyDescent="0.3">
      <c r="A2561" s="20">
        <v>44158</v>
      </c>
      <c r="B2561" s="31" t="s">
        <v>1701</v>
      </c>
      <c r="C2561" s="31"/>
      <c r="D2561" s="31"/>
      <c r="E2561" s="25">
        <v>45755</v>
      </c>
      <c r="F2561" s="26" t="s">
        <v>1</v>
      </c>
    </row>
    <row r="2562" spans="1:6" ht="16.8" customHeight="1" x14ac:dyDescent="0.3">
      <c r="A2562" s="20">
        <v>44159</v>
      </c>
      <c r="B2562" s="31" t="s">
        <v>2129</v>
      </c>
      <c r="C2562" s="31" t="s">
        <v>227</v>
      </c>
      <c r="D2562" s="31" t="s">
        <v>2130</v>
      </c>
      <c r="E2562" s="25">
        <v>45779</v>
      </c>
      <c r="F2562" s="26" t="s">
        <v>1</v>
      </c>
    </row>
    <row r="2563" spans="1:6" ht="16.8" customHeight="1" x14ac:dyDescent="0.3">
      <c r="A2563" s="20">
        <v>44160</v>
      </c>
      <c r="B2563" s="31" t="s">
        <v>65</v>
      </c>
      <c r="C2563" s="31" t="s">
        <v>66</v>
      </c>
      <c r="D2563" s="31" t="s">
        <v>519</v>
      </c>
      <c r="E2563" s="25">
        <v>45779</v>
      </c>
      <c r="F2563" s="26" t="s">
        <v>1</v>
      </c>
    </row>
    <row r="2564" spans="1:6" ht="16.8" customHeight="1" x14ac:dyDescent="0.3">
      <c r="A2564" s="20">
        <v>44161</v>
      </c>
      <c r="B2564" s="31" t="s">
        <v>756</v>
      </c>
      <c r="C2564" s="31" t="s">
        <v>2068</v>
      </c>
      <c r="D2564" s="31" t="s">
        <v>2069</v>
      </c>
      <c r="E2564" s="25">
        <v>45756</v>
      </c>
      <c r="F2564" s="26" t="s">
        <v>1</v>
      </c>
    </row>
    <row r="2565" spans="1:6" ht="16.8" customHeight="1" x14ac:dyDescent="0.3">
      <c r="A2565" s="20">
        <v>44162</v>
      </c>
      <c r="B2565" s="31" t="s">
        <v>2131</v>
      </c>
      <c r="C2565" s="31" t="s">
        <v>249</v>
      </c>
      <c r="D2565" s="31" t="s">
        <v>2132</v>
      </c>
      <c r="E2565" s="25">
        <v>45779</v>
      </c>
      <c r="F2565" s="26" t="s">
        <v>1</v>
      </c>
    </row>
    <row r="2566" spans="1:6" ht="16.8" customHeight="1" x14ac:dyDescent="0.3">
      <c r="A2566" s="20">
        <v>44163</v>
      </c>
      <c r="B2566" s="31" t="s">
        <v>141</v>
      </c>
      <c r="C2566" s="31" t="s">
        <v>133</v>
      </c>
      <c r="D2566" s="31" t="s">
        <v>134</v>
      </c>
      <c r="E2566" s="25">
        <v>45896</v>
      </c>
      <c r="F2566" s="26" t="s">
        <v>1</v>
      </c>
    </row>
    <row r="2567" spans="1:6" ht="16.8" customHeight="1" x14ac:dyDescent="0.3">
      <c r="A2567" s="20">
        <v>44164</v>
      </c>
      <c r="B2567" s="31" t="s">
        <v>470</v>
      </c>
      <c r="C2567" s="31" t="s">
        <v>179</v>
      </c>
      <c r="D2567" s="31" t="s">
        <v>615</v>
      </c>
      <c r="E2567" s="25">
        <v>45779</v>
      </c>
      <c r="F2567" s="26" t="s">
        <v>1</v>
      </c>
    </row>
    <row r="2568" spans="1:6" ht="16.8" customHeight="1" x14ac:dyDescent="0.3">
      <c r="A2568" s="20">
        <v>44165</v>
      </c>
      <c r="B2568" s="31"/>
      <c r="C2568" s="31"/>
      <c r="D2568" s="31"/>
      <c r="E2568" s="25"/>
      <c r="F2568" s="26"/>
    </row>
    <row r="2569" spans="1:6" ht="16.8" customHeight="1" x14ac:dyDescent="0.3">
      <c r="A2569" s="20">
        <v>44166</v>
      </c>
      <c r="B2569" s="31" t="s">
        <v>399</v>
      </c>
      <c r="C2569" s="31" t="s">
        <v>408</v>
      </c>
      <c r="D2569" s="31"/>
      <c r="E2569" s="25">
        <v>45771</v>
      </c>
      <c r="F2569" s="26" t="s">
        <v>1</v>
      </c>
    </row>
    <row r="2570" spans="1:6" ht="16.8" customHeight="1" x14ac:dyDescent="0.3">
      <c r="A2570" s="20">
        <v>44167</v>
      </c>
      <c r="B2570" s="31" t="s">
        <v>187</v>
      </c>
      <c r="C2570" s="31" t="s">
        <v>148</v>
      </c>
      <c r="D2570" s="31" t="s">
        <v>615</v>
      </c>
      <c r="E2570" s="25">
        <v>45831</v>
      </c>
      <c r="F2570" s="26" t="s">
        <v>1</v>
      </c>
    </row>
    <row r="2571" spans="1:6" ht="16.8" customHeight="1" x14ac:dyDescent="0.3">
      <c r="A2571" s="20">
        <v>44168</v>
      </c>
      <c r="B2571" s="31"/>
      <c r="C2571" s="31"/>
      <c r="D2571" s="31"/>
      <c r="E2571" s="25"/>
      <c r="F2571" s="26"/>
    </row>
    <row r="2572" spans="1:6" ht="16.8" customHeight="1" x14ac:dyDescent="0.3">
      <c r="A2572" s="20">
        <v>44169</v>
      </c>
      <c r="B2572" s="31" t="s">
        <v>251</v>
      </c>
      <c r="C2572" s="31" t="s">
        <v>1429</v>
      </c>
      <c r="D2572" s="31" t="s">
        <v>2070</v>
      </c>
      <c r="E2572" s="25">
        <v>45758</v>
      </c>
      <c r="F2572" s="26" t="s">
        <v>1</v>
      </c>
    </row>
    <row r="2573" spans="1:6" ht="16.8" customHeight="1" x14ac:dyDescent="0.3">
      <c r="A2573" s="20">
        <v>44170</v>
      </c>
      <c r="B2573" s="31" t="s">
        <v>90</v>
      </c>
      <c r="C2573" s="31" t="s">
        <v>1999</v>
      </c>
      <c r="D2573" s="31" t="s">
        <v>2025</v>
      </c>
      <c r="E2573" s="25">
        <v>45776</v>
      </c>
      <c r="F2573" s="26" t="s">
        <v>1</v>
      </c>
    </row>
    <row r="2574" spans="1:6" ht="16.8" customHeight="1" x14ac:dyDescent="0.3">
      <c r="A2574" s="20">
        <v>44171</v>
      </c>
      <c r="B2574" s="31"/>
      <c r="C2574" s="31"/>
      <c r="D2574" s="31"/>
      <c r="E2574" s="25"/>
      <c r="F2574" s="26"/>
    </row>
    <row r="2575" spans="1:6" ht="16.8" customHeight="1" x14ac:dyDescent="0.3">
      <c r="A2575" s="20">
        <v>44172</v>
      </c>
      <c r="B2575" s="31" t="s">
        <v>1040</v>
      </c>
      <c r="C2575" s="31" t="s">
        <v>158</v>
      </c>
      <c r="D2575" s="31" t="s">
        <v>615</v>
      </c>
      <c r="E2575" s="25">
        <v>45776</v>
      </c>
      <c r="F2575" s="26" t="s">
        <v>1</v>
      </c>
    </row>
    <row r="2576" spans="1:6" ht="16.8" customHeight="1" x14ac:dyDescent="0.3">
      <c r="A2576" s="20">
        <v>44173</v>
      </c>
      <c r="B2576" s="31" t="s">
        <v>799</v>
      </c>
      <c r="C2576" s="31" t="s">
        <v>112</v>
      </c>
      <c r="D2576" s="31" t="s">
        <v>615</v>
      </c>
      <c r="E2576" s="25">
        <v>45776</v>
      </c>
      <c r="F2576" s="26" t="s">
        <v>1</v>
      </c>
    </row>
    <row r="2577" spans="1:6" ht="16.8" customHeight="1" x14ac:dyDescent="0.3">
      <c r="A2577" s="20">
        <v>44174</v>
      </c>
      <c r="B2577" s="31" t="s">
        <v>1339</v>
      </c>
      <c r="C2577" s="31"/>
      <c r="D2577" s="31" t="s">
        <v>27</v>
      </c>
      <c r="E2577" s="25">
        <v>45779</v>
      </c>
      <c r="F2577" s="26" t="s">
        <v>1</v>
      </c>
    </row>
    <row r="2578" spans="1:6" ht="16.8" customHeight="1" x14ac:dyDescent="0.3">
      <c r="A2578" s="20">
        <v>44175</v>
      </c>
      <c r="B2578" s="31" t="s">
        <v>262</v>
      </c>
      <c r="C2578" s="31" t="s">
        <v>466</v>
      </c>
      <c r="D2578" s="31" t="s">
        <v>1757</v>
      </c>
      <c r="E2578" s="25">
        <v>45798</v>
      </c>
      <c r="F2578" s="26" t="s">
        <v>2</v>
      </c>
    </row>
    <row r="2579" spans="1:6" ht="16.8" customHeight="1" x14ac:dyDescent="0.3">
      <c r="A2579" s="20">
        <v>44176</v>
      </c>
      <c r="B2579" s="31" t="s">
        <v>102</v>
      </c>
      <c r="C2579" s="31" t="s">
        <v>2674</v>
      </c>
      <c r="D2579" s="31" t="s">
        <v>121</v>
      </c>
      <c r="E2579" s="25">
        <v>45874</v>
      </c>
      <c r="F2579" s="26" t="s">
        <v>4</v>
      </c>
    </row>
    <row r="2580" spans="1:6" ht="16.8" customHeight="1" x14ac:dyDescent="0.3">
      <c r="A2580" s="20">
        <v>44177</v>
      </c>
      <c r="B2580" s="31" t="s">
        <v>1535</v>
      </c>
      <c r="C2580" s="31" t="s">
        <v>444</v>
      </c>
      <c r="D2580" s="31" t="s">
        <v>176</v>
      </c>
      <c r="E2580" s="25">
        <v>45776</v>
      </c>
      <c r="F2580" s="26" t="s">
        <v>1</v>
      </c>
    </row>
    <row r="2581" spans="1:6" ht="16.8" customHeight="1" x14ac:dyDescent="0.3">
      <c r="A2581" s="20">
        <v>44178</v>
      </c>
      <c r="B2581" s="31" t="s">
        <v>56</v>
      </c>
      <c r="C2581" s="31" t="s">
        <v>94</v>
      </c>
      <c r="D2581" s="31" t="s">
        <v>146</v>
      </c>
      <c r="E2581" s="25">
        <v>45800</v>
      </c>
      <c r="F2581" s="26" t="s">
        <v>1</v>
      </c>
    </row>
    <row r="2582" spans="1:6" ht="16.8" customHeight="1" x14ac:dyDescent="0.3">
      <c r="A2582" s="20">
        <v>44179</v>
      </c>
      <c r="B2582" s="31"/>
      <c r="C2582" s="31"/>
      <c r="D2582" s="31"/>
      <c r="E2582" s="25"/>
      <c r="F2582" s="26"/>
    </row>
    <row r="2583" spans="1:6" ht="16.8" customHeight="1" x14ac:dyDescent="0.3">
      <c r="A2583" s="20">
        <v>44180</v>
      </c>
      <c r="B2583" s="31"/>
      <c r="C2583" s="31"/>
      <c r="D2583" s="31"/>
      <c r="E2583" s="25"/>
      <c r="F2583" s="26"/>
    </row>
    <row r="2584" spans="1:6" ht="16.8" customHeight="1" x14ac:dyDescent="0.3">
      <c r="A2584" s="20">
        <v>44181</v>
      </c>
      <c r="B2584" s="31"/>
      <c r="C2584" s="31"/>
      <c r="D2584" s="31"/>
      <c r="E2584" s="25"/>
      <c r="F2584" s="26"/>
    </row>
    <row r="2585" spans="1:6" ht="16.8" customHeight="1" x14ac:dyDescent="0.3">
      <c r="A2585" s="20">
        <v>44182</v>
      </c>
      <c r="B2585" s="31" t="s">
        <v>406</v>
      </c>
      <c r="C2585" s="31" t="s">
        <v>232</v>
      </c>
      <c r="D2585" s="31" t="s">
        <v>2211</v>
      </c>
      <c r="E2585" s="25">
        <v>45798</v>
      </c>
      <c r="F2585" s="26" t="s">
        <v>2077</v>
      </c>
    </row>
    <row r="2586" spans="1:6" ht="16.8" customHeight="1" x14ac:dyDescent="0.3">
      <c r="A2586" s="20">
        <v>44183</v>
      </c>
      <c r="B2586" s="31" t="s">
        <v>584</v>
      </c>
      <c r="C2586" s="31" t="s">
        <v>63</v>
      </c>
      <c r="D2586" s="31" t="s">
        <v>2133</v>
      </c>
      <c r="E2586" s="25">
        <v>45779</v>
      </c>
      <c r="F2586" s="26" t="s">
        <v>1</v>
      </c>
    </row>
    <row r="2587" spans="1:6" ht="16.8" customHeight="1" x14ac:dyDescent="0.3">
      <c r="A2587" s="20">
        <v>44184</v>
      </c>
      <c r="B2587" s="31"/>
      <c r="C2587" s="31"/>
      <c r="D2587" s="31"/>
      <c r="E2587" s="25"/>
      <c r="F2587" s="26"/>
    </row>
    <row r="2588" spans="1:6" ht="16.8" customHeight="1" x14ac:dyDescent="0.3">
      <c r="A2588" s="20">
        <v>44185</v>
      </c>
      <c r="B2588" s="31"/>
      <c r="C2588" s="31"/>
      <c r="D2588" s="31"/>
      <c r="E2588" s="25"/>
      <c r="F2588" s="26"/>
    </row>
    <row r="2589" spans="1:6" ht="16.8" customHeight="1" x14ac:dyDescent="0.3">
      <c r="A2589" s="20">
        <v>44186</v>
      </c>
      <c r="B2589" s="31" t="s">
        <v>2776</v>
      </c>
      <c r="C2589" s="31"/>
      <c r="D2589" s="31" t="s">
        <v>27</v>
      </c>
      <c r="E2589" s="25">
        <v>45917</v>
      </c>
      <c r="F2589" s="26" t="s">
        <v>1</v>
      </c>
    </row>
    <row r="2590" spans="1:6" ht="16.8" customHeight="1" x14ac:dyDescent="0.3">
      <c r="A2590" s="20">
        <v>44187</v>
      </c>
      <c r="B2590" s="31" t="s">
        <v>2134</v>
      </c>
      <c r="C2590" s="31" t="s">
        <v>718</v>
      </c>
      <c r="D2590" s="31" t="s">
        <v>58</v>
      </c>
      <c r="E2590" s="25">
        <v>45779</v>
      </c>
      <c r="F2590" s="26" t="s">
        <v>12</v>
      </c>
    </row>
    <row r="2591" spans="1:6" ht="16.8" customHeight="1" x14ac:dyDescent="0.3">
      <c r="A2591" s="20">
        <v>44188</v>
      </c>
      <c r="B2591" s="31" t="s">
        <v>180</v>
      </c>
      <c r="C2591" s="31" t="s">
        <v>181</v>
      </c>
      <c r="D2591" s="31" t="s">
        <v>2000</v>
      </c>
      <c r="E2591" s="25">
        <v>45930</v>
      </c>
      <c r="F2591" s="26" t="s">
        <v>8</v>
      </c>
    </row>
    <row r="2592" spans="1:6" ht="16.8" customHeight="1" x14ac:dyDescent="0.3">
      <c r="A2592" s="20">
        <v>44189</v>
      </c>
      <c r="B2592" s="31" t="s">
        <v>210</v>
      </c>
      <c r="C2592" s="31" t="s">
        <v>2109</v>
      </c>
      <c r="D2592" s="31" t="s">
        <v>27</v>
      </c>
      <c r="E2592" s="25">
        <v>45777</v>
      </c>
      <c r="F2592" s="26" t="s">
        <v>1</v>
      </c>
    </row>
    <row r="2593" spans="1:6" ht="16.8" customHeight="1" x14ac:dyDescent="0.3">
      <c r="A2593" s="20">
        <v>44190</v>
      </c>
      <c r="B2593" s="31" t="s">
        <v>2113</v>
      </c>
      <c r="C2593" s="31"/>
      <c r="D2593" s="31" t="s">
        <v>27</v>
      </c>
      <c r="E2593" s="25">
        <v>45776</v>
      </c>
      <c r="F2593" s="26" t="s">
        <v>1</v>
      </c>
    </row>
    <row r="2594" spans="1:6" ht="16.8" customHeight="1" x14ac:dyDescent="0.3">
      <c r="A2594" s="20">
        <v>44191</v>
      </c>
      <c r="B2594" s="31" t="s">
        <v>653</v>
      </c>
      <c r="C2594" s="31" t="s">
        <v>2119</v>
      </c>
      <c r="D2594" s="31" t="s">
        <v>85</v>
      </c>
      <c r="E2594" s="25">
        <v>45790</v>
      </c>
      <c r="F2594" s="26" t="s">
        <v>1</v>
      </c>
    </row>
    <row r="2595" spans="1:6" ht="16.8" customHeight="1" x14ac:dyDescent="0.3">
      <c r="A2595" s="20">
        <v>44192</v>
      </c>
      <c r="B2595" s="31" t="s">
        <v>2114</v>
      </c>
      <c r="C2595" s="31"/>
      <c r="D2595" s="31" t="s">
        <v>27</v>
      </c>
      <c r="E2595" s="25">
        <v>45776</v>
      </c>
      <c r="F2595" s="26" t="s">
        <v>1</v>
      </c>
    </row>
    <row r="2596" spans="1:6" ht="16.8" customHeight="1" x14ac:dyDescent="0.3">
      <c r="A2596" s="20">
        <v>44193</v>
      </c>
      <c r="B2596" s="31"/>
      <c r="C2596" s="31"/>
      <c r="D2596" s="31"/>
      <c r="E2596" s="25"/>
      <c r="F2596" s="26"/>
    </row>
    <row r="2597" spans="1:6" ht="16.8" customHeight="1" x14ac:dyDescent="0.3">
      <c r="A2597" s="20">
        <v>44194</v>
      </c>
      <c r="B2597" s="31" t="s">
        <v>90</v>
      </c>
      <c r="C2597" s="31" t="s">
        <v>254</v>
      </c>
      <c r="D2597" s="31" t="s">
        <v>2115</v>
      </c>
      <c r="E2597" s="25">
        <v>45776</v>
      </c>
      <c r="F2597" s="26" t="s">
        <v>1</v>
      </c>
    </row>
    <row r="2598" spans="1:6" ht="16.8" customHeight="1" x14ac:dyDescent="0.3">
      <c r="A2598" s="20">
        <v>44195</v>
      </c>
      <c r="B2598" s="31" t="s">
        <v>808</v>
      </c>
      <c r="C2598" s="31" t="s">
        <v>2534</v>
      </c>
      <c r="D2598" s="31" t="s">
        <v>2535</v>
      </c>
      <c r="E2598" s="25">
        <v>45835</v>
      </c>
      <c r="F2598" s="26" t="s">
        <v>1</v>
      </c>
    </row>
    <row r="2599" spans="1:6" ht="16.8" customHeight="1" x14ac:dyDescent="0.3">
      <c r="A2599" s="20">
        <v>44196</v>
      </c>
      <c r="B2599" s="31" t="s">
        <v>164</v>
      </c>
      <c r="C2599" s="31"/>
      <c r="D2599" s="31" t="s">
        <v>27</v>
      </c>
      <c r="E2599" s="25">
        <v>45776</v>
      </c>
      <c r="F2599" s="26" t="s">
        <v>1</v>
      </c>
    </row>
    <row r="2600" spans="1:6" ht="16.8" customHeight="1" x14ac:dyDescent="0.3">
      <c r="A2600" s="20">
        <v>44197</v>
      </c>
      <c r="B2600" s="31" t="s">
        <v>434</v>
      </c>
      <c r="C2600" s="31" t="s">
        <v>232</v>
      </c>
      <c r="D2600" s="31" t="s">
        <v>2206</v>
      </c>
      <c r="E2600" s="25">
        <v>45819</v>
      </c>
      <c r="F2600" s="26" t="s">
        <v>2</v>
      </c>
    </row>
    <row r="2601" spans="1:6" ht="16.8" customHeight="1" x14ac:dyDescent="0.3">
      <c r="A2601" s="20">
        <v>44198</v>
      </c>
      <c r="B2601" s="31" t="s">
        <v>74</v>
      </c>
      <c r="C2601" s="31"/>
      <c r="D2601" s="31" t="s">
        <v>27</v>
      </c>
      <c r="E2601" s="25">
        <v>45776</v>
      </c>
      <c r="F2601" s="26" t="s">
        <v>1</v>
      </c>
    </row>
    <row r="2602" spans="1:6" ht="16.8" customHeight="1" x14ac:dyDescent="0.3">
      <c r="A2602" s="20">
        <v>44199</v>
      </c>
      <c r="B2602" s="31" t="s">
        <v>639</v>
      </c>
      <c r="C2602" s="31" t="s">
        <v>32</v>
      </c>
      <c r="D2602" s="31" t="s">
        <v>1045</v>
      </c>
      <c r="E2602" s="25">
        <v>45776</v>
      </c>
      <c r="F2602" s="26" t="s">
        <v>2</v>
      </c>
    </row>
    <row r="2603" spans="1:6" ht="16.8" customHeight="1" x14ac:dyDescent="0.3">
      <c r="A2603" s="20">
        <v>44200</v>
      </c>
      <c r="B2603" s="31"/>
      <c r="C2603" s="31"/>
      <c r="D2603" s="31"/>
      <c r="E2603" s="25"/>
      <c r="F2603" s="26"/>
    </row>
    <row r="2604" spans="1:6" ht="16.8" customHeight="1" x14ac:dyDescent="0.3">
      <c r="A2604" s="20">
        <v>44201</v>
      </c>
      <c r="B2604" s="31"/>
      <c r="C2604" s="31"/>
      <c r="D2604" s="31"/>
      <c r="E2604" s="25"/>
      <c r="F2604" s="26"/>
    </row>
    <row r="2605" spans="1:6" ht="16.8" customHeight="1" x14ac:dyDescent="0.3">
      <c r="A2605" s="20">
        <v>44202</v>
      </c>
      <c r="B2605" s="31" t="s">
        <v>62</v>
      </c>
      <c r="C2605" s="31" t="s">
        <v>2167</v>
      </c>
      <c r="D2605" s="31" t="s">
        <v>403</v>
      </c>
      <c r="E2605" s="25">
        <v>45793</v>
      </c>
      <c r="F2605" s="26" t="s">
        <v>2</v>
      </c>
    </row>
    <row r="2606" spans="1:6" ht="16.8" customHeight="1" x14ac:dyDescent="0.3">
      <c r="A2606" s="20">
        <v>44203</v>
      </c>
      <c r="B2606" s="31" t="s">
        <v>1535</v>
      </c>
      <c r="C2606" s="31" t="s">
        <v>287</v>
      </c>
      <c r="D2606" s="31" t="s">
        <v>1531</v>
      </c>
      <c r="E2606" s="25">
        <v>45789</v>
      </c>
      <c r="F2606" s="26" t="s">
        <v>2</v>
      </c>
    </row>
    <row r="2607" spans="1:6" ht="16.8" customHeight="1" x14ac:dyDescent="0.3">
      <c r="A2607" s="20">
        <v>44204</v>
      </c>
      <c r="B2607" s="31" t="s">
        <v>1793</v>
      </c>
      <c r="C2607" s="31" t="s">
        <v>106</v>
      </c>
      <c r="D2607" s="31" t="s">
        <v>2117</v>
      </c>
      <c r="E2607" s="25">
        <v>45776</v>
      </c>
      <c r="F2607" s="26" t="s">
        <v>2</v>
      </c>
    </row>
    <row r="2608" spans="1:6" ht="16.8" customHeight="1" x14ac:dyDescent="0.3">
      <c r="A2608" s="20">
        <v>44205</v>
      </c>
      <c r="B2608" s="31" t="s">
        <v>2148</v>
      </c>
      <c r="C2608" s="31" t="s">
        <v>1131</v>
      </c>
      <c r="D2608" s="31" t="s">
        <v>1370</v>
      </c>
      <c r="E2608" s="25">
        <v>45784</v>
      </c>
      <c r="F2608" s="26" t="s">
        <v>1</v>
      </c>
    </row>
    <row r="2609" spans="1:6" ht="16.8" customHeight="1" x14ac:dyDescent="0.3">
      <c r="A2609" s="20">
        <v>44206</v>
      </c>
      <c r="B2609" s="31" t="s">
        <v>724</v>
      </c>
      <c r="C2609" s="31" t="s">
        <v>118</v>
      </c>
      <c r="D2609" s="31" t="s">
        <v>2162</v>
      </c>
      <c r="E2609" s="25">
        <v>45790</v>
      </c>
      <c r="F2609" s="26" t="s">
        <v>1</v>
      </c>
    </row>
    <row r="2610" spans="1:6" ht="16.8" customHeight="1" x14ac:dyDescent="0.3">
      <c r="A2610" s="20">
        <v>44207</v>
      </c>
      <c r="B2610" s="31" t="s">
        <v>446</v>
      </c>
      <c r="C2610" s="31" t="s">
        <v>75</v>
      </c>
      <c r="D2610" s="31" t="s">
        <v>2115</v>
      </c>
      <c r="E2610" s="25">
        <v>45835</v>
      </c>
      <c r="F2610" s="26" t="s">
        <v>4</v>
      </c>
    </row>
    <row r="2611" spans="1:6" ht="16.8" customHeight="1" x14ac:dyDescent="0.3">
      <c r="A2611" s="20">
        <v>44208</v>
      </c>
      <c r="B2611" s="31" t="s">
        <v>2149</v>
      </c>
      <c r="C2611" s="31" t="s">
        <v>140</v>
      </c>
      <c r="D2611" s="31" t="s">
        <v>662</v>
      </c>
      <c r="E2611" s="25">
        <v>45784</v>
      </c>
      <c r="F2611" s="26" t="s">
        <v>1</v>
      </c>
    </row>
    <row r="2612" spans="1:6" ht="16.8" customHeight="1" x14ac:dyDescent="0.3">
      <c r="A2612" s="20">
        <v>44209</v>
      </c>
      <c r="B2612" s="31" t="s">
        <v>868</v>
      </c>
      <c r="C2612" s="31" t="s">
        <v>2229</v>
      </c>
      <c r="D2612" s="31" t="s">
        <v>2230</v>
      </c>
      <c r="E2612" s="25">
        <v>45800</v>
      </c>
      <c r="F2612" s="26" t="s">
        <v>1</v>
      </c>
    </row>
    <row r="2613" spans="1:6" ht="16.8" customHeight="1" x14ac:dyDescent="0.3">
      <c r="A2613" s="20">
        <v>44210</v>
      </c>
      <c r="B2613" s="31" t="s">
        <v>639</v>
      </c>
      <c r="C2613" s="31" t="s">
        <v>32</v>
      </c>
      <c r="D2613" s="31" t="s">
        <v>1088</v>
      </c>
      <c r="E2613" s="25">
        <v>45776</v>
      </c>
      <c r="F2613" s="26" t="s">
        <v>2</v>
      </c>
    </row>
    <row r="2614" spans="1:6" ht="16.8" customHeight="1" x14ac:dyDescent="0.3">
      <c r="A2614" s="20">
        <v>44211</v>
      </c>
      <c r="B2614" s="31" t="s">
        <v>672</v>
      </c>
      <c r="C2614" s="31" t="s">
        <v>1203</v>
      </c>
      <c r="D2614" s="31" t="s">
        <v>922</v>
      </c>
      <c r="E2614" s="25">
        <v>45799</v>
      </c>
      <c r="F2614" s="26" t="s">
        <v>2</v>
      </c>
    </row>
    <row r="2615" spans="1:6" ht="16.8" customHeight="1" x14ac:dyDescent="0.3">
      <c r="A2615" s="20">
        <v>44212</v>
      </c>
      <c r="B2615" s="31" t="s">
        <v>426</v>
      </c>
      <c r="C2615" s="31" t="s">
        <v>232</v>
      </c>
      <c r="D2615" s="31" t="s">
        <v>2025</v>
      </c>
      <c r="E2615" s="25">
        <v>45819</v>
      </c>
      <c r="F2615" s="26" t="s">
        <v>1</v>
      </c>
    </row>
    <row r="2616" spans="1:6" ht="16.8" customHeight="1" x14ac:dyDescent="0.3">
      <c r="A2616" s="20">
        <v>44213</v>
      </c>
      <c r="B2616" s="31" t="s">
        <v>2710</v>
      </c>
      <c r="C2616" s="31" t="s">
        <v>2174</v>
      </c>
      <c r="D2616" s="31" t="s">
        <v>2711</v>
      </c>
      <c r="E2616" s="25">
        <v>45896</v>
      </c>
      <c r="F2616" s="26" t="s">
        <v>2077</v>
      </c>
    </row>
    <row r="2617" spans="1:6" ht="16.8" customHeight="1" x14ac:dyDescent="0.3">
      <c r="A2617" s="20">
        <v>44214</v>
      </c>
      <c r="B2617" s="31" t="s">
        <v>222</v>
      </c>
      <c r="C2617" s="31" t="s">
        <v>40</v>
      </c>
      <c r="D2617" s="31" t="s">
        <v>2135</v>
      </c>
      <c r="E2617" s="25">
        <v>45779</v>
      </c>
      <c r="F2617" s="26" t="s">
        <v>1</v>
      </c>
    </row>
    <row r="2618" spans="1:6" ht="16.8" customHeight="1" x14ac:dyDescent="0.3">
      <c r="A2618" s="20">
        <v>44215</v>
      </c>
      <c r="B2618" s="31" t="s">
        <v>482</v>
      </c>
      <c r="C2618" s="31" t="s">
        <v>2416</v>
      </c>
      <c r="D2618" s="31" t="s">
        <v>121</v>
      </c>
      <c r="E2618" s="25">
        <v>45819</v>
      </c>
      <c r="F2618" s="26" t="s">
        <v>4</v>
      </c>
    </row>
    <row r="2619" spans="1:6" ht="16.8" customHeight="1" x14ac:dyDescent="0.3">
      <c r="A2619" s="20">
        <v>44216</v>
      </c>
      <c r="B2619" s="31"/>
      <c r="C2619" s="31"/>
      <c r="D2619" s="31"/>
      <c r="E2619" s="25"/>
      <c r="F2619" s="26"/>
    </row>
    <row r="2620" spans="1:6" ht="16.8" customHeight="1" x14ac:dyDescent="0.3">
      <c r="A2620" s="20">
        <v>44217</v>
      </c>
      <c r="B2620" s="31" t="s">
        <v>465</v>
      </c>
      <c r="C2620" s="31" t="s">
        <v>232</v>
      </c>
      <c r="D2620" s="31" t="s">
        <v>2417</v>
      </c>
      <c r="E2620" s="25">
        <v>45819</v>
      </c>
      <c r="F2620" s="26" t="s">
        <v>1</v>
      </c>
    </row>
    <row r="2621" spans="1:6" ht="16.8" customHeight="1" x14ac:dyDescent="0.3">
      <c r="A2621" s="20">
        <v>44218</v>
      </c>
      <c r="B2621" s="31" t="s">
        <v>2450</v>
      </c>
      <c r="C2621" s="31" t="s">
        <v>2451</v>
      </c>
      <c r="D2621" s="31" t="s">
        <v>2453</v>
      </c>
      <c r="E2621" s="25">
        <v>45824</v>
      </c>
      <c r="F2621" s="26" t="s">
        <v>4</v>
      </c>
    </row>
    <row r="2622" spans="1:6" ht="16.8" customHeight="1" x14ac:dyDescent="0.3">
      <c r="A2622" s="20">
        <v>44219</v>
      </c>
      <c r="B2622" s="31"/>
      <c r="C2622" s="31"/>
      <c r="D2622" s="31"/>
      <c r="E2622" s="25"/>
      <c r="F2622" s="26"/>
    </row>
    <row r="2623" spans="1:6" ht="16.8" customHeight="1" x14ac:dyDescent="0.3">
      <c r="A2623" s="20">
        <v>44220</v>
      </c>
      <c r="B2623" s="31" t="s">
        <v>262</v>
      </c>
      <c r="C2623" s="31" t="s">
        <v>263</v>
      </c>
      <c r="D2623" s="31" t="s">
        <v>1741</v>
      </c>
      <c r="E2623" s="25">
        <v>45798</v>
      </c>
      <c r="F2623" s="26" t="s">
        <v>2</v>
      </c>
    </row>
    <row r="2624" spans="1:6" ht="16.8" customHeight="1" x14ac:dyDescent="0.3">
      <c r="A2624" s="20">
        <v>44221</v>
      </c>
      <c r="B2624" s="31" t="s">
        <v>71</v>
      </c>
      <c r="C2624" s="31" t="s">
        <v>106</v>
      </c>
      <c r="D2624" s="31" t="s">
        <v>1467</v>
      </c>
      <c r="E2624" s="25">
        <v>45855</v>
      </c>
      <c r="F2624" s="26" t="s">
        <v>8</v>
      </c>
    </row>
    <row r="2625" spans="1:6" ht="16.8" customHeight="1" x14ac:dyDescent="0.3">
      <c r="A2625" s="20">
        <v>44222</v>
      </c>
      <c r="B2625" s="31" t="s">
        <v>875</v>
      </c>
      <c r="C2625" s="31" t="s">
        <v>106</v>
      </c>
      <c r="D2625" s="31" t="s">
        <v>1049</v>
      </c>
      <c r="E2625" s="25">
        <v>45784</v>
      </c>
      <c r="F2625" s="26" t="s">
        <v>1</v>
      </c>
    </row>
    <row r="2626" spans="1:6" ht="16.8" customHeight="1" x14ac:dyDescent="0.3">
      <c r="A2626" s="20">
        <v>44223</v>
      </c>
      <c r="B2626" s="31" t="s">
        <v>2150</v>
      </c>
      <c r="C2626" s="31" t="s">
        <v>32</v>
      </c>
      <c r="D2626" s="31" t="s">
        <v>1049</v>
      </c>
      <c r="E2626" s="25">
        <v>45784</v>
      </c>
      <c r="F2626" s="26" t="s">
        <v>1</v>
      </c>
    </row>
    <row r="2627" spans="1:6" ht="16.8" customHeight="1" x14ac:dyDescent="0.3">
      <c r="A2627" s="20">
        <v>44224</v>
      </c>
      <c r="B2627" s="31" t="s">
        <v>2150</v>
      </c>
      <c r="C2627" s="31" t="s">
        <v>148</v>
      </c>
      <c r="D2627" s="31" t="s">
        <v>1049</v>
      </c>
      <c r="E2627" s="25">
        <v>45784</v>
      </c>
      <c r="F2627" s="26" t="s">
        <v>1</v>
      </c>
    </row>
    <row r="2628" spans="1:6" ht="16.8" customHeight="1" x14ac:dyDescent="0.3">
      <c r="A2628" s="20">
        <v>44225</v>
      </c>
      <c r="B2628" s="31" t="s">
        <v>73</v>
      </c>
      <c r="C2628" s="31" t="s">
        <v>1407</v>
      </c>
      <c r="D2628" s="31" t="s">
        <v>2777</v>
      </c>
      <c r="E2628" s="25">
        <v>45917</v>
      </c>
      <c r="F2628" s="26" t="s">
        <v>8</v>
      </c>
    </row>
    <row r="2629" spans="1:6" ht="16.8" customHeight="1" x14ac:dyDescent="0.3">
      <c r="A2629" s="20">
        <v>44226</v>
      </c>
      <c r="B2629" s="31" t="s">
        <v>1059</v>
      </c>
      <c r="C2629" s="31" t="s">
        <v>32</v>
      </c>
      <c r="D2629" s="31" t="s">
        <v>615</v>
      </c>
      <c r="E2629" s="25">
        <v>45800</v>
      </c>
      <c r="F2629" s="26" t="s">
        <v>1</v>
      </c>
    </row>
    <row r="2630" spans="1:6" ht="16.8" customHeight="1" x14ac:dyDescent="0.3">
      <c r="A2630" s="20">
        <v>44227</v>
      </c>
      <c r="B2630" s="31" t="s">
        <v>567</v>
      </c>
      <c r="C2630" s="31"/>
      <c r="D2630" s="31" t="s">
        <v>27</v>
      </c>
      <c r="E2630" s="25">
        <v>45790</v>
      </c>
      <c r="F2630" s="26" t="s">
        <v>1</v>
      </c>
    </row>
    <row r="2631" spans="1:6" ht="16.8" customHeight="1" x14ac:dyDescent="0.3">
      <c r="A2631" s="20">
        <v>44228</v>
      </c>
      <c r="B2631" s="31" t="s">
        <v>1090</v>
      </c>
      <c r="C2631" s="31" t="s">
        <v>133</v>
      </c>
      <c r="D2631" s="31" t="s">
        <v>2163</v>
      </c>
      <c r="E2631" s="25">
        <v>45790</v>
      </c>
      <c r="F2631" s="26" t="s">
        <v>1</v>
      </c>
    </row>
    <row r="2632" spans="1:6" ht="16.8" customHeight="1" x14ac:dyDescent="0.3">
      <c r="A2632" s="20">
        <v>44229</v>
      </c>
      <c r="B2632" s="31" t="s">
        <v>1059</v>
      </c>
      <c r="C2632" s="31" t="s">
        <v>106</v>
      </c>
      <c r="D2632" s="31" t="s">
        <v>2045</v>
      </c>
      <c r="E2632" s="25">
        <v>45784</v>
      </c>
      <c r="F2632" s="26" t="s">
        <v>1</v>
      </c>
    </row>
    <row r="2633" spans="1:6" ht="16.8" customHeight="1" x14ac:dyDescent="0.3">
      <c r="A2633" s="20">
        <v>44230</v>
      </c>
      <c r="B2633" s="31"/>
      <c r="C2633" s="31"/>
      <c r="D2633" s="31"/>
      <c r="E2633" s="25"/>
      <c r="F2633" s="26"/>
    </row>
    <row r="2634" spans="1:6" ht="16.8" customHeight="1" x14ac:dyDescent="0.3">
      <c r="A2634" s="20">
        <v>44231</v>
      </c>
      <c r="B2634" s="31"/>
      <c r="C2634" s="31"/>
      <c r="D2634" s="31"/>
      <c r="E2634" s="25"/>
      <c r="F2634" s="26"/>
    </row>
    <row r="2635" spans="1:6" ht="16.8" customHeight="1" x14ac:dyDescent="0.3">
      <c r="A2635" s="20">
        <v>44232</v>
      </c>
      <c r="B2635" s="31" t="s">
        <v>41</v>
      </c>
      <c r="C2635" s="31" t="s">
        <v>75</v>
      </c>
      <c r="D2635" s="31" t="s">
        <v>940</v>
      </c>
      <c r="E2635" s="25">
        <v>45832</v>
      </c>
      <c r="F2635" s="26" t="s">
        <v>4</v>
      </c>
    </row>
    <row r="2636" spans="1:6" ht="16.8" customHeight="1" x14ac:dyDescent="0.3">
      <c r="A2636" s="20">
        <v>44233</v>
      </c>
      <c r="B2636" s="31" t="s">
        <v>2169</v>
      </c>
      <c r="C2636" s="31" t="s">
        <v>2170</v>
      </c>
      <c r="D2636" s="31" t="s">
        <v>615</v>
      </c>
      <c r="E2636" s="25">
        <v>45793</v>
      </c>
      <c r="F2636" s="26" t="s">
        <v>1</v>
      </c>
    </row>
    <row r="2637" spans="1:6" ht="16.8" customHeight="1" x14ac:dyDescent="0.3">
      <c r="A2637" s="20">
        <v>44234</v>
      </c>
      <c r="B2637" s="31" t="s">
        <v>2118</v>
      </c>
      <c r="C2637" s="31"/>
      <c r="D2637" s="31" t="s">
        <v>880</v>
      </c>
      <c r="E2637" s="25">
        <v>45776</v>
      </c>
      <c r="F2637" s="26" t="s">
        <v>1</v>
      </c>
    </row>
    <row r="2638" spans="1:6" ht="16.8" customHeight="1" x14ac:dyDescent="0.3">
      <c r="A2638" s="20">
        <v>44235</v>
      </c>
      <c r="B2638" s="31" t="s">
        <v>2778</v>
      </c>
      <c r="C2638" s="31" t="s">
        <v>912</v>
      </c>
      <c r="D2638" s="31" t="s">
        <v>2779</v>
      </c>
      <c r="E2638" s="25">
        <v>45917</v>
      </c>
      <c r="F2638" s="26" t="s">
        <v>4</v>
      </c>
    </row>
    <row r="2639" spans="1:6" ht="16.8" customHeight="1" x14ac:dyDescent="0.3">
      <c r="A2639" s="20">
        <v>44236</v>
      </c>
      <c r="B2639" s="31" t="s">
        <v>745</v>
      </c>
      <c r="C2639" s="31" t="s">
        <v>348</v>
      </c>
      <c r="D2639" s="31" t="s">
        <v>121</v>
      </c>
      <c r="E2639" s="25">
        <v>45930</v>
      </c>
      <c r="F2639" s="26" t="s">
        <v>4</v>
      </c>
    </row>
    <row r="2640" spans="1:6" ht="16.8" customHeight="1" x14ac:dyDescent="0.3">
      <c r="A2640" s="20">
        <v>44237</v>
      </c>
      <c r="B2640" s="31" t="s">
        <v>262</v>
      </c>
      <c r="C2640" s="31" t="s">
        <v>263</v>
      </c>
      <c r="D2640" s="31" t="s">
        <v>1741</v>
      </c>
      <c r="E2640" s="25">
        <v>45798</v>
      </c>
      <c r="F2640" s="26" t="s">
        <v>2</v>
      </c>
    </row>
    <row r="2641" spans="1:6" ht="16.8" customHeight="1" x14ac:dyDescent="0.3">
      <c r="A2641" s="20">
        <v>44238</v>
      </c>
      <c r="B2641" s="31" t="s">
        <v>475</v>
      </c>
      <c r="C2641" s="31" t="s">
        <v>106</v>
      </c>
      <c r="D2641" s="31" t="s">
        <v>168</v>
      </c>
      <c r="E2641" s="25">
        <v>45800</v>
      </c>
      <c r="F2641" s="26" t="s">
        <v>1</v>
      </c>
    </row>
    <row r="2642" spans="1:6" ht="16.8" customHeight="1" x14ac:dyDescent="0.3">
      <c r="A2642" s="20">
        <v>44239</v>
      </c>
      <c r="B2642" s="31"/>
      <c r="C2642" s="31"/>
      <c r="D2642" s="31"/>
      <c r="E2642" s="25"/>
      <c r="F2642" s="26"/>
    </row>
    <row r="2643" spans="1:6" ht="16.8" customHeight="1" x14ac:dyDescent="0.3">
      <c r="A2643" s="20">
        <v>44240</v>
      </c>
      <c r="B2643" s="31" t="s">
        <v>2231</v>
      </c>
      <c r="C2643" s="31" t="s">
        <v>287</v>
      </c>
      <c r="D2643" s="31" t="s">
        <v>2232</v>
      </c>
      <c r="E2643" s="25">
        <v>45800</v>
      </c>
      <c r="F2643" s="26" t="s">
        <v>1</v>
      </c>
    </row>
    <row r="2644" spans="1:6" ht="16.8" customHeight="1" x14ac:dyDescent="0.3">
      <c r="A2644" s="20">
        <v>44241</v>
      </c>
      <c r="B2644" s="31" t="s">
        <v>681</v>
      </c>
      <c r="C2644" s="31" t="s">
        <v>232</v>
      </c>
      <c r="D2644" s="31" t="s">
        <v>2208</v>
      </c>
      <c r="E2644" s="25">
        <v>45798</v>
      </c>
      <c r="F2644" s="26" t="s">
        <v>2</v>
      </c>
    </row>
    <row r="2645" spans="1:6" ht="16.8" customHeight="1" x14ac:dyDescent="0.3">
      <c r="A2645" s="20">
        <v>44242</v>
      </c>
      <c r="B2645" s="31" t="s">
        <v>439</v>
      </c>
      <c r="C2645" s="31" t="s">
        <v>440</v>
      </c>
      <c r="D2645" s="31" t="s">
        <v>1049</v>
      </c>
      <c r="E2645" s="25">
        <v>45790</v>
      </c>
      <c r="F2645" s="26" t="s">
        <v>1</v>
      </c>
    </row>
    <row r="2646" spans="1:6" ht="16.8" customHeight="1" x14ac:dyDescent="0.3">
      <c r="A2646" s="20">
        <v>44243</v>
      </c>
      <c r="B2646" s="31" t="s">
        <v>439</v>
      </c>
      <c r="C2646" s="31" t="s">
        <v>148</v>
      </c>
      <c r="D2646" s="31" t="s">
        <v>1049</v>
      </c>
      <c r="E2646" s="25">
        <v>45789</v>
      </c>
      <c r="F2646" s="26" t="s">
        <v>1</v>
      </c>
    </row>
    <row r="2647" spans="1:6" ht="16.8" customHeight="1" x14ac:dyDescent="0.3">
      <c r="A2647" s="20">
        <v>44244</v>
      </c>
      <c r="B2647" s="31" t="s">
        <v>439</v>
      </c>
      <c r="C2647" s="31" t="s">
        <v>1646</v>
      </c>
      <c r="D2647" s="31" t="s">
        <v>40</v>
      </c>
      <c r="E2647" s="25">
        <v>45813</v>
      </c>
      <c r="F2647" s="26" t="s">
        <v>2</v>
      </c>
    </row>
    <row r="2648" spans="1:6" ht="16.8" customHeight="1" x14ac:dyDescent="0.3">
      <c r="A2648" s="20">
        <v>44245</v>
      </c>
      <c r="B2648" s="31" t="s">
        <v>394</v>
      </c>
      <c r="C2648" s="31" t="s">
        <v>379</v>
      </c>
      <c r="D2648" s="31" t="s">
        <v>159</v>
      </c>
      <c r="E2648" s="25">
        <v>45789</v>
      </c>
      <c r="F2648" s="26" t="s">
        <v>1</v>
      </c>
    </row>
    <row r="2649" spans="1:6" ht="16.8" customHeight="1" x14ac:dyDescent="0.3">
      <c r="A2649" s="20">
        <v>44246</v>
      </c>
      <c r="B2649" s="31" t="s">
        <v>86</v>
      </c>
      <c r="C2649" s="31" t="s">
        <v>45</v>
      </c>
      <c r="D2649" s="31" t="s">
        <v>1547</v>
      </c>
      <c r="E2649" s="25">
        <v>45798</v>
      </c>
      <c r="F2649" s="26" t="s">
        <v>3</v>
      </c>
    </row>
    <row r="2650" spans="1:6" ht="16.8" customHeight="1" x14ac:dyDescent="0.3">
      <c r="A2650" s="20">
        <v>44247</v>
      </c>
      <c r="B2650" s="31" t="s">
        <v>551</v>
      </c>
      <c r="C2650" s="31" t="s">
        <v>1950</v>
      </c>
      <c r="D2650" s="31" t="s">
        <v>776</v>
      </c>
      <c r="E2650" s="25">
        <v>45807</v>
      </c>
      <c r="F2650" s="26" t="s">
        <v>1</v>
      </c>
    </row>
    <row r="2651" spans="1:6" ht="16.8" customHeight="1" x14ac:dyDescent="0.3">
      <c r="A2651" s="20">
        <v>44248</v>
      </c>
      <c r="B2651" s="31" t="s">
        <v>1971</v>
      </c>
      <c r="C2651" s="31" t="s">
        <v>544</v>
      </c>
      <c r="D2651" s="31" t="s">
        <v>283</v>
      </c>
      <c r="E2651" s="25">
        <v>45791</v>
      </c>
      <c r="F2651" s="26" t="s">
        <v>1</v>
      </c>
    </row>
    <row r="2652" spans="1:6" ht="16.8" customHeight="1" x14ac:dyDescent="0.3">
      <c r="A2652" s="20">
        <v>44249</v>
      </c>
      <c r="B2652" s="31" t="s">
        <v>321</v>
      </c>
      <c r="C2652" s="31" t="s">
        <v>249</v>
      </c>
      <c r="D2652" s="31" t="s">
        <v>146</v>
      </c>
      <c r="E2652" s="25">
        <v>45791</v>
      </c>
      <c r="F2652" s="26" t="s">
        <v>1</v>
      </c>
    </row>
    <row r="2653" spans="1:6" ht="16.8" customHeight="1" x14ac:dyDescent="0.3">
      <c r="A2653" s="20">
        <v>44250</v>
      </c>
      <c r="B2653" s="31" t="s">
        <v>1081</v>
      </c>
      <c r="C2653" s="31" t="s">
        <v>2152</v>
      </c>
      <c r="D2653" s="31" t="s">
        <v>2153</v>
      </c>
      <c r="E2653" s="25">
        <v>45789</v>
      </c>
      <c r="F2653" s="26" t="s">
        <v>1</v>
      </c>
    </row>
    <row r="2654" spans="1:6" ht="16.8" customHeight="1" x14ac:dyDescent="0.3">
      <c r="A2654" s="20">
        <v>44251</v>
      </c>
      <c r="B2654" s="31"/>
      <c r="C2654" s="31"/>
      <c r="D2654" s="31"/>
      <c r="E2654" s="25"/>
      <c r="F2654" s="26"/>
    </row>
    <row r="2655" spans="1:6" ht="16.8" customHeight="1" x14ac:dyDescent="0.3">
      <c r="A2655" s="20">
        <v>44252</v>
      </c>
      <c r="B2655" s="31"/>
      <c r="C2655" s="31"/>
      <c r="D2655" s="31"/>
      <c r="E2655" s="25"/>
      <c r="F2655" s="26"/>
    </row>
    <row r="2656" spans="1:6" ht="16.8" customHeight="1" x14ac:dyDescent="0.3">
      <c r="A2656" s="20">
        <v>44253</v>
      </c>
      <c r="B2656" s="31"/>
      <c r="C2656" s="31"/>
      <c r="D2656" s="31"/>
      <c r="E2656" s="25"/>
      <c r="F2656" s="26"/>
    </row>
    <row r="2657" spans="1:6" ht="16.8" customHeight="1" x14ac:dyDescent="0.3">
      <c r="A2657" s="20">
        <v>44254</v>
      </c>
      <c r="B2657" s="31" t="s">
        <v>808</v>
      </c>
      <c r="C2657" s="31" t="s">
        <v>179</v>
      </c>
      <c r="D2657" s="31" t="s">
        <v>146</v>
      </c>
      <c r="E2657" s="25">
        <v>45831</v>
      </c>
      <c r="F2657" s="26" t="s">
        <v>1</v>
      </c>
    </row>
    <row r="2658" spans="1:6" ht="16.8" customHeight="1" x14ac:dyDescent="0.3">
      <c r="A2658" s="20">
        <v>44255</v>
      </c>
      <c r="B2658" s="31" t="s">
        <v>516</v>
      </c>
      <c r="C2658" s="31" t="s">
        <v>63</v>
      </c>
      <c r="D2658" s="31" t="s">
        <v>1049</v>
      </c>
      <c r="E2658" s="25">
        <v>45789</v>
      </c>
      <c r="F2658" s="26" t="s">
        <v>2</v>
      </c>
    </row>
    <row r="2659" spans="1:6" ht="16.8" customHeight="1" x14ac:dyDescent="0.3">
      <c r="A2659" s="20">
        <v>44256</v>
      </c>
      <c r="B2659" s="31" t="s">
        <v>2484</v>
      </c>
      <c r="C2659" s="31" t="s">
        <v>718</v>
      </c>
      <c r="D2659" s="31" t="s">
        <v>2485</v>
      </c>
      <c r="E2659" s="25">
        <v>45831</v>
      </c>
      <c r="F2659" s="26" t="s">
        <v>1</v>
      </c>
    </row>
    <row r="2660" spans="1:6" ht="16.8" customHeight="1" x14ac:dyDescent="0.3">
      <c r="A2660" s="20">
        <v>44257</v>
      </c>
      <c r="B2660" s="31"/>
      <c r="C2660" s="31"/>
      <c r="D2660" s="31"/>
      <c r="E2660" s="25"/>
      <c r="F2660" s="26"/>
    </row>
    <row r="2661" spans="1:6" ht="16.8" customHeight="1" x14ac:dyDescent="0.3">
      <c r="A2661" s="20">
        <v>44258</v>
      </c>
      <c r="B2661" s="31" t="s">
        <v>41</v>
      </c>
      <c r="C2661" s="31" t="s">
        <v>812</v>
      </c>
      <c r="D2661" s="31" t="s">
        <v>121</v>
      </c>
      <c r="E2661" s="25">
        <v>45874</v>
      </c>
      <c r="F2661" s="26" t="s">
        <v>4</v>
      </c>
    </row>
    <row r="2662" spans="1:6" ht="16.8" customHeight="1" x14ac:dyDescent="0.3">
      <c r="A2662" s="20">
        <v>44259</v>
      </c>
      <c r="B2662" s="31" t="s">
        <v>674</v>
      </c>
      <c r="C2662" s="31" t="s">
        <v>2171</v>
      </c>
      <c r="D2662" s="31" t="s">
        <v>1049</v>
      </c>
      <c r="E2662" s="25">
        <v>45793</v>
      </c>
      <c r="F2662" s="26" t="s">
        <v>1</v>
      </c>
    </row>
    <row r="2663" spans="1:6" ht="16.8" customHeight="1" x14ac:dyDescent="0.3">
      <c r="A2663" s="20">
        <v>44260</v>
      </c>
      <c r="B2663" s="31" t="s">
        <v>160</v>
      </c>
      <c r="C2663" s="31" t="s">
        <v>2375</v>
      </c>
      <c r="D2663" s="31" t="s">
        <v>2376</v>
      </c>
      <c r="E2663" s="25">
        <v>45807</v>
      </c>
      <c r="F2663" s="26" t="s">
        <v>1</v>
      </c>
    </row>
    <row r="2664" spans="1:6" ht="16.8" customHeight="1" x14ac:dyDescent="0.3">
      <c r="A2664" s="20">
        <v>44261</v>
      </c>
      <c r="B2664" s="31" t="s">
        <v>256</v>
      </c>
      <c r="C2664" s="31" t="s">
        <v>154</v>
      </c>
      <c r="D2664" s="31" t="s">
        <v>1547</v>
      </c>
      <c r="E2664" s="25">
        <v>45819</v>
      </c>
      <c r="F2664" s="26" t="s">
        <v>1</v>
      </c>
    </row>
    <row r="2665" spans="1:6" ht="16.8" customHeight="1" x14ac:dyDescent="0.3">
      <c r="A2665" s="20">
        <v>44262</v>
      </c>
      <c r="B2665" s="31"/>
      <c r="C2665" s="31"/>
      <c r="D2665" s="31"/>
      <c r="E2665" s="25"/>
      <c r="F2665" s="26"/>
    </row>
    <row r="2666" spans="1:6" ht="16.8" customHeight="1" x14ac:dyDescent="0.3">
      <c r="A2666" s="20">
        <v>44263</v>
      </c>
      <c r="B2666" s="31" t="s">
        <v>2172</v>
      </c>
      <c r="C2666" s="31" t="s">
        <v>135</v>
      </c>
      <c r="D2666" s="31" t="s">
        <v>2173</v>
      </c>
      <c r="E2666" s="25">
        <v>45793</v>
      </c>
      <c r="F2666" s="26" t="s">
        <v>4</v>
      </c>
    </row>
    <row r="2667" spans="1:6" ht="16.8" customHeight="1" x14ac:dyDescent="0.3">
      <c r="A2667" s="20">
        <v>44264</v>
      </c>
      <c r="B2667" s="31"/>
      <c r="C2667" s="31"/>
      <c r="D2667" s="31"/>
      <c r="E2667" s="25"/>
      <c r="F2667" s="26"/>
    </row>
    <row r="2668" spans="1:6" ht="16.8" customHeight="1" x14ac:dyDescent="0.3">
      <c r="A2668" s="20">
        <v>44265</v>
      </c>
      <c r="B2668" s="31"/>
      <c r="C2668" s="31"/>
      <c r="D2668" s="31"/>
      <c r="E2668" s="25"/>
      <c r="F2668" s="26"/>
    </row>
    <row r="2669" spans="1:6" ht="16.8" customHeight="1" x14ac:dyDescent="0.3">
      <c r="A2669" s="20">
        <v>44266</v>
      </c>
      <c r="B2669" s="31"/>
      <c r="C2669" s="31"/>
      <c r="D2669" s="31"/>
      <c r="E2669" s="25"/>
      <c r="F2669" s="26"/>
    </row>
    <row r="2670" spans="1:6" ht="16.8" customHeight="1" x14ac:dyDescent="0.3">
      <c r="A2670" s="20">
        <v>44267</v>
      </c>
      <c r="B2670" s="31"/>
      <c r="C2670" s="31"/>
      <c r="D2670" s="31"/>
      <c r="E2670" s="25"/>
      <c r="F2670" s="26"/>
    </row>
    <row r="2671" spans="1:6" ht="16.8" customHeight="1" x14ac:dyDescent="0.3">
      <c r="A2671" s="20">
        <v>44268</v>
      </c>
      <c r="B2671" s="31" t="s">
        <v>1099</v>
      </c>
      <c r="C2671" s="31" t="s">
        <v>2174</v>
      </c>
      <c r="D2671" s="31" t="s">
        <v>788</v>
      </c>
      <c r="E2671" s="25">
        <v>45793</v>
      </c>
      <c r="F2671" s="26" t="s">
        <v>1</v>
      </c>
    </row>
    <row r="2672" spans="1:6" ht="16.8" customHeight="1" x14ac:dyDescent="0.3">
      <c r="A2672" s="20">
        <v>44269</v>
      </c>
      <c r="B2672" s="31" t="s">
        <v>672</v>
      </c>
      <c r="C2672" s="31" t="s">
        <v>2491</v>
      </c>
      <c r="D2672" s="31" t="s">
        <v>2070</v>
      </c>
      <c r="E2672" s="25">
        <v>45832</v>
      </c>
      <c r="F2672" s="26" t="s">
        <v>1</v>
      </c>
    </row>
    <row r="2673" spans="1:6" ht="16.8" customHeight="1" x14ac:dyDescent="0.3">
      <c r="A2673" s="20">
        <v>44270</v>
      </c>
      <c r="B2673" s="31"/>
      <c r="C2673" s="31"/>
      <c r="D2673" s="31"/>
      <c r="E2673" s="25"/>
      <c r="F2673" s="26"/>
    </row>
    <row r="2674" spans="1:6" ht="16.8" customHeight="1" x14ac:dyDescent="0.3">
      <c r="A2674" s="20">
        <v>44271</v>
      </c>
      <c r="B2674" s="31" t="s">
        <v>36</v>
      </c>
      <c r="C2674" s="31" t="s">
        <v>263</v>
      </c>
      <c r="D2674" s="31" t="s">
        <v>2233</v>
      </c>
      <c r="E2674" s="25">
        <v>45800</v>
      </c>
      <c r="F2674" s="26" t="s">
        <v>1</v>
      </c>
    </row>
    <row r="2675" spans="1:6" ht="16.8" customHeight="1" x14ac:dyDescent="0.3">
      <c r="A2675" s="20">
        <v>44272</v>
      </c>
      <c r="B2675" s="31" t="s">
        <v>2172</v>
      </c>
      <c r="C2675" s="31"/>
      <c r="D2675" s="31" t="s">
        <v>27</v>
      </c>
      <c r="E2675" s="25">
        <v>45798</v>
      </c>
      <c r="F2675" s="26" t="s">
        <v>1</v>
      </c>
    </row>
    <row r="2676" spans="1:6" ht="16.8" customHeight="1" x14ac:dyDescent="0.3">
      <c r="A2676" s="20">
        <v>44273</v>
      </c>
      <c r="B2676" s="31"/>
      <c r="C2676" s="31"/>
      <c r="D2676" s="31"/>
      <c r="E2676" s="25">
        <v>45930</v>
      </c>
      <c r="F2676" s="26" t="s">
        <v>10</v>
      </c>
    </row>
    <row r="2677" spans="1:6" ht="16.8" customHeight="1" x14ac:dyDescent="0.3">
      <c r="A2677" s="20">
        <v>44274</v>
      </c>
      <c r="B2677" s="31" t="s">
        <v>394</v>
      </c>
      <c r="C2677" s="31" t="s">
        <v>379</v>
      </c>
      <c r="D2677" s="31" t="s">
        <v>2175</v>
      </c>
      <c r="E2677" s="25">
        <v>45793</v>
      </c>
      <c r="F2677" s="26" t="s">
        <v>1</v>
      </c>
    </row>
    <row r="2678" spans="1:6" ht="16.8" customHeight="1" x14ac:dyDescent="0.3">
      <c r="A2678" s="20">
        <v>44275</v>
      </c>
      <c r="B2678" s="31" t="s">
        <v>375</v>
      </c>
      <c r="C2678" s="31" t="s">
        <v>75</v>
      </c>
      <c r="D2678" s="31" t="s">
        <v>1049</v>
      </c>
      <c r="E2678" s="25">
        <v>45820</v>
      </c>
      <c r="F2678" s="26" t="s">
        <v>1</v>
      </c>
    </row>
    <row r="2679" spans="1:6" ht="16.8" customHeight="1" x14ac:dyDescent="0.3">
      <c r="A2679" s="20">
        <v>44276</v>
      </c>
      <c r="B2679" s="31" t="s">
        <v>309</v>
      </c>
      <c r="C2679" s="31"/>
      <c r="D2679" s="31" t="s">
        <v>2234</v>
      </c>
      <c r="E2679" s="25">
        <v>45800</v>
      </c>
      <c r="F2679" s="26" t="s">
        <v>1</v>
      </c>
    </row>
    <row r="2680" spans="1:6" ht="16.8" customHeight="1" x14ac:dyDescent="0.3">
      <c r="A2680" s="20">
        <v>44277</v>
      </c>
      <c r="B2680" s="31" t="s">
        <v>518</v>
      </c>
      <c r="C2680" s="31" t="s">
        <v>211</v>
      </c>
      <c r="D2680" s="31" t="s">
        <v>119</v>
      </c>
      <c r="E2680" s="25">
        <v>45800</v>
      </c>
      <c r="F2680" s="26" t="s">
        <v>1</v>
      </c>
    </row>
    <row r="2681" spans="1:6" ht="16.8" customHeight="1" x14ac:dyDescent="0.3">
      <c r="A2681" s="20">
        <v>44278</v>
      </c>
      <c r="B2681" s="31" t="s">
        <v>672</v>
      </c>
      <c r="C2681" s="31" t="s">
        <v>240</v>
      </c>
      <c r="D2681" s="31" t="s">
        <v>1354</v>
      </c>
      <c r="E2681" s="25">
        <v>45856</v>
      </c>
      <c r="F2681" s="26" t="s">
        <v>1</v>
      </c>
    </row>
    <row r="2682" spans="1:6" ht="16.8" customHeight="1" x14ac:dyDescent="0.3">
      <c r="A2682" s="20">
        <v>44279</v>
      </c>
      <c r="B2682" s="31" t="s">
        <v>99</v>
      </c>
      <c r="C2682" s="31" t="s">
        <v>120</v>
      </c>
      <c r="D2682" s="31" t="s">
        <v>121</v>
      </c>
      <c r="E2682" s="25">
        <v>45855</v>
      </c>
      <c r="F2682" s="26" t="s">
        <v>4</v>
      </c>
    </row>
    <row r="2683" spans="1:6" ht="16.8" customHeight="1" x14ac:dyDescent="0.3">
      <c r="A2683" s="20">
        <v>44280</v>
      </c>
      <c r="B2683" s="31" t="s">
        <v>128</v>
      </c>
      <c r="C2683" s="31" t="s">
        <v>82</v>
      </c>
      <c r="D2683" s="31" t="s">
        <v>121</v>
      </c>
      <c r="E2683" s="25">
        <v>45832</v>
      </c>
      <c r="F2683" s="26" t="s">
        <v>4</v>
      </c>
    </row>
    <row r="2684" spans="1:6" ht="16.8" customHeight="1" x14ac:dyDescent="0.3">
      <c r="A2684" s="20">
        <v>44281</v>
      </c>
      <c r="B2684" s="31"/>
      <c r="C2684" s="31"/>
      <c r="D2684" s="31"/>
      <c r="E2684" s="25"/>
      <c r="F2684" s="26"/>
    </row>
    <row r="2685" spans="1:6" ht="16.8" customHeight="1" x14ac:dyDescent="0.3">
      <c r="A2685" s="20">
        <v>44282</v>
      </c>
      <c r="B2685" s="31" t="s">
        <v>2567</v>
      </c>
      <c r="C2685" s="31" t="s">
        <v>2568</v>
      </c>
      <c r="D2685" s="31" t="s">
        <v>403</v>
      </c>
      <c r="E2685" s="25">
        <v>45840</v>
      </c>
      <c r="F2685" s="26" t="s">
        <v>1</v>
      </c>
    </row>
    <row r="2686" spans="1:6" ht="16.8" customHeight="1" x14ac:dyDescent="0.3">
      <c r="A2686" s="20">
        <v>44283</v>
      </c>
      <c r="B2686" s="31" t="s">
        <v>184</v>
      </c>
      <c r="C2686" s="31" t="s">
        <v>63</v>
      </c>
      <c r="D2686" s="31" t="s">
        <v>64</v>
      </c>
      <c r="E2686" s="25">
        <v>45812</v>
      </c>
      <c r="F2686" s="26" t="s">
        <v>1</v>
      </c>
    </row>
    <row r="2687" spans="1:6" ht="16.8" customHeight="1" x14ac:dyDescent="0.3">
      <c r="A2687" s="20">
        <v>44284</v>
      </c>
      <c r="B2687" s="31" t="s">
        <v>2394</v>
      </c>
      <c r="C2687" s="31" t="s">
        <v>226</v>
      </c>
      <c r="D2687" s="31" t="s">
        <v>121</v>
      </c>
      <c r="E2687" s="25">
        <v>45832</v>
      </c>
      <c r="F2687" s="26" t="s">
        <v>4</v>
      </c>
    </row>
    <row r="2688" spans="1:6" ht="16.8" customHeight="1" x14ac:dyDescent="0.3">
      <c r="A2688" s="20">
        <v>44285</v>
      </c>
      <c r="B2688" s="31" t="s">
        <v>62</v>
      </c>
      <c r="C2688" s="31" t="s">
        <v>148</v>
      </c>
      <c r="D2688" s="31" t="s">
        <v>777</v>
      </c>
      <c r="E2688" s="25">
        <v>45800</v>
      </c>
      <c r="F2688" s="26" t="s">
        <v>1</v>
      </c>
    </row>
    <row r="2689" spans="1:6" ht="16.8" customHeight="1" x14ac:dyDescent="0.3">
      <c r="A2689" s="20">
        <v>44286</v>
      </c>
      <c r="B2689" s="31"/>
      <c r="C2689" s="31"/>
      <c r="D2689" s="31"/>
      <c r="E2689" s="25"/>
      <c r="F2689" s="26"/>
    </row>
    <row r="2690" spans="1:6" ht="16.8" customHeight="1" x14ac:dyDescent="0.3">
      <c r="A2690" s="20">
        <v>44287</v>
      </c>
      <c r="B2690" s="31"/>
      <c r="C2690" s="31"/>
      <c r="D2690" s="31"/>
      <c r="E2690" s="25"/>
      <c r="F2690" s="26"/>
    </row>
    <row r="2691" spans="1:6" ht="16.8" customHeight="1" x14ac:dyDescent="0.3">
      <c r="A2691" s="20">
        <v>44288</v>
      </c>
      <c r="B2691" s="31"/>
      <c r="C2691" s="31"/>
      <c r="D2691" s="31"/>
      <c r="E2691" s="25"/>
      <c r="F2691" s="26"/>
    </row>
    <row r="2692" spans="1:6" ht="16.8" customHeight="1" x14ac:dyDescent="0.3">
      <c r="A2692" s="20">
        <v>44289</v>
      </c>
      <c r="B2692" s="31" t="s">
        <v>36</v>
      </c>
      <c r="C2692" s="31" t="s">
        <v>37</v>
      </c>
      <c r="D2692" s="31" t="s">
        <v>2215</v>
      </c>
      <c r="E2692" s="25">
        <v>45798</v>
      </c>
      <c r="F2692" s="26" t="s">
        <v>2</v>
      </c>
    </row>
    <row r="2693" spans="1:6" ht="16.8" customHeight="1" x14ac:dyDescent="0.3">
      <c r="A2693" s="20">
        <v>44290</v>
      </c>
      <c r="B2693" s="31" t="s">
        <v>2381</v>
      </c>
      <c r="C2693" s="31"/>
      <c r="D2693" s="31" t="s">
        <v>2382</v>
      </c>
      <c r="E2693" s="25">
        <v>45810</v>
      </c>
      <c r="F2693" s="26" t="s">
        <v>1</v>
      </c>
    </row>
    <row r="2694" spans="1:6" ht="16.8" customHeight="1" x14ac:dyDescent="0.3">
      <c r="A2694" s="20">
        <v>44291</v>
      </c>
      <c r="B2694" s="31"/>
      <c r="C2694" s="31"/>
      <c r="D2694" s="31"/>
      <c r="E2694" s="25"/>
      <c r="F2694" s="26"/>
    </row>
    <row r="2695" spans="1:6" ht="16.8" customHeight="1" x14ac:dyDescent="0.3">
      <c r="A2695" s="20">
        <v>44292</v>
      </c>
      <c r="B2695" s="31" t="s">
        <v>41</v>
      </c>
      <c r="C2695" s="31" t="s">
        <v>2718</v>
      </c>
      <c r="D2695" s="31" t="s">
        <v>98</v>
      </c>
      <c r="E2695" s="25">
        <v>45902</v>
      </c>
      <c r="F2695" s="26" t="s">
        <v>4</v>
      </c>
    </row>
    <row r="2696" spans="1:6" ht="16.8" customHeight="1" x14ac:dyDescent="0.3">
      <c r="A2696" s="20">
        <v>44293</v>
      </c>
      <c r="B2696" s="31" t="s">
        <v>2499</v>
      </c>
      <c r="C2696" s="31" t="s">
        <v>1167</v>
      </c>
      <c r="D2696" s="31" t="s">
        <v>64</v>
      </c>
      <c r="E2696" s="25">
        <v>45832</v>
      </c>
      <c r="F2696" s="26" t="s">
        <v>1</v>
      </c>
    </row>
    <row r="2697" spans="1:6" ht="16.8" customHeight="1" x14ac:dyDescent="0.3">
      <c r="A2697" s="20">
        <v>44294</v>
      </c>
      <c r="B2697" s="31" t="s">
        <v>951</v>
      </c>
      <c r="C2697" s="31" t="s">
        <v>688</v>
      </c>
      <c r="D2697" s="31" t="s">
        <v>1049</v>
      </c>
      <c r="E2697" s="25">
        <v>45800</v>
      </c>
      <c r="F2697" s="26" t="s">
        <v>1</v>
      </c>
    </row>
    <row r="2698" spans="1:6" ht="16.8" customHeight="1" x14ac:dyDescent="0.3">
      <c r="A2698" s="20">
        <v>44295</v>
      </c>
      <c r="B2698" s="31"/>
      <c r="C2698" s="31"/>
      <c r="D2698" s="31"/>
      <c r="E2698" s="25"/>
      <c r="F2698" s="26"/>
    </row>
    <row r="2699" spans="1:6" ht="16.8" customHeight="1" x14ac:dyDescent="0.3">
      <c r="A2699" s="20">
        <v>44296</v>
      </c>
      <c r="B2699" s="31" t="s">
        <v>2124</v>
      </c>
      <c r="C2699" s="31" t="s">
        <v>314</v>
      </c>
      <c r="D2699" s="31" t="s">
        <v>549</v>
      </c>
      <c r="E2699" s="25">
        <v>45917</v>
      </c>
      <c r="F2699" s="26" t="s">
        <v>4</v>
      </c>
    </row>
    <row r="2700" spans="1:6" ht="16.8" customHeight="1" x14ac:dyDescent="0.3">
      <c r="A2700" s="20">
        <v>44297</v>
      </c>
      <c r="B2700" s="31" t="s">
        <v>1082</v>
      </c>
      <c r="C2700" s="31"/>
      <c r="D2700" s="31" t="s">
        <v>480</v>
      </c>
      <c r="E2700" s="25">
        <v>45832</v>
      </c>
      <c r="F2700" s="26" t="s">
        <v>1</v>
      </c>
    </row>
    <row r="2701" spans="1:6" ht="16.8" customHeight="1" x14ac:dyDescent="0.3">
      <c r="A2701" s="20">
        <v>44298</v>
      </c>
      <c r="B2701" s="31" t="s">
        <v>2500</v>
      </c>
      <c r="C2701" s="31"/>
      <c r="D2701" s="31" t="s">
        <v>319</v>
      </c>
      <c r="E2701" s="25">
        <v>45832</v>
      </c>
      <c r="F2701" s="26" t="s">
        <v>1</v>
      </c>
    </row>
    <row r="2702" spans="1:6" ht="16.8" customHeight="1" x14ac:dyDescent="0.3">
      <c r="A2702" s="20">
        <v>44299</v>
      </c>
      <c r="B2702" s="31" t="s">
        <v>2646</v>
      </c>
      <c r="C2702" s="31" t="s">
        <v>45</v>
      </c>
      <c r="D2702" s="31" t="s">
        <v>2211</v>
      </c>
      <c r="E2702" s="25">
        <v>45867</v>
      </c>
      <c r="F2702" s="26" t="s">
        <v>4</v>
      </c>
    </row>
    <row r="2703" spans="1:6" ht="16.8" customHeight="1" x14ac:dyDescent="0.3">
      <c r="A2703" s="20">
        <v>44300</v>
      </c>
      <c r="B2703" s="31" t="s">
        <v>868</v>
      </c>
      <c r="C2703" s="31" t="s">
        <v>2229</v>
      </c>
      <c r="D2703" s="31" t="s">
        <v>2400</v>
      </c>
      <c r="E2703" s="25">
        <v>45812</v>
      </c>
      <c r="F2703" s="26" t="s">
        <v>2</v>
      </c>
    </row>
    <row r="2704" spans="1:6" ht="16.8" customHeight="1" x14ac:dyDescent="0.3">
      <c r="A2704" s="20">
        <v>44301</v>
      </c>
      <c r="B2704" s="31"/>
      <c r="C2704" s="31"/>
      <c r="D2704" s="31"/>
      <c r="E2704" s="25"/>
      <c r="F2704" s="26"/>
    </row>
    <row r="2705" spans="1:6" ht="16.8" customHeight="1" x14ac:dyDescent="0.3">
      <c r="A2705" s="20">
        <v>44302</v>
      </c>
      <c r="B2705" s="31" t="s">
        <v>446</v>
      </c>
      <c r="C2705" s="31" t="s">
        <v>2410</v>
      </c>
      <c r="D2705" s="31" t="s">
        <v>64</v>
      </c>
      <c r="E2705" s="25">
        <v>45813</v>
      </c>
      <c r="F2705" s="26" t="s">
        <v>8</v>
      </c>
    </row>
    <row r="2706" spans="1:6" ht="16.8" customHeight="1" x14ac:dyDescent="0.3">
      <c r="A2706" s="20">
        <v>44303</v>
      </c>
      <c r="B2706" s="31" t="s">
        <v>36</v>
      </c>
      <c r="C2706" s="31" t="s">
        <v>37</v>
      </c>
      <c r="D2706" s="31" t="s">
        <v>2219</v>
      </c>
      <c r="E2706" s="25">
        <v>45799</v>
      </c>
      <c r="F2706" s="26" t="s">
        <v>2</v>
      </c>
    </row>
    <row r="2707" spans="1:6" ht="16.8" customHeight="1" x14ac:dyDescent="0.3">
      <c r="A2707" s="20">
        <v>44304</v>
      </c>
      <c r="B2707" s="31" t="s">
        <v>450</v>
      </c>
      <c r="C2707" s="31" t="s">
        <v>2418</v>
      </c>
      <c r="D2707" s="31" t="s">
        <v>98</v>
      </c>
      <c r="E2707" s="25">
        <v>45819</v>
      </c>
      <c r="F2707" s="26" t="s">
        <v>4</v>
      </c>
    </row>
    <row r="2708" spans="1:6" ht="16.8" customHeight="1" x14ac:dyDescent="0.3">
      <c r="A2708" s="20">
        <v>44305</v>
      </c>
      <c r="B2708" s="31" t="s">
        <v>41</v>
      </c>
      <c r="C2708" s="31" t="s">
        <v>287</v>
      </c>
      <c r="D2708" s="31" t="s">
        <v>98</v>
      </c>
      <c r="E2708" s="25">
        <v>45874</v>
      </c>
      <c r="F2708" s="26" t="s">
        <v>4</v>
      </c>
    </row>
    <row r="2709" spans="1:6" ht="16.8" customHeight="1" x14ac:dyDescent="0.3">
      <c r="A2709" s="20">
        <v>44306</v>
      </c>
      <c r="B2709" s="31"/>
      <c r="C2709" s="31"/>
      <c r="D2709" s="31"/>
      <c r="E2709" s="25"/>
      <c r="F2709" s="26"/>
    </row>
    <row r="2710" spans="1:6" ht="16.8" customHeight="1" x14ac:dyDescent="0.3">
      <c r="A2710" s="20">
        <v>44307</v>
      </c>
      <c r="B2710" s="31" t="s">
        <v>74</v>
      </c>
      <c r="C2710" s="31" t="s">
        <v>367</v>
      </c>
      <c r="D2710" s="31" t="s">
        <v>1706</v>
      </c>
      <c r="E2710" s="25">
        <v>45796</v>
      </c>
      <c r="F2710" s="26" t="s">
        <v>2</v>
      </c>
    </row>
    <row r="2711" spans="1:6" ht="16.8" customHeight="1" x14ac:dyDescent="0.3">
      <c r="A2711" s="20">
        <v>44308</v>
      </c>
      <c r="B2711" s="31"/>
      <c r="C2711" s="31"/>
      <c r="D2711" s="31"/>
      <c r="E2711" s="25"/>
      <c r="F2711" s="26"/>
    </row>
    <row r="2712" spans="1:6" ht="16.8" customHeight="1" x14ac:dyDescent="0.3">
      <c r="A2712" s="20">
        <v>44309</v>
      </c>
      <c r="B2712" s="31" t="s">
        <v>1097</v>
      </c>
      <c r="C2712" s="31" t="s">
        <v>106</v>
      </c>
      <c r="D2712" s="31" t="s">
        <v>2413</v>
      </c>
      <c r="E2712" s="25">
        <v>45819</v>
      </c>
      <c r="F2712" s="26" t="s">
        <v>2</v>
      </c>
    </row>
    <row r="2713" spans="1:6" ht="16.8" customHeight="1" x14ac:dyDescent="0.3">
      <c r="A2713" s="20">
        <v>44310</v>
      </c>
      <c r="B2713" s="31" t="s">
        <v>71</v>
      </c>
      <c r="C2713" s="31" t="s">
        <v>106</v>
      </c>
      <c r="D2713" s="31" t="s">
        <v>569</v>
      </c>
      <c r="E2713" s="25">
        <v>45855</v>
      </c>
      <c r="F2713" s="26" t="s">
        <v>1</v>
      </c>
    </row>
    <row r="2714" spans="1:6" ht="16.8" customHeight="1" x14ac:dyDescent="0.3">
      <c r="A2714" s="20">
        <v>44311</v>
      </c>
      <c r="B2714" s="31" t="s">
        <v>570</v>
      </c>
      <c r="C2714" s="31" t="s">
        <v>1054</v>
      </c>
      <c r="D2714" s="31" t="s">
        <v>2411</v>
      </c>
      <c r="E2714" s="25">
        <v>45813</v>
      </c>
      <c r="F2714" s="26" t="s">
        <v>1</v>
      </c>
    </row>
    <row r="2715" spans="1:6" ht="16.8" customHeight="1" x14ac:dyDescent="0.3">
      <c r="A2715" s="20">
        <v>44312</v>
      </c>
      <c r="B2715" s="31" t="s">
        <v>639</v>
      </c>
      <c r="C2715" s="31" t="s">
        <v>440</v>
      </c>
      <c r="D2715" s="31" t="s">
        <v>58</v>
      </c>
      <c r="E2715" s="25">
        <v>45812</v>
      </c>
      <c r="F2715" s="26" t="s">
        <v>1</v>
      </c>
    </row>
    <row r="2716" spans="1:6" ht="16.8" customHeight="1" x14ac:dyDescent="0.3">
      <c r="A2716" s="20">
        <v>44313</v>
      </c>
      <c r="B2716" s="31" t="s">
        <v>41</v>
      </c>
      <c r="C2716" s="31" t="s">
        <v>367</v>
      </c>
      <c r="D2716" s="31" t="s">
        <v>784</v>
      </c>
      <c r="E2716" s="25">
        <v>45812</v>
      </c>
      <c r="F2716" s="26" t="s">
        <v>4</v>
      </c>
    </row>
    <row r="2717" spans="1:6" ht="16.8" customHeight="1" x14ac:dyDescent="0.3">
      <c r="A2717" s="20">
        <v>44314</v>
      </c>
      <c r="B2717" s="31"/>
      <c r="C2717" s="31"/>
      <c r="D2717" s="31"/>
      <c r="E2717" s="25"/>
      <c r="F2717" s="26"/>
    </row>
    <row r="2718" spans="1:6" ht="16.8" customHeight="1" x14ac:dyDescent="0.3">
      <c r="A2718" s="20">
        <v>44315</v>
      </c>
      <c r="B2718" s="31" t="s">
        <v>482</v>
      </c>
      <c r="C2718" s="31" t="s">
        <v>181</v>
      </c>
      <c r="D2718" s="31" t="s">
        <v>2428</v>
      </c>
      <c r="E2718" s="25">
        <v>45820</v>
      </c>
      <c r="F2718" s="26" t="s">
        <v>3</v>
      </c>
    </row>
    <row r="2719" spans="1:6" ht="16.8" customHeight="1" x14ac:dyDescent="0.3">
      <c r="A2719" s="20">
        <v>44316</v>
      </c>
      <c r="B2719" s="31" t="s">
        <v>321</v>
      </c>
      <c r="C2719" s="31" t="s">
        <v>211</v>
      </c>
      <c r="D2719" s="31" t="s">
        <v>1354</v>
      </c>
      <c r="E2719" s="25">
        <v>45827</v>
      </c>
      <c r="F2719" s="26" t="s">
        <v>1</v>
      </c>
    </row>
    <row r="2720" spans="1:6" ht="16.8" customHeight="1" x14ac:dyDescent="0.3">
      <c r="A2720" s="20">
        <v>44317</v>
      </c>
      <c r="B2720" s="31"/>
      <c r="C2720" s="31"/>
      <c r="D2720" s="31"/>
      <c r="E2720" s="25"/>
      <c r="F2720" s="26"/>
    </row>
    <row r="2721" spans="1:6" ht="16.8" customHeight="1" x14ac:dyDescent="0.3">
      <c r="A2721" s="20">
        <v>44318</v>
      </c>
      <c r="B2721" s="31" t="s">
        <v>851</v>
      </c>
      <c r="C2721" s="31" t="s">
        <v>2369</v>
      </c>
      <c r="D2721" s="31" t="s">
        <v>27</v>
      </c>
      <c r="E2721" s="25">
        <v>45807</v>
      </c>
      <c r="F2721" s="26" t="s">
        <v>1</v>
      </c>
    </row>
    <row r="2722" spans="1:6" ht="16.8" customHeight="1" x14ac:dyDescent="0.3">
      <c r="A2722" s="20">
        <v>44319</v>
      </c>
      <c r="B2722" s="31" t="s">
        <v>573</v>
      </c>
      <c r="C2722" s="31" t="s">
        <v>249</v>
      </c>
      <c r="D2722" s="31" t="s">
        <v>215</v>
      </c>
      <c r="E2722" s="25">
        <v>45810</v>
      </c>
      <c r="F2722" s="26" t="s">
        <v>1</v>
      </c>
    </row>
    <row r="2723" spans="1:6" ht="16.8" customHeight="1" x14ac:dyDescent="0.3">
      <c r="A2723" s="20">
        <v>44320</v>
      </c>
      <c r="B2723" s="31"/>
      <c r="C2723" s="31"/>
      <c r="D2723" s="31"/>
      <c r="E2723" s="25"/>
      <c r="F2723" s="26"/>
    </row>
    <row r="2724" spans="1:6" ht="16.8" customHeight="1" x14ac:dyDescent="0.3">
      <c r="A2724" s="20">
        <v>44321</v>
      </c>
      <c r="B2724" s="31"/>
      <c r="C2724" s="31"/>
      <c r="D2724" s="31"/>
      <c r="E2724" s="25"/>
      <c r="F2724" s="26"/>
    </row>
    <row r="2725" spans="1:6" ht="16.8" customHeight="1" x14ac:dyDescent="0.3">
      <c r="A2725" s="20">
        <v>44322</v>
      </c>
      <c r="B2725" s="31"/>
      <c r="C2725" s="31"/>
      <c r="D2725" s="31"/>
      <c r="E2725" s="25"/>
      <c r="F2725" s="26"/>
    </row>
    <row r="2726" spans="1:6" ht="16.8" customHeight="1" x14ac:dyDescent="0.3">
      <c r="A2726" s="20">
        <v>44323</v>
      </c>
      <c r="B2726" s="31"/>
      <c r="C2726" s="31"/>
      <c r="D2726" s="31"/>
      <c r="E2726" s="25"/>
      <c r="F2726" s="26"/>
    </row>
    <row r="2727" spans="1:6" ht="16.8" customHeight="1" x14ac:dyDescent="0.3">
      <c r="A2727" s="20">
        <v>44324</v>
      </c>
      <c r="B2727" s="31"/>
      <c r="C2727" s="31"/>
      <c r="D2727" s="31"/>
      <c r="E2727" s="25"/>
      <c r="F2727" s="26"/>
    </row>
    <row r="2728" spans="1:6" ht="16.8" customHeight="1" x14ac:dyDescent="0.3">
      <c r="A2728" s="20">
        <v>44325</v>
      </c>
      <c r="B2728" s="31"/>
      <c r="C2728" s="31"/>
      <c r="D2728" s="31"/>
      <c r="E2728" s="25"/>
      <c r="F2728" s="26"/>
    </row>
    <row r="2729" spans="1:6" ht="16.8" customHeight="1" x14ac:dyDescent="0.3">
      <c r="A2729" s="20">
        <v>44326</v>
      </c>
      <c r="B2729" s="31" t="s">
        <v>773</v>
      </c>
      <c r="C2729" s="31" t="s">
        <v>181</v>
      </c>
      <c r="D2729" s="31" t="s">
        <v>121</v>
      </c>
      <c r="E2729" s="25">
        <v>45832</v>
      </c>
      <c r="F2729" s="26" t="s">
        <v>4</v>
      </c>
    </row>
    <row r="2730" spans="1:6" ht="16.8" customHeight="1" x14ac:dyDescent="0.3">
      <c r="A2730" s="20">
        <v>44327</v>
      </c>
      <c r="B2730" s="31" t="s">
        <v>389</v>
      </c>
      <c r="C2730" s="31" t="s">
        <v>2529</v>
      </c>
      <c r="D2730" s="31" t="s">
        <v>992</v>
      </c>
      <c r="E2730" s="25">
        <v>45835</v>
      </c>
      <c r="F2730" s="26" t="s">
        <v>1</v>
      </c>
    </row>
    <row r="2731" spans="1:6" ht="16.8" customHeight="1" x14ac:dyDescent="0.3">
      <c r="A2731" s="20">
        <v>44328</v>
      </c>
      <c r="B2731" s="31" t="s">
        <v>2780</v>
      </c>
      <c r="C2731" s="31"/>
      <c r="D2731" s="31" t="s">
        <v>27</v>
      </c>
      <c r="E2731" s="25">
        <v>45917</v>
      </c>
      <c r="F2731" s="26" t="s">
        <v>1</v>
      </c>
    </row>
    <row r="2732" spans="1:6" ht="16.8" customHeight="1" x14ac:dyDescent="0.3">
      <c r="A2732" s="20">
        <v>44329</v>
      </c>
      <c r="B2732" s="31"/>
      <c r="C2732" s="31"/>
      <c r="D2732" s="31"/>
      <c r="E2732" s="25"/>
      <c r="F2732" s="26"/>
    </row>
    <row r="2733" spans="1:6" ht="16.8" customHeight="1" x14ac:dyDescent="0.3">
      <c r="A2733" s="20">
        <v>44330</v>
      </c>
      <c r="B2733" s="31" t="s">
        <v>309</v>
      </c>
      <c r="C2733" s="31" t="s">
        <v>181</v>
      </c>
      <c r="D2733" s="31" t="s">
        <v>425</v>
      </c>
      <c r="E2733" s="25">
        <v>45832</v>
      </c>
      <c r="F2733" s="26" t="s">
        <v>4</v>
      </c>
    </row>
    <row r="2734" spans="1:6" ht="16.8" customHeight="1" x14ac:dyDescent="0.3">
      <c r="A2734" s="20">
        <v>44331</v>
      </c>
      <c r="B2734" s="31" t="s">
        <v>573</v>
      </c>
      <c r="C2734" s="31" t="s">
        <v>277</v>
      </c>
      <c r="D2734" s="31" t="s">
        <v>1049</v>
      </c>
      <c r="E2734" s="25">
        <v>45811</v>
      </c>
      <c r="F2734" s="26" t="s">
        <v>1</v>
      </c>
    </row>
    <row r="2735" spans="1:6" ht="16.8" customHeight="1" x14ac:dyDescent="0.3">
      <c r="A2735" s="20">
        <v>44332</v>
      </c>
      <c r="B2735" s="31" t="s">
        <v>155</v>
      </c>
      <c r="C2735" s="31" t="s">
        <v>2494</v>
      </c>
      <c r="D2735" s="31" t="s">
        <v>469</v>
      </c>
      <c r="E2735" s="25">
        <v>45832</v>
      </c>
      <c r="F2735" s="26" t="s">
        <v>2</v>
      </c>
    </row>
    <row r="2736" spans="1:6" ht="16.8" customHeight="1" x14ac:dyDescent="0.3">
      <c r="A2736" s="20">
        <v>44333</v>
      </c>
      <c r="B2736" s="31" t="s">
        <v>246</v>
      </c>
      <c r="C2736" s="31" t="s">
        <v>247</v>
      </c>
      <c r="D2736" s="31" t="s">
        <v>1049</v>
      </c>
      <c r="E2736" s="25">
        <v>45832</v>
      </c>
      <c r="F2736" s="26" t="s">
        <v>1</v>
      </c>
    </row>
    <row r="2737" spans="1:6" ht="16.8" customHeight="1" x14ac:dyDescent="0.3">
      <c r="A2737" s="20">
        <v>44334</v>
      </c>
      <c r="B2737" s="31"/>
      <c r="C2737" s="31"/>
      <c r="D2737" s="31"/>
      <c r="E2737" s="25"/>
      <c r="F2737" s="26"/>
    </row>
    <row r="2738" spans="1:6" ht="16.8" customHeight="1" x14ac:dyDescent="0.3">
      <c r="A2738" s="20">
        <v>44335</v>
      </c>
      <c r="B2738" s="31"/>
      <c r="C2738" s="31"/>
      <c r="D2738" s="31"/>
      <c r="E2738" s="25"/>
      <c r="F2738" s="26"/>
    </row>
    <row r="2739" spans="1:6" ht="16.8" customHeight="1" x14ac:dyDescent="0.3">
      <c r="A2739" s="20">
        <v>44336</v>
      </c>
      <c r="B2739" s="31" t="s">
        <v>1654</v>
      </c>
      <c r="C2739" s="31" t="s">
        <v>1712</v>
      </c>
      <c r="D2739" s="31" t="s">
        <v>78</v>
      </c>
      <c r="E2739" s="25">
        <v>45811</v>
      </c>
      <c r="F2739" s="26" t="s">
        <v>2</v>
      </c>
    </row>
    <row r="2740" spans="1:6" ht="16.8" customHeight="1" x14ac:dyDescent="0.3">
      <c r="A2740" s="20">
        <v>44337</v>
      </c>
      <c r="B2740" s="31" t="s">
        <v>941</v>
      </c>
      <c r="C2740" s="31" t="s">
        <v>942</v>
      </c>
      <c r="D2740" s="31" t="s">
        <v>146</v>
      </c>
      <c r="E2740" s="25">
        <v>45811</v>
      </c>
      <c r="F2740" s="26" t="s">
        <v>1</v>
      </c>
    </row>
    <row r="2741" spans="1:6" ht="16.8" customHeight="1" x14ac:dyDescent="0.3">
      <c r="A2741" s="20">
        <v>44338</v>
      </c>
      <c r="B2741" s="31" t="s">
        <v>681</v>
      </c>
      <c r="C2741" s="31" t="s">
        <v>32</v>
      </c>
      <c r="D2741" s="31" t="s">
        <v>2387</v>
      </c>
      <c r="E2741" s="25">
        <v>45811</v>
      </c>
      <c r="F2741" s="26" t="s">
        <v>1</v>
      </c>
    </row>
    <row r="2742" spans="1:6" ht="16.8" customHeight="1" x14ac:dyDescent="0.3">
      <c r="A2742" s="20">
        <v>44339</v>
      </c>
      <c r="B2742" s="31" t="s">
        <v>262</v>
      </c>
      <c r="C2742" s="31" t="s">
        <v>263</v>
      </c>
      <c r="D2742" s="31" t="s">
        <v>2014</v>
      </c>
      <c r="E2742" s="25">
        <v>45918</v>
      </c>
      <c r="F2742" s="26" t="s">
        <v>2</v>
      </c>
    </row>
    <row r="2743" spans="1:6" ht="16.8" customHeight="1" x14ac:dyDescent="0.3">
      <c r="A2743" s="20">
        <v>44340</v>
      </c>
      <c r="B2743" s="31" t="s">
        <v>1793</v>
      </c>
      <c r="C2743" s="31" t="s">
        <v>106</v>
      </c>
      <c r="D2743" s="31" t="s">
        <v>2189</v>
      </c>
      <c r="E2743" s="25">
        <v>45923</v>
      </c>
      <c r="F2743" s="26" t="s">
        <v>2</v>
      </c>
    </row>
    <row r="2744" spans="1:6" ht="16.8" customHeight="1" x14ac:dyDescent="0.3">
      <c r="A2744" s="20">
        <v>44341</v>
      </c>
      <c r="B2744" s="31" t="s">
        <v>309</v>
      </c>
      <c r="C2744" s="31" t="s">
        <v>66</v>
      </c>
      <c r="D2744" s="31" t="s">
        <v>1132</v>
      </c>
      <c r="E2744" s="25">
        <v>45827</v>
      </c>
      <c r="F2744" s="26" t="s">
        <v>1</v>
      </c>
    </row>
    <row r="2745" spans="1:6" ht="16.8" customHeight="1" x14ac:dyDescent="0.3">
      <c r="A2745" s="20">
        <v>44342</v>
      </c>
      <c r="B2745" s="31" t="s">
        <v>866</v>
      </c>
      <c r="C2745" s="31" t="s">
        <v>495</v>
      </c>
      <c r="D2745" s="31" t="s">
        <v>2021</v>
      </c>
      <c r="E2745" s="25">
        <v>45896</v>
      </c>
      <c r="F2745" s="26" t="s">
        <v>1</v>
      </c>
    </row>
    <row r="2746" spans="1:6" ht="16.8" customHeight="1" x14ac:dyDescent="0.3">
      <c r="A2746" s="20">
        <v>44343</v>
      </c>
      <c r="B2746" s="31" t="s">
        <v>328</v>
      </c>
      <c r="C2746" s="31" t="s">
        <v>487</v>
      </c>
      <c r="D2746" s="31" t="s">
        <v>1074</v>
      </c>
      <c r="E2746" s="25">
        <v>45819</v>
      </c>
      <c r="F2746" s="26" t="s">
        <v>1</v>
      </c>
    </row>
    <row r="2747" spans="1:6" ht="16.8" customHeight="1" x14ac:dyDescent="0.3">
      <c r="A2747" s="20">
        <v>44344</v>
      </c>
      <c r="B2747" s="31"/>
      <c r="C2747" s="31"/>
      <c r="D2747" s="31"/>
      <c r="E2747" s="25"/>
      <c r="F2747" s="26"/>
    </row>
    <row r="2748" spans="1:6" ht="16.8" customHeight="1" x14ac:dyDescent="0.3">
      <c r="A2748" s="20">
        <v>44345</v>
      </c>
      <c r="B2748" s="31"/>
      <c r="C2748" s="31"/>
      <c r="D2748" s="31"/>
      <c r="E2748" s="25"/>
      <c r="F2748" s="26"/>
    </row>
    <row r="2749" spans="1:6" ht="16.8" customHeight="1" x14ac:dyDescent="0.3">
      <c r="A2749" s="20">
        <v>44346</v>
      </c>
      <c r="B2749" s="31" t="s">
        <v>2406</v>
      </c>
      <c r="C2749" s="31" t="s">
        <v>232</v>
      </c>
      <c r="D2749" s="31" t="s">
        <v>2407</v>
      </c>
      <c r="E2749" s="25">
        <v>45813</v>
      </c>
      <c r="F2749" s="26" t="s">
        <v>1</v>
      </c>
    </row>
    <row r="2750" spans="1:6" ht="16.8" customHeight="1" x14ac:dyDescent="0.3">
      <c r="A2750" s="20">
        <v>44347</v>
      </c>
      <c r="B2750" s="31" t="s">
        <v>567</v>
      </c>
      <c r="C2750" s="31" t="s">
        <v>2618</v>
      </c>
      <c r="D2750" s="31" t="s">
        <v>2619</v>
      </c>
      <c r="E2750" s="25">
        <v>45853</v>
      </c>
      <c r="F2750" s="26" t="s">
        <v>6</v>
      </c>
    </row>
    <row r="2751" spans="1:6" ht="16.8" customHeight="1" x14ac:dyDescent="0.3">
      <c r="A2751" s="20">
        <v>44348</v>
      </c>
      <c r="B2751" s="31"/>
      <c r="C2751" s="31"/>
      <c r="D2751" s="31"/>
      <c r="E2751" s="25"/>
      <c r="F2751" s="26"/>
    </row>
    <row r="2752" spans="1:6" ht="16.8" customHeight="1" x14ac:dyDescent="0.3">
      <c r="A2752" s="20">
        <v>44349</v>
      </c>
      <c r="B2752" s="31"/>
      <c r="C2752" s="31"/>
      <c r="D2752" s="31"/>
      <c r="E2752" s="25"/>
      <c r="F2752" s="26"/>
    </row>
    <row r="2753" spans="1:6" ht="16.8" customHeight="1" x14ac:dyDescent="0.3">
      <c r="A2753" s="20">
        <v>44350</v>
      </c>
      <c r="B2753" s="31" t="s">
        <v>2408</v>
      </c>
      <c r="C2753" s="31" t="s">
        <v>148</v>
      </c>
      <c r="D2753" s="31" t="s">
        <v>2409</v>
      </c>
      <c r="E2753" s="25">
        <v>45813</v>
      </c>
      <c r="F2753" s="26" t="s">
        <v>1</v>
      </c>
    </row>
    <row r="2754" spans="1:6" ht="16.8" customHeight="1" x14ac:dyDescent="0.3">
      <c r="A2754" s="20">
        <v>44351</v>
      </c>
      <c r="B2754" s="31" t="s">
        <v>729</v>
      </c>
      <c r="C2754" s="31" t="s">
        <v>249</v>
      </c>
      <c r="D2754" s="31" t="s">
        <v>2419</v>
      </c>
      <c r="E2754" s="25">
        <v>45819</v>
      </c>
      <c r="F2754" s="26" t="s">
        <v>1</v>
      </c>
    </row>
    <row r="2755" spans="1:6" ht="16.8" customHeight="1" x14ac:dyDescent="0.3">
      <c r="A2755" s="20">
        <v>44352</v>
      </c>
      <c r="B2755" s="31" t="s">
        <v>474</v>
      </c>
      <c r="C2755" s="31" t="s">
        <v>45</v>
      </c>
      <c r="D2755" s="31" t="s">
        <v>172</v>
      </c>
      <c r="E2755" s="25">
        <v>45813</v>
      </c>
      <c r="F2755" s="26" t="s">
        <v>1</v>
      </c>
    </row>
    <row r="2756" spans="1:6" ht="16.8" customHeight="1" x14ac:dyDescent="0.3">
      <c r="A2756" s="20">
        <v>44353</v>
      </c>
      <c r="B2756" s="31" t="s">
        <v>86</v>
      </c>
      <c r="C2756" s="31" t="s">
        <v>45</v>
      </c>
      <c r="D2756" s="31" t="s">
        <v>801</v>
      </c>
      <c r="E2756" s="25">
        <v>45819</v>
      </c>
      <c r="F2756" s="26" t="s">
        <v>3</v>
      </c>
    </row>
    <row r="2757" spans="1:6" ht="16.8" customHeight="1" x14ac:dyDescent="0.3">
      <c r="A2757" s="20">
        <v>44354</v>
      </c>
      <c r="B2757" s="31" t="s">
        <v>516</v>
      </c>
      <c r="C2757" s="31" t="s">
        <v>63</v>
      </c>
      <c r="D2757" s="31" t="s">
        <v>207</v>
      </c>
      <c r="E2757" s="25">
        <v>45833</v>
      </c>
      <c r="F2757" s="26" t="s">
        <v>1</v>
      </c>
    </row>
    <row r="2758" spans="1:6" ht="16.8" customHeight="1" x14ac:dyDescent="0.3">
      <c r="A2758" s="20">
        <v>44355</v>
      </c>
      <c r="B2758" s="31" t="s">
        <v>79</v>
      </c>
      <c r="C2758" s="31" t="s">
        <v>75</v>
      </c>
      <c r="D2758" s="31" t="s">
        <v>146</v>
      </c>
      <c r="E2758" s="25">
        <v>45833</v>
      </c>
      <c r="F2758" s="26" t="s">
        <v>1</v>
      </c>
    </row>
    <row r="2759" spans="1:6" ht="16.8" customHeight="1" x14ac:dyDescent="0.3">
      <c r="A2759" s="20">
        <v>44356</v>
      </c>
      <c r="B2759" s="31" t="s">
        <v>399</v>
      </c>
      <c r="C2759" s="31" t="s">
        <v>66</v>
      </c>
      <c r="D2759" s="31" t="s">
        <v>2412</v>
      </c>
      <c r="E2759" s="25">
        <v>45813</v>
      </c>
      <c r="F2759" s="26" t="s">
        <v>1</v>
      </c>
    </row>
    <row r="2760" spans="1:6" ht="16.8" customHeight="1" x14ac:dyDescent="0.3">
      <c r="A2760" s="20">
        <v>44357</v>
      </c>
      <c r="B2760" s="31" t="s">
        <v>2459</v>
      </c>
      <c r="C2760" s="31" t="s">
        <v>706</v>
      </c>
      <c r="D2760" s="31" t="s">
        <v>2461</v>
      </c>
      <c r="E2760" s="25">
        <v>45832</v>
      </c>
      <c r="F2760" s="26" t="s">
        <v>2</v>
      </c>
    </row>
    <row r="2761" spans="1:6" ht="16.8" customHeight="1" x14ac:dyDescent="0.3">
      <c r="A2761" s="20">
        <v>44358</v>
      </c>
      <c r="B2761" s="31" t="s">
        <v>482</v>
      </c>
      <c r="C2761" s="31" t="s">
        <v>181</v>
      </c>
      <c r="D2761" s="31" t="s">
        <v>98</v>
      </c>
      <c r="E2761" s="25">
        <v>45874</v>
      </c>
      <c r="F2761" s="26" t="s">
        <v>4</v>
      </c>
    </row>
    <row r="2762" spans="1:6" ht="16.8" customHeight="1" x14ac:dyDescent="0.3">
      <c r="A2762" s="20">
        <v>44359</v>
      </c>
      <c r="B2762" s="31" t="s">
        <v>256</v>
      </c>
      <c r="C2762" s="31" t="s">
        <v>697</v>
      </c>
      <c r="D2762" s="31" t="s">
        <v>27</v>
      </c>
      <c r="E2762" s="25">
        <v>45819</v>
      </c>
      <c r="F2762" s="26" t="s">
        <v>8</v>
      </c>
    </row>
    <row r="2763" spans="1:6" ht="16.8" customHeight="1" x14ac:dyDescent="0.3">
      <c r="A2763" s="20">
        <v>44360</v>
      </c>
      <c r="B2763" s="31" t="s">
        <v>178</v>
      </c>
      <c r="C2763" s="31" t="s">
        <v>179</v>
      </c>
      <c r="D2763" s="31" t="s">
        <v>64</v>
      </c>
      <c r="E2763" s="25">
        <v>45835</v>
      </c>
      <c r="F2763" s="26" t="s">
        <v>1</v>
      </c>
    </row>
    <row r="2764" spans="1:6" ht="16.8" customHeight="1" x14ac:dyDescent="0.3">
      <c r="A2764" s="20">
        <v>44361</v>
      </c>
      <c r="B2764" s="31" t="s">
        <v>1162</v>
      </c>
      <c r="C2764" s="31" t="s">
        <v>706</v>
      </c>
      <c r="D2764" s="31" t="s">
        <v>27</v>
      </c>
      <c r="E2764" s="25">
        <v>45819</v>
      </c>
      <c r="F2764" s="26" t="s">
        <v>1</v>
      </c>
    </row>
    <row r="2765" spans="1:6" ht="16.8" customHeight="1" x14ac:dyDescent="0.3">
      <c r="A2765" s="20">
        <v>44362</v>
      </c>
      <c r="B2765" s="31"/>
      <c r="C2765" s="31"/>
      <c r="D2765" s="31"/>
      <c r="E2765" s="25"/>
      <c r="F2765" s="26"/>
    </row>
    <row r="2766" spans="1:6" ht="16.8" customHeight="1" x14ac:dyDescent="0.3">
      <c r="A2766" s="20">
        <v>44363</v>
      </c>
      <c r="B2766" s="31"/>
      <c r="C2766" s="31"/>
      <c r="D2766" s="31"/>
      <c r="E2766" s="25"/>
      <c r="F2766" s="26"/>
    </row>
    <row r="2767" spans="1:6" ht="16.8" customHeight="1" x14ac:dyDescent="0.3">
      <c r="A2767" s="20">
        <v>44364</v>
      </c>
      <c r="B2767" s="31" t="s">
        <v>2261</v>
      </c>
      <c r="C2767" s="31" t="s">
        <v>1999</v>
      </c>
      <c r="D2767" s="31" t="s">
        <v>1656</v>
      </c>
      <c r="E2767" s="25">
        <v>45819</v>
      </c>
      <c r="F2767" s="26" t="s">
        <v>2</v>
      </c>
    </row>
    <row r="2768" spans="1:6" ht="16.8" customHeight="1" x14ac:dyDescent="0.3">
      <c r="A2768" s="20">
        <v>44365</v>
      </c>
      <c r="B2768" s="31" t="s">
        <v>2423</v>
      </c>
      <c r="C2768" s="31" t="s">
        <v>444</v>
      </c>
      <c r="D2768" s="31" t="s">
        <v>2162</v>
      </c>
      <c r="E2768" s="25">
        <v>45820</v>
      </c>
      <c r="F2768" s="26" t="s">
        <v>1</v>
      </c>
    </row>
    <row r="2769" spans="1:6" ht="16.8" customHeight="1" x14ac:dyDescent="0.3">
      <c r="A2769" s="20">
        <v>44366</v>
      </c>
      <c r="B2769" s="31" t="s">
        <v>150</v>
      </c>
      <c r="C2769" s="31" t="s">
        <v>1712</v>
      </c>
      <c r="D2769" s="31" t="s">
        <v>39</v>
      </c>
      <c r="E2769" s="25">
        <v>45820</v>
      </c>
      <c r="F2769" s="26" t="s">
        <v>1</v>
      </c>
    </row>
    <row r="2770" spans="1:6" ht="16.8" customHeight="1" x14ac:dyDescent="0.3">
      <c r="A2770" s="20">
        <v>44367</v>
      </c>
      <c r="B2770" s="31"/>
      <c r="C2770" s="31"/>
      <c r="D2770" s="31"/>
      <c r="E2770" s="25"/>
      <c r="F2770" s="26"/>
    </row>
    <row r="2771" spans="1:6" ht="16.8" customHeight="1" x14ac:dyDescent="0.3">
      <c r="A2771" s="20">
        <v>44368</v>
      </c>
      <c r="B2771" s="31" t="s">
        <v>65</v>
      </c>
      <c r="C2771" s="31"/>
      <c r="D2771" s="31" t="s">
        <v>27</v>
      </c>
      <c r="E2771" s="25">
        <v>45820</v>
      </c>
      <c r="F2771" s="26" t="s">
        <v>1</v>
      </c>
    </row>
    <row r="2772" spans="1:6" ht="16.8" customHeight="1" x14ac:dyDescent="0.3">
      <c r="A2772" s="20">
        <v>44369</v>
      </c>
      <c r="B2772" s="31" t="s">
        <v>256</v>
      </c>
      <c r="C2772" s="31" t="s">
        <v>301</v>
      </c>
      <c r="D2772" s="31" t="s">
        <v>2424</v>
      </c>
      <c r="E2772" s="25">
        <v>45820</v>
      </c>
      <c r="F2772" s="26" t="s">
        <v>1</v>
      </c>
    </row>
    <row r="2773" spans="1:6" ht="16.8" customHeight="1" x14ac:dyDescent="0.3">
      <c r="A2773" s="20">
        <v>44370</v>
      </c>
      <c r="B2773" s="31" t="s">
        <v>835</v>
      </c>
      <c r="C2773" s="31" t="s">
        <v>2536</v>
      </c>
      <c r="D2773" s="31" t="s">
        <v>1001</v>
      </c>
      <c r="E2773" s="25">
        <v>45835</v>
      </c>
      <c r="F2773" s="26" t="s">
        <v>1</v>
      </c>
    </row>
    <row r="2774" spans="1:6" ht="16.8" customHeight="1" x14ac:dyDescent="0.3">
      <c r="A2774" s="20">
        <v>44371</v>
      </c>
      <c r="B2774" s="31" t="s">
        <v>676</v>
      </c>
      <c r="C2774" s="31" t="s">
        <v>1000</v>
      </c>
      <c r="D2774" s="31" t="s">
        <v>1085</v>
      </c>
      <c r="E2774" s="25">
        <v>45820</v>
      </c>
      <c r="F2774" s="26" t="s">
        <v>1</v>
      </c>
    </row>
    <row r="2775" spans="1:6" ht="16.8" customHeight="1" x14ac:dyDescent="0.3">
      <c r="A2775" s="20">
        <v>44372</v>
      </c>
      <c r="B2775" s="31" t="s">
        <v>2102</v>
      </c>
      <c r="C2775" s="31" t="s">
        <v>2426</v>
      </c>
      <c r="D2775" s="31" t="s">
        <v>2146</v>
      </c>
      <c r="E2775" s="25">
        <v>45820</v>
      </c>
      <c r="F2775" s="26" t="s">
        <v>4</v>
      </c>
    </row>
    <row r="2776" spans="1:6" ht="16.8" customHeight="1" x14ac:dyDescent="0.3">
      <c r="A2776" s="20">
        <v>44373</v>
      </c>
      <c r="B2776" s="31" t="s">
        <v>394</v>
      </c>
      <c r="C2776" s="31" t="s">
        <v>379</v>
      </c>
      <c r="D2776" s="31" t="s">
        <v>2393</v>
      </c>
      <c r="E2776" s="25">
        <v>45820</v>
      </c>
      <c r="F2776" s="26" t="s">
        <v>1</v>
      </c>
    </row>
    <row r="2777" spans="1:6" ht="16.8" customHeight="1" x14ac:dyDescent="0.3">
      <c r="A2777" s="20">
        <v>44374</v>
      </c>
      <c r="B2777" s="31" t="s">
        <v>676</v>
      </c>
      <c r="C2777" s="31" t="s">
        <v>1000</v>
      </c>
      <c r="D2777" s="31" t="s">
        <v>1049</v>
      </c>
      <c r="E2777" s="25">
        <v>45820</v>
      </c>
      <c r="F2777" s="26" t="s">
        <v>1</v>
      </c>
    </row>
    <row r="2778" spans="1:6" ht="16.8" customHeight="1" x14ac:dyDescent="0.3">
      <c r="A2778" s="20">
        <v>44375</v>
      </c>
      <c r="B2778" s="31" t="s">
        <v>1339</v>
      </c>
      <c r="C2778" s="31"/>
      <c r="D2778" s="31" t="s">
        <v>27</v>
      </c>
      <c r="E2778" s="25">
        <v>45820</v>
      </c>
      <c r="F2778" s="26" t="s">
        <v>1</v>
      </c>
    </row>
    <row r="2779" spans="1:6" ht="16.8" customHeight="1" x14ac:dyDescent="0.3">
      <c r="A2779" s="20">
        <v>44376</v>
      </c>
      <c r="B2779" s="31" t="s">
        <v>551</v>
      </c>
      <c r="C2779" s="31" t="s">
        <v>75</v>
      </c>
      <c r="D2779" s="31" t="s">
        <v>1049</v>
      </c>
      <c r="E2779" s="25">
        <v>45820</v>
      </c>
      <c r="F2779" s="26" t="s">
        <v>1</v>
      </c>
    </row>
    <row r="2780" spans="1:6" ht="16.8" customHeight="1" x14ac:dyDescent="0.3">
      <c r="A2780" s="20">
        <v>44377</v>
      </c>
      <c r="B2780" s="31" t="s">
        <v>294</v>
      </c>
      <c r="C2780" s="31" t="s">
        <v>2426</v>
      </c>
      <c r="D2780" s="31" t="s">
        <v>319</v>
      </c>
      <c r="E2780" s="25">
        <v>45820</v>
      </c>
      <c r="F2780" s="26" t="s">
        <v>1</v>
      </c>
    </row>
    <row r="2781" spans="1:6" ht="16.8" customHeight="1" x14ac:dyDescent="0.3">
      <c r="A2781" s="20">
        <v>44378</v>
      </c>
      <c r="B2781" s="31" t="s">
        <v>890</v>
      </c>
      <c r="C2781" s="31"/>
      <c r="D2781" s="31" t="s">
        <v>27</v>
      </c>
      <c r="E2781" s="25">
        <v>45849</v>
      </c>
      <c r="F2781" s="26" t="s">
        <v>1</v>
      </c>
    </row>
    <row r="2782" spans="1:6" ht="16.8" customHeight="1" x14ac:dyDescent="0.3">
      <c r="A2782" s="20">
        <v>44379</v>
      </c>
      <c r="B2782" s="31" t="s">
        <v>2427</v>
      </c>
      <c r="C2782" s="31" t="s">
        <v>675</v>
      </c>
      <c r="D2782" s="31" t="s">
        <v>878</v>
      </c>
      <c r="E2782" s="25">
        <v>45820</v>
      </c>
      <c r="F2782" s="26" t="s">
        <v>1</v>
      </c>
    </row>
    <row r="2783" spans="1:6" ht="16.8" customHeight="1" x14ac:dyDescent="0.3">
      <c r="A2783" s="20">
        <v>44380</v>
      </c>
      <c r="B2783" s="31"/>
      <c r="C2783" s="31"/>
      <c r="D2783" s="31"/>
      <c r="E2783" s="25"/>
      <c r="F2783" s="26"/>
    </row>
    <row r="2784" spans="1:6" ht="16.8" customHeight="1" x14ac:dyDescent="0.3">
      <c r="A2784" s="20">
        <v>44381</v>
      </c>
      <c r="B2784" s="31" t="s">
        <v>150</v>
      </c>
      <c r="C2784" s="31" t="s">
        <v>856</v>
      </c>
      <c r="D2784" s="31" t="s">
        <v>2429</v>
      </c>
      <c r="E2784" s="25">
        <v>45820</v>
      </c>
      <c r="F2784" s="26" t="s">
        <v>1</v>
      </c>
    </row>
    <row r="2785" spans="1:6" ht="16.8" customHeight="1" x14ac:dyDescent="0.3">
      <c r="A2785" s="20">
        <v>44382</v>
      </c>
      <c r="B2785" s="31" t="s">
        <v>150</v>
      </c>
      <c r="C2785" s="31" t="s">
        <v>263</v>
      </c>
      <c r="D2785" s="31" t="s">
        <v>2430</v>
      </c>
      <c r="E2785" s="25">
        <v>45820</v>
      </c>
      <c r="F2785" s="26" t="s">
        <v>2</v>
      </c>
    </row>
    <row r="2786" spans="1:6" ht="16.8" customHeight="1" x14ac:dyDescent="0.3">
      <c r="A2786" s="20">
        <v>44383</v>
      </c>
      <c r="B2786" s="31" t="s">
        <v>426</v>
      </c>
      <c r="C2786" s="31" t="s">
        <v>232</v>
      </c>
      <c r="D2786" s="31" t="s">
        <v>2434</v>
      </c>
      <c r="E2786" s="25">
        <v>45821</v>
      </c>
      <c r="F2786" s="26" t="s">
        <v>1</v>
      </c>
    </row>
    <row r="2787" spans="1:6" ht="16.8" customHeight="1" x14ac:dyDescent="0.3">
      <c r="A2787" s="20">
        <v>44384</v>
      </c>
      <c r="B2787" s="31" t="s">
        <v>2435</v>
      </c>
      <c r="C2787" s="31" t="s">
        <v>263</v>
      </c>
      <c r="D2787" s="31" t="s">
        <v>2437</v>
      </c>
      <c r="E2787" s="25">
        <v>45833</v>
      </c>
      <c r="F2787" s="26" t="s">
        <v>2</v>
      </c>
    </row>
    <row r="2788" spans="1:6" ht="16.8" customHeight="1" x14ac:dyDescent="0.3">
      <c r="A2788" s="20">
        <v>44385</v>
      </c>
      <c r="B2788" s="31" t="s">
        <v>2435</v>
      </c>
      <c r="C2788" s="31" t="s">
        <v>263</v>
      </c>
      <c r="D2788" s="31" t="s">
        <v>2438</v>
      </c>
      <c r="E2788" s="25">
        <v>45821</v>
      </c>
      <c r="F2788" s="26" t="s">
        <v>2</v>
      </c>
    </row>
    <row r="2789" spans="1:6" ht="16.8" customHeight="1" x14ac:dyDescent="0.3">
      <c r="A2789" s="20">
        <v>44386</v>
      </c>
      <c r="B2789" s="31" t="s">
        <v>262</v>
      </c>
      <c r="C2789" s="31" t="s">
        <v>263</v>
      </c>
      <c r="D2789" s="31" t="s">
        <v>2439</v>
      </c>
      <c r="E2789" s="25">
        <v>45821</v>
      </c>
      <c r="F2789" s="26" t="s">
        <v>2</v>
      </c>
    </row>
    <row r="2790" spans="1:6" ht="16.8" customHeight="1" x14ac:dyDescent="0.3">
      <c r="A2790" s="20">
        <v>44387</v>
      </c>
      <c r="B2790" s="31" t="s">
        <v>41</v>
      </c>
      <c r="C2790" s="31"/>
      <c r="D2790" s="31" t="s">
        <v>2377</v>
      </c>
      <c r="E2790" s="25">
        <v>45810</v>
      </c>
      <c r="F2790" s="26" t="s">
        <v>2</v>
      </c>
    </row>
    <row r="2791" spans="1:6" ht="16.8" customHeight="1" x14ac:dyDescent="0.3">
      <c r="A2791" s="20">
        <v>44388</v>
      </c>
      <c r="B2791" s="31" t="s">
        <v>681</v>
      </c>
      <c r="C2791" s="31" t="s">
        <v>232</v>
      </c>
      <c r="D2791" s="31" t="s">
        <v>2440</v>
      </c>
      <c r="E2791" s="25">
        <v>45821</v>
      </c>
      <c r="F2791" s="26" t="s">
        <v>2</v>
      </c>
    </row>
    <row r="2792" spans="1:6" ht="16.8" customHeight="1" x14ac:dyDescent="0.3">
      <c r="A2792" s="20">
        <v>44389</v>
      </c>
      <c r="B2792" s="31" t="s">
        <v>2441</v>
      </c>
      <c r="C2792" s="31" t="s">
        <v>106</v>
      </c>
      <c r="D2792" s="31" t="s">
        <v>401</v>
      </c>
      <c r="E2792" s="25">
        <v>45821</v>
      </c>
      <c r="F2792" s="26" t="s">
        <v>1</v>
      </c>
    </row>
    <row r="2793" spans="1:6" ht="16.8" customHeight="1" x14ac:dyDescent="0.3">
      <c r="A2793" s="20">
        <v>44390</v>
      </c>
      <c r="B2793" s="31" t="s">
        <v>1081</v>
      </c>
      <c r="C2793" s="31" t="s">
        <v>254</v>
      </c>
      <c r="D2793" s="31" t="s">
        <v>2597</v>
      </c>
      <c r="E2793" s="25">
        <v>45846</v>
      </c>
      <c r="F2793" s="26" t="s">
        <v>1</v>
      </c>
    </row>
    <row r="2794" spans="1:6" ht="16.8" customHeight="1" x14ac:dyDescent="0.3">
      <c r="A2794" s="20">
        <v>44391</v>
      </c>
      <c r="B2794" s="31" t="s">
        <v>83</v>
      </c>
      <c r="C2794" s="31" t="s">
        <v>240</v>
      </c>
      <c r="D2794" s="31" t="s">
        <v>673</v>
      </c>
      <c r="E2794" s="25">
        <v>45821</v>
      </c>
      <c r="F2794" s="26" t="s">
        <v>1</v>
      </c>
    </row>
    <row r="2795" spans="1:6" ht="16.8" customHeight="1" x14ac:dyDescent="0.3">
      <c r="A2795" s="20">
        <v>44392</v>
      </c>
      <c r="B2795" s="31"/>
      <c r="C2795" s="31"/>
      <c r="D2795" s="31"/>
      <c r="E2795" s="25"/>
      <c r="F2795" s="26"/>
    </row>
    <row r="2796" spans="1:6" ht="16.8" customHeight="1" x14ac:dyDescent="0.3">
      <c r="A2796" s="20">
        <v>44393</v>
      </c>
      <c r="B2796" s="31" t="s">
        <v>25</v>
      </c>
      <c r="C2796" s="31" t="s">
        <v>2442</v>
      </c>
      <c r="D2796" s="31" t="s">
        <v>772</v>
      </c>
      <c r="E2796" s="25">
        <v>45821</v>
      </c>
      <c r="F2796" s="26" t="s">
        <v>1</v>
      </c>
    </row>
    <row r="2797" spans="1:6" ht="16.8" customHeight="1" x14ac:dyDescent="0.3">
      <c r="A2797" s="20">
        <v>44394</v>
      </c>
      <c r="B2797" s="31" t="s">
        <v>687</v>
      </c>
      <c r="C2797" s="31" t="s">
        <v>688</v>
      </c>
      <c r="D2797" s="31" t="s">
        <v>1221</v>
      </c>
      <c r="E2797" s="25">
        <v>45835</v>
      </c>
      <c r="F2797" s="26" t="s">
        <v>1</v>
      </c>
    </row>
    <row r="2798" spans="1:6" ht="16.8" customHeight="1" x14ac:dyDescent="0.3">
      <c r="A2798" s="20">
        <v>44395</v>
      </c>
      <c r="B2798" s="31" t="s">
        <v>41</v>
      </c>
      <c r="C2798" s="31" t="s">
        <v>529</v>
      </c>
      <c r="D2798" s="31" t="s">
        <v>2679</v>
      </c>
      <c r="E2798" s="25">
        <v>45874</v>
      </c>
      <c r="F2798" s="26" t="s">
        <v>4</v>
      </c>
    </row>
    <row r="2799" spans="1:6" ht="16.8" customHeight="1" x14ac:dyDescent="0.3">
      <c r="A2799" s="20">
        <v>44396</v>
      </c>
      <c r="B2799" s="31" t="s">
        <v>325</v>
      </c>
      <c r="C2799" s="31" t="s">
        <v>367</v>
      </c>
      <c r="D2799" s="31" t="s">
        <v>2520</v>
      </c>
      <c r="E2799" s="25">
        <v>45845</v>
      </c>
      <c r="F2799" s="26" t="s">
        <v>2</v>
      </c>
    </row>
    <row r="2800" spans="1:6" ht="16.8" customHeight="1" x14ac:dyDescent="0.3">
      <c r="A2800" s="20">
        <v>44397</v>
      </c>
      <c r="B2800" s="31" t="s">
        <v>292</v>
      </c>
      <c r="C2800" s="31" t="s">
        <v>718</v>
      </c>
      <c r="D2800" s="31" t="s">
        <v>58</v>
      </c>
      <c r="E2800" s="25">
        <v>45833</v>
      </c>
      <c r="F2800" s="26" t="s">
        <v>1</v>
      </c>
    </row>
    <row r="2801" spans="1:6" ht="16.8" customHeight="1" x14ac:dyDescent="0.3">
      <c r="A2801" s="20">
        <v>44398</v>
      </c>
      <c r="B2801" s="31"/>
      <c r="C2801" s="31"/>
      <c r="D2801" s="31"/>
      <c r="E2801" s="25"/>
      <c r="F2801" s="26"/>
    </row>
    <row r="2802" spans="1:6" ht="16.8" customHeight="1" x14ac:dyDescent="0.3">
      <c r="A2802" s="20">
        <v>44399</v>
      </c>
      <c r="B2802" s="31" t="s">
        <v>2443</v>
      </c>
      <c r="C2802" s="31" t="s">
        <v>718</v>
      </c>
      <c r="D2802" s="31" t="s">
        <v>2444</v>
      </c>
      <c r="E2802" s="25">
        <v>45821</v>
      </c>
      <c r="F2802" s="26" t="s">
        <v>1</v>
      </c>
    </row>
    <row r="2803" spans="1:6" ht="16.8" customHeight="1" x14ac:dyDescent="0.3">
      <c r="A2803" s="20">
        <v>44400</v>
      </c>
      <c r="B2803" s="31" t="s">
        <v>2622</v>
      </c>
      <c r="C2803" s="31" t="s">
        <v>1343</v>
      </c>
      <c r="D2803" s="31" t="s">
        <v>801</v>
      </c>
      <c r="E2803" s="25">
        <v>45853</v>
      </c>
      <c r="F2803" s="26" t="s">
        <v>1</v>
      </c>
    </row>
    <row r="2804" spans="1:6" ht="16.8" customHeight="1" x14ac:dyDescent="0.3">
      <c r="A2804" s="20">
        <v>44401</v>
      </c>
      <c r="B2804" s="31" t="s">
        <v>292</v>
      </c>
      <c r="C2804" s="31" t="s">
        <v>718</v>
      </c>
      <c r="D2804" s="31" t="s">
        <v>532</v>
      </c>
      <c r="E2804" s="25">
        <v>45821</v>
      </c>
      <c r="F2804" s="26" t="s">
        <v>2</v>
      </c>
    </row>
    <row r="2805" spans="1:6" ht="16.8" customHeight="1" x14ac:dyDescent="0.3">
      <c r="A2805" s="20">
        <v>44402</v>
      </c>
      <c r="B2805" s="31" t="s">
        <v>180</v>
      </c>
      <c r="C2805" s="31" t="s">
        <v>181</v>
      </c>
      <c r="D2805" s="31" t="s">
        <v>2581</v>
      </c>
      <c r="E2805" s="25">
        <v>45842</v>
      </c>
      <c r="F2805" s="26" t="s">
        <v>1</v>
      </c>
    </row>
    <row r="2806" spans="1:6" ht="16.8" customHeight="1" x14ac:dyDescent="0.3">
      <c r="A2806" s="20">
        <v>44403</v>
      </c>
      <c r="B2806" s="31" t="s">
        <v>262</v>
      </c>
      <c r="C2806" s="31" t="s">
        <v>263</v>
      </c>
      <c r="D2806" s="31" t="s">
        <v>2448</v>
      </c>
      <c r="E2806" s="25">
        <v>45854</v>
      </c>
      <c r="F2806" s="26" t="s">
        <v>2</v>
      </c>
    </row>
    <row r="2807" spans="1:6" ht="16.8" customHeight="1" x14ac:dyDescent="0.3">
      <c r="A2807" s="20">
        <v>44404</v>
      </c>
      <c r="B2807" s="31" t="s">
        <v>1135</v>
      </c>
      <c r="C2807" s="31" t="s">
        <v>440</v>
      </c>
      <c r="D2807" s="31" t="s">
        <v>212</v>
      </c>
      <c r="E2807" s="25">
        <v>45824</v>
      </c>
      <c r="F2807" s="26" t="s">
        <v>1</v>
      </c>
    </row>
    <row r="2808" spans="1:6" ht="16.8" customHeight="1" x14ac:dyDescent="0.3">
      <c r="A2808" s="20">
        <v>44405</v>
      </c>
      <c r="B2808" s="31"/>
      <c r="C2808" s="31"/>
      <c r="D2808" s="31"/>
      <c r="E2808" s="25"/>
      <c r="F2808" s="26"/>
    </row>
    <row r="2809" spans="1:6" ht="16.8" customHeight="1" x14ac:dyDescent="0.3">
      <c r="A2809" s="20">
        <v>44406</v>
      </c>
      <c r="B2809" s="31"/>
      <c r="C2809" s="31"/>
      <c r="D2809" s="31"/>
      <c r="E2809" s="25"/>
      <c r="F2809" s="26"/>
    </row>
    <row r="2810" spans="1:6" ht="16.8" customHeight="1" x14ac:dyDescent="0.3">
      <c r="A2810" s="20">
        <v>44407</v>
      </c>
      <c r="B2810" s="31" t="s">
        <v>570</v>
      </c>
      <c r="C2810" s="31" t="s">
        <v>240</v>
      </c>
      <c r="D2810" s="31" t="s">
        <v>2863</v>
      </c>
      <c r="E2810" s="25">
        <v>45932</v>
      </c>
      <c r="F2810" s="26" t="s">
        <v>1</v>
      </c>
    </row>
    <row r="2811" spans="1:6" ht="16.8" customHeight="1" x14ac:dyDescent="0.3">
      <c r="A2811" s="20">
        <v>44408</v>
      </c>
      <c r="B2811" s="31" t="s">
        <v>486</v>
      </c>
      <c r="C2811" s="31" t="s">
        <v>179</v>
      </c>
      <c r="D2811" s="31" t="s">
        <v>207</v>
      </c>
      <c r="E2811" s="25">
        <v>45832</v>
      </c>
      <c r="F2811" s="26" t="s">
        <v>1</v>
      </c>
    </row>
    <row r="2812" spans="1:6" ht="16.8" customHeight="1" x14ac:dyDescent="0.3">
      <c r="A2812" s="20">
        <v>44409</v>
      </c>
      <c r="B2812" s="31" t="s">
        <v>486</v>
      </c>
      <c r="C2812" s="31" t="s">
        <v>2566</v>
      </c>
      <c r="D2812" s="31" t="s">
        <v>2025</v>
      </c>
      <c r="E2812" s="25">
        <v>45840</v>
      </c>
      <c r="F2812" s="26" t="s">
        <v>1</v>
      </c>
    </row>
    <row r="2813" spans="1:6" ht="16.8" customHeight="1" x14ac:dyDescent="0.3">
      <c r="A2813" s="20">
        <v>44410</v>
      </c>
      <c r="B2813" s="31" t="s">
        <v>36</v>
      </c>
      <c r="C2813" s="31" t="s">
        <v>37</v>
      </c>
      <c r="D2813" s="31" t="s">
        <v>5</v>
      </c>
      <c r="E2813" s="25">
        <v>45838</v>
      </c>
      <c r="F2813" s="26" t="s">
        <v>2</v>
      </c>
    </row>
    <row r="2814" spans="1:6" ht="16.8" customHeight="1" x14ac:dyDescent="0.3">
      <c r="A2814" s="20">
        <v>44411</v>
      </c>
      <c r="B2814" s="31"/>
      <c r="C2814" s="31"/>
      <c r="D2814" s="31"/>
      <c r="E2814" s="25"/>
      <c r="F2814" s="26"/>
    </row>
    <row r="2815" spans="1:6" ht="16.8" customHeight="1" x14ac:dyDescent="0.3">
      <c r="A2815" s="20">
        <v>44412</v>
      </c>
      <c r="B2815" s="31" t="s">
        <v>292</v>
      </c>
      <c r="C2815" s="31" t="s">
        <v>2455</v>
      </c>
      <c r="D2815" s="31" t="s">
        <v>121</v>
      </c>
      <c r="E2815" s="25">
        <v>45825</v>
      </c>
      <c r="F2815" s="26" t="s">
        <v>4</v>
      </c>
    </row>
    <row r="2816" spans="1:6" ht="16.8" customHeight="1" x14ac:dyDescent="0.3">
      <c r="A2816" s="20">
        <v>44413</v>
      </c>
      <c r="B2816" s="31" t="s">
        <v>292</v>
      </c>
      <c r="C2816" s="31" t="s">
        <v>2109</v>
      </c>
      <c r="D2816" s="31" t="s">
        <v>121</v>
      </c>
      <c r="E2816" s="25">
        <v>45825</v>
      </c>
      <c r="F2816" s="26" t="s">
        <v>4</v>
      </c>
    </row>
    <row r="2817" spans="1:6" ht="16.8" customHeight="1" x14ac:dyDescent="0.3">
      <c r="A2817" s="20">
        <v>44414</v>
      </c>
      <c r="B2817" s="31" t="s">
        <v>2457</v>
      </c>
      <c r="C2817" s="31"/>
      <c r="D2817" s="31" t="s">
        <v>27</v>
      </c>
      <c r="E2817" s="25">
        <v>45825</v>
      </c>
      <c r="F2817" s="26" t="s">
        <v>1</v>
      </c>
    </row>
    <row r="2818" spans="1:6" ht="16.8" customHeight="1" x14ac:dyDescent="0.3">
      <c r="A2818" s="20">
        <v>44415</v>
      </c>
      <c r="B2818" s="31" t="s">
        <v>2692</v>
      </c>
      <c r="C2818" s="31"/>
      <c r="D2818" s="31" t="s">
        <v>2025</v>
      </c>
      <c r="E2818" s="25">
        <v>45875</v>
      </c>
      <c r="F2818" s="26" t="s">
        <v>1</v>
      </c>
    </row>
    <row r="2819" spans="1:6" ht="16.8" customHeight="1" x14ac:dyDescent="0.3">
      <c r="A2819" s="20">
        <v>44416</v>
      </c>
      <c r="B2819" s="31"/>
      <c r="C2819" s="31"/>
      <c r="D2819" s="31"/>
      <c r="E2819" s="25"/>
      <c r="F2819" s="26"/>
    </row>
    <row r="2820" spans="1:6" ht="16.8" customHeight="1" x14ac:dyDescent="0.3">
      <c r="A2820" s="20">
        <v>44417</v>
      </c>
      <c r="B2820" s="31" t="s">
        <v>2582</v>
      </c>
      <c r="C2820" s="31"/>
      <c r="D2820" s="31" t="s">
        <v>27</v>
      </c>
      <c r="E2820" s="25">
        <v>45842</v>
      </c>
      <c r="F2820" s="26" t="s">
        <v>1</v>
      </c>
    </row>
    <row r="2821" spans="1:6" ht="16.8" customHeight="1" x14ac:dyDescent="0.3">
      <c r="A2821" s="20">
        <v>44418</v>
      </c>
      <c r="B2821" s="31" t="s">
        <v>325</v>
      </c>
      <c r="C2821" s="31" t="s">
        <v>2530</v>
      </c>
      <c r="D2821" s="31" t="s">
        <v>121</v>
      </c>
      <c r="E2821" s="25">
        <v>45835</v>
      </c>
      <c r="F2821" s="26" t="s">
        <v>4</v>
      </c>
    </row>
    <row r="2822" spans="1:6" ht="16.8" customHeight="1" x14ac:dyDescent="0.3">
      <c r="A2822" s="20">
        <v>44419</v>
      </c>
      <c r="B2822" s="31" t="s">
        <v>36</v>
      </c>
      <c r="C2822" s="31" t="s">
        <v>2458</v>
      </c>
      <c r="D2822" s="31" t="s">
        <v>633</v>
      </c>
      <c r="E2822" s="25">
        <v>45825</v>
      </c>
      <c r="F2822" s="26" t="s">
        <v>1</v>
      </c>
    </row>
    <row r="2823" spans="1:6" ht="16.8" customHeight="1" x14ac:dyDescent="0.3">
      <c r="A2823" s="20">
        <v>44420</v>
      </c>
      <c r="B2823" s="31"/>
      <c r="C2823" s="31"/>
      <c r="D2823" s="31"/>
      <c r="E2823" s="25"/>
      <c r="F2823" s="26"/>
    </row>
    <row r="2824" spans="1:6" ht="16.8" customHeight="1" x14ac:dyDescent="0.3">
      <c r="A2824" s="20">
        <v>44421</v>
      </c>
      <c r="B2824" s="31" t="s">
        <v>1462</v>
      </c>
      <c r="C2824" s="31" t="s">
        <v>2583</v>
      </c>
      <c r="D2824" s="31" t="s">
        <v>469</v>
      </c>
      <c r="E2824" s="25">
        <v>45842</v>
      </c>
      <c r="F2824" s="26" t="s">
        <v>1</v>
      </c>
    </row>
    <row r="2825" spans="1:6" ht="16.8" customHeight="1" x14ac:dyDescent="0.3">
      <c r="A2825" s="20">
        <v>44422</v>
      </c>
      <c r="B2825" s="31" t="s">
        <v>482</v>
      </c>
      <c r="C2825" s="31" t="s">
        <v>63</v>
      </c>
      <c r="D2825" s="31" t="s">
        <v>2352</v>
      </c>
      <c r="E2825" s="25">
        <v>45825</v>
      </c>
      <c r="F2825" s="26" t="s">
        <v>5</v>
      </c>
    </row>
    <row r="2826" spans="1:6" ht="16.8" customHeight="1" x14ac:dyDescent="0.3">
      <c r="A2826" s="20">
        <v>44423</v>
      </c>
      <c r="B2826" s="31"/>
      <c r="C2826" s="31"/>
      <c r="D2826" s="31"/>
      <c r="E2826" s="25"/>
      <c r="F2826" s="26"/>
    </row>
    <row r="2827" spans="1:6" ht="16.8" customHeight="1" x14ac:dyDescent="0.3">
      <c r="A2827" s="20">
        <v>44424</v>
      </c>
      <c r="B2827" s="31" t="s">
        <v>482</v>
      </c>
      <c r="C2827" s="31" t="s">
        <v>179</v>
      </c>
      <c r="D2827" s="31" t="s">
        <v>2548</v>
      </c>
      <c r="E2827" s="25">
        <v>45838</v>
      </c>
      <c r="F2827" s="26" t="s">
        <v>1</v>
      </c>
    </row>
    <row r="2828" spans="1:6" ht="16.8" customHeight="1" x14ac:dyDescent="0.3">
      <c r="A2828" s="20">
        <v>44425</v>
      </c>
      <c r="B2828" s="31" t="s">
        <v>2041</v>
      </c>
      <c r="C2828" s="31" t="s">
        <v>2501</v>
      </c>
      <c r="D2828" s="31" t="s">
        <v>2502</v>
      </c>
      <c r="E2828" s="25">
        <v>45833</v>
      </c>
      <c r="F2828" s="26" t="s">
        <v>1</v>
      </c>
    </row>
    <row r="2829" spans="1:6" ht="16.8" customHeight="1" x14ac:dyDescent="0.3">
      <c r="A2829" s="20">
        <v>44426</v>
      </c>
      <c r="B2829" s="31" t="s">
        <v>482</v>
      </c>
      <c r="C2829" s="31" t="s">
        <v>63</v>
      </c>
      <c r="D2829" s="31" t="s">
        <v>2117</v>
      </c>
      <c r="E2829" s="25">
        <v>45835</v>
      </c>
      <c r="F2829" s="26" t="s">
        <v>1</v>
      </c>
    </row>
    <row r="2830" spans="1:6" ht="16.8" customHeight="1" x14ac:dyDescent="0.3">
      <c r="A2830" s="20">
        <v>44427</v>
      </c>
      <c r="B2830" s="31" t="s">
        <v>306</v>
      </c>
      <c r="C2830" s="31" t="s">
        <v>63</v>
      </c>
      <c r="D2830" s="31" t="s">
        <v>186</v>
      </c>
      <c r="E2830" s="25">
        <v>45835</v>
      </c>
      <c r="F2830" s="26" t="s">
        <v>1</v>
      </c>
    </row>
    <row r="2831" spans="1:6" ht="16.8" customHeight="1" x14ac:dyDescent="0.3">
      <c r="A2831" s="20">
        <v>44428</v>
      </c>
      <c r="B2831" s="31" t="s">
        <v>375</v>
      </c>
      <c r="C2831" s="31" t="s">
        <v>75</v>
      </c>
      <c r="D2831" s="31" t="s">
        <v>777</v>
      </c>
      <c r="E2831" s="25">
        <v>45833</v>
      </c>
      <c r="F2831" s="26" t="s">
        <v>4</v>
      </c>
    </row>
    <row r="2832" spans="1:6" ht="16.8" customHeight="1" x14ac:dyDescent="0.3">
      <c r="A2832" s="20">
        <v>44429</v>
      </c>
      <c r="B2832" s="31" t="s">
        <v>434</v>
      </c>
      <c r="C2832" s="31" t="s">
        <v>151</v>
      </c>
      <c r="D2832" s="31" t="s">
        <v>2208</v>
      </c>
      <c r="E2832" s="25">
        <v>45833</v>
      </c>
      <c r="F2832" s="26" t="s">
        <v>2</v>
      </c>
    </row>
    <row r="2833" spans="1:6" ht="16.8" customHeight="1" x14ac:dyDescent="0.3">
      <c r="A2833" s="20">
        <v>44430</v>
      </c>
      <c r="B2833" s="31" t="s">
        <v>2537</v>
      </c>
      <c r="C2833" s="31" t="s">
        <v>408</v>
      </c>
      <c r="D2833" s="31" t="s">
        <v>146</v>
      </c>
      <c r="E2833" s="25">
        <v>45835</v>
      </c>
      <c r="F2833" s="26" t="s">
        <v>1</v>
      </c>
    </row>
    <row r="2834" spans="1:6" ht="16.8" customHeight="1" x14ac:dyDescent="0.3">
      <c r="A2834" s="20">
        <v>44431</v>
      </c>
      <c r="B2834" s="31" t="s">
        <v>1090</v>
      </c>
      <c r="C2834" s="31" t="s">
        <v>151</v>
      </c>
      <c r="D2834" s="31" t="s">
        <v>1261</v>
      </c>
      <c r="E2834" s="25">
        <v>45833</v>
      </c>
      <c r="F2834" s="26" t="s">
        <v>2</v>
      </c>
    </row>
    <row r="2835" spans="1:6" ht="16.8" customHeight="1" x14ac:dyDescent="0.3">
      <c r="A2835" s="20">
        <v>44432</v>
      </c>
      <c r="B2835" s="31" t="s">
        <v>41</v>
      </c>
      <c r="C2835" s="31" t="s">
        <v>2709</v>
      </c>
      <c r="D2835" s="31" t="s">
        <v>121</v>
      </c>
      <c r="E2835" s="25">
        <v>45895</v>
      </c>
      <c r="F2835" s="26" t="s">
        <v>4</v>
      </c>
    </row>
    <row r="2836" spans="1:6" ht="16.8" customHeight="1" x14ac:dyDescent="0.3">
      <c r="A2836" s="20">
        <v>44433</v>
      </c>
      <c r="B2836" s="31" t="s">
        <v>41</v>
      </c>
      <c r="C2836" s="31" t="s">
        <v>526</v>
      </c>
      <c r="D2836" s="31" t="s">
        <v>98</v>
      </c>
      <c r="E2836" s="25">
        <v>45896</v>
      </c>
      <c r="F2836" s="26" t="s">
        <v>4</v>
      </c>
    </row>
    <row r="2837" spans="1:6" ht="16.8" customHeight="1" x14ac:dyDescent="0.3">
      <c r="A2837" s="20">
        <v>44434</v>
      </c>
      <c r="B2837" s="31"/>
      <c r="C2837" s="31"/>
      <c r="D2837" s="31"/>
      <c r="E2837" s="25"/>
      <c r="F2837" s="26"/>
    </row>
    <row r="2838" spans="1:6" ht="16.8" customHeight="1" x14ac:dyDescent="0.3">
      <c r="A2838" s="20">
        <v>44435</v>
      </c>
      <c r="B2838" s="31" t="s">
        <v>1069</v>
      </c>
      <c r="C2838" s="31" t="s">
        <v>179</v>
      </c>
      <c r="D2838" s="31" t="s">
        <v>255</v>
      </c>
      <c r="E2838" s="25">
        <v>45868</v>
      </c>
      <c r="F2838" s="26" t="s">
        <v>1</v>
      </c>
    </row>
    <row r="2839" spans="1:6" ht="16.8" customHeight="1" x14ac:dyDescent="0.3">
      <c r="A2839" s="20">
        <v>44436</v>
      </c>
      <c r="B2839" s="31" t="s">
        <v>917</v>
      </c>
      <c r="C2839" s="31" t="s">
        <v>718</v>
      </c>
      <c r="D2839" s="31" t="s">
        <v>1049</v>
      </c>
      <c r="E2839" s="25">
        <v>45835</v>
      </c>
      <c r="F2839" s="26" t="s">
        <v>1</v>
      </c>
    </row>
    <row r="2840" spans="1:6" ht="16.8" customHeight="1" x14ac:dyDescent="0.3">
      <c r="A2840" s="20">
        <v>44437</v>
      </c>
      <c r="B2840" s="31" t="s">
        <v>2781</v>
      </c>
      <c r="C2840" s="31" t="s">
        <v>2782</v>
      </c>
      <c r="D2840" s="31" t="s">
        <v>615</v>
      </c>
      <c r="E2840" s="25">
        <v>45917</v>
      </c>
      <c r="F2840" s="26" t="s">
        <v>1</v>
      </c>
    </row>
    <row r="2841" spans="1:6" ht="16.8" customHeight="1" x14ac:dyDescent="0.3">
      <c r="A2841" s="20">
        <v>44438</v>
      </c>
      <c r="B2841" s="31" t="s">
        <v>1462</v>
      </c>
      <c r="C2841" s="31" t="s">
        <v>242</v>
      </c>
      <c r="D2841" s="31" t="s">
        <v>979</v>
      </c>
      <c r="E2841" s="25">
        <v>45842</v>
      </c>
      <c r="F2841" s="26" t="s">
        <v>1</v>
      </c>
    </row>
    <row r="2842" spans="1:6" ht="16.8" customHeight="1" x14ac:dyDescent="0.3">
      <c r="A2842" s="20">
        <v>44439</v>
      </c>
      <c r="B2842" s="31"/>
      <c r="C2842" s="31"/>
      <c r="D2842" s="31"/>
      <c r="E2842" s="25"/>
      <c r="F2842" s="26"/>
    </row>
    <row r="2843" spans="1:6" ht="16.8" customHeight="1" x14ac:dyDescent="0.3">
      <c r="A2843" s="20">
        <v>44440</v>
      </c>
      <c r="B2843" s="31" t="s">
        <v>1081</v>
      </c>
      <c r="C2843" s="31" t="s">
        <v>2539</v>
      </c>
      <c r="D2843" s="31" t="s">
        <v>532</v>
      </c>
      <c r="E2843" s="25">
        <v>45835</v>
      </c>
      <c r="F2843" s="26" t="s">
        <v>1</v>
      </c>
    </row>
    <row r="2844" spans="1:6" ht="16.8" customHeight="1" x14ac:dyDescent="0.3">
      <c r="A2844" s="20">
        <v>44441</v>
      </c>
      <c r="B2844" s="31" t="s">
        <v>2538</v>
      </c>
      <c r="C2844" s="31" t="s">
        <v>125</v>
      </c>
      <c r="D2844" s="31" t="s">
        <v>1049</v>
      </c>
      <c r="E2844" s="25">
        <v>45835</v>
      </c>
      <c r="F2844" s="26" t="s">
        <v>1</v>
      </c>
    </row>
    <row r="2845" spans="1:6" ht="16.8" customHeight="1" x14ac:dyDescent="0.3">
      <c r="A2845" s="20">
        <v>44442</v>
      </c>
      <c r="B2845" s="31" t="s">
        <v>2521</v>
      </c>
      <c r="C2845" s="31" t="s">
        <v>706</v>
      </c>
      <c r="D2845" s="31" t="s">
        <v>1547</v>
      </c>
      <c r="E2845" s="25">
        <v>45868</v>
      </c>
      <c r="F2845" s="26" t="s">
        <v>2</v>
      </c>
    </row>
    <row r="2846" spans="1:6" ht="16.8" customHeight="1" x14ac:dyDescent="0.3">
      <c r="A2846" s="20">
        <v>44443</v>
      </c>
      <c r="B2846" s="31" t="s">
        <v>1135</v>
      </c>
      <c r="C2846" s="31" t="s">
        <v>63</v>
      </c>
      <c r="D2846" s="31" t="s">
        <v>2540</v>
      </c>
      <c r="E2846" s="25">
        <v>45835</v>
      </c>
      <c r="F2846" s="26" t="s">
        <v>1</v>
      </c>
    </row>
    <row r="2847" spans="1:6" ht="16.8" customHeight="1" x14ac:dyDescent="0.3">
      <c r="A2847" s="20">
        <v>44444</v>
      </c>
      <c r="B2847" s="31" t="s">
        <v>237</v>
      </c>
      <c r="C2847" s="31" t="s">
        <v>2541</v>
      </c>
      <c r="D2847" s="31" t="s">
        <v>2542</v>
      </c>
      <c r="E2847" s="25">
        <v>45835</v>
      </c>
      <c r="F2847" s="26" t="s">
        <v>1</v>
      </c>
    </row>
    <row r="2848" spans="1:6" ht="16.8" customHeight="1" x14ac:dyDescent="0.3">
      <c r="A2848" s="20">
        <v>44445</v>
      </c>
      <c r="B2848" s="31" t="s">
        <v>365</v>
      </c>
      <c r="C2848" s="31" t="s">
        <v>148</v>
      </c>
      <c r="D2848" s="31" t="s">
        <v>1074</v>
      </c>
      <c r="E2848" s="25">
        <v>45835</v>
      </c>
      <c r="F2848" s="26" t="s">
        <v>1</v>
      </c>
    </row>
    <row r="2849" spans="1:6" ht="16.8" customHeight="1" x14ac:dyDescent="0.3">
      <c r="A2849" s="20">
        <v>44446</v>
      </c>
      <c r="B2849" s="31" t="s">
        <v>65</v>
      </c>
      <c r="C2849" s="31" t="s">
        <v>66</v>
      </c>
      <c r="D2849" s="31" t="s">
        <v>126</v>
      </c>
      <c r="E2849" s="25">
        <v>45838</v>
      </c>
      <c r="F2849" s="26" t="s">
        <v>2077</v>
      </c>
    </row>
    <row r="2850" spans="1:6" ht="16.8" customHeight="1" x14ac:dyDescent="0.3">
      <c r="A2850" s="20">
        <v>44447</v>
      </c>
      <c r="B2850" s="31" t="s">
        <v>2543</v>
      </c>
      <c r="C2850" s="31" t="s">
        <v>2544</v>
      </c>
      <c r="D2850" s="31" t="s">
        <v>121</v>
      </c>
      <c r="E2850" s="25">
        <v>45835</v>
      </c>
      <c r="F2850" s="26" t="s">
        <v>4</v>
      </c>
    </row>
    <row r="2851" spans="1:6" ht="16.8" customHeight="1" x14ac:dyDescent="0.3">
      <c r="A2851" s="20">
        <v>44448</v>
      </c>
      <c r="B2851" s="31" t="s">
        <v>834</v>
      </c>
      <c r="C2851" s="31" t="s">
        <v>244</v>
      </c>
      <c r="D2851" s="31" t="s">
        <v>2133</v>
      </c>
      <c r="E2851" s="25">
        <v>45835</v>
      </c>
      <c r="F2851" s="26" t="s">
        <v>1</v>
      </c>
    </row>
    <row r="2852" spans="1:6" ht="16.8" customHeight="1" x14ac:dyDescent="0.3">
      <c r="A2852" s="20">
        <v>44449</v>
      </c>
      <c r="B2852" s="31" t="s">
        <v>2545</v>
      </c>
      <c r="C2852" s="31"/>
      <c r="D2852" s="31" t="s">
        <v>2025</v>
      </c>
      <c r="E2852" s="25">
        <v>45835</v>
      </c>
      <c r="F2852" s="26" t="s">
        <v>1</v>
      </c>
    </row>
    <row r="2853" spans="1:6" ht="16.8" customHeight="1" x14ac:dyDescent="0.3">
      <c r="A2853" s="20">
        <v>44450</v>
      </c>
      <c r="B2853" s="31" t="s">
        <v>773</v>
      </c>
      <c r="C2853" s="31" t="s">
        <v>94</v>
      </c>
      <c r="D2853" s="31" t="s">
        <v>113</v>
      </c>
      <c r="E2853" s="25">
        <v>45838</v>
      </c>
      <c r="F2853" s="26" t="s">
        <v>1</v>
      </c>
    </row>
    <row r="2854" spans="1:6" ht="16.8" customHeight="1" x14ac:dyDescent="0.3">
      <c r="A2854" s="20">
        <v>44451</v>
      </c>
      <c r="B2854" s="31" t="s">
        <v>2549</v>
      </c>
      <c r="C2854" s="31" t="s">
        <v>444</v>
      </c>
      <c r="D2854" s="31" t="s">
        <v>2550</v>
      </c>
      <c r="E2854" s="25">
        <v>45838</v>
      </c>
      <c r="F2854" s="26" t="s">
        <v>1</v>
      </c>
    </row>
    <row r="2855" spans="1:6" ht="16.8" customHeight="1" x14ac:dyDescent="0.3">
      <c r="A2855" s="20">
        <v>44452</v>
      </c>
      <c r="B2855" s="31" t="s">
        <v>475</v>
      </c>
      <c r="C2855" s="31" t="s">
        <v>106</v>
      </c>
      <c r="D2855" s="31" t="s">
        <v>1049</v>
      </c>
      <c r="E2855" s="25">
        <v>45838</v>
      </c>
      <c r="F2855" s="26" t="s">
        <v>1</v>
      </c>
    </row>
    <row r="2856" spans="1:6" ht="16.8" customHeight="1" x14ac:dyDescent="0.3">
      <c r="A2856" s="20">
        <v>44453</v>
      </c>
      <c r="B2856" s="31" t="s">
        <v>150</v>
      </c>
      <c r="C2856" s="31" t="s">
        <v>151</v>
      </c>
      <c r="D2856" s="31" t="s">
        <v>2551</v>
      </c>
      <c r="E2856" s="25">
        <v>45838</v>
      </c>
      <c r="F2856" s="26" t="s">
        <v>1</v>
      </c>
    </row>
    <row r="2857" spans="1:6" ht="16.8" customHeight="1" x14ac:dyDescent="0.3">
      <c r="A2857" s="20">
        <v>44454</v>
      </c>
      <c r="B2857" s="31" t="s">
        <v>25</v>
      </c>
      <c r="C2857" s="31" t="s">
        <v>2552</v>
      </c>
      <c r="D2857" s="31" t="s">
        <v>121</v>
      </c>
      <c r="E2857" s="25">
        <v>45838</v>
      </c>
      <c r="F2857" s="26" t="s">
        <v>4</v>
      </c>
    </row>
    <row r="2858" spans="1:6" ht="16.8" customHeight="1" x14ac:dyDescent="0.3">
      <c r="A2858" s="20">
        <v>44455</v>
      </c>
      <c r="B2858" s="31" t="s">
        <v>2486</v>
      </c>
      <c r="C2858" s="31" t="s">
        <v>2487</v>
      </c>
      <c r="D2858" s="31" t="s">
        <v>2488</v>
      </c>
      <c r="E2858" s="25">
        <v>45831</v>
      </c>
      <c r="F2858" s="26" t="s">
        <v>1</v>
      </c>
    </row>
    <row r="2859" spans="1:6" ht="16.8" customHeight="1" x14ac:dyDescent="0.3">
      <c r="A2859" s="20">
        <v>44456</v>
      </c>
      <c r="B2859" s="31" t="s">
        <v>2553</v>
      </c>
      <c r="C2859" s="31" t="s">
        <v>2554</v>
      </c>
      <c r="D2859" s="31" t="s">
        <v>1713</v>
      </c>
      <c r="E2859" s="25">
        <v>45838</v>
      </c>
      <c r="F2859" s="26" t="s">
        <v>1</v>
      </c>
    </row>
    <row r="2860" spans="1:6" ht="16.8" customHeight="1" x14ac:dyDescent="0.3">
      <c r="A2860" s="20">
        <v>44457</v>
      </c>
      <c r="B2860" s="31" t="s">
        <v>450</v>
      </c>
      <c r="C2860" s="31" t="s">
        <v>133</v>
      </c>
      <c r="D2860" s="31" t="s">
        <v>1049</v>
      </c>
      <c r="E2860" s="25">
        <v>45838</v>
      </c>
      <c r="F2860" s="26" t="s">
        <v>1</v>
      </c>
    </row>
    <row r="2861" spans="1:6" ht="16.8" customHeight="1" x14ac:dyDescent="0.3">
      <c r="A2861" s="20">
        <v>44458</v>
      </c>
      <c r="B2861" s="31" t="s">
        <v>576</v>
      </c>
      <c r="C2861" s="31" t="s">
        <v>2025</v>
      </c>
      <c r="D2861" s="31" t="s">
        <v>641</v>
      </c>
      <c r="E2861" s="25">
        <v>45838</v>
      </c>
      <c r="F2861" s="26" t="s">
        <v>1</v>
      </c>
    </row>
    <row r="2862" spans="1:6" ht="16.8" customHeight="1" x14ac:dyDescent="0.3">
      <c r="A2862" s="20">
        <v>44459</v>
      </c>
      <c r="B2862" s="31"/>
      <c r="C2862" s="31"/>
      <c r="D2862" s="31"/>
      <c r="E2862" s="25"/>
      <c r="F2862" s="26"/>
    </row>
    <row r="2863" spans="1:6" ht="16.8" customHeight="1" x14ac:dyDescent="0.3">
      <c r="A2863" s="20">
        <v>44460</v>
      </c>
      <c r="B2863" s="31"/>
      <c r="C2863" s="31"/>
      <c r="D2863" s="31"/>
      <c r="E2863" s="25"/>
      <c r="F2863" s="26"/>
    </row>
    <row r="2864" spans="1:6" ht="16.8" customHeight="1" x14ac:dyDescent="0.3">
      <c r="A2864" s="20">
        <v>44461</v>
      </c>
      <c r="B2864" s="31" t="s">
        <v>41</v>
      </c>
      <c r="C2864" s="31" t="s">
        <v>181</v>
      </c>
      <c r="D2864" s="31" t="s">
        <v>58</v>
      </c>
      <c r="E2864" s="25">
        <v>45869</v>
      </c>
      <c r="F2864" s="26" t="s">
        <v>1</v>
      </c>
    </row>
    <row r="2865" spans="1:6" ht="16.8" customHeight="1" x14ac:dyDescent="0.3">
      <c r="A2865" s="20">
        <v>44462</v>
      </c>
      <c r="B2865" s="31"/>
      <c r="C2865" s="31"/>
      <c r="D2865" s="31"/>
      <c r="E2865" s="25"/>
      <c r="F2865" s="26"/>
    </row>
    <row r="2866" spans="1:6" ht="16.8" customHeight="1" x14ac:dyDescent="0.3">
      <c r="A2866" s="20">
        <v>44463</v>
      </c>
      <c r="B2866" s="31"/>
      <c r="C2866" s="31"/>
      <c r="D2866" s="31"/>
      <c r="E2866" s="25"/>
      <c r="F2866" s="26"/>
    </row>
    <row r="2867" spans="1:6" ht="16.8" customHeight="1" x14ac:dyDescent="0.3">
      <c r="A2867" s="20">
        <v>44464</v>
      </c>
      <c r="B2867" s="31"/>
      <c r="C2867" s="31"/>
      <c r="D2867" s="31"/>
      <c r="E2867" s="25"/>
      <c r="F2867" s="26"/>
    </row>
    <row r="2868" spans="1:6" ht="16.8" customHeight="1" x14ac:dyDescent="0.3">
      <c r="A2868" s="20">
        <v>44465</v>
      </c>
      <c r="B2868" s="31"/>
      <c r="C2868" s="31"/>
      <c r="D2868" s="31"/>
      <c r="E2868" s="25"/>
      <c r="F2868" s="26"/>
    </row>
    <row r="2869" spans="1:6" ht="16.8" customHeight="1" x14ac:dyDescent="0.3">
      <c r="A2869" s="20">
        <v>44466</v>
      </c>
      <c r="B2869" s="31"/>
      <c r="C2869" s="31"/>
      <c r="D2869" s="31"/>
      <c r="E2869" s="25"/>
      <c r="F2869" s="26"/>
    </row>
    <row r="2870" spans="1:6" ht="16.8" customHeight="1" x14ac:dyDescent="0.3">
      <c r="A2870" s="20">
        <v>44467</v>
      </c>
      <c r="B2870" s="31"/>
      <c r="C2870" s="31"/>
      <c r="D2870" s="31"/>
      <c r="E2870" s="25"/>
      <c r="F2870" s="26"/>
    </row>
    <row r="2871" spans="1:6" ht="16.8" customHeight="1" x14ac:dyDescent="0.3">
      <c r="A2871" s="20">
        <v>44468</v>
      </c>
      <c r="B2871" s="31"/>
      <c r="C2871" s="31"/>
      <c r="D2871" s="31"/>
      <c r="E2871" s="25"/>
      <c r="F2871" s="26"/>
    </row>
    <row r="2872" spans="1:6" ht="16.8" customHeight="1" x14ac:dyDescent="0.3">
      <c r="A2872" s="20">
        <v>44469</v>
      </c>
      <c r="B2872" s="31"/>
      <c r="C2872" s="31"/>
      <c r="D2872" s="31"/>
      <c r="E2872" s="25"/>
      <c r="F2872" s="26"/>
    </row>
    <row r="2873" spans="1:6" ht="16.8" customHeight="1" x14ac:dyDescent="0.3">
      <c r="A2873" s="20">
        <v>44470</v>
      </c>
      <c r="B2873" s="31"/>
      <c r="C2873" s="31"/>
      <c r="D2873" s="31"/>
      <c r="E2873" s="25"/>
      <c r="F2873" s="26"/>
    </row>
    <row r="2874" spans="1:6" ht="16.8" customHeight="1" x14ac:dyDescent="0.3">
      <c r="A2874" s="20">
        <v>44471</v>
      </c>
      <c r="B2874" s="31"/>
      <c r="C2874" s="31"/>
      <c r="D2874" s="31"/>
      <c r="E2874" s="25"/>
      <c r="F2874" s="26"/>
    </row>
    <row r="2875" spans="1:6" ht="16.8" customHeight="1" x14ac:dyDescent="0.3">
      <c r="A2875" s="20">
        <v>44472</v>
      </c>
      <c r="B2875" s="31"/>
      <c r="C2875" s="31"/>
      <c r="D2875" s="31"/>
      <c r="E2875" s="25"/>
      <c r="F2875" s="26"/>
    </row>
    <row r="2876" spans="1:6" ht="16.8" customHeight="1" x14ac:dyDescent="0.3">
      <c r="A2876" s="20">
        <v>44473</v>
      </c>
      <c r="B2876" s="31"/>
      <c r="C2876" s="31"/>
      <c r="D2876" s="31"/>
      <c r="E2876" s="25"/>
      <c r="F2876" s="26"/>
    </row>
    <row r="2877" spans="1:6" ht="16.8" customHeight="1" x14ac:dyDescent="0.3">
      <c r="A2877" s="20">
        <v>44474</v>
      </c>
      <c r="B2877" s="31"/>
      <c r="C2877" s="31"/>
      <c r="D2877" s="31"/>
      <c r="E2877" s="25"/>
      <c r="F2877" s="26"/>
    </row>
    <row r="2878" spans="1:6" ht="16.8" customHeight="1" x14ac:dyDescent="0.3">
      <c r="A2878" s="20">
        <v>44475</v>
      </c>
      <c r="B2878" s="31"/>
      <c r="C2878" s="31"/>
      <c r="D2878" s="31"/>
      <c r="E2878" s="25"/>
      <c r="F2878" s="26"/>
    </row>
    <row r="2879" spans="1:6" ht="16.8" customHeight="1" x14ac:dyDescent="0.3">
      <c r="A2879" s="20">
        <v>44476</v>
      </c>
      <c r="B2879" s="31" t="s">
        <v>2565</v>
      </c>
      <c r="C2879" s="31" t="s">
        <v>138</v>
      </c>
      <c r="D2879" s="31" t="s">
        <v>1028</v>
      </c>
      <c r="E2879" s="25">
        <v>45840</v>
      </c>
      <c r="F2879" s="26" t="s">
        <v>1</v>
      </c>
    </row>
    <row r="2880" spans="1:6" ht="16.8" customHeight="1" x14ac:dyDescent="0.3">
      <c r="A2880" s="20">
        <v>44477</v>
      </c>
      <c r="B2880" s="31" t="s">
        <v>74</v>
      </c>
      <c r="C2880" s="31" t="s">
        <v>249</v>
      </c>
      <c r="D2880" s="31" t="s">
        <v>1049</v>
      </c>
      <c r="E2880" s="25">
        <v>45838</v>
      </c>
      <c r="F2880" s="26" t="s">
        <v>1</v>
      </c>
    </row>
    <row r="2881" spans="1:6" ht="16.8" customHeight="1" x14ac:dyDescent="0.3">
      <c r="A2881" s="20">
        <v>44478</v>
      </c>
      <c r="B2881" s="31" t="s">
        <v>36</v>
      </c>
      <c r="C2881" s="31" t="s">
        <v>37</v>
      </c>
      <c r="D2881" s="31" t="s">
        <v>2025</v>
      </c>
      <c r="E2881" s="25">
        <v>45838</v>
      </c>
      <c r="F2881" s="26" t="s">
        <v>1</v>
      </c>
    </row>
    <row r="2882" spans="1:6" ht="16.8" customHeight="1" x14ac:dyDescent="0.3">
      <c r="A2882" s="20">
        <v>44479</v>
      </c>
      <c r="B2882" s="31" t="s">
        <v>189</v>
      </c>
      <c r="C2882" s="31" t="s">
        <v>512</v>
      </c>
      <c r="D2882" s="31" t="s">
        <v>2376</v>
      </c>
      <c r="E2882" s="25">
        <v>45838</v>
      </c>
      <c r="F2882" s="26" t="s">
        <v>1</v>
      </c>
    </row>
    <row r="2883" spans="1:6" ht="16.8" customHeight="1" x14ac:dyDescent="0.3">
      <c r="A2883" s="20">
        <v>44480</v>
      </c>
      <c r="B2883" s="31" t="s">
        <v>365</v>
      </c>
      <c r="C2883" s="31"/>
      <c r="D2883" s="31" t="s">
        <v>933</v>
      </c>
      <c r="E2883" s="25">
        <v>45838</v>
      </c>
      <c r="F2883" s="26" t="s">
        <v>1</v>
      </c>
    </row>
    <row r="2884" spans="1:6" ht="16.8" customHeight="1" x14ac:dyDescent="0.3">
      <c r="A2884" s="20">
        <v>44481</v>
      </c>
      <c r="B2884" s="31" t="s">
        <v>325</v>
      </c>
      <c r="C2884" s="31" t="s">
        <v>367</v>
      </c>
      <c r="D2884" s="31" t="s">
        <v>58</v>
      </c>
      <c r="E2884" s="25">
        <v>45917</v>
      </c>
      <c r="F2884" s="26" t="s">
        <v>1</v>
      </c>
    </row>
    <row r="2885" spans="1:6" ht="16.8" customHeight="1" x14ac:dyDescent="0.3">
      <c r="A2885" s="20">
        <v>44482</v>
      </c>
      <c r="B2885" s="31"/>
      <c r="C2885" s="31"/>
      <c r="D2885" s="31"/>
      <c r="E2885" s="25"/>
      <c r="F2885" s="26"/>
    </row>
    <row r="2886" spans="1:6" ht="16.8" customHeight="1" x14ac:dyDescent="0.3">
      <c r="A2886" s="20">
        <v>44483</v>
      </c>
      <c r="B2886" s="31"/>
      <c r="C2886" s="31"/>
      <c r="D2886" s="31"/>
      <c r="E2886" s="25"/>
      <c r="F2886" s="26"/>
    </row>
    <row r="2887" spans="1:6" ht="16.8" customHeight="1" x14ac:dyDescent="0.3">
      <c r="A2887" s="20">
        <v>44484</v>
      </c>
      <c r="B2887" s="31" t="s">
        <v>328</v>
      </c>
      <c r="C2887" s="31" t="s">
        <v>487</v>
      </c>
      <c r="D2887" s="31" t="s">
        <v>1311</v>
      </c>
      <c r="E2887" s="25">
        <v>45838</v>
      </c>
      <c r="F2887" s="26" t="s">
        <v>1</v>
      </c>
    </row>
    <row r="2888" spans="1:6" ht="16.8" customHeight="1" x14ac:dyDescent="0.3">
      <c r="A2888" s="20">
        <v>44485</v>
      </c>
      <c r="B2888" s="31" t="s">
        <v>262</v>
      </c>
      <c r="C2888" s="31" t="s">
        <v>263</v>
      </c>
      <c r="D2888" s="31" t="s">
        <v>1759</v>
      </c>
      <c r="E2888" s="25">
        <v>45848</v>
      </c>
      <c r="F2888" s="26" t="s">
        <v>2</v>
      </c>
    </row>
    <row r="2889" spans="1:6" ht="16.8" customHeight="1" x14ac:dyDescent="0.3">
      <c r="A2889" s="20">
        <v>44486</v>
      </c>
      <c r="B2889" s="31" t="s">
        <v>2555</v>
      </c>
      <c r="C2889" s="31"/>
      <c r="D2889" s="31" t="s">
        <v>27</v>
      </c>
      <c r="E2889" s="25">
        <v>45838</v>
      </c>
      <c r="F2889" s="26" t="s">
        <v>1</v>
      </c>
    </row>
    <row r="2890" spans="1:6" ht="16.8" customHeight="1" x14ac:dyDescent="0.3">
      <c r="A2890" s="20">
        <v>44487</v>
      </c>
      <c r="B2890" s="31"/>
      <c r="C2890" s="31"/>
      <c r="D2890" s="31"/>
      <c r="E2890" s="25"/>
      <c r="F2890" s="26"/>
    </row>
    <row r="2891" spans="1:6" ht="16.8" customHeight="1" x14ac:dyDescent="0.3">
      <c r="A2891" s="20">
        <v>44488</v>
      </c>
      <c r="B2891" s="31" t="s">
        <v>2556</v>
      </c>
      <c r="C2891" s="31" t="s">
        <v>305</v>
      </c>
      <c r="D2891" s="31" t="s">
        <v>98</v>
      </c>
      <c r="E2891" s="25">
        <v>45838</v>
      </c>
      <c r="F2891" s="26" t="s">
        <v>4</v>
      </c>
    </row>
    <row r="2892" spans="1:6" ht="16.8" customHeight="1" x14ac:dyDescent="0.3">
      <c r="A2892" s="20">
        <v>44489</v>
      </c>
      <c r="B2892" s="31" t="s">
        <v>105</v>
      </c>
      <c r="C2892" s="31" t="s">
        <v>106</v>
      </c>
      <c r="D2892" s="31" t="s">
        <v>1467</v>
      </c>
      <c r="E2892" s="25">
        <v>45838</v>
      </c>
      <c r="F2892" s="26" t="s">
        <v>1</v>
      </c>
    </row>
    <row r="2893" spans="1:6" ht="16.8" customHeight="1" x14ac:dyDescent="0.3">
      <c r="A2893" s="20">
        <v>44490</v>
      </c>
      <c r="B2893" s="31" t="s">
        <v>256</v>
      </c>
      <c r="C2893" s="31" t="s">
        <v>524</v>
      </c>
      <c r="D2893" s="31" t="s">
        <v>159</v>
      </c>
      <c r="E2893" s="25">
        <v>45846</v>
      </c>
      <c r="F2893" s="26" t="s">
        <v>1</v>
      </c>
    </row>
    <row r="2894" spans="1:6" ht="16.8" customHeight="1" x14ac:dyDescent="0.3">
      <c r="A2894" s="20">
        <v>44491</v>
      </c>
      <c r="B2894" s="31" t="s">
        <v>321</v>
      </c>
      <c r="C2894" s="31" t="s">
        <v>249</v>
      </c>
      <c r="D2894" s="31" t="s">
        <v>815</v>
      </c>
      <c r="E2894" s="25">
        <v>45838</v>
      </c>
      <c r="F2894" s="26" t="s">
        <v>1</v>
      </c>
    </row>
    <row r="2895" spans="1:6" ht="16.8" customHeight="1" x14ac:dyDescent="0.3">
      <c r="A2895" s="20">
        <v>44492</v>
      </c>
      <c r="B2895" s="31" t="s">
        <v>853</v>
      </c>
      <c r="C2895" s="31" t="s">
        <v>2559</v>
      </c>
      <c r="D2895" s="31" t="s">
        <v>1049</v>
      </c>
      <c r="E2895" s="25">
        <v>45839</v>
      </c>
      <c r="F2895" s="26" t="s">
        <v>1</v>
      </c>
    </row>
    <row r="2896" spans="1:6" ht="16.8" customHeight="1" x14ac:dyDescent="0.3">
      <c r="A2896" s="20">
        <v>44493</v>
      </c>
      <c r="B2896" s="31" t="s">
        <v>2041</v>
      </c>
      <c r="C2896" s="31" t="s">
        <v>2584</v>
      </c>
      <c r="D2896" s="31" t="s">
        <v>787</v>
      </c>
      <c r="E2896" s="25">
        <v>45842</v>
      </c>
      <c r="F2896" s="26" t="s">
        <v>1</v>
      </c>
    </row>
    <row r="2897" spans="1:6" ht="16.8" customHeight="1" x14ac:dyDescent="0.3">
      <c r="A2897" s="20">
        <v>44494</v>
      </c>
      <c r="B2897" s="31"/>
      <c r="C2897" s="31"/>
      <c r="D2897" s="31"/>
      <c r="E2897" s="25"/>
      <c r="F2897" s="26"/>
    </row>
    <row r="2898" spans="1:6" ht="16.8" customHeight="1" x14ac:dyDescent="0.3">
      <c r="A2898" s="20">
        <v>44495</v>
      </c>
      <c r="B2898" s="31" t="s">
        <v>210</v>
      </c>
      <c r="C2898" s="31" t="s">
        <v>408</v>
      </c>
      <c r="D2898" s="31" t="s">
        <v>245</v>
      </c>
      <c r="E2898" s="25">
        <v>45839</v>
      </c>
      <c r="F2898" s="26" t="s">
        <v>1</v>
      </c>
    </row>
    <row r="2899" spans="1:6" ht="16.8" customHeight="1" x14ac:dyDescent="0.3">
      <c r="A2899" s="20">
        <v>44496</v>
      </c>
      <c r="B2899" s="31"/>
      <c r="C2899" s="31"/>
      <c r="D2899" s="31"/>
      <c r="E2899" s="25"/>
      <c r="F2899" s="26"/>
    </row>
    <row r="2900" spans="1:6" ht="16.8" customHeight="1" x14ac:dyDescent="0.3">
      <c r="A2900" s="20">
        <v>44497</v>
      </c>
      <c r="B2900" s="31" t="s">
        <v>309</v>
      </c>
      <c r="C2900" s="31" t="s">
        <v>2558</v>
      </c>
      <c r="D2900" s="31" t="s">
        <v>933</v>
      </c>
      <c r="E2900" s="25">
        <v>45839</v>
      </c>
      <c r="F2900" s="26" t="s">
        <v>1</v>
      </c>
    </row>
    <row r="2901" spans="1:6" ht="16.8" customHeight="1" x14ac:dyDescent="0.3">
      <c r="A2901" s="20">
        <v>44498</v>
      </c>
      <c r="B2901" s="31" t="s">
        <v>486</v>
      </c>
      <c r="C2901" s="31" t="s">
        <v>990</v>
      </c>
      <c r="D2901" s="31" t="s">
        <v>2864</v>
      </c>
      <c r="E2901" s="25">
        <v>45932</v>
      </c>
      <c r="F2901" s="26" t="s">
        <v>1</v>
      </c>
    </row>
    <row r="2902" spans="1:6" ht="16.8" customHeight="1" x14ac:dyDescent="0.3">
      <c r="A2902" s="20">
        <v>44499</v>
      </c>
      <c r="B2902" s="31" t="s">
        <v>56</v>
      </c>
      <c r="C2902" s="31" t="s">
        <v>106</v>
      </c>
      <c r="D2902" s="31" t="s">
        <v>134</v>
      </c>
      <c r="E2902" s="25">
        <v>45868</v>
      </c>
      <c r="F2902" s="26" t="s">
        <v>1</v>
      </c>
    </row>
    <row r="2903" spans="1:6" ht="16.8" customHeight="1" x14ac:dyDescent="0.3">
      <c r="A2903" s="20">
        <v>44500</v>
      </c>
      <c r="B2903" s="31" t="s">
        <v>56</v>
      </c>
      <c r="C2903" s="31" t="s">
        <v>106</v>
      </c>
      <c r="D2903" s="31" t="s">
        <v>2352</v>
      </c>
      <c r="E2903" s="25">
        <v>45847</v>
      </c>
      <c r="F2903" s="26" t="s">
        <v>5</v>
      </c>
    </row>
    <row r="2904" spans="1:6" ht="16.8" customHeight="1" x14ac:dyDescent="0.3">
      <c r="A2904" s="20">
        <v>44501</v>
      </c>
      <c r="B2904" s="31" t="s">
        <v>292</v>
      </c>
      <c r="C2904" s="31" t="s">
        <v>75</v>
      </c>
      <c r="D2904" s="31" t="s">
        <v>2352</v>
      </c>
      <c r="E2904" s="25">
        <v>45847</v>
      </c>
      <c r="F2904" s="26" t="s">
        <v>5</v>
      </c>
    </row>
    <row r="2905" spans="1:6" ht="16.8" customHeight="1" x14ac:dyDescent="0.3">
      <c r="A2905" s="20">
        <v>44502</v>
      </c>
      <c r="B2905" s="31" t="s">
        <v>105</v>
      </c>
      <c r="C2905" s="31" t="s">
        <v>106</v>
      </c>
      <c r="D2905" s="31" t="s">
        <v>2352</v>
      </c>
      <c r="E2905" s="25">
        <v>45847</v>
      </c>
      <c r="F2905" s="26" t="s">
        <v>5</v>
      </c>
    </row>
    <row r="2906" spans="1:6" ht="16.8" customHeight="1" x14ac:dyDescent="0.3">
      <c r="A2906" s="20">
        <v>44503</v>
      </c>
      <c r="B2906" s="31" t="s">
        <v>309</v>
      </c>
      <c r="C2906" s="31"/>
      <c r="D2906" s="31" t="s">
        <v>2612</v>
      </c>
      <c r="E2906" s="25">
        <v>45849</v>
      </c>
      <c r="F2906" s="26" t="s">
        <v>1</v>
      </c>
    </row>
    <row r="2907" spans="1:6" ht="16.8" customHeight="1" x14ac:dyDescent="0.3">
      <c r="A2907" s="20">
        <v>44504</v>
      </c>
      <c r="B2907" s="31"/>
      <c r="C2907" s="31"/>
      <c r="D2907" s="31"/>
      <c r="E2907" s="25"/>
      <c r="F2907" s="26"/>
    </row>
    <row r="2908" spans="1:6" ht="16.8" customHeight="1" x14ac:dyDescent="0.3">
      <c r="A2908" s="20">
        <v>44505</v>
      </c>
      <c r="B2908" s="31" t="s">
        <v>2557</v>
      </c>
      <c r="C2908" s="31"/>
      <c r="D2908" s="31" t="s">
        <v>891</v>
      </c>
      <c r="E2908" s="25">
        <v>45839</v>
      </c>
      <c r="F2908" s="26" t="s">
        <v>1</v>
      </c>
    </row>
    <row r="2909" spans="1:6" ht="16.8" customHeight="1" x14ac:dyDescent="0.3">
      <c r="A2909" s="20">
        <v>44506</v>
      </c>
      <c r="B2909" s="31"/>
      <c r="C2909" s="31"/>
      <c r="D2909" s="31"/>
      <c r="E2909" s="25"/>
      <c r="F2909" s="26"/>
    </row>
    <row r="2910" spans="1:6" ht="16.8" customHeight="1" x14ac:dyDescent="0.3">
      <c r="A2910" s="20">
        <v>44507</v>
      </c>
      <c r="B2910" s="31" t="s">
        <v>2560</v>
      </c>
      <c r="C2910" s="31" t="s">
        <v>106</v>
      </c>
      <c r="D2910" s="31" t="s">
        <v>1467</v>
      </c>
      <c r="E2910" s="25">
        <v>45839</v>
      </c>
      <c r="F2910" s="26" t="s">
        <v>1</v>
      </c>
    </row>
    <row r="2911" spans="1:6" ht="16.8" customHeight="1" x14ac:dyDescent="0.3">
      <c r="A2911" s="20">
        <v>44508</v>
      </c>
      <c r="B2911" s="31" t="s">
        <v>256</v>
      </c>
      <c r="C2911" s="31" t="s">
        <v>154</v>
      </c>
      <c r="D2911" s="31" t="s">
        <v>2585</v>
      </c>
      <c r="E2911" s="25">
        <v>45842</v>
      </c>
      <c r="F2911" s="26" t="s">
        <v>1</v>
      </c>
    </row>
    <row r="2912" spans="1:6" ht="16.8" customHeight="1" x14ac:dyDescent="0.3">
      <c r="A2912" s="20">
        <v>44509</v>
      </c>
      <c r="B2912" s="31" t="s">
        <v>1135</v>
      </c>
      <c r="C2912" s="31" t="s">
        <v>440</v>
      </c>
      <c r="D2912" s="31" t="s">
        <v>1049</v>
      </c>
      <c r="E2912" s="25">
        <v>45839</v>
      </c>
      <c r="F2912" s="26" t="s">
        <v>1</v>
      </c>
    </row>
    <row r="2913" spans="1:6" ht="16.8" customHeight="1" x14ac:dyDescent="0.3">
      <c r="A2913" s="20">
        <v>44510</v>
      </c>
      <c r="B2913" s="31" t="s">
        <v>294</v>
      </c>
      <c r="C2913" s="31" t="s">
        <v>94</v>
      </c>
      <c r="D2913" s="31" t="s">
        <v>168</v>
      </c>
      <c r="E2913" s="25">
        <v>45840</v>
      </c>
      <c r="F2913" s="26" t="s">
        <v>1</v>
      </c>
    </row>
    <row r="2914" spans="1:6" ht="16.8" customHeight="1" x14ac:dyDescent="0.3">
      <c r="A2914" s="20">
        <v>44511</v>
      </c>
      <c r="B2914" s="31" t="s">
        <v>2560</v>
      </c>
      <c r="C2914" s="31" t="s">
        <v>106</v>
      </c>
      <c r="D2914" s="31" t="s">
        <v>2586</v>
      </c>
      <c r="E2914" s="25">
        <v>45842</v>
      </c>
      <c r="F2914" s="26" t="s">
        <v>1</v>
      </c>
    </row>
    <row r="2915" spans="1:6" ht="16.8" customHeight="1" x14ac:dyDescent="0.3">
      <c r="A2915" s="20">
        <v>44512</v>
      </c>
      <c r="B2915" s="31" t="s">
        <v>1339</v>
      </c>
      <c r="C2915" s="31"/>
      <c r="D2915" s="31" t="s">
        <v>27</v>
      </c>
      <c r="E2915" s="25">
        <v>45842</v>
      </c>
      <c r="F2915" s="26" t="s">
        <v>1</v>
      </c>
    </row>
    <row r="2916" spans="1:6" ht="16.8" customHeight="1" x14ac:dyDescent="0.3">
      <c r="A2916" s="20">
        <v>44513</v>
      </c>
      <c r="B2916" s="31" t="s">
        <v>616</v>
      </c>
      <c r="C2916" s="31" t="s">
        <v>179</v>
      </c>
      <c r="D2916" s="31" t="s">
        <v>2561</v>
      </c>
      <c r="E2916" s="25">
        <v>45839</v>
      </c>
      <c r="F2916" s="26" t="s">
        <v>1</v>
      </c>
    </row>
    <row r="2917" spans="1:6" ht="16.8" customHeight="1" x14ac:dyDescent="0.3">
      <c r="A2917" s="20">
        <v>44514</v>
      </c>
      <c r="B2917" s="31"/>
      <c r="C2917" s="31"/>
      <c r="D2917" s="31"/>
      <c r="E2917" s="25"/>
      <c r="F2917" s="26"/>
    </row>
    <row r="2918" spans="1:6" ht="16.8" customHeight="1" x14ac:dyDescent="0.3">
      <c r="A2918" s="20">
        <v>44515</v>
      </c>
      <c r="B2918" s="31" t="s">
        <v>2845</v>
      </c>
      <c r="C2918" s="31" t="s">
        <v>2846</v>
      </c>
      <c r="D2918" s="31" t="s">
        <v>85</v>
      </c>
      <c r="E2918" s="25">
        <v>45929</v>
      </c>
      <c r="F2918" s="26" t="s">
        <v>1</v>
      </c>
    </row>
    <row r="2919" spans="1:6" ht="16.8" customHeight="1" x14ac:dyDescent="0.3">
      <c r="A2919" s="20">
        <v>44516</v>
      </c>
      <c r="B2919" s="31" t="s">
        <v>41</v>
      </c>
      <c r="C2919" s="31" t="s">
        <v>82</v>
      </c>
      <c r="D2919" s="31" t="s">
        <v>98</v>
      </c>
      <c r="E2919" s="25">
        <v>45929</v>
      </c>
      <c r="F2919" s="26" t="s">
        <v>4</v>
      </c>
    </row>
    <row r="2920" spans="1:6" ht="16.8" customHeight="1" x14ac:dyDescent="0.3">
      <c r="A2920" s="20">
        <v>44517</v>
      </c>
      <c r="B2920" s="31" t="s">
        <v>325</v>
      </c>
      <c r="C2920" s="31" t="s">
        <v>2569</v>
      </c>
      <c r="D2920" s="31" t="s">
        <v>168</v>
      </c>
      <c r="E2920" s="25">
        <v>45840</v>
      </c>
      <c r="F2920" s="26" t="s">
        <v>1</v>
      </c>
    </row>
    <row r="2921" spans="1:6" ht="16.8" customHeight="1" x14ac:dyDescent="0.3">
      <c r="A2921" s="20">
        <v>44518</v>
      </c>
      <c r="B2921" s="31" t="s">
        <v>41</v>
      </c>
      <c r="C2921" s="31" t="s">
        <v>32</v>
      </c>
      <c r="D2921" s="31" t="s">
        <v>121</v>
      </c>
      <c r="E2921" s="25">
        <v>45918</v>
      </c>
      <c r="F2921" s="26" t="s">
        <v>4</v>
      </c>
    </row>
    <row r="2922" spans="1:6" ht="16.8" customHeight="1" x14ac:dyDescent="0.3">
      <c r="A2922" s="20">
        <v>44519</v>
      </c>
      <c r="B2922" s="31" t="s">
        <v>743</v>
      </c>
      <c r="C2922" s="31"/>
      <c r="D2922" s="31" t="s">
        <v>933</v>
      </c>
      <c r="E2922" s="25">
        <v>45840</v>
      </c>
      <c r="F2922" s="26" t="s">
        <v>1</v>
      </c>
    </row>
    <row r="2923" spans="1:6" ht="16.8" customHeight="1" x14ac:dyDescent="0.3">
      <c r="A2923" s="20">
        <v>44520</v>
      </c>
      <c r="B2923" s="31"/>
      <c r="C2923" s="31"/>
      <c r="D2923" s="31"/>
      <c r="E2923" s="25"/>
      <c r="F2923" s="26"/>
    </row>
    <row r="2924" spans="1:6" ht="16.8" customHeight="1" x14ac:dyDescent="0.3">
      <c r="A2924" s="20">
        <v>44521</v>
      </c>
      <c r="B2924" s="31" t="s">
        <v>708</v>
      </c>
      <c r="C2924" s="31" t="s">
        <v>709</v>
      </c>
      <c r="D2924" s="31" t="s">
        <v>121</v>
      </c>
      <c r="E2924" s="25">
        <v>45917</v>
      </c>
      <c r="F2924" s="26" t="s">
        <v>4</v>
      </c>
    </row>
    <row r="2925" spans="1:6" ht="16.8" customHeight="1" x14ac:dyDescent="0.3">
      <c r="A2925" s="20">
        <v>44522</v>
      </c>
      <c r="B2925" s="31" t="s">
        <v>1040</v>
      </c>
      <c r="C2925" s="31" t="s">
        <v>2570</v>
      </c>
      <c r="D2925" s="31" t="s">
        <v>615</v>
      </c>
      <c r="E2925" s="25">
        <v>45840</v>
      </c>
      <c r="F2925" s="26" t="s">
        <v>1</v>
      </c>
    </row>
    <row r="2926" spans="1:6" ht="16.8" customHeight="1" x14ac:dyDescent="0.3">
      <c r="A2926" s="20">
        <v>44523</v>
      </c>
      <c r="B2926" s="31" t="s">
        <v>511</v>
      </c>
      <c r="C2926" s="31" t="s">
        <v>106</v>
      </c>
      <c r="D2926" s="31" t="s">
        <v>2571</v>
      </c>
      <c r="E2926" s="25">
        <v>45840</v>
      </c>
      <c r="F2926" s="26" t="s">
        <v>1</v>
      </c>
    </row>
    <row r="2927" spans="1:6" ht="16.8" customHeight="1" x14ac:dyDescent="0.3">
      <c r="A2927" s="20">
        <v>44524</v>
      </c>
      <c r="B2927" s="31"/>
      <c r="C2927" s="31"/>
      <c r="D2927" s="31"/>
      <c r="E2927" s="25"/>
      <c r="F2927" s="26"/>
    </row>
    <row r="2928" spans="1:6" ht="16.8" customHeight="1" x14ac:dyDescent="0.3">
      <c r="A2928" s="20">
        <v>44525</v>
      </c>
      <c r="B2928" s="31" t="s">
        <v>306</v>
      </c>
      <c r="C2928" s="31" t="s">
        <v>63</v>
      </c>
      <c r="D2928" s="31" t="s">
        <v>126</v>
      </c>
      <c r="E2928" s="25">
        <v>45842</v>
      </c>
      <c r="F2928" s="26" t="s">
        <v>1</v>
      </c>
    </row>
    <row r="2929" spans="1:6" ht="16.8" customHeight="1" x14ac:dyDescent="0.3">
      <c r="A2929" s="20">
        <v>44526</v>
      </c>
      <c r="B2929" s="31"/>
      <c r="C2929" s="31"/>
      <c r="D2929" s="31"/>
      <c r="E2929" s="25"/>
      <c r="F2929" s="26"/>
    </row>
    <row r="2930" spans="1:6" ht="16.8" customHeight="1" x14ac:dyDescent="0.3">
      <c r="A2930" s="20">
        <v>44527</v>
      </c>
      <c r="B2930" s="31"/>
      <c r="C2930" s="31"/>
      <c r="D2930" s="31"/>
      <c r="E2930" s="25"/>
      <c r="F2930" s="26"/>
    </row>
    <row r="2931" spans="1:6" ht="16.8" customHeight="1" x14ac:dyDescent="0.3">
      <c r="A2931" s="20">
        <v>44528</v>
      </c>
      <c r="B2931" s="31" t="s">
        <v>86</v>
      </c>
      <c r="C2931" s="31" t="s">
        <v>45</v>
      </c>
      <c r="D2931" s="31" t="s">
        <v>159</v>
      </c>
      <c r="E2931" s="25"/>
      <c r="F2931" s="26" t="s">
        <v>3</v>
      </c>
    </row>
    <row r="2932" spans="1:6" ht="16.8" customHeight="1" x14ac:dyDescent="0.3">
      <c r="A2932" s="20">
        <v>44529</v>
      </c>
      <c r="B2932" s="31"/>
      <c r="C2932" s="31"/>
      <c r="D2932" s="31"/>
      <c r="E2932" s="25"/>
      <c r="F2932" s="26"/>
    </row>
    <row r="2933" spans="1:6" ht="16.8" customHeight="1" x14ac:dyDescent="0.3">
      <c r="A2933" s="20">
        <v>44530</v>
      </c>
      <c r="B2933" s="31" t="s">
        <v>86</v>
      </c>
      <c r="C2933" s="31" t="s">
        <v>45</v>
      </c>
      <c r="D2933" s="31" t="s">
        <v>2352</v>
      </c>
      <c r="E2933" s="25">
        <v>45847</v>
      </c>
      <c r="F2933" s="26" t="s">
        <v>5</v>
      </c>
    </row>
    <row r="2934" spans="1:6" ht="16.8" customHeight="1" x14ac:dyDescent="0.3">
      <c r="A2934" s="20">
        <v>44531</v>
      </c>
      <c r="B2934" s="31" t="s">
        <v>306</v>
      </c>
      <c r="C2934" s="31" t="s">
        <v>82</v>
      </c>
      <c r="D2934" s="31" t="s">
        <v>121</v>
      </c>
      <c r="E2934" s="25">
        <v>45929</v>
      </c>
      <c r="F2934" s="26" t="s">
        <v>4</v>
      </c>
    </row>
    <row r="2935" spans="1:6" ht="16.8" customHeight="1" x14ac:dyDescent="0.3">
      <c r="A2935" s="20">
        <v>44532</v>
      </c>
      <c r="B2935" s="31"/>
      <c r="C2935" s="31"/>
      <c r="D2935" s="31"/>
      <c r="E2935" s="25"/>
      <c r="F2935" s="26"/>
    </row>
    <row r="2936" spans="1:6" ht="16.8" customHeight="1" x14ac:dyDescent="0.3">
      <c r="A2936" s="20">
        <v>44533</v>
      </c>
      <c r="B2936" s="31" t="s">
        <v>482</v>
      </c>
      <c r="C2936" s="31" t="s">
        <v>63</v>
      </c>
      <c r="D2936" s="31" t="s">
        <v>172</v>
      </c>
      <c r="E2936" s="25">
        <v>45840</v>
      </c>
      <c r="F2936" s="26" t="s">
        <v>1</v>
      </c>
    </row>
    <row r="2937" spans="1:6" ht="16.8" customHeight="1" x14ac:dyDescent="0.3">
      <c r="A2937" s="20">
        <v>44534</v>
      </c>
      <c r="B2937" s="31" t="s">
        <v>600</v>
      </c>
      <c r="C2937" s="31" t="s">
        <v>151</v>
      </c>
      <c r="D2937" s="31" t="s">
        <v>2572</v>
      </c>
      <c r="E2937" s="25">
        <v>45840</v>
      </c>
      <c r="F2937" s="26" t="s">
        <v>1</v>
      </c>
    </row>
    <row r="2938" spans="1:6" ht="16.8" customHeight="1" x14ac:dyDescent="0.3">
      <c r="A2938" s="20">
        <v>44535</v>
      </c>
      <c r="B2938" s="31" t="s">
        <v>1654</v>
      </c>
      <c r="C2938" s="31" t="s">
        <v>151</v>
      </c>
      <c r="D2938" s="31" t="s">
        <v>2551</v>
      </c>
      <c r="E2938" s="25">
        <v>45841</v>
      </c>
      <c r="F2938" s="26" t="s">
        <v>2</v>
      </c>
    </row>
    <row r="2939" spans="1:6" ht="16.8" customHeight="1" x14ac:dyDescent="0.3">
      <c r="A2939" s="20">
        <v>44536</v>
      </c>
      <c r="B2939" s="31" t="s">
        <v>1135</v>
      </c>
      <c r="C2939" s="31" t="s">
        <v>440</v>
      </c>
      <c r="D2939" s="31" t="s">
        <v>947</v>
      </c>
      <c r="E2939" s="25">
        <v>45918</v>
      </c>
      <c r="F2939" s="26" t="s">
        <v>1</v>
      </c>
    </row>
    <row r="2940" spans="1:6" ht="16.8" customHeight="1" x14ac:dyDescent="0.3">
      <c r="A2940" s="20">
        <v>44537</v>
      </c>
      <c r="B2940" s="31"/>
      <c r="C2940" s="31"/>
      <c r="D2940" s="31"/>
      <c r="E2940" s="25"/>
      <c r="F2940" s="26"/>
    </row>
    <row r="2941" spans="1:6" ht="16.8" customHeight="1" x14ac:dyDescent="0.3">
      <c r="A2941" s="20">
        <v>44538</v>
      </c>
      <c r="B2941" s="31"/>
      <c r="C2941" s="31"/>
      <c r="D2941" s="31"/>
      <c r="E2941" s="25"/>
      <c r="F2941" s="26"/>
    </row>
    <row r="2942" spans="1:6" ht="16.8" customHeight="1" x14ac:dyDescent="0.3">
      <c r="A2942" s="20">
        <v>44539</v>
      </c>
      <c r="B2942" s="31" t="s">
        <v>54</v>
      </c>
      <c r="C2942" s="31" t="s">
        <v>140</v>
      </c>
      <c r="D2942" s="31" t="s">
        <v>380</v>
      </c>
      <c r="E2942" s="25">
        <v>45841</v>
      </c>
      <c r="F2942" s="26" t="s">
        <v>1</v>
      </c>
    </row>
    <row r="2943" spans="1:6" ht="16.8" customHeight="1" x14ac:dyDescent="0.3">
      <c r="A2943" s="20">
        <v>44540</v>
      </c>
      <c r="B2943" s="31" t="s">
        <v>758</v>
      </c>
      <c r="C2943" s="31" t="s">
        <v>2579</v>
      </c>
      <c r="D2943" s="31" t="s">
        <v>757</v>
      </c>
      <c r="E2943" s="25">
        <v>45842</v>
      </c>
      <c r="F2943" s="26" t="s">
        <v>1</v>
      </c>
    </row>
    <row r="2944" spans="1:6" ht="16.8" customHeight="1" x14ac:dyDescent="0.3">
      <c r="A2944" s="20">
        <v>44541</v>
      </c>
      <c r="B2944" s="31"/>
      <c r="C2944" s="31"/>
      <c r="D2944" s="31"/>
      <c r="E2944" s="25"/>
      <c r="F2944" s="26"/>
    </row>
    <row r="2945" spans="1:6" ht="16.8" customHeight="1" x14ac:dyDescent="0.3">
      <c r="A2945" s="20">
        <v>44542</v>
      </c>
      <c r="B2945" s="31" t="s">
        <v>236</v>
      </c>
      <c r="C2945" s="31" t="s">
        <v>2145</v>
      </c>
      <c r="D2945" s="31" t="s">
        <v>2632</v>
      </c>
      <c r="E2945" s="25">
        <v>45915</v>
      </c>
      <c r="F2945" s="26" t="s">
        <v>2</v>
      </c>
    </row>
    <row r="2946" spans="1:6" ht="16.8" customHeight="1" x14ac:dyDescent="0.3">
      <c r="A2946" s="20">
        <v>44543</v>
      </c>
      <c r="B2946" s="31"/>
      <c r="C2946" s="31"/>
      <c r="D2946" s="31"/>
      <c r="E2946" s="25"/>
      <c r="F2946" s="26"/>
    </row>
    <row r="2947" spans="1:6" ht="16.8" customHeight="1" x14ac:dyDescent="0.3">
      <c r="A2947" s="20">
        <v>44544</v>
      </c>
      <c r="B2947" s="31" t="s">
        <v>1087</v>
      </c>
      <c r="C2947" s="31" t="s">
        <v>1094</v>
      </c>
      <c r="D2947" s="31" t="s">
        <v>2403</v>
      </c>
      <c r="E2947" s="25">
        <v>45896</v>
      </c>
      <c r="F2947" s="26" t="s">
        <v>4</v>
      </c>
    </row>
    <row r="2948" spans="1:6" ht="16.8" customHeight="1" x14ac:dyDescent="0.3">
      <c r="A2948" s="20">
        <v>44545</v>
      </c>
      <c r="B2948" s="31" t="s">
        <v>2588</v>
      </c>
      <c r="C2948" s="31" t="s">
        <v>400</v>
      </c>
      <c r="D2948" s="31" t="s">
        <v>153</v>
      </c>
      <c r="E2948" s="25">
        <v>45845</v>
      </c>
      <c r="F2948" s="26" t="s">
        <v>1</v>
      </c>
    </row>
    <row r="2949" spans="1:6" ht="16.8" customHeight="1" x14ac:dyDescent="0.3">
      <c r="A2949" s="20">
        <v>44546</v>
      </c>
      <c r="B2949" s="31" t="s">
        <v>2580</v>
      </c>
      <c r="C2949" s="31" t="s">
        <v>252</v>
      </c>
      <c r="D2949" s="31" t="s">
        <v>933</v>
      </c>
      <c r="E2949" s="25">
        <v>45842</v>
      </c>
      <c r="F2949" s="26" t="s">
        <v>1</v>
      </c>
    </row>
    <row r="2950" spans="1:6" ht="16.8" customHeight="1" x14ac:dyDescent="0.3">
      <c r="A2950" s="20">
        <v>44547</v>
      </c>
      <c r="B2950" s="31" t="s">
        <v>1536</v>
      </c>
      <c r="C2950" s="31" t="s">
        <v>75</v>
      </c>
      <c r="D2950" s="31" t="s">
        <v>2634</v>
      </c>
      <c r="E2950" s="25">
        <v>45866</v>
      </c>
      <c r="F2950" s="26" t="s">
        <v>3</v>
      </c>
    </row>
    <row r="2951" spans="1:6" ht="16.8" customHeight="1" x14ac:dyDescent="0.3">
      <c r="A2951" s="20">
        <v>44548</v>
      </c>
      <c r="B2951" s="31"/>
      <c r="C2951" s="31"/>
      <c r="D2951" s="31"/>
      <c r="E2951" s="25"/>
      <c r="F2951" s="26"/>
    </row>
    <row r="2952" spans="1:6" ht="16.8" customHeight="1" x14ac:dyDescent="0.3">
      <c r="A2952" s="20">
        <v>44549</v>
      </c>
      <c r="B2952" s="31"/>
      <c r="C2952" s="31"/>
      <c r="D2952" s="31"/>
      <c r="E2952" s="25"/>
      <c r="F2952" s="26"/>
    </row>
    <row r="2953" spans="1:6" ht="16.8" customHeight="1" x14ac:dyDescent="0.3">
      <c r="A2953" s="20">
        <v>44550</v>
      </c>
      <c r="B2953" s="31"/>
      <c r="C2953" s="31"/>
      <c r="D2953" s="31"/>
      <c r="E2953" s="25"/>
      <c r="F2953" s="26"/>
    </row>
    <row r="2954" spans="1:6" ht="16.8" customHeight="1" x14ac:dyDescent="0.3">
      <c r="A2954" s="20">
        <v>44551</v>
      </c>
      <c r="B2954" s="31" t="s">
        <v>1536</v>
      </c>
      <c r="C2954" s="31" t="s">
        <v>367</v>
      </c>
      <c r="D2954" s="31" t="s">
        <v>2633</v>
      </c>
      <c r="E2954" s="25">
        <v>45867</v>
      </c>
      <c r="F2954" s="26" t="s">
        <v>3</v>
      </c>
    </row>
    <row r="2955" spans="1:6" ht="16.8" customHeight="1" x14ac:dyDescent="0.3">
      <c r="A2955" s="20">
        <v>44552</v>
      </c>
      <c r="B2955" s="31" t="s">
        <v>559</v>
      </c>
      <c r="C2955" s="31" t="s">
        <v>1017</v>
      </c>
      <c r="D2955" s="31" t="s">
        <v>1148</v>
      </c>
      <c r="E2955" s="25">
        <v>45846</v>
      </c>
      <c r="F2955" s="26" t="s">
        <v>1</v>
      </c>
    </row>
    <row r="2956" spans="1:6" ht="16.8" customHeight="1" x14ac:dyDescent="0.3">
      <c r="A2956" s="20">
        <v>44553</v>
      </c>
      <c r="B2956" s="31"/>
      <c r="C2956" s="31"/>
      <c r="D2956" s="31"/>
      <c r="E2956" s="25"/>
      <c r="F2956" s="26"/>
    </row>
    <row r="2957" spans="1:6" ht="16.8" customHeight="1" x14ac:dyDescent="0.3">
      <c r="A2957" s="20">
        <v>44554</v>
      </c>
      <c r="B2957" s="31" t="s">
        <v>773</v>
      </c>
      <c r="C2957" s="31" t="s">
        <v>181</v>
      </c>
      <c r="D2957" s="31" t="s">
        <v>1096</v>
      </c>
      <c r="E2957" s="25">
        <v>45846</v>
      </c>
      <c r="F2957" s="26" t="s">
        <v>4</v>
      </c>
    </row>
    <row r="2958" spans="1:6" ht="16.8" customHeight="1" x14ac:dyDescent="0.3">
      <c r="A2958" s="20">
        <v>44555</v>
      </c>
      <c r="B2958" s="31" t="s">
        <v>758</v>
      </c>
      <c r="C2958" s="31" t="s">
        <v>2793</v>
      </c>
      <c r="D2958" s="31" t="s">
        <v>121</v>
      </c>
      <c r="E2958" s="25">
        <v>45918</v>
      </c>
      <c r="F2958" s="26" t="s">
        <v>4</v>
      </c>
    </row>
    <row r="2959" spans="1:6" ht="16.8" customHeight="1" x14ac:dyDescent="0.3">
      <c r="A2959" s="20">
        <v>44556</v>
      </c>
      <c r="B2959" s="31" t="s">
        <v>41</v>
      </c>
      <c r="C2959" s="31" t="s">
        <v>472</v>
      </c>
      <c r="D2959" s="31" t="s">
        <v>2686</v>
      </c>
      <c r="E2959" s="25">
        <v>45874</v>
      </c>
      <c r="F2959" s="26" t="s">
        <v>4</v>
      </c>
    </row>
    <row r="2960" spans="1:6" ht="16.8" customHeight="1" x14ac:dyDescent="0.3">
      <c r="A2960" s="20">
        <v>44557</v>
      </c>
      <c r="B2960" s="31" t="s">
        <v>2596</v>
      </c>
      <c r="C2960" s="31"/>
      <c r="D2960" s="31" t="s">
        <v>27</v>
      </c>
      <c r="E2960" s="25">
        <v>45846</v>
      </c>
      <c r="F2960" s="26" t="s">
        <v>1</v>
      </c>
    </row>
    <row r="2961" spans="1:6" ht="16.8" customHeight="1" x14ac:dyDescent="0.3">
      <c r="A2961" s="20">
        <v>44558</v>
      </c>
      <c r="B2961" s="31" t="s">
        <v>1081</v>
      </c>
      <c r="C2961" s="31" t="s">
        <v>718</v>
      </c>
      <c r="D2961" s="31" t="s">
        <v>671</v>
      </c>
      <c r="E2961" s="25">
        <v>45846</v>
      </c>
      <c r="F2961" s="26" t="s">
        <v>12</v>
      </c>
    </row>
    <row r="2962" spans="1:6" ht="16.8" customHeight="1" x14ac:dyDescent="0.3">
      <c r="A2962" s="20">
        <v>44559</v>
      </c>
      <c r="B2962" s="31"/>
      <c r="C2962" s="31"/>
      <c r="D2962" s="31"/>
      <c r="E2962" s="25"/>
      <c r="F2962" s="26"/>
    </row>
    <row r="2963" spans="1:6" ht="16.8" customHeight="1" x14ac:dyDescent="0.3">
      <c r="A2963" s="20">
        <v>44560</v>
      </c>
      <c r="B2963" s="31" t="s">
        <v>41</v>
      </c>
      <c r="C2963" s="31" t="s">
        <v>668</v>
      </c>
      <c r="D2963" s="31" t="s">
        <v>2686</v>
      </c>
      <c r="E2963" s="25">
        <v>45896</v>
      </c>
      <c r="F2963" s="26" t="s">
        <v>4</v>
      </c>
    </row>
    <row r="2964" spans="1:6" ht="16.8" customHeight="1" x14ac:dyDescent="0.3">
      <c r="A2964" s="20">
        <v>44561</v>
      </c>
      <c r="B2964" s="31" t="s">
        <v>256</v>
      </c>
      <c r="C2964" s="31" t="s">
        <v>1129</v>
      </c>
      <c r="D2964" s="31" t="s">
        <v>2598</v>
      </c>
      <c r="E2964" s="25">
        <v>45846</v>
      </c>
      <c r="F2964" s="26" t="s">
        <v>1</v>
      </c>
    </row>
    <row r="2965" spans="1:6" ht="16.8" customHeight="1" x14ac:dyDescent="0.3">
      <c r="A2965" s="20">
        <v>44562</v>
      </c>
      <c r="B2965" s="31" t="s">
        <v>2599</v>
      </c>
      <c r="C2965" s="31" t="s">
        <v>106</v>
      </c>
      <c r="D2965" s="31" t="s">
        <v>126</v>
      </c>
      <c r="E2965" s="25">
        <v>45846</v>
      </c>
      <c r="F2965" s="26" t="s">
        <v>1</v>
      </c>
    </row>
    <row r="2966" spans="1:6" ht="16.8" customHeight="1" x14ac:dyDescent="0.3">
      <c r="A2966" s="20">
        <v>44563</v>
      </c>
      <c r="B2966" s="31" t="s">
        <v>41</v>
      </c>
      <c r="C2966" s="31" t="s">
        <v>32</v>
      </c>
      <c r="D2966" s="31" t="s">
        <v>58</v>
      </c>
      <c r="E2966" s="25">
        <v>45846</v>
      </c>
      <c r="F2966" s="26" t="s">
        <v>4</v>
      </c>
    </row>
    <row r="2967" spans="1:6" ht="16.8" customHeight="1" x14ac:dyDescent="0.3">
      <c r="A2967" s="20">
        <v>44564</v>
      </c>
      <c r="B2967" s="31"/>
      <c r="C2967" s="31"/>
      <c r="D2967" s="31"/>
      <c r="E2967" s="25"/>
      <c r="F2967" s="26"/>
    </row>
    <row r="2968" spans="1:6" ht="16.8" customHeight="1" x14ac:dyDescent="0.3">
      <c r="A2968" s="20">
        <v>44565</v>
      </c>
      <c r="B2968" s="31"/>
      <c r="C2968" s="31"/>
      <c r="D2968" s="31"/>
      <c r="E2968" s="25"/>
      <c r="F2968" s="26"/>
    </row>
    <row r="2969" spans="1:6" ht="16.8" customHeight="1" x14ac:dyDescent="0.3">
      <c r="A2969" s="20">
        <v>44566</v>
      </c>
      <c r="B2969" s="31" t="s">
        <v>1097</v>
      </c>
      <c r="C2969" s="31" t="s">
        <v>106</v>
      </c>
      <c r="D2969" s="31" t="s">
        <v>2635</v>
      </c>
      <c r="E2969" s="25">
        <v>45867</v>
      </c>
      <c r="F2969" s="26" t="s">
        <v>2</v>
      </c>
    </row>
    <row r="2970" spans="1:6" ht="16.8" customHeight="1" x14ac:dyDescent="0.3">
      <c r="A2970" s="20">
        <v>44567</v>
      </c>
      <c r="B2970" s="31"/>
      <c r="C2970" s="31"/>
      <c r="D2970" s="31"/>
      <c r="E2970" s="25"/>
      <c r="F2970" s="26"/>
    </row>
    <row r="2971" spans="1:6" ht="16.8" customHeight="1" x14ac:dyDescent="0.3">
      <c r="A2971" s="20">
        <v>44568</v>
      </c>
      <c r="B2971" s="31"/>
      <c r="C2971" s="31"/>
      <c r="D2971" s="31"/>
      <c r="E2971" s="25"/>
      <c r="F2971" s="26"/>
    </row>
    <row r="2972" spans="1:6" ht="16.8" customHeight="1" x14ac:dyDescent="0.3">
      <c r="A2972" s="20">
        <v>44569</v>
      </c>
      <c r="B2972" s="31"/>
      <c r="C2972" s="31"/>
      <c r="D2972" s="31"/>
      <c r="E2972" s="25"/>
      <c r="F2972" s="26"/>
    </row>
    <row r="2973" spans="1:6" ht="16.8" customHeight="1" x14ac:dyDescent="0.3">
      <c r="A2973" s="20">
        <v>44570</v>
      </c>
      <c r="B2973" s="31" t="s">
        <v>309</v>
      </c>
      <c r="C2973" s="31" t="s">
        <v>82</v>
      </c>
      <c r="D2973" s="31" t="s">
        <v>1948</v>
      </c>
      <c r="E2973" s="25">
        <v>45918</v>
      </c>
      <c r="F2973" s="26" t="s">
        <v>1</v>
      </c>
    </row>
    <row r="2974" spans="1:6" ht="16.8" customHeight="1" x14ac:dyDescent="0.3">
      <c r="A2974" s="20">
        <v>44571</v>
      </c>
      <c r="B2974" s="31"/>
      <c r="C2974" s="31"/>
      <c r="D2974" s="31"/>
      <c r="E2974" s="25"/>
      <c r="F2974" s="26"/>
    </row>
    <row r="2975" spans="1:6" ht="16.8" customHeight="1" x14ac:dyDescent="0.3">
      <c r="A2975" s="20">
        <v>44572</v>
      </c>
      <c r="B2975" s="31"/>
      <c r="C2975" s="31"/>
      <c r="D2975" s="31"/>
      <c r="E2975" s="25"/>
      <c r="F2975" s="26"/>
    </row>
    <row r="2976" spans="1:6" ht="16.8" customHeight="1" x14ac:dyDescent="0.3">
      <c r="A2976" s="20">
        <v>44573</v>
      </c>
      <c r="B2976" s="31" t="s">
        <v>251</v>
      </c>
      <c r="C2976" s="31" t="s">
        <v>252</v>
      </c>
      <c r="D2976" s="31" t="s">
        <v>2657</v>
      </c>
      <c r="E2976" s="25">
        <v>45869</v>
      </c>
      <c r="F2976" s="26" t="s">
        <v>1</v>
      </c>
    </row>
    <row r="2977" spans="1:6" ht="16.8" customHeight="1" x14ac:dyDescent="0.3">
      <c r="A2977" s="20">
        <v>44574</v>
      </c>
      <c r="B2977" s="31" t="s">
        <v>353</v>
      </c>
      <c r="C2977" s="31" t="s">
        <v>32</v>
      </c>
      <c r="D2977" s="31" t="s">
        <v>2352</v>
      </c>
      <c r="E2977" s="25">
        <v>45926</v>
      </c>
      <c r="F2977" s="26" t="s">
        <v>5</v>
      </c>
    </row>
    <row r="2978" spans="1:6" ht="16.8" customHeight="1" x14ac:dyDescent="0.3">
      <c r="A2978" s="20">
        <v>44575</v>
      </c>
      <c r="B2978" s="31" t="s">
        <v>41</v>
      </c>
      <c r="C2978" s="31" t="s">
        <v>45</v>
      </c>
      <c r="D2978" s="31" t="s">
        <v>2352</v>
      </c>
      <c r="E2978" s="25">
        <v>45869</v>
      </c>
      <c r="F2978" s="26" t="s">
        <v>5</v>
      </c>
    </row>
    <row r="2979" spans="1:6" ht="16.8" customHeight="1" x14ac:dyDescent="0.3">
      <c r="A2979" s="20">
        <v>44576</v>
      </c>
      <c r="B2979" s="31"/>
      <c r="C2979" s="31"/>
      <c r="D2979" s="31"/>
      <c r="E2979" s="25"/>
      <c r="F2979" s="26"/>
    </row>
    <row r="2980" spans="1:6" ht="16.8" customHeight="1" x14ac:dyDescent="0.3">
      <c r="A2980" s="20">
        <v>44577</v>
      </c>
      <c r="B2980" s="31" t="s">
        <v>567</v>
      </c>
      <c r="C2980" s="31" t="s">
        <v>568</v>
      </c>
      <c r="D2980" s="31" t="s">
        <v>2625</v>
      </c>
      <c r="E2980" s="25">
        <v>45854</v>
      </c>
      <c r="F2980" s="26" t="s">
        <v>1</v>
      </c>
    </row>
    <row r="2981" spans="1:6" ht="16.8" customHeight="1" x14ac:dyDescent="0.3">
      <c r="A2981" s="20">
        <v>44578</v>
      </c>
      <c r="B2981" s="31"/>
      <c r="C2981" s="31"/>
      <c r="D2981" s="31"/>
      <c r="E2981" s="25"/>
      <c r="F2981" s="26"/>
    </row>
    <row r="2982" spans="1:6" ht="16.8" customHeight="1" x14ac:dyDescent="0.3">
      <c r="A2982" s="20">
        <v>44579</v>
      </c>
      <c r="B2982" s="31"/>
      <c r="C2982" s="31"/>
      <c r="D2982" s="31"/>
      <c r="E2982" s="25"/>
      <c r="F2982" s="26"/>
    </row>
    <row r="2983" spans="1:6" ht="16.8" customHeight="1" x14ac:dyDescent="0.3">
      <c r="A2983" s="20">
        <v>44580</v>
      </c>
      <c r="B2983" s="31"/>
      <c r="C2983" s="31"/>
      <c r="D2983" s="31"/>
      <c r="E2983" s="25"/>
      <c r="F2983" s="26"/>
    </row>
    <row r="2984" spans="1:6" ht="16.8" customHeight="1" x14ac:dyDescent="0.3">
      <c r="A2984" s="20">
        <v>44581</v>
      </c>
      <c r="B2984" s="31" t="s">
        <v>309</v>
      </c>
      <c r="C2984" s="31" t="s">
        <v>2607</v>
      </c>
      <c r="D2984" s="31" t="s">
        <v>2608</v>
      </c>
      <c r="E2984" s="25">
        <v>45848</v>
      </c>
      <c r="F2984" s="26" t="s">
        <v>2</v>
      </c>
    </row>
    <row r="2985" spans="1:6" ht="16.8" customHeight="1" x14ac:dyDescent="0.3">
      <c r="A2985" s="20">
        <v>44582</v>
      </c>
      <c r="B2985" s="31" t="s">
        <v>1574</v>
      </c>
      <c r="C2985" s="31" t="s">
        <v>1287</v>
      </c>
      <c r="D2985" s="31" t="s">
        <v>592</v>
      </c>
      <c r="E2985" s="25">
        <v>45854</v>
      </c>
      <c r="F2985" s="26" t="s">
        <v>2077</v>
      </c>
    </row>
    <row r="2986" spans="1:6" ht="16.8" customHeight="1" x14ac:dyDescent="0.3">
      <c r="A2986" s="20">
        <v>44583</v>
      </c>
      <c r="B2986" s="31" t="s">
        <v>705</v>
      </c>
      <c r="C2986" s="31" t="s">
        <v>82</v>
      </c>
      <c r="D2986" s="31" t="s">
        <v>2667</v>
      </c>
      <c r="E2986" s="25">
        <v>45873</v>
      </c>
      <c r="F2986" s="26" t="s">
        <v>1</v>
      </c>
    </row>
    <row r="2987" spans="1:6" ht="16.8" customHeight="1" x14ac:dyDescent="0.3">
      <c r="A2987" s="20">
        <v>44584</v>
      </c>
      <c r="B2987" s="31" t="s">
        <v>62</v>
      </c>
      <c r="C2987" s="31" t="s">
        <v>63</v>
      </c>
      <c r="D2987" s="31" t="s">
        <v>2352</v>
      </c>
      <c r="E2987" s="25">
        <v>45909</v>
      </c>
      <c r="F2987" s="26" t="s">
        <v>5</v>
      </c>
    </row>
    <row r="2988" spans="1:6" ht="16.8" customHeight="1" x14ac:dyDescent="0.3">
      <c r="A2988" s="20">
        <v>44585</v>
      </c>
      <c r="B2988" s="31" t="s">
        <v>1087</v>
      </c>
      <c r="C2988" s="31" t="s">
        <v>148</v>
      </c>
      <c r="D2988" s="31" t="s">
        <v>380</v>
      </c>
      <c r="E2988" s="25">
        <v>45895</v>
      </c>
      <c r="F2988" s="26" t="s">
        <v>1</v>
      </c>
    </row>
    <row r="2989" spans="1:6" ht="16.8" customHeight="1" x14ac:dyDescent="0.3">
      <c r="A2989" s="20">
        <v>44586</v>
      </c>
      <c r="B2989" s="31" t="s">
        <v>1027</v>
      </c>
      <c r="C2989" s="31"/>
      <c r="D2989" s="31" t="s">
        <v>27</v>
      </c>
      <c r="E2989" s="25">
        <v>45854</v>
      </c>
      <c r="F2989" s="26" t="s">
        <v>1</v>
      </c>
    </row>
    <row r="2990" spans="1:6" ht="16.8" customHeight="1" x14ac:dyDescent="0.3">
      <c r="A2990" s="20">
        <v>44587</v>
      </c>
      <c r="B2990" s="31" t="s">
        <v>180</v>
      </c>
      <c r="C2990" s="31" t="s">
        <v>181</v>
      </c>
      <c r="D2990" s="31" t="s">
        <v>2658</v>
      </c>
      <c r="E2990" s="25">
        <v>45869</v>
      </c>
      <c r="F2990" s="26" t="s">
        <v>1</v>
      </c>
    </row>
    <row r="2991" spans="1:6" ht="16.8" customHeight="1" x14ac:dyDescent="0.3">
      <c r="A2991" s="20">
        <v>44588</v>
      </c>
      <c r="B2991" s="31" t="s">
        <v>262</v>
      </c>
      <c r="C2991" s="31" t="s">
        <v>263</v>
      </c>
      <c r="D2991" s="31" t="s">
        <v>2620</v>
      </c>
      <c r="E2991" s="25">
        <v>45853</v>
      </c>
      <c r="F2991" s="26" t="s">
        <v>2</v>
      </c>
    </row>
    <row r="2992" spans="1:6" ht="16.8" customHeight="1" x14ac:dyDescent="0.3">
      <c r="A2992" s="20">
        <v>44589</v>
      </c>
      <c r="B2992" s="31" t="s">
        <v>262</v>
      </c>
      <c r="C2992" s="31" t="s">
        <v>596</v>
      </c>
      <c r="D2992" s="31" t="s">
        <v>2655</v>
      </c>
      <c r="E2992" s="25">
        <v>45868</v>
      </c>
      <c r="F2992" s="26" t="s">
        <v>2</v>
      </c>
    </row>
    <row r="2993" spans="1:6" ht="16.8" customHeight="1" x14ac:dyDescent="0.3">
      <c r="A2993" s="20">
        <v>44590</v>
      </c>
      <c r="B2993" s="31" t="s">
        <v>74</v>
      </c>
      <c r="C2993" s="31" t="s">
        <v>75</v>
      </c>
      <c r="D2993" s="31" t="s">
        <v>683</v>
      </c>
      <c r="E2993" s="25">
        <v>45849</v>
      </c>
      <c r="F2993" s="26" t="s">
        <v>1</v>
      </c>
    </row>
    <row r="2994" spans="1:6" ht="16.8" customHeight="1" x14ac:dyDescent="0.3">
      <c r="A2994" s="20">
        <v>44591</v>
      </c>
      <c r="B2994" s="31"/>
      <c r="C2994" s="31"/>
      <c r="D2994" s="31"/>
      <c r="E2994" s="25"/>
      <c r="F2994" s="26"/>
    </row>
    <row r="2995" spans="1:6" ht="16.8" customHeight="1" x14ac:dyDescent="0.3">
      <c r="A2995" s="20">
        <v>44592</v>
      </c>
      <c r="B2995" s="31" t="s">
        <v>74</v>
      </c>
      <c r="C2995" s="31" t="s">
        <v>367</v>
      </c>
      <c r="D2995" s="31" t="s">
        <v>2626</v>
      </c>
      <c r="E2995" s="25">
        <v>45854</v>
      </c>
      <c r="F2995" s="26" t="s">
        <v>2</v>
      </c>
    </row>
    <row r="2996" spans="1:6" ht="16.8" customHeight="1" x14ac:dyDescent="0.3">
      <c r="A2996" s="20">
        <v>44593</v>
      </c>
      <c r="B2996" s="31" t="s">
        <v>560</v>
      </c>
      <c r="C2996" s="31" t="s">
        <v>32</v>
      </c>
      <c r="D2996" s="31" t="s">
        <v>121</v>
      </c>
      <c r="E2996" s="25">
        <v>45918</v>
      </c>
      <c r="F2996" s="26" t="s">
        <v>4</v>
      </c>
    </row>
    <row r="2997" spans="1:6" ht="16.8" customHeight="1" x14ac:dyDescent="0.3">
      <c r="A2997" s="20">
        <v>44594</v>
      </c>
      <c r="B2997" s="31" t="s">
        <v>834</v>
      </c>
      <c r="C2997" s="31" t="s">
        <v>2659</v>
      </c>
      <c r="D2997" s="31" t="s">
        <v>403</v>
      </c>
      <c r="E2997" s="25">
        <v>45869</v>
      </c>
      <c r="F2997" s="26" t="s">
        <v>1</v>
      </c>
    </row>
    <row r="2998" spans="1:6" ht="16.8" customHeight="1" x14ac:dyDescent="0.3">
      <c r="A2998" s="20">
        <v>44595</v>
      </c>
      <c r="B2998" s="31"/>
      <c r="C2998" s="31"/>
      <c r="D2998" s="31"/>
      <c r="E2998" s="25"/>
      <c r="F2998" s="26"/>
    </row>
    <row r="2999" spans="1:6" ht="16.8" customHeight="1" x14ac:dyDescent="0.3">
      <c r="A2999" s="20">
        <v>44596</v>
      </c>
      <c r="B2999" s="31"/>
      <c r="C2999" s="31"/>
      <c r="D2999" s="31"/>
      <c r="E2999" s="25"/>
      <c r="F2999" s="26"/>
    </row>
    <row r="3000" spans="1:6" ht="16.8" customHeight="1" x14ac:dyDescent="0.3">
      <c r="A3000" s="20">
        <v>44597</v>
      </c>
      <c r="B3000" s="31"/>
      <c r="C3000" s="31"/>
      <c r="D3000" s="31"/>
      <c r="E3000" s="25"/>
      <c r="F3000" s="26"/>
    </row>
    <row r="3001" spans="1:6" ht="16.8" customHeight="1" x14ac:dyDescent="0.3">
      <c r="A3001" s="20">
        <v>44598</v>
      </c>
      <c r="B3001" s="31"/>
      <c r="C3001" s="31"/>
      <c r="D3001" s="31"/>
      <c r="E3001" s="25"/>
      <c r="F3001" s="26"/>
    </row>
    <row r="3002" spans="1:6" ht="16.8" customHeight="1" x14ac:dyDescent="0.3">
      <c r="A3002" s="20">
        <v>44599</v>
      </c>
      <c r="B3002" s="31" t="s">
        <v>74</v>
      </c>
      <c r="C3002" s="31" t="s">
        <v>75</v>
      </c>
      <c r="D3002" s="31" t="s">
        <v>1049</v>
      </c>
      <c r="E3002" s="25">
        <v>45855</v>
      </c>
      <c r="F3002" s="26" t="s">
        <v>1</v>
      </c>
    </row>
    <row r="3003" spans="1:6" ht="16.8" customHeight="1" x14ac:dyDescent="0.3">
      <c r="A3003" s="20">
        <v>44600</v>
      </c>
      <c r="B3003" s="31" t="s">
        <v>2697</v>
      </c>
      <c r="C3003" s="31" t="s">
        <v>727</v>
      </c>
      <c r="D3003" s="31" t="s">
        <v>85</v>
      </c>
      <c r="E3003" s="25">
        <v>45875</v>
      </c>
      <c r="F3003" s="26" t="s">
        <v>1</v>
      </c>
    </row>
    <row r="3004" spans="1:6" ht="16.8" customHeight="1" x14ac:dyDescent="0.3">
      <c r="A3004" s="20">
        <v>44601</v>
      </c>
      <c r="B3004" s="31" t="s">
        <v>450</v>
      </c>
      <c r="C3004" s="31" t="s">
        <v>444</v>
      </c>
      <c r="D3004" s="31" t="s">
        <v>255</v>
      </c>
      <c r="E3004" s="25">
        <v>45896</v>
      </c>
      <c r="F3004" s="26" t="s">
        <v>1</v>
      </c>
    </row>
    <row r="3005" spans="1:6" ht="16.8" customHeight="1" x14ac:dyDescent="0.3">
      <c r="A3005" s="20">
        <v>44602</v>
      </c>
      <c r="B3005" s="31"/>
      <c r="C3005" s="31"/>
      <c r="D3005" s="31"/>
      <c r="E3005" s="25"/>
      <c r="F3005" s="26"/>
    </row>
    <row r="3006" spans="1:6" ht="16.8" customHeight="1" x14ac:dyDescent="0.3">
      <c r="A3006" s="20">
        <v>44603</v>
      </c>
      <c r="B3006" s="31"/>
      <c r="C3006" s="31"/>
      <c r="D3006" s="31"/>
      <c r="E3006" s="25"/>
      <c r="F3006" s="26"/>
    </row>
    <row r="3007" spans="1:6" ht="16.8" customHeight="1" x14ac:dyDescent="0.3">
      <c r="A3007" s="20">
        <v>44604</v>
      </c>
      <c r="B3007" s="31" t="s">
        <v>2660</v>
      </c>
      <c r="C3007" s="31" t="s">
        <v>154</v>
      </c>
      <c r="D3007" s="31" t="s">
        <v>615</v>
      </c>
      <c r="E3007" s="25">
        <v>45869</v>
      </c>
      <c r="F3007" s="26" t="s">
        <v>1</v>
      </c>
    </row>
    <row r="3008" spans="1:6" ht="16.8" customHeight="1" x14ac:dyDescent="0.3">
      <c r="A3008" s="20">
        <v>44605</v>
      </c>
      <c r="B3008" s="31" t="s">
        <v>474</v>
      </c>
      <c r="C3008" s="31" t="s">
        <v>2698</v>
      </c>
      <c r="D3008" s="31" t="s">
        <v>662</v>
      </c>
      <c r="E3008" s="25">
        <v>45875</v>
      </c>
      <c r="F3008" s="26" t="s">
        <v>1</v>
      </c>
    </row>
    <row r="3009" spans="1:6" ht="16.8" customHeight="1" x14ac:dyDescent="0.3">
      <c r="A3009" s="20">
        <v>44606</v>
      </c>
      <c r="B3009" s="31" t="s">
        <v>2794</v>
      </c>
      <c r="C3009" s="31" t="s">
        <v>1023</v>
      </c>
      <c r="D3009" s="31" t="s">
        <v>121</v>
      </c>
      <c r="E3009" s="25">
        <v>45918</v>
      </c>
      <c r="F3009" s="26" t="s">
        <v>4</v>
      </c>
    </row>
    <row r="3010" spans="1:6" ht="16.8" customHeight="1" x14ac:dyDescent="0.3">
      <c r="A3010" s="20">
        <v>44607</v>
      </c>
      <c r="B3010" s="31" t="s">
        <v>1535</v>
      </c>
      <c r="C3010" s="31" t="s">
        <v>45</v>
      </c>
      <c r="D3010" s="31" t="s">
        <v>2352</v>
      </c>
      <c r="E3010" s="25">
        <v>45867</v>
      </c>
      <c r="F3010" s="26" t="s">
        <v>5</v>
      </c>
    </row>
    <row r="3011" spans="1:6" ht="16.8" customHeight="1" x14ac:dyDescent="0.3">
      <c r="A3011" s="20">
        <v>44608</v>
      </c>
      <c r="B3011" s="31" t="s">
        <v>328</v>
      </c>
      <c r="C3011" s="31" t="s">
        <v>148</v>
      </c>
      <c r="D3011" s="31" t="s">
        <v>2352</v>
      </c>
      <c r="E3011" s="25">
        <v>45867</v>
      </c>
      <c r="F3011" s="26" t="s">
        <v>5</v>
      </c>
    </row>
    <row r="3012" spans="1:6" ht="16.8" customHeight="1" x14ac:dyDescent="0.3">
      <c r="A3012" s="20">
        <v>44609</v>
      </c>
      <c r="B3012" s="31" t="s">
        <v>325</v>
      </c>
      <c r="C3012" s="31" t="s">
        <v>367</v>
      </c>
      <c r="D3012" s="31" t="s">
        <v>2352</v>
      </c>
      <c r="E3012" s="25">
        <v>45867</v>
      </c>
      <c r="F3012" s="26" t="s">
        <v>5</v>
      </c>
    </row>
    <row r="3013" spans="1:6" ht="16.8" customHeight="1" x14ac:dyDescent="0.3">
      <c r="A3013" s="20">
        <v>44610</v>
      </c>
      <c r="B3013" s="31" t="s">
        <v>486</v>
      </c>
      <c r="C3013" s="31" t="s">
        <v>487</v>
      </c>
      <c r="D3013" s="31" t="s">
        <v>2352</v>
      </c>
      <c r="E3013" s="25">
        <v>45867</v>
      </c>
      <c r="F3013" s="26" t="s">
        <v>5</v>
      </c>
    </row>
    <row r="3014" spans="1:6" ht="16.8" customHeight="1" x14ac:dyDescent="0.3">
      <c r="A3014" s="20">
        <v>44611</v>
      </c>
      <c r="B3014" s="31"/>
      <c r="C3014" s="31"/>
      <c r="D3014" s="31"/>
      <c r="E3014" s="25"/>
      <c r="F3014" s="26"/>
    </row>
    <row r="3015" spans="1:6" ht="16.8" customHeight="1" x14ac:dyDescent="0.3">
      <c r="A3015" s="20">
        <v>44612</v>
      </c>
      <c r="B3015" s="31" t="s">
        <v>41</v>
      </c>
      <c r="C3015" s="31" t="s">
        <v>2351</v>
      </c>
      <c r="D3015" s="31" t="s">
        <v>2352</v>
      </c>
      <c r="E3015" s="25">
        <v>45869</v>
      </c>
      <c r="F3015" s="26" t="s">
        <v>5</v>
      </c>
    </row>
    <row r="3016" spans="1:6" ht="16.8" customHeight="1" x14ac:dyDescent="0.3">
      <c r="A3016" s="20">
        <v>44613</v>
      </c>
      <c r="B3016" s="31"/>
      <c r="C3016" s="31"/>
      <c r="D3016" s="31"/>
      <c r="E3016" s="25"/>
      <c r="F3016" s="26"/>
    </row>
    <row r="3017" spans="1:6" ht="16.8" customHeight="1" x14ac:dyDescent="0.3">
      <c r="A3017" s="20">
        <v>44614</v>
      </c>
      <c r="B3017" s="31" t="s">
        <v>2567</v>
      </c>
      <c r="C3017" s="31" t="s">
        <v>2568</v>
      </c>
      <c r="D3017" s="31" t="s">
        <v>168</v>
      </c>
      <c r="E3017" s="25">
        <v>45856</v>
      </c>
      <c r="F3017" s="26" t="s">
        <v>1</v>
      </c>
    </row>
    <row r="3018" spans="1:6" ht="16.8" customHeight="1" x14ac:dyDescent="0.3">
      <c r="A3018" s="20">
        <v>44615</v>
      </c>
      <c r="B3018" s="31" t="s">
        <v>41</v>
      </c>
      <c r="C3018" s="31" t="s">
        <v>82</v>
      </c>
      <c r="D3018" s="31" t="s">
        <v>1948</v>
      </c>
      <c r="E3018" s="25">
        <v>45930</v>
      </c>
      <c r="F3018" s="26" t="s">
        <v>4</v>
      </c>
    </row>
    <row r="3019" spans="1:6" ht="16.8" customHeight="1" x14ac:dyDescent="0.3">
      <c r="A3019" s="20">
        <v>44616</v>
      </c>
      <c r="B3019" s="31" t="s">
        <v>41</v>
      </c>
      <c r="C3019" s="31" t="s">
        <v>181</v>
      </c>
      <c r="D3019" s="31" t="s">
        <v>163</v>
      </c>
      <c r="E3019" s="25">
        <v>45876</v>
      </c>
      <c r="F3019" s="26" t="s">
        <v>2</v>
      </c>
    </row>
    <row r="3020" spans="1:6" ht="16.8" customHeight="1" x14ac:dyDescent="0.3">
      <c r="A3020" s="20">
        <v>44617</v>
      </c>
      <c r="B3020" s="31"/>
      <c r="C3020" s="31"/>
      <c r="D3020" s="31"/>
      <c r="E3020" s="25"/>
      <c r="F3020" s="26"/>
    </row>
    <row r="3021" spans="1:6" ht="16.8" customHeight="1" x14ac:dyDescent="0.3">
      <c r="A3021" s="20">
        <v>44618</v>
      </c>
      <c r="B3021" s="31"/>
      <c r="C3021" s="31"/>
      <c r="D3021" s="31"/>
      <c r="E3021" s="25"/>
      <c r="F3021" s="26"/>
    </row>
    <row r="3022" spans="1:6" ht="16.8" customHeight="1" x14ac:dyDescent="0.3">
      <c r="A3022" s="20">
        <v>44619</v>
      </c>
      <c r="B3022" s="31" t="s">
        <v>237</v>
      </c>
      <c r="C3022" s="31" t="s">
        <v>2713</v>
      </c>
      <c r="D3022" s="31" t="s">
        <v>85</v>
      </c>
      <c r="E3022" s="25">
        <v>45901</v>
      </c>
      <c r="F3022" s="26" t="s">
        <v>1</v>
      </c>
    </row>
    <row r="3023" spans="1:6" ht="16.8" customHeight="1" x14ac:dyDescent="0.3">
      <c r="A3023" s="20">
        <v>44620</v>
      </c>
      <c r="B3023" s="31" t="s">
        <v>2661</v>
      </c>
      <c r="C3023" s="31" t="s">
        <v>267</v>
      </c>
      <c r="D3023" s="31" t="s">
        <v>1028</v>
      </c>
      <c r="E3023" s="25">
        <v>45869</v>
      </c>
      <c r="F3023" s="26" t="s">
        <v>1</v>
      </c>
    </row>
    <row r="3024" spans="1:6" ht="16.8" customHeight="1" x14ac:dyDescent="0.3">
      <c r="A3024" s="20">
        <v>44621</v>
      </c>
      <c r="B3024" s="31"/>
      <c r="C3024" s="31"/>
      <c r="D3024" s="31"/>
      <c r="E3024" s="25"/>
      <c r="F3024" s="26"/>
    </row>
    <row r="3025" spans="1:6" ht="16.8" customHeight="1" x14ac:dyDescent="0.3">
      <c r="A3025" s="20">
        <v>44622</v>
      </c>
      <c r="B3025" s="31"/>
      <c r="C3025" s="31"/>
      <c r="D3025" s="31"/>
      <c r="E3025" s="25"/>
      <c r="F3025" s="26"/>
    </row>
    <row r="3026" spans="1:6" ht="16.8" customHeight="1" x14ac:dyDescent="0.3">
      <c r="A3026" s="20">
        <v>44623</v>
      </c>
      <c r="B3026" s="31" t="s">
        <v>56</v>
      </c>
      <c r="C3026" s="31" t="s">
        <v>106</v>
      </c>
      <c r="D3026" s="31" t="s">
        <v>2665</v>
      </c>
      <c r="E3026" s="25">
        <v>45870</v>
      </c>
      <c r="F3026" s="26" t="s">
        <v>5</v>
      </c>
    </row>
    <row r="3027" spans="1:6" ht="16.8" customHeight="1" x14ac:dyDescent="0.3">
      <c r="A3027" s="20">
        <v>44624</v>
      </c>
      <c r="B3027" s="31" t="s">
        <v>2588</v>
      </c>
      <c r="C3027" s="31" t="s">
        <v>2662</v>
      </c>
      <c r="D3027" s="31" t="s">
        <v>519</v>
      </c>
      <c r="E3027" s="25">
        <v>45870</v>
      </c>
      <c r="F3027" s="26" t="s">
        <v>1</v>
      </c>
    </row>
    <row r="3028" spans="1:6" ht="16.8" customHeight="1" x14ac:dyDescent="0.3">
      <c r="A3028" s="20">
        <v>44625</v>
      </c>
      <c r="B3028" s="31" t="s">
        <v>2663</v>
      </c>
      <c r="C3028" s="31" t="s">
        <v>167</v>
      </c>
      <c r="D3028" s="31" t="s">
        <v>403</v>
      </c>
      <c r="E3028" s="25">
        <v>45870</v>
      </c>
      <c r="F3028" s="26" t="s">
        <v>1</v>
      </c>
    </row>
    <row r="3029" spans="1:6" ht="16.8" customHeight="1" x14ac:dyDescent="0.3">
      <c r="A3029" s="20">
        <v>44626</v>
      </c>
      <c r="B3029" s="31"/>
      <c r="C3029" s="31"/>
      <c r="D3029" s="31"/>
      <c r="E3029" s="25"/>
      <c r="F3029" s="26"/>
    </row>
    <row r="3030" spans="1:6" ht="16.8" customHeight="1" x14ac:dyDescent="0.3">
      <c r="A3030" s="20">
        <v>44627</v>
      </c>
      <c r="B3030" s="31" t="s">
        <v>2653</v>
      </c>
      <c r="C3030" s="31" t="s">
        <v>82</v>
      </c>
      <c r="D3030" s="31" t="s">
        <v>98</v>
      </c>
      <c r="E3030" s="25">
        <v>45868</v>
      </c>
      <c r="F3030" s="26" t="s">
        <v>4</v>
      </c>
    </row>
    <row r="3031" spans="1:6" ht="16.8" customHeight="1" x14ac:dyDescent="0.3">
      <c r="A3031" s="20">
        <v>44628</v>
      </c>
      <c r="B3031" s="31" t="s">
        <v>2772</v>
      </c>
      <c r="C3031" s="31" t="s">
        <v>2229</v>
      </c>
      <c r="D3031" s="31" t="s">
        <v>2773</v>
      </c>
      <c r="E3031" s="25">
        <v>45916</v>
      </c>
      <c r="F3031" s="26" t="s">
        <v>1</v>
      </c>
    </row>
    <row r="3032" spans="1:6" ht="16.8" customHeight="1" x14ac:dyDescent="0.3">
      <c r="A3032" s="20">
        <v>44629</v>
      </c>
      <c r="B3032" s="31"/>
      <c r="C3032" s="31"/>
      <c r="D3032" s="31"/>
      <c r="E3032" s="25"/>
      <c r="F3032" s="26"/>
    </row>
    <row r="3033" spans="1:6" ht="16.8" customHeight="1" x14ac:dyDescent="0.3">
      <c r="A3033" s="20">
        <v>44630</v>
      </c>
      <c r="B3033" s="31"/>
      <c r="C3033" s="31"/>
      <c r="D3033" s="31"/>
      <c r="E3033" s="25"/>
      <c r="F3033" s="26"/>
    </row>
    <row r="3034" spans="1:6" ht="16.8" customHeight="1" x14ac:dyDescent="0.3">
      <c r="A3034" s="20">
        <v>44631</v>
      </c>
      <c r="B3034" s="31"/>
      <c r="C3034" s="31"/>
      <c r="D3034" s="31"/>
      <c r="E3034" s="25"/>
      <c r="F3034" s="26"/>
    </row>
    <row r="3035" spans="1:6" ht="16.8" customHeight="1" x14ac:dyDescent="0.3">
      <c r="A3035" s="20">
        <v>44632</v>
      </c>
      <c r="B3035" s="31"/>
      <c r="C3035" s="31"/>
      <c r="D3035" s="31"/>
      <c r="E3035" s="25"/>
      <c r="F3035" s="26"/>
    </row>
    <row r="3036" spans="1:6" ht="16.8" customHeight="1" x14ac:dyDescent="0.3">
      <c r="A3036" s="20">
        <v>44633</v>
      </c>
      <c r="B3036" s="31" t="s">
        <v>205</v>
      </c>
      <c r="C3036" s="31" t="s">
        <v>2642</v>
      </c>
      <c r="D3036" s="31" t="s">
        <v>2643</v>
      </c>
      <c r="E3036" s="25">
        <v>45866</v>
      </c>
      <c r="F3036" s="26" t="s">
        <v>1</v>
      </c>
    </row>
    <row r="3037" spans="1:6" ht="16.8" customHeight="1" x14ac:dyDescent="0.3">
      <c r="A3037" s="20">
        <v>44634</v>
      </c>
      <c r="B3037" s="31" t="s">
        <v>2795</v>
      </c>
      <c r="C3037" s="31" t="s">
        <v>803</v>
      </c>
      <c r="D3037" s="31" t="s">
        <v>1001</v>
      </c>
      <c r="E3037" s="25">
        <v>45918</v>
      </c>
      <c r="F3037" s="26" t="s">
        <v>1</v>
      </c>
    </row>
    <row r="3038" spans="1:6" ht="16.8" customHeight="1" x14ac:dyDescent="0.3">
      <c r="A3038" s="20">
        <v>44635</v>
      </c>
      <c r="B3038" s="31"/>
      <c r="C3038" s="31"/>
      <c r="D3038" s="31"/>
      <c r="E3038" s="25"/>
      <c r="F3038" s="26"/>
    </row>
    <row r="3039" spans="1:6" ht="16.8" customHeight="1" x14ac:dyDescent="0.3">
      <c r="A3039" s="20">
        <v>44636</v>
      </c>
      <c r="B3039" s="31"/>
      <c r="C3039" s="31"/>
      <c r="D3039" s="31"/>
      <c r="E3039" s="25"/>
      <c r="F3039" s="26"/>
    </row>
    <row r="3040" spans="1:6" ht="16.8" customHeight="1" x14ac:dyDescent="0.3">
      <c r="A3040" s="20">
        <v>44637</v>
      </c>
      <c r="B3040" s="31"/>
      <c r="C3040" s="31"/>
      <c r="D3040" s="31"/>
      <c r="E3040" s="25"/>
      <c r="F3040" s="26"/>
    </row>
    <row r="3041" spans="1:6" ht="16.8" customHeight="1" x14ac:dyDescent="0.3">
      <c r="A3041" s="20">
        <v>44638</v>
      </c>
      <c r="B3041" s="31"/>
      <c r="C3041" s="31"/>
      <c r="D3041" s="31"/>
      <c r="E3041" s="25"/>
      <c r="F3041" s="26"/>
    </row>
    <row r="3042" spans="1:6" ht="16.8" customHeight="1" x14ac:dyDescent="0.3">
      <c r="A3042" s="20">
        <v>44639</v>
      </c>
      <c r="B3042" s="31" t="s">
        <v>325</v>
      </c>
      <c r="C3042" s="31" t="s">
        <v>367</v>
      </c>
      <c r="D3042" s="31" t="s">
        <v>397</v>
      </c>
      <c r="E3042" s="25">
        <v>45867</v>
      </c>
      <c r="F3042" s="26" t="s">
        <v>3</v>
      </c>
    </row>
    <row r="3043" spans="1:6" ht="16.8" customHeight="1" x14ac:dyDescent="0.3">
      <c r="A3043" s="20">
        <v>44640</v>
      </c>
      <c r="B3043" s="31" t="s">
        <v>239</v>
      </c>
      <c r="C3043" s="31" t="s">
        <v>546</v>
      </c>
      <c r="D3043" s="31" t="s">
        <v>787</v>
      </c>
      <c r="E3043" s="25">
        <v>45903</v>
      </c>
      <c r="F3043" s="26" t="s">
        <v>3</v>
      </c>
    </row>
    <row r="3044" spans="1:6" ht="16.8" customHeight="1" x14ac:dyDescent="0.3">
      <c r="A3044" s="20">
        <v>44641</v>
      </c>
      <c r="B3044" s="31"/>
      <c r="C3044" s="31"/>
      <c r="D3044" s="31"/>
      <c r="E3044" s="25"/>
      <c r="F3044" s="26"/>
    </row>
    <row r="3045" spans="1:6" ht="16.8" customHeight="1" x14ac:dyDescent="0.3">
      <c r="A3045" s="20">
        <v>44642</v>
      </c>
      <c r="B3045" s="31" t="s">
        <v>681</v>
      </c>
      <c r="C3045" s="31" t="s">
        <v>45</v>
      </c>
      <c r="D3045" s="31" t="s">
        <v>2821</v>
      </c>
      <c r="E3045" s="25">
        <v>45923</v>
      </c>
      <c r="F3045" s="26" t="s">
        <v>1</v>
      </c>
    </row>
    <row r="3046" spans="1:6" ht="16.8" customHeight="1" x14ac:dyDescent="0.3">
      <c r="A3046" s="20">
        <v>44643</v>
      </c>
      <c r="B3046" s="31" t="s">
        <v>2699</v>
      </c>
      <c r="C3046" s="31" t="s">
        <v>118</v>
      </c>
      <c r="D3046" s="31" t="s">
        <v>283</v>
      </c>
      <c r="E3046" s="25">
        <v>45875</v>
      </c>
      <c r="F3046" s="26" t="s">
        <v>1</v>
      </c>
    </row>
    <row r="3047" spans="1:6" ht="16.8" customHeight="1" x14ac:dyDescent="0.3">
      <c r="A3047" s="20">
        <v>44644</v>
      </c>
      <c r="B3047" s="31" t="s">
        <v>294</v>
      </c>
      <c r="C3047" s="31" t="s">
        <v>242</v>
      </c>
      <c r="D3047" s="31" t="s">
        <v>121</v>
      </c>
      <c r="E3047" s="25">
        <v>45916</v>
      </c>
      <c r="F3047" s="26" t="s">
        <v>4</v>
      </c>
    </row>
    <row r="3048" spans="1:6" ht="16.8" customHeight="1" x14ac:dyDescent="0.3">
      <c r="A3048" s="20">
        <v>44645</v>
      </c>
      <c r="B3048" s="31" t="s">
        <v>2682</v>
      </c>
      <c r="C3048" s="31" t="s">
        <v>2683</v>
      </c>
      <c r="D3048" s="31" t="s">
        <v>121</v>
      </c>
      <c r="E3048" s="25">
        <v>45874</v>
      </c>
      <c r="F3048" s="26" t="s">
        <v>4</v>
      </c>
    </row>
    <row r="3049" spans="1:6" ht="16.8" customHeight="1" x14ac:dyDescent="0.3">
      <c r="A3049" s="20">
        <v>44646</v>
      </c>
      <c r="B3049" s="31" t="s">
        <v>2768</v>
      </c>
      <c r="C3049" s="31" t="s">
        <v>2769</v>
      </c>
      <c r="D3049" s="31" t="s">
        <v>2770</v>
      </c>
      <c r="E3049" s="25">
        <v>45916</v>
      </c>
      <c r="F3049" s="26" t="s">
        <v>1</v>
      </c>
    </row>
    <row r="3050" spans="1:6" ht="16.8" customHeight="1" x14ac:dyDescent="0.3">
      <c r="A3050" s="20">
        <v>44647</v>
      </c>
      <c r="B3050" s="31"/>
      <c r="C3050" s="31"/>
      <c r="D3050" s="31"/>
      <c r="E3050" s="25"/>
      <c r="F3050" s="26"/>
    </row>
    <row r="3051" spans="1:6" ht="16.8" customHeight="1" x14ac:dyDescent="0.3">
      <c r="A3051" s="20">
        <v>44648</v>
      </c>
      <c r="B3051" s="31" t="s">
        <v>2856</v>
      </c>
      <c r="C3051" s="31" t="s">
        <v>650</v>
      </c>
      <c r="D3051" s="31" t="s">
        <v>121</v>
      </c>
      <c r="E3051" s="25">
        <v>45930</v>
      </c>
      <c r="F3051" s="26" t="s">
        <v>4</v>
      </c>
    </row>
    <row r="3052" spans="1:6" ht="16.8" customHeight="1" x14ac:dyDescent="0.3">
      <c r="A3052" s="20">
        <v>44649</v>
      </c>
      <c r="B3052" s="31" t="s">
        <v>2695</v>
      </c>
      <c r="C3052" s="31" t="s">
        <v>2696</v>
      </c>
      <c r="D3052" s="31" t="s">
        <v>728</v>
      </c>
      <c r="E3052" s="25">
        <v>45875</v>
      </c>
      <c r="F3052" s="26" t="s">
        <v>1</v>
      </c>
    </row>
    <row r="3053" spans="1:6" ht="16.8" customHeight="1" x14ac:dyDescent="0.3">
      <c r="A3053" s="20">
        <v>44650</v>
      </c>
      <c r="B3053" s="31" t="s">
        <v>1073</v>
      </c>
      <c r="C3053" s="31" t="s">
        <v>305</v>
      </c>
      <c r="D3053" s="31" t="s">
        <v>2694</v>
      </c>
      <c r="E3053" s="25">
        <v>45875</v>
      </c>
      <c r="F3053" s="26" t="s">
        <v>8</v>
      </c>
    </row>
    <row r="3054" spans="1:6" ht="16.8" customHeight="1" x14ac:dyDescent="0.3">
      <c r="A3054" s="20">
        <v>44651</v>
      </c>
      <c r="B3054" s="31"/>
      <c r="C3054" s="31"/>
      <c r="D3054" s="31"/>
      <c r="E3054" s="25"/>
      <c r="F3054" s="26"/>
    </row>
    <row r="3055" spans="1:6" ht="16.8" customHeight="1" x14ac:dyDescent="0.3">
      <c r="A3055" s="20">
        <v>44652</v>
      </c>
      <c r="B3055" s="31" t="s">
        <v>808</v>
      </c>
      <c r="C3055" s="31" t="s">
        <v>695</v>
      </c>
      <c r="D3055" s="31" t="s">
        <v>1006</v>
      </c>
      <c r="E3055" s="25">
        <v>45916</v>
      </c>
      <c r="F3055" s="26" t="s">
        <v>1</v>
      </c>
    </row>
    <row r="3056" spans="1:6" ht="16.8" customHeight="1" x14ac:dyDescent="0.3">
      <c r="A3056" s="20">
        <v>44653</v>
      </c>
      <c r="B3056" s="31" t="s">
        <v>74</v>
      </c>
      <c r="C3056" s="31" t="s">
        <v>367</v>
      </c>
      <c r="D3056" s="31" t="s">
        <v>2705</v>
      </c>
      <c r="E3056" s="25">
        <v>45876</v>
      </c>
      <c r="F3056" s="26" t="s">
        <v>2</v>
      </c>
    </row>
    <row r="3057" spans="1:6" ht="16.8" customHeight="1" x14ac:dyDescent="0.3">
      <c r="A3057" s="20">
        <v>44654</v>
      </c>
      <c r="B3057" s="31" t="s">
        <v>73</v>
      </c>
      <c r="C3057" s="31"/>
      <c r="D3057" s="31" t="s">
        <v>580</v>
      </c>
      <c r="E3057" s="25">
        <v>45901</v>
      </c>
      <c r="F3057" s="26" t="s">
        <v>1</v>
      </c>
    </row>
    <row r="3058" spans="1:6" ht="16.8" customHeight="1" x14ac:dyDescent="0.3">
      <c r="A3058" s="20">
        <v>44655</v>
      </c>
      <c r="B3058" s="31" t="s">
        <v>294</v>
      </c>
      <c r="C3058" s="31" t="s">
        <v>718</v>
      </c>
      <c r="D3058" s="31" t="s">
        <v>58</v>
      </c>
      <c r="E3058" s="25">
        <v>45901</v>
      </c>
      <c r="F3058" s="26" t="s">
        <v>12</v>
      </c>
    </row>
    <row r="3059" spans="1:6" ht="16.8" customHeight="1" x14ac:dyDescent="0.3">
      <c r="A3059" s="20">
        <v>44656</v>
      </c>
      <c r="B3059" s="31" t="s">
        <v>2693</v>
      </c>
      <c r="C3059" s="31"/>
      <c r="D3059" s="31" t="s">
        <v>1093</v>
      </c>
      <c r="E3059" s="25">
        <v>45875</v>
      </c>
      <c r="F3059" s="26" t="s">
        <v>2</v>
      </c>
    </row>
    <row r="3060" spans="1:6" ht="16.8" customHeight="1" x14ac:dyDescent="0.3">
      <c r="A3060" s="20">
        <v>44657</v>
      </c>
      <c r="B3060" s="31" t="s">
        <v>2768</v>
      </c>
      <c r="C3060" s="31" t="s">
        <v>2822</v>
      </c>
      <c r="D3060" s="31" t="s">
        <v>245</v>
      </c>
      <c r="E3060" s="25">
        <v>45923</v>
      </c>
      <c r="F3060" s="26" t="s">
        <v>1</v>
      </c>
    </row>
    <row r="3061" spans="1:6" ht="16.8" customHeight="1" x14ac:dyDescent="0.3">
      <c r="A3061" s="20">
        <v>44658</v>
      </c>
      <c r="B3061" s="31" t="s">
        <v>62</v>
      </c>
      <c r="C3061" s="31"/>
      <c r="D3061" s="31" t="s">
        <v>2719</v>
      </c>
      <c r="E3061" s="25">
        <v>45902</v>
      </c>
      <c r="F3061" s="26" t="s">
        <v>1</v>
      </c>
    </row>
    <row r="3062" spans="1:6" ht="16.8" customHeight="1" x14ac:dyDescent="0.3">
      <c r="A3062" s="20">
        <v>44659</v>
      </c>
      <c r="B3062" s="31"/>
      <c r="C3062" s="31"/>
      <c r="D3062" s="31"/>
      <c r="E3062" s="25"/>
      <c r="F3062" s="26"/>
    </row>
    <row r="3063" spans="1:6" ht="16.8" customHeight="1" x14ac:dyDescent="0.3">
      <c r="A3063" s="20">
        <v>44660</v>
      </c>
      <c r="B3063" s="31"/>
      <c r="C3063" s="31"/>
      <c r="D3063" s="31"/>
      <c r="E3063" s="25"/>
      <c r="F3063" s="26"/>
    </row>
    <row r="3064" spans="1:6" ht="16.8" customHeight="1" x14ac:dyDescent="0.3">
      <c r="A3064" s="20">
        <v>44661</v>
      </c>
      <c r="B3064" s="31"/>
      <c r="C3064" s="31"/>
      <c r="D3064" s="31"/>
      <c r="E3064" s="25"/>
      <c r="F3064" s="26"/>
    </row>
    <row r="3065" spans="1:6" ht="16.8" customHeight="1" x14ac:dyDescent="0.3">
      <c r="A3065" s="20">
        <v>44662</v>
      </c>
      <c r="B3065" s="31"/>
      <c r="C3065" s="31"/>
      <c r="D3065" s="31"/>
      <c r="E3065" s="25"/>
      <c r="F3065" s="26"/>
    </row>
    <row r="3066" spans="1:6" ht="16.8" customHeight="1" x14ac:dyDescent="0.3">
      <c r="A3066" s="20">
        <v>44663</v>
      </c>
      <c r="B3066" s="31"/>
      <c r="C3066" s="31"/>
      <c r="D3066" s="31"/>
      <c r="E3066" s="25"/>
      <c r="F3066" s="26"/>
    </row>
    <row r="3067" spans="1:6" ht="16.8" customHeight="1" x14ac:dyDescent="0.3">
      <c r="A3067" s="20">
        <v>44664</v>
      </c>
      <c r="B3067" s="31" t="s">
        <v>411</v>
      </c>
      <c r="C3067" s="31" t="s">
        <v>179</v>
      </c>
      <c r="D3067" s="31" t="s">
        <v>952</v>
      </c>
      <c r="E3067" s="25">
        <v>45901</v>
      </c>
      <c r="F3067" s="26" t="s">
        <v>1</v>
      </c>
    </row>
    <row r="3068" spans="1:6" ht="16.8" customHeight="1" x14ac:dyDescent="0.3">
      <c r="A3068" s="20">
        <v>44665</v>
      </c>
      <c r="B3068" s="31" t="s">
        <v>2715</v>
      </c>
      <c r="C3068" s="31" t="s">
        <v>2716</v>
      </c>
      <c r="D3068" s="31" t="s">
        <v>2717</v>
      </c>
      <c r="E3068" s="25">
        <v>45901</v>
      </c>
      <c r="F3068" s="26" t="s">
        <v>1</v>
      </c>
    </row>
    <row r="3069" spans="1:6" ht="16.8" customHeight="1" x14ac:dyDescent="0.3">
      <c r="A3069" s="20">
        <v>44666</v>
      </c>
      <c r="B3069" s="31"/>
      <c r="C3069" s="31"/>
      <c r="D3069" s="31"/>
      <c r="E3069" s="25"/>
      <c r="F3069" s="26"/>
    </row>
    <row r="3070" spans="1:6" ht="16.8" customHeight="1" x14ac:dyDescent="0.3">
      <c r="A3070" s="20">
        <v>44667</v>
      </c>
      <c r="B3070" s="31" t="s">
        <v>1061</v>
      </c>
      <c r="C3070" s="31" t="s">
        <v>32</v>
      </c>
      <c r="D3070" s="31" t="s">
        <v>940</v>
      </c>
      <c r="E3070" s="25">
        <v>45916</v>
      </c>
      <c r="F3070" s="26" t="s">
        <v>1</v>
      </c>
    </row>
    <row r="3071" spans="1:6" ht="16.8" customHeight="1" x14ac:dyDescent="0.3">
      <c r="A3071" s="20">
        <v>44668</v>
      </c>
      <c r="B3071" s="31" t="s">
        <v>41</v>
      </c>
      <c r="C3071" s="31" t="s">
        <v>650</v>
      </c>
      <c r="D3071" s="31" t="s">
        <v>98</v>
      </c>
      <c r="E3071" s="25">
        <v>45930</v>
      </c>
      <c r="F3071" s="26" t="s">
        <v>4</v>
      </c>
    </row>
    <row r="3072" spans="1:6" ht="16.8" customHeight="1" x14ac:dyDescent="0.3">
      <c r="A3072" s="20">
        <v>44669</v>
      </c>
      <c r="B3072" s="31" t="s">
        <v>306</v>
      </c>
      <c r="C3072" s="31" t="s">
        <v>862</v>
      </c>
      <c r="D3072" s="31" t="s">
        <v>863</v>
      </c>
      <c r="E3072" s="25">
        <v>45901</v>
      </c>
      <c r="F3072" s="26" t="s">
        <v>1</v>
      </c>
    </row>
    <row r="3073" spans="1:6" ht="16.8" customHeight="1" x14ac:dyDescent="0.3">
      <c r="A3073" s="20">
        <v>44670</v>
      </c>
      <c r="B3073" s="31"/>
      <c r="C3073" s="31"/>
      <c r="D3073" s="31"/>
      <c r="E3073" s="25"/>
      <c r="F3073" s="26"/>
    </row>
    <row r="3074" spans="1:6" ht="16.8" customHeight="1" x14ac:dyDescent="0.3">
      <c r="A3074" s="20">
        <v>44671</v>
      </c>
      <c r="B3074" s="31"/>
      <c r="C3074" s="31"/>
      <c r="D3074" s="31"/>
      <c r="E3074" s="25"/>
      <c r="F3074" s="26"/>
    </row>
    <row r="3075" spans="1:6" ht="16.8" customHeight="1" x14ac:dyDescent="0.3">
      <c r="A3075" s="20">
        <v>44672</v>
      </c>
      <c r="B3075" s="31"/>
      <c r="C3075" s="31"/>
      <c r="D3075" s="31"/>
      <c r="E3075" s="25"/>
      <c r="F3075" s="26"/>
    </row>
    <row r="3076" spans="1:6" ht="16.8" customHeight="1" x14ac:dyDescent="0.3">
      <c r="A3076" s="20">
        <v>44673</v>
      </c>
      <c r="B3076" s="31"/>
      <c r="C3076" s="31"/>
      <c r="D3076" s="31"/>
      <c r="E3076" s="25"/>
      <c r="F3076" s="26"/>
    </row>
    <row r="3077" spans="1:6" ht="16.8" customHeight="1" x14ac:dyDescent="0.3">
      <c r="A3077" s="20">
        <v>44674</v>
      </c>
      <c r="B3077" s="31"/>
      <c r="C3077" s="31"/>
      <c r="D3077" s="31"/>
      <c r="E3077" s="25"/>
      <c r="F3077" s="26"/>
    </row>
    <row r="3078" spans="1:6" ht="16.8" customHeight="1" x14ac:dyDescent="0.3">
      <c r="A3078" s="20">
        <v>44675</v>
      </c>
      <c r="B3078" s="31" t="s">
        <v>2687</v>
      </c>
      <c r="C3078" s="31" t="s">
        <v>2688</v>
      </c>
      <c r="D3078" s="31" t="s">
        <v>27</v>
      </c>
      <c r="E3078" s="25">
        <v>45875</v>
      </c>
      <c r="F3078" s="26" t="s">
        <v>1</v>
      </c>
    </row>
    <row r="3079" spans="1:6" ht="16.8" customHeight="1" x14ac:dyDescent="0.3">
      <c r="A3079" s="20">
        <v>44676</v>
      </c>
      <c r="B3079" s="31" t="s">
        <v>41</v>
      </c>
      <c r="C3079" s="31" t="s">
        <v>2607</v>
      </c>
      <c r="D3079" s="31" t="s">
        <v>880</v>
      </c>
      <c r="E3079" s="25">
        <v>45901</v>
      </c>
      <c r="F3079" s="26" t="s">
        <v>2</v>
      </c>
    </row>
    <row r="3080" spans="1:6" ht="16.8" customHeight="1" x14ac:dyDescent="0.3">
      <c r="A3080" s="20">
        <v>44677</v>
      </c>
      <c r="B3080" s="31"/>
      <c r="C3080" s="31"/>
      <c r="D3080" s="31"/>
      <c r="E3080" s="25"/>
      <c r="F3080" s="26"/>
    </row>
    <row r="3081" spans="1:6" ht="16.8" customHeight="1" x14ac:dyDescent="0.3">
      <c r="A3081" s="20">
        <v>44678</v>
      </c>
      <c r="B3081" s="31" t="s">
        <v>486</v>
      </c>
      <c r="C3081" s="31" t="s">
        <v>487</v>
      </c>
      <c r="D3081" s="31" t="s">
        <v>2787</v>
      </c>
      <c r="E3081" s="25">
        <v>45918</v>
      </c>
      <c r="F3081" s="26" t="s">
        <v>1</v>
      </c>
    </row>
    <row r="3082" spans="1:6" ht="16.8" customHeight="1" x14ac:dyDescent="0.3">
      <c r="A3082" s="20">
        <v>44679</v>
      </c>
      <c r="B3082" s="31" t="s">
        <v>276</v>
      </c>
      <c r="C3082" s="31" t="s">
        <v>277</v>
      </c>
      <c r="D3082" s="31" t="s">
        <v>615</v>
      </c>
      <c r="E3082" s="25">
        <v>45919</v>
      </c>
      <c r="F3082" s="26" t="s">
        <v>1</v>
      </c>
    </row>
    <row r="3083" spans="1:6" ht="16.8" customHeight="1" x14ac:dyDescent="0.3">
      <c r="A3083" s="20">
        <v>44680</v>
      </c>
      <c r="B3083" s="31"/>
      <c r="C3083" s="31"/>
      <c r="D3083" s="31"/>
      <c r="E3083" s="25"/>
      <c r="F3083" s="26"/>
    </row>
    <row r="3084" spans="1:6" ht="16.8" customHeight="1" x14ac:dyDescent="0.3">
      <c r="A3084" s="20">
        <v>44681</v>
      </c>
      <c r="B3084" s="31"/>
      <c r="C3084" s="31"/>
      <c r="D3084" s="31"/>
      <c r="E3084" s="25"/>
      <c r="F3084" s="26"/>
    </row>
    <row r="3085" spans="1:6" ht="16.8" customHeight="1" x14ac:dyDescent="0.3">
      <c r="A3085" s="20">
        <v>44682</v>
      </c>
      <c r="B3085" s="31" t="s">
        <v>773</v>
      </c>
      <c r="C3085" s="31" t="s">
        <v>883</v>
      </c>
      <c r="D3085" s="31" t="s">
        <v>2188</v>
      </c>
      <c r="E3085" s="25">
        <v>45929</v>
      </c>
      <c r="F3085" s="26" t="s">
        <v>1</v>
      </c>
    </row>
    <row r="3086" spans="1:6" ht="16.8" customHeight="1" x14ac:dyDescent="0.3">
      <c r="A3086" s="20">
        <v>44683</v>
      </c>
      <c r="B3086" s="31" t="s">
        <v>413</v>
      </c>
      <c r="C3086" s="31" t="s">
        <v>414</v>
      </c>
      <c r="D3086" s="31" t="s">
        <v>85</v>
      </c>
      <c r="E3086" s="25">
        <v>45923</v>
      </c>
      <c r="F3086" s="26" t="s">
        <v>1</v>
      </c>
    </row>
    <row r="3087" spans="1:6" ht="16.8" customHeight="1" x14ac:dyDescent="0.3">
      <c r="A3087" s="20">
        <v>44684</v>
      </c>
      <c r="B3087" s="31"/>
      <c r="C3087" s="31"/>
      <c r="D3087" s="31"/>
      <c r="E3087" s="25"/>
      <c r="F3087" s="26"/>
    </row>
    <row r="3088" spans="1:6" ht="16.8" customHeight="1" x14ac:dyDescent="0.3">
      <c r="A3088" s="20">
        <v>44685</v>
      </c>
      <c r="B3088" s="31"/>
      <c r="C3088" s="31"/>
      <c r="D3088" s="31"/>
      <c r="E3088" s="25"/>
      <c r="F3088" s="26"/>
    </row>
    <row r="3089" spans="1:6" ht="16.8" customHeight="1" x14ac:dyDescent="0.3">
      <c r="A3089" s="20">
        <v>44686</v>
      </c>
      <c r="B3089" s="31"/>
      <c r="C3089" s="31"/>
      <c r="D3089" s="31"/>
      <c r="E3089" s="25"/>
      <c r="F3089" s="26"/>
    </row>
    <row r="3090" spans="1:6" ht="16.8" customHeight="1" x14ac:dyDescent="0.3">
      <c r="A3090" s="20">
        <v>44687</v>
      </c>
      <c r="B3090" s="31" t="s">
        <v>2533</v>
      </c>
      <c r="C3090" s="31" t="s">
        <v>148</v>
      </c>
      <c r="D3090" s="31" t="s">
        <v>134</v>
      </c>
      <c r="E3090" s="25">
        <v>45930</v>
      </c>
      <c r="F3090" s="26" t="s">
        <v>4</v>
      </c>
    </row>
    <row r="3091" spans="1:6" ht="16.8" customHeight="1" x14ac:dyDescent="0.3">
      <c r="A3091" s="20">
        <v>44688</v>
      </c>
      <c r="B3091" s="31" t="s">
        <v>225</v>
      </c>
      <c r="C3091" s="31" t="s">
        <v>1094</v>
      </c>
      <c r="D3091" s="31" t="s">
        <v>116</v>
      </c>
      <c r="E3091" s="25">
        <v>45922</v>
      </c>
      <c r="F3091" s="26" t="s">
        <v>1</v>
      </c>
    </row>
    <row r="3092" spans="1:6" ht="16.8" customHeight="1" x14ac:dyDescent="0.3">
      <c r="A3092" s="20">
        <v>44689</v>
      </c>
      <c r="B3092" s="31"/>
      <c r="C3092" s="31"/>
      <c r="D3092" s="31"/>
      <c r="E3092" s="25"/>
      <c r="F3092" s="26"/>
    </row>
    <row r="3093" spans="1:6" ht="16.8" customHeight="1" x14ac:dyDescent="0.3">
      <c r="A3093" s="20">
        <v>44690</v>
      </c>
      <c r="B3093" s="31" t="s">
        <v>56</v>
      </c>
      <c r="C3093" s="31" t="s">
        <v>106</v>
      </c>
      <c r="D3093" s="31" t="s">
        <v>146</v>
      </c>
      <c r="E3093" s="25">
        <v>45930</v>
      </c>
      <c r="F3093" s="26" t="s">
        <v>8</v>
      </c>
    </row>
    <row r="3094" spans="1:6" ht="16.8" customHeight="1" x14ac:dyDescent="0.3">
      <c r="A3094" s="20">
        <v>44691</v>
      </c>
      <c r="B3094" s="31"/>
      <c r="C3094" s="31"/>
      <c r="D3094" s="31"/>
      <c r="E3094" s="25"/>
      <c r="F3094" s="26"/>
    </row>
    <row r="3095" spans="1:6" ht="16.8" customHeight="1" x14ac:dyDescent="0.3">
      <c r="A3095" s="20">
        <v>44692</v>
      </c>
      <c r="B3095" s="31"/>
      <c r="C3095" s="31"/>
      <c r="D3095" s="31"/>
      <c r="E3095" s="25"/>
      <c r="F3095" s="26"/>
    </row>
    <row r="3096" spans="1:6" ht="16.8" customHeight="1" x14ac:dyDescent="0.3">
      <c r="A3096" s="20">
        <v>44693</v>
      </c>
      <c r="B3096" s="31"/>
      <c r="C3096" s="31"/>
      <c r="D3096" s="31"/>
      <c r="E3096" s="25"/>
      <c r="F3096" s="26"/>
    </row>
    <row r="3097" spans="1:6" ht="16.8" customHeight="1" x14ac:dyDescent="0.3">
      <c r="A3097" s="20">
        <v>44694</v>
      </c>
      <c r="B3097" s="31" t="s">
        <v>199</v>
      </c>
      <c r="C3097" s="31" t="s">
        <v>293</v>
      </c>
      <c r="D3097" s="31" t="s">
        <v>2799</v>
      </c>
      <c r="E3097" s="25">
        <v>45922</v>
      </c>
      <c r="F3097" s="26" t="s">
        <v>1</v>
      </c>
    </row>
    <row r="3098" spans="1:6" ht="16.8" customHeight="1" x14ac:dyDescent="0.3">
      <c r="A3098" s="20">
        <v>44695</v>
      </c>
      <c r="B3098" s="31" t="s">
        <v>2823</v>
      </c>
      <c r="C3098" s="31" t="s">
        <v>2824</v>
      </c>
      <c r="D3098" s="31" t="s">
        <v>2825</v>
      </c>
      <c r="E3098" s="25">
        <v>45923</v>
      </c>
      <c r="F3098" s="26" t="s">
        <v>1</v>
      </c>
    </row>
    <row r="3099" spans="1:6" ht="16.8" customHeight="1" x14ac:dyDescent="0.3">
      <c r="A3099" s="20">
        <v>44696</v>
      </c>
      <c r="B3099" s="31" t="s">
        <v>1090</v>
      </c>
      <c r="C3099" s="31" t="s">
        <v>1094</v>
      </c>
      <c r="D3099" s="31" t="s">
        <v>2848</v>
      </c>
      <c r="E3099" s="25">
        <v>45929</v>
      </c>
      <c r="F3099" s="26" t="s">
        <v>1</v>
      </c>
    </row>
    <row r="3100" spans="1:6" ht="16.8" customHeight="1" x14ac:dyDescent="0.3">
      <c r="A3100" s="20">
        <v>44697</v>
      </c>
      <c r="B3100" s="31" t="s">
        <v>325</v>
      </c>
      <c r="C3100" s="31" t="s">
        <v>367</v>
      </c>
      <c r="D3100" s="31" t="s">
        <v>2796</v>
      </c>
      <c r="E3100" s="25">
        <v>45918</v>
      </c>
      <c r="F3100" s="26" t="s">
        <v>2</v>
      </c>
    </row>
    <row r="3101" spans="1:6" ht="16.8" customHeight="1" x14ac:dyDescent="0.3">
      <c r="A3101" s="20">
        <v>44698</v>
      </c>
      <c r="B3101" s="31" t="s">
        <v>486</v>
      </c>
      <c r="C3101" s="31" t="s">
        <v>487</v>
      </c>
      <c r="D3101" s="31" t="s">
        <v>615</v>
      </c>
      <c r="E3101" s="25">
        <v>45918</v>
      </c>
      <c r="F3101" s="26" t="s">
        <v>3</v>
      </c>
    </row>
    <row r="3102" spans="1:6" ht="16.8" customHeight="1" x14ac:dyDescent="0.3">
      <c r="A3102" s="20">
        <v>44699</v>
      </c>
      <c r="B3102" s="31" t="s">
        <v>808</v>
      </c>
      <c r="C3102" s="31" t="s">
        <v>179</v>
      </c>
      <c r="D3102" s="31" t="s">
        <v>2800</v>
      </c>
      <c r="E3102" s="25">
        <v>45922</v>
      </c>
      <c r="F3102" s="26" t="s">
        <v>1</v>
      </c>
    </row>
    <row r="3103" spans="1:6" ht="16.8" customHeight="1" x14ac:dyDescent="0.3">
      <c r="A3103" s="20">
        <v>44700</v>
      </c>
      <c r="B3103" s="31"/>
      <c r="C3103" s="31"/>
      <c r="D3103" s="31"/>
      <c r="E3103" s="25"/>
      <c r="F3103" s="26"/>
    </row>
    <row r="3104" spans="1:6" ht="16.8" customHeight="1" x14ac:dyDescent="0.3">
      <c r="A3104" s="20">
        <v>44701</v>
      </c>
      <c r="B3104" s="31" t="s">
        <v>2826</v>
      </c>
      <c r="C3104" s="31" t="s">
        <v>2827</v>
      </c>
      <c r="D3104" s="31" t="s">
        <v>2828</v>
      </c>
      <c r="E3104" s="25">
        <v>45923</v>
      </c>
      <c r="F3104" s="26" t="s">
        <v>1</v>
      </c>
    </row>
    <row r="3105" spans="1:6" ht="16.8" customHeight="1" x14ac:dyDescent="0.3">
      <c r="A3105" s="20">
        <v>44702</v>
      </c>
      <c r="B3105" s="31" t="s">
        <v>1032</v>
      </c>
      <c r="C3105" s="31" t="s">
        <v>2801</v>
      </c>
      <c r="D3105" s="31" t="s">
        <v>855</v>
      </c>
      <c r="E3105" s="25">
        <v>45922</v>
      </c>
      <c r="F3105" s="26" t="s">
        <v>1</v>
      </c>
    </row>
    <row r="3106" spans="1:6" ht="16.8" customHeight="1" x14ac:dyDescent="0.3">
      <c r="A3106" s="20">
        <v>44703</v>
      </c>
      <c r="B3106" s="31"/>
      <c r="C3106" s="31"/>
      <c r="D3106" s="31"/>
      <c r="E3106" s="25"/>
      <c r="F3106" s="26"/>
    </row>
    <row r="3107" spans="1:6" ht="16.8" customHeight="1" x14ac:dyDescent="0.3">
      <c r="A3107" s="20">
        <v>44704</v>
      </c>
      <c r="B3107" s="31" t="s">
        <v>2802</v>
      </c>
      <c r="C3107" s="31"/>
      <c r="D3107" s="31" t="s">
        <v>933</v>
      </c>
      <c r="E3107" s="25">
        <v>45922</v>
      </c>
      <c r="F3107" s="26" t="s">
        <v>1</v>
      </c>
    </row>
    <row r="3108" spans="1:6" ht="16.8" customHeight="1" x14ac:dyDescent="0.3">
      <c r="A3108" s="20">
        <v>44705</v>
      </c>
      <c r="B3108" s="31"/>
      <c r="C3108" s="31"/>
      <c r="D3108" s="31"/>
      <c r="E3108" s="25"/>
      <c r="F3108" s="26"/>
    </row>
    <row r="3109" spans="1:6" ht="16.8" customHeight="1" x14ac:dyDescent="0.3">
      <c r="A3109" s="20">
        <v>44706</v>
      </c>
      <c r="B3109" s="31"/>
      <c r="C3109" s="31"/>
      <c r="D3109" s="31"/>
      <c r="E3109" s="25"/>
      <c r="F3109" s="26"/>
    </row>
    <row r="3110" spans="1:6" ht="16.8" customHeight="1" x14ac:dyDescent="0.3">
      <c r="A3110" s="20">
        <v>44707</v>
      </c>
      <c r="B3110" s="31" t="s">
        <v>2803</v>
      </c>
      <c r="C3110" s="31" t="s">
        <v>244</v>
      </c>
      <c r="D3110" s="31" t="s">
        <v>380</v>
      </c>
      <c r="E3110" s="25">
        <v>45922</v>
      </c>
      <c r="F3110" s="26" t="s">
        <v>1</v>
      </c>
    </row>
    <row r="3111" spans="1:6" ht="16.8" customHeight="1" x14ac:dyDescent="0.3">
      <c r="A3111" s="20">
        <v>44708</v>
      </c>
      <c r="B3111" s="31"/>
      <c r="C3111" s="31"/>
      <c r="D3111" s="31"/>
      <c r="E3111" s="25"/>
      <c r="F3111" s="26"/>
    </row>
    <row r="3112" spans="1:6" ht="16.8" customHeight="1" x14ac:dyDescent="0.3">
      <c r="A3112" s="20">
        <v>44709</v>
      </c>
      <c r="B3112" s="31"/>
      <c r="C3112" s="31"/>
      <c r="D3112" s="31"/>
      <c r="E3112" s="25"/>
      <c r="F3112" s="26"/>
    </row>
    <row r="3113" spans="1:6" ht="16.8" customHeight="1" x14ac:dyDescent="0.3">
      <c r="A3113" s="20">
        <v>44710</v>
      </c>
      <c r="B3113" s="31" t="s">
        <v>570</v>
      </c>
      <c r="C3113" s="31" t="s">
        <v>232</v>
      </c>
      <c r="D3113" s="31" t="s">
        <v>2804</v>
      </c>
      <c r="E3113" s="25">
        <v>45922</v>
      </c>
      <c r="F3113" s="26" t="s">
        <v>4</v>
      </c>
    </row>
    <row r="3114" spans="1:6" ht="16.8" customHeight="1" x14ac:dyDescent="0.3">
      <c r="A3114" s="20">
        <v>44711</v>
      </c>
      <c r="B3114" s="31"/>
      <c r="C3114" s="31"/>
      <c r="D3114" s="31"/>
      <c r="E3114" s="25"/>
      <c r="F3114" s="26"/>
    </row>
    <row r="3115" spans="1:6" ht="16.8" customHeight="1" x14ac:dyDescent="0.3">
      <c r="A3115" s="20">
        <v>44712</v>
      </c>
      <c r="B3115" s="31"/>
      <c r="C3115" s="31"/>
      <c r="D3115" s="31"/>
      <c r="E3115" s="25"/>
      <c r="F3115" s="26"/>
    </row>
    <row r="3116" spans="1:6" ht="16.8" customHeight="1" x14ac:dyDescent="0.3">
      <c r="A3116" s="20">
        <v>44713</v>
      </c>
      <c r="B3116" s="31" t="s">
        <v>560</v>
      </c>
      <c r="C3116" s="31" t="s">
        <v>45</v>
      </c>
      <c r="D3116" s="31" t="s">
        <v>214</v>
      </c>
      <c r="E3116" s="25">
        <v>45929</v>
      </c>
      <c r="F3116" s="26" t="s">
        <v>4</v>
      </c>
    </row>
    <row r="3117" spans="1:6" ht="16.8" customHeight="1" x14ac:dyDescent="0.3">
      <c r="A3117" s="20">
        <v>44714</v>
      </c>
      <c r="B3117" s="31" t="s">
        <v>560</v>
      </c>
      <c r="C3117" s="31" t="s">
        <v>45</v>
      </c>
      <c r="D3117" s="31" t="s">
        <v>214</v>
      </c>
      <c r="E3117" s="25">
        <v>45930</v>
      </c>
      <c r="F3117" s="26" t="s">
        <v>4</v>
      </c>
    </row>
    <row r="3118" spans="1:6" ht="16.8" customHeight="1" x14ac:dyDescent="0.3">
      <c r="A3118" s="20">
        <v>44715</v>
      </c>
      <c r="B3118" s="31"/>
      <c r="C3118" s="31"/>
      <c r="D3118" s="31"/>
      <c r="E3118" s="25"/>
      <c r="F3118" s="26"/>
    </row>
    <row r="3119" spans="1:6" ht="16.8" customHeight="1" x14ac:dyDescent="0.3">
      <c r="A3119" s="20">
        <v>44716</v>
      </c>
      <c r="B3119" s="31"/>
      <c r="C3119" s="31"/>
      <c r="D3119" s="31"/>
      <c r="E3119" s="25"/>
      <c r="F3119" s="26"/>
    </row>
    <row r="3120" spans="1:6" ht="16.8" customHeight="1" x14ac:dyDescent="0.3">
      <c r="A3120" s="20">
        <v>44717</v>
      </c>
      <c r="B3120" s="31" t="s">
        <v>1716</v>
      </c>
      <c r="C3120" s="31" t="s">
        <v>2829</v>
      </c>
      <c r="D3120" s="31" t="s">
        <v>807</v>
      </c>
      <c r="E3120" s="25">
        <v>45923</v>
      </c>
      <c r="F3120" s="26" t="s">
        <v>2</v>
      </c>
    </row>
    <row r="3121" spans="1:6" ht="16.8" customHeight="1" x14ac:dyDescent="0.3">
      <c r="A3121" s="20">
        <v>44718</v>
      </c>
      <c r="B3121" s="31" t="s">
        <v>2847</v>
      </c>
      <c r="C3121" s="31" t="s">
        <v>94</v>
      </c>
      <c r="D3121" s="31" t="s">
        <v>1293</v>
      </c>
      <c r="E3121" s="25">
        <v>45929</v>
      </c>
      <c r="F3121" s="26" t="s">
        <v>1</v>
      </c>
    </row>
    <row r="3122" spans="1:6" ht="16.8" customHeight="1" x14ac:dyDescent="0.3">
      <c r="A3122" s="20">
        <v>44719</v>
      </c>
      <c r="B3122" s="31" t="s">
        <v>2791</v>
      </c>
      <c r="C3122" s="31" t="s">
        <v>1107</v>
      </c>
      <c r="D3122" s="31" t="s">
        <v>121</v>
      </c>
      <c r="E3122" s="25">
        <v>45929</v>
      </c>
      <c r="F3122" s="26" t="s">
        <v>4</v>
      </c>
    </row>
    <row r="3123" spans="1:6" ht="16.8" customHeight="1" x14ac:dyDescent="0.3">
      <c r="A3123" s="20">
        <v>44720</v>
      </c>
      <c r="B3123" s="31"/>
      <c r="C3123" s="31"/>
      <c r="D3123" s="31"/>
      <c r="E3123" s="25"/>
      <c r="F3123" s="26"/>
    </row>
    <row r="3124" spans="1:6" ht="16.8" customHeight="1" x14ac:dyDescent="0.3">
      <c r="A3124" s="20">
        <v>44721</v>
      </c>
      <c r="B3124" s="31" t="s">
        <v>834</v>
      </c>
      <c r="C3124" s="31" t="s">
        <v>2659</v>
      </c>
      <c r="D3124" s="31" t="s">
        <v>403</v>
      </c>
      <c r="E3124" s="25">
        <v>45929</v>
      </c>
      <c r="F3124" s="26" t="s">
        <v>1</v>
      </c>
    </row>
    <row r="3125" spans="1:6" ht="16.8" customHeight="1" x14ac:dyDescent="0.3">
      <c r="A3125" s="20">
        <v>44722</v>
      </c>
      <c r="B3125" s="31" t="s">
        <v>2443</v>
      </c>
      <c r="C3125" s="31" t="s">
        <v>718</v>
      </c>
      <c r="D3125" s="31" t="s">
        <v>255</v>
      </c>
      <c r="E3125" s="25">
        <v>45923</v>
      </c>
      <c r="F3125" s="26" t="s">
        <v>1</v>
      </c>
    </row>
    <row r="3126" spans="1:6" ht="16.8" customHeight="1" x14ac:dyDescent="0.3">
      <c r="A3126" s="20">
        <v>44723</v>
      </c>
      <c r="B3126" s="31" t="s">
        <v>2791</v>
      </c>
      <c r="C3126" s="31" t="s">
        <v>2792</v>
      </c>
      <c r="D3126" s="31" t="s">
        <v>1218</v>
      </c>
      <c r="E3126" s="25">
        <v>45918</v>
      </c>
      <c r="F3126" s="26" t="s">
        <v>1</v>
      </c>
    </row>
    <row r="3127" spans="1:6" ht="16.8" customHeight="1" x14ac:dyDescent="0.3">
      <c r="A3127" s="20">
        <v>44724</v>
      </c>
      <c r="B3127" s="31" t="s">
        <v>2791</v>
      </c>
      <c r="C3127" s="31" t="s">
        <v>1107</v>
      </c>
      <c r="D3127" s="31" t="s">
        <v>2834</v>
      </c>
      <c r="E3127" s="25">
        <v>45923</v>
      </c>
      <c r="F3127" s="26" t="s">
        <v>2</v>
      </c>
    </row>
    <row r="3128" spans="1:6" ht="16.8" customHeight="1" x14ac:dyDescent="0.3">
      <c r="A3128" s="20">
        <v>44725</v>
      </c>
      <c r="B3128" s="31" t="s">
        <v>144</v>
      </c>
      <c r="C3128" s="31" t="s">
        <v>45</v>
      </c>
      <c r="D3128" s="31" t="s">
        <v>598</v>
      </c>
      <c r="E3128" s="25">
        <v>45919</v>
      </c>
      <c r="F3128" s="26" t="s">
        <v>1</v>
      </c>
    </row>
    <row r="3129" spans="1:6" ht="16.8" customHeight="1" x14ac:dyDescent="0.3">
      <c r="A3129" s="20">
        <v>44726</v>
      </c>
      <c r="B3129" s="31" t="s">
        <v>2835</v>
      </c>
      <c r="C3129" s="31" t="s">
        <v>181</v>
      </c>
      <c r="D3129" s="31" t="s">
        <v>2619</v>
      </c>
      <c r="E3129" s="25">
        <v>45923</v>
      </c>
      <c r="F3129" s="26" t="s">
        <v>1</v>
      </c>
    </row>
    <row r="3130" spans="1:6" ht="16.8" customHeight="1" x14ac:dyDescent="0.3">
      <c r="A3130" s="20">
        <v>44727</v>
      </c>
      <c r="B3130" s="31"/>
      <c r="C3130" s="31"/>
      <c r="D3130" s="31"/>
      <c r="E3130" s="25"/>
      <c r="F3130" s="26"/>
    </row>
    <row r="3131" spans="1:6" ht="16.8" customHeight="1" x14ac:dyDescent="0.3">
      <c r="A3131" s="20">
        <v>44728</v>
      </c>
      <c r="B3131" s="31"/>
      <c r="C3131" s="31"/>
      <c r="D3131" s="31"/>
      <c r="E3131" s="25"/>
      <c r="F3131" s="26"/>
    </row>
    <row r="3132" spans="1:6" ht="16.8" customHeight="1" x14ac:dyDescent="0.3">
      <c r="A3132" s="20">
        <v>44729</v>
      </c>
      <c r="B3132" s="31" t="s">
        <v>1977</v>
      </c>
      <c r="C3132" s="31" t="s">
        <v>167</v>
      </c>
      <c r="D3132" s="31" t="s">
        <v>346</v>
      </c>
      <c r="E3132" s="25">
        <v>45923</v>
      </c>
      <c r="F3132" s="26" t="s">
        <v>1</v>
      </c>
    </row>
    <row r="3133" spans="1:6" ht="16.8" customHeight="1" x14ac:dyDescent="0.3">
      <c r="A3133" s="20">
        <v>44730</v>
      </c>
      <c r="B3133" s="31" t="s">
        <v>259</v>
      </c>
      <c r="C3133" s="31" t="s">
        <v>167</v>
      </c>
      <c r="D3133" s="31" t="s">
        <v>1531</v>
      </c>
      <c r="E3133" s="25">
        <v>45925</v>
      </c>
      <c r="F3133" s="26" t="s">
        <v>2</v>
      </c>
    </row>
    <row r="3134" spans="1:6" ht="16.8" customHeight="1" x14ac:dyDescent="0.3">
      <c r="A3134" s="20">
        <v>44731</v>
      </c>
      <c r="B3134" s="31"/>
      <c r="C3134" s="31"/>
      <c r="D3134" s="31"/>
      <c r="E3134" s="25"/>
      <c r="F3134" s="26"/>
    </row>
    <row r="3135" spans="1:6" ht="16.8" customHeight="1" x14ac:dyDescent="0.3">
      <c r="A3135" s="20">
        <v>44732</v>
      </c>
      <c r="B3135" s="31" t="s">
        <v>443</v>
      </c>
      <c r="C3135" s="31" t="s">
        <v>444</v>
      </c>
      <c r="D3135" s="31" t="s">
        <v>1072</v>
      </c>
      <c r="E3135" s="25">
        <v>45932</v>
      </c>
      <c r="F3135" s="26" t="s">
        <v>1</v>
      </c>
    </row>
    <row r="3136" spans="1:6" ht="16.8" customHeight="1" x14ac:dyDescent="0.3">
      <c r="A3136" s="20">
        <v>44733</v>
      </c>
      <c r="B3136" s="31" t="s">
        <v>365</v>
      </c>
      <c r="C3136" s="31" t="s">
        <v>148</v>
      </c>
      <c r="D3136" s="31" t="s">
        <v>640</v>
      </c>
      <c r="E3136" s="25">
        <v>45919</v>
      </c>
      <c r="F3136" s="26" t="s">
        <v>1</v>
      </c>
    </row>
    <row r="3137" spans="1:6" ht="16.8" customHeight="1" x14ac:dyDescent="0.3">
      <c r="A3137" s="20">
        <v>44734</v>
      </c>
      <c r="B3137" s="31" t="s">
        <v>1090</v>
      </c>
      <c r="C3137" s="31" t="s">
        <v>495</v>
      </c>
      <c r="D3137" s="31" t="s">
        <v>2836</v>
      </c>
      <c r="E3137" s="25">
        <v>45923</v>
      </c>
      <c r="F3137" s="26" t="s">
        <v>1</v>
      </c>
    </row>
    <row r="3138" spans="1:6" ht="16.8" customHeight="1" x14ac:dyDescent="0.3">
      <c r="A3138" s="20">
        <v>44735</v>
      </c>
      <c r="B3138" s="31"/>
      <c r="C3138" s="31"/>
      <c r="D3138" s="31"/>
      <c r="E3138" s="25"/>
      <c r="F3138" s="26"/>
    </row>
    <row r="3139" spans="1:6" ht="16.8" customHeight="1" x14ac:dyDescent="0.3">
      <c r="A3139" s="20">
        <v>44736</v>
      </c>
      <c r="B3139" s="31" t="s">
        <v>394</v>
      </c>
      <c r="C3139" s="31" t="s">
        <v>379</v>
      </c>
      <c r="D3139" s="31" t="s">
        <v>126</v>
      </c>
      <c r="E3139" s="25">
        <v>45919</v>
      </c>
      <c r="F3139" s="26" t="s">
        <v>1</v>
      </c>
    </row>
    <row r="3140" spans="1:6" ht="16.8" customHeight="1" x14ac:dyDescent="0.3">
      <c r="A3140" s="20">
        <v>44737</v>
      </c>
      <c r="B3140" s="31" t="s">
        <v>90</v>
      </c>
      <c r="C3140" s="31" t="s">
        <v>512</v>
      </c>
      <c r="D3140" s="31" t="s">
        <v>2025</v>
      </c>
      <c r="E3140" s="25">
        <v>45923</v>
      </c>
      <c r="F3140" s="26" t="s">
        <v>1</v>
      </c>
    </row>
    <row r="3141" spans="1:6" ht="16.8" customHeight="1" x14ac:dyDescent="0.3">
      <c r="A3141" s="20">
        <v>44738</v>
      </c>
      <c r="B3141" s="31"/>
      <c r="C3141" s="31"/>
      <c r="D3141" s="31"/>
      <c r="E3141" s="25"/>
      <c r="F3141" s="26"/>
    </row>
    <row r="3142" spans="1:6" ht="16.8" customHeight="1" x14ac:dyDescent="0.3">
      <c r="A3142" s="20">
        <v>44739</v>
      </c>
      <c r="B3142" s="31"/>
      <c r="C3142" s="31"/>
      <c r="D3142" s="31"/>
      <c r="E3142" s="25"/>
      <c r="F3142" s="26"/>
    </row>
    <row r="3143" spans="1:6" ht="16.8" customHeight="1" x14ac:dyDescent="0.3">
      <c r="A3143" s="20">
        <v>44740</v>
      </c>
      <c r="B3143" s="31"/>
      <c r="C3143" s="31"/>
      <c r="D3143" s="31"/>
      <c r="E3143" s="25"/>
      <c r="F3143" s="26"/>
    </row>
    <row r="3144" spans="1:6" ht="16.8" customHeight="1" x14ac:dyDescent="0.3">
      <c r="A3144" s="20">
        <v>44741</v>
      </c>
      <c r="B3144" s="31" t="s">
        <v>2791</v>
      </c>
      <c r="C3144" s="31" t="s">
        <v>1107</v>
      </c>
      <c r="D3144" s="31" t="s">
        <v>880</v>
      </c>
      <c r="E3144" s="25">
        <v>45923</v>
      </c>
      <c r="F3144" s="26" t="s">
        <v>2</v>
      </c>
    </row>
    <row r="3145" spans="1:6" ht="16.8" customHeight="1" x14ac:dyDescent="0.3">
      <c r="A3145" s="20">
        <v>44742</v>
      </c>
      <c r="B3145" s="31" t="s">
        <v>1081</v>
      </c>
      <c r="C3145" s="31" t="s">
        <v>45</v>
      </c>
      <c r="D3145" s="31" t="s">
        <v>2764</v>
      </c>
      <c r="E3145" s="25">
        <v>45911</v>
      </c>
      <c r="F3145" s="26" t="s">
        <v>5</v>
      </c>
    </row>
    <row r="3146" spans="1:6" ht="16.8" customHeight="1" x14ac:dyDescent="0.3">
      <c r="A3146" s="20">
        <v>44743</v>
      </c>
      <c r="B3146" s="31" t="s">
        <v>746</v>
      </c>
      <c r="C3146" s="31" t="s">
        <v>718</v>
      </c>
      <c r="D3146" s="31" t="s">
        <v>2764</v>
      </c>
      <c r="E3146" s="25">
        <v>45911</v>
      </c>
      <c r="F3146" s="26" t="s">
        <v>5</v>
      </c>
    </row>
    <row r="3147" spans="1:6" ht="16.8" customHeight="1" x14ac:dyDescent="0.3">
      <c r="A3147" s="20">
        <v>44744</v>
      </c>
      <c r="B3147" s="31" t="s">
        <v>439</v>
      </c>
      <c r="C3147" s="31" t="s">
        <v>718</v>
      </c>
      <c r="D3147" s="31" t="s">
        <v>2764</v>
      </c>
      <c r="E3147" s="25">
        <v>45911</v>
      </c>
      <c r="F3147" s="26" t="s">
        <v>5</v>
      </c>
    </row>
    <row r="3148" spans="1:6" ht="16.8" customHeight="1" x14ac:dyDescent="0.3">
      <c r="A3148" s="20">
        <v>44745</v>
      </c>
      <c r="B3148" s="31"/>
      <c r="C3148" s="31"/>
      <c r="D3148" s="31"/>
      <c r="E3148" s="25"/>
      <c r="F3148" s="26"/>
    </row>
    <row r="3149" spans="1:6" ht="16.8" customHeight="1" x14ac:dyDescent="0.3">
      <c r="A3149" s="20">
        <v>44746</v>
      </c>
      <c r="B3149" s="31"/>
      <c r="C3149" s="31"/>
      <c r="D3149" s="31"/>
      <c r="E3149" s="25"/>
      <c r="F3149" s="26"/>
    </row>
    <row r="3150" spans="1:6" ht="16.8" customHeight="1" x14ac:dyDescent="0.3">
      <c r="A3150" s="20">
        <v>44747</v>
      </c>
      <c r="B3150" s="31" t="s">
        <v>2765</v>
      </c>
      <c r="C3150" s="31"/>
      <c r="D3150" s="31" t="s">
        <v>554</v>
      </c>
      <c r="E3150" s="25">
        <v>45916</v>
      </c>
      <c r="F3150" s="26" t="s">
        <v>1</v>
      </c>
    </row>
    <row r="3151" spans="1:6" ht="16.8" customHeight="1" x14ac:dyDescent="0.3">
      <c r="A3151" s="20">
        <v>44748</v>
      </c>
      <c r="B3151" s="31"/>
      <c r="C3151" s="31"/>
      <c r="D3151" s="31"/>
      <c r="E3151" s="25"/>
      <c r="F3151" s="26"/>
    </row>
    <row r="3152" spans="1:6" ht="16.8" customHeight="1" x14ac:dyDescent="0.3">
      <c r="A3152" s="20">
        <v>44749</v>
      </c>
      <c r="B3152" s="31" t="s">
        <v>1038</v>
      </c>
      <c r="C3152" s="31" t="s">
        <v>886</v>
      </c>
      <c r="D3152" s="31" t="s">
        <v>319</v>
      </c>
      <c r="E3152" s="25">
        <v>45932</v>
      </c>
      <c r="F3152" s="26" t="s">
        <v>1</v>
      </c>
    </row>
    <row r="3153" spans="1:6" ht="16.8" customHeight="1" x14ac:dyDescent="0.3">
      <c r="A3153" s="20">
        <v>44750</v>
      </c>
      <c r="B3153" s="31" t="s">
        <v>65</v>
      </c>
      <c r="C3153" s="31" t="s">
        <v>1998</v>
      </c>
      <c r="D3153" s="31" t="s">
        <v>1049</v>
      </c>
      <c r="E3153" s="25">
        <v>45919</v>
      </c>
      <c r="F3153" s="26" t="s">
        <v>1</v>
      </c>
    </row>
    <row r="3154" spans="1:6" ht="16.8" customHeight="1" x14ac:dyDescent="0.3">
      <c r="A3154" s="20">
        <v>44751</v>
      </c>
      <c r="B3154" s="31" t="s">
        <v>65</v>
      </c>
      <c r="C3154" s="31" t="s">
        <v>408</v>
      </c>
      <c r="D3154" s="31" t="s">
        <v>126</v>
      </c>
      <c r="E3154" s="25">
        <v>45924</v>
      </c>
      <c r="F3154" s="26" t="s">
        <v>1</v>
      </c>
    </row>
    <row r="3155" spans="1:6" ht="16.8" customHeight="1" x14ac:dyDescent="0.3">
      <c r="A3155" s="20">
        <v>44752</v>
      </c>
      <c r="B3155" s="31" t="s">
        <v>36</v>
      </c>
      <c r="C3155" s="31" t="s">
        <v>2851</v>
      </c>
      <c r="D3155" s="31" t="s">
        <v>121</v>
      </c>
      <c r="E3155" s="25">
        <v>45929</v>
      </c>
      <c r="F3155" s="26" t="s">
        <v>1</v>
      </c>
    </row>
    <row r="3156" spans="1:6" ht="16.8" customHeight="1" x14ac:dyDescent="0.3">
      <c r="A3156" s="20">
        <v>44753</v>
      </c>
      <c r="B3156" s="31" t="s">
        <v>443</v>
      </c>
      <c r="C3156" s="31" t="s">
        <v>211</v>
      </c>
      <c r="D3156" s="31" t="s">
        <v>255</v>
      </c>
      <c r="E3156" s="25">
        <v>45924</v>
      </c>
      <c r="F3156" s="26" t="s">
        <v>1</v>
      </c>
    </row>
    <row r="3157" spans="1:6" ht="16.8" customHeight="1" x14ac:dyDescent="0.3">
      <c r="A3157" s="20">
        <v>44754</v>
      </c>
      <c r="B3157" s="31"/>
      <c r="C3157" s="31"/>
      <c r="D3157" s="31"/>
      <c r="E3157" s="25"/>
      <c r="F3157" s="26"/>
    </row>
    <row r="3158" spans="1:6" ht="16.8" customHeight="1" x14ac:dyDescent="0.3">
      <c r="A3158" s="20">
        <v>44755</v>
      </c>
      <c r="B3158" s="31"/>
      <c r="C3158" s="31"/>
      <c r="D3158" s="31"/>
      <c r="E3158" s="25"/>
      <c r="F3158" s="26"/>
    </row>
    <row r="3159" spans="1:6" ht="16.8" customHeight="1" x14ac:dyDescent="0.3">
      <c r="A3159" s="20">
        <v>44756</v>
      </c>
      <c r="B3159" s="31"/>
      <c r="C3159" s="31"/>
      <c r="D3159" s="31"/>
      <c r="E3159" s="25"/>
      <c r="F3159" s="26"/>
    </row>
    <row r="3160" spans="1:6" ht="16.8" customHeight="1" x14ac:dyDescent="0.3">
      <c r="A3160" s="20">
        <v>44757</v>
      </c>
      <c r="B3160" s="31"/>
      <c r="C3160" s="31"/>
      <c r="D3160" s="31"/>
      <c r="E3160" s="25"/>
      <c r="F3160" s="26"/>
    </row>
    <row r="3161" spans="1:6" ht="16.8" customHeight="1" x14ac:dyDescent="0.3">
      <c r="A3161" s="20">
        <v>44758</v>
      </c>
      <c r="B3161" s="31"/>
      <c r="C3161" s="31"/>
      <c r="D3161" s="31"/>
      <c r="E3161" s="25"/>
      <c r="F3161" s="26"/>
    </row>
    <row r="3162" spans="1:6" ht="16.8" customHeight="1" x14ac:dyDescent="0.3">
      <c r="A3162" s="20">
        <v>44759</v>
      </c>
      <c r="B3162" s="31" t="s">
        <v>1081</v>
      </c>
      <c r="C3162" s="31" t="s">
        <v>718</v>
      </c>
      <c r="D3162" s="31" t="s">
        <v>2852</v>
      </c>
      <c r="E3162" s="25">
        <v>45929</v>
      </c>
      <c r="F3162" s="26" t="s">
        <v>3</v>
      </c>
    </row>
    <row r="3163" spans="1:6" ht="16.8" customHeight="1" x14ac:dyDescent="0.3">
      <c r="A3163" s="20">
        <v>44760</v>
      </c>
      <c r="B3163" s="31" t="s">
        <v>409</v>
      </c>
      <c r="C3163" s="31" t="s">
        <v>63</v>
      </c>
      <c r="D3163" s="31" t="s">
        <v>121</v>
      </c>
      <c r="E3163" s="25">
        <v>45930</v>
      </c>
      <c r="F3163" s="26" t="s">
        <v>4</v>
      </c>
    </row>
    <row r="3164" spans="1:6" ht="16.8" customHeight="1" x14ac:dyDescent="0.3">
      <c r="A3164" s="20">
        <v>44761</v>
      </c>
      <c r="B3164" s="31" t="s">
        <v>187</v>
      </c>
      <c r="C3164" s="31" t="s">
        <v>179</v>
      </c>
      <c r="D3164" s="31" t="s">
        <v>346</v>
      </c>
      <c r="E3164" s="25">
        <v>45924</v>
      </c>
      <c r="F3164" s="26" t="s">
        <v>1</v>
      </c>
    </row>
    <row r="3165" spans="1:6" ht="16.8" customHeight="1" x14ac:dyDescent="0.3">
      <c r="A3165" s="20">
        <v>44762</v>
      </c>
      <c r="B3165" s="31"/>
      <c r="C3165" s="31"/>
      <c r="D3165" s="31"/>
      <c r="E3165" s="25"/>
      <c r="F3165" s="26"/>
    </row>
    <row r="3166" spans="1:6" ht="16.8" customHeight="1" x14ac:dyDescent="0.3">
      <c r="A3166" s="20">
        <v>44763</v>
      </c>
      <c r="B3166" s="31"/>
      <c r="C3166" s="31"/>
      <c r="D3166" s="31"/>
      <c r="E3166" s="25"/>
      <c r="F3166" s="26"/>
    </row>
    <row r="3167" spans="1:6" ht="16.8" customHeight="1" x14ac:dyDescent="0.3">
      <c r="A3167" s="20">
        <v>44764</v>
      </c>
      <c r="B3167" s="31"/>
      <c r="C3167" s="31"/>
      <c r="D3167" s="31"/>
      <c r="E3167" s="25"/>
      <c r="F3167" s="26"/>
    </row>
    <row r="3168" spans="1:6" ht="16.8" customHeight="1" x14ac:dyDescent="0.3">
      <c r="A3168" s="20">
        <v>44765</v>
      </c>
      <c r="B3168" s="31"/>
      <c r="C3168" s="31"/>
      <c r="D3168" s="31"/>
      <c r="E3168" s="25"/>
      <c r="F3168" s="26"/>
    </row>
    <row r="3169" spans="1:6" ht="16.8" customHeight="1" x14ac:dyDescent="0.3">
      <c r="A3169" s="20">
        <v>44766</v>
      </c>
      <c r="B3169" s="31" t="s">
        <v>326</v>
      </c>
      <c r="C3169" s="31"/>
      <c r="D3169" s="31" t="s">
        <v>27</v>
      </c>
      <c r="E3169" s="25">
        <v>45930</v>
      </c>
      <c r="F3169" s="26" t="s">
        <v>1</v>
      </c>
    </row>
    <row r="3170" spans="1:6" ht="16.8" customHeight="1" x14ac:dyDescent="0.3">
      <c r="A3170" s="20">
        <v>44767</v>
      </c>
      <c r="B3170" s="31" t="s">
        <v>36</v>
      </c>
      <c r="C3170" s="31" t="s">
        <v>2865</v>
      </c>
      <c r="D3170" s="31" t="s">
        <v>2866</v>
      </c>
      <c r="E3170" s="25">
        <v>45932</v>
      </c>
      <c r="F3170" s="26" t="s">
        <v>21</v>
      </c>
    </row>
    <row r="3171" spans="1:6" ht="16.8" customHeight="1" x14ac:dyDescent="0.3">
      <c r="A3171" s="20">
        <v>44768</v>
      </c>
      <c r="B3171" s="31" t="s">
        <v>570</v>
      </c>
      <c r="C3171" s="31" t="s">
        <v>453</v>
      </c>
      <c r="D3171" s="31" t="s">
        <v>1293</v>
      </c>
      <c r="E3171" s="25">
        <v>45929</v>
      </c>
      <c r="F3171" s="26" t="s">
        <v>1</v>
      </c>
    </row>
    <row r="3172" spans="1:6" ht="16.8" customHeight="1" x14ac:dyDescent="0.3">
      <c r="A3172" s="20">
        <v>44769</v>
      </c>
      <c r="B3172" s="31" t="s">
        <v>205</v>
      </c>
      <c r="C3172" s="31" t="s">
        <v>2607</v>
      </c>
      <c r="D3172" s="31" t="s">
        <v>121</v>
      </c>
      <c r="E3172" s="25">
        <v>45930</v>
      </c>
      <c r="F3172" s="26" t="s">
        <v>4</v>
      </c>
    </row>
    <row r="3173" spans="1:6" ht="16.8" customHeight="1" x14ac:dyDescent="0.3">
      <c r="A3173" s="20">
        <v>44770</v>
      </c>
      <c r="B3173" s="31"/>
      <c r="C3173" s="31"/>
      <c r="D3173" s="31"/>
      <c r="E3173" s="25"/>
      <c r="F3173" s="26"/>
    </row>
    <row r="3174" spans="1:6" ht="16.8" customHeight="1" x14ac:dyDescent="0.3">
      <c r="A3174" s="20">
        <v>44771</v>
      </c>
      <c r="B3174" s="31"/>
      <c r="C3174" s="31"/>
      <c r="D3174" s="31"/>
      <c r="E3174" s="25"/>
      <c r="F3174" s="26"/>
    </row>
    <row r="3175" spans="1:6" ht="16.8" customHeight="1" x14ac:dyDescent="0.3">
      <c r="A3175" s="20">
        <v>44772</v>
      </c>
      <c r="B3175" s="31" t="s">
        <v>62</v>
      </c>
      <c r="C3175" s="31" t="s">
        <v>63</v>
      </c>
      <c r="D3175" s="31" t="s">
        <v>215</v>
      </c>
      <c r="E3175" s="25">
        <v>45924</v>
      </c>
      <c r="F3175" s="26" t="s">
        <v>1</v>
      </c>
    </row>
    <row r="3176" spans="1:6" ht="16.8" customHeight="1" x14ac:dyDescent="0.3">
      <c r="A3176" s="20">
        <v>44773</v>
      </c>
      <c r="B3176" s="31" t="s">
        <v>79</v>
      </c>
      <c r="C3176" s="31" t="s">
        <v>75</v>
      </c>
      <c r="D3176" s="31" t="s">
        <v>1008</v>
      </c>
      <c r="E3176" s="25">
        <v>45924</v>
      </c>
      <c r="F3176" s="26" t="s">
        <v>1</v>
      </c>
    </row>
    <row r="3177" spans="1:6" ht="16.8" customHeight="1" x14ac:dyDescent="0.3">
      <c r="A3177" s="20">
        <v>44774</v>
      </c>
      <c r="B3177" s="31"/>
      <c r="C3177" s="31"/>
      <c r="D3177" s="31"/>
      <c r="E3177" s="25"/>
      <c r="F3177" s="26"/>
    </row>
    <row r="3178" spans="1:6" ht="16.8" customHeight="1" x14ac:dyDescent="0.3">
      <c r="A3178" s="20">
        <v>44775</v>
      </c>
      <c r="B3178" s="31"/>
      <c r="C3178" s="31"/>
      <c r="D3178" s="31"/>
      <c r="E3178" s="25"/>
      <c r="F3178" s="26"/>
    </row>
    <row r="3179" spans="1:6" ht="16.8" customHeight="1" x14ac:dyDescent="0.3">
      <c r="A3179" s="20">
        <v>44776</v>
      </c>
      <c r="B3179" s="31"/>
      <c r="C3179" s="31"/>
      <c r="D3179" s="31"/>
      <c r="E3179" s="25"/>
      <c r="F3179" s="26"/>
    </row>
    <row r="3180" spans="1:6" ht="16.8" customHeight="1" x14ac:dyDescent="0.3">
      <c r="A3180" s="20">
        <v>44777</v>
      </c>
      <c r="B3180" s="31"/>
      <c r="C3180" s="31"/>
      <c r="D3180" s="31"/>
      <c r="E3180" s="25"/>
      <c r="F3180" s="26"/>
    </row>
    <row r="3181" spans="1:6" ht="16.8" customHeight="1" x14ac:dyDescent="0.3">
      <c r="A3181" s="20">
        <v>44778</v>
      </c>
      <c r="B3181" s="31"/>
      <c r="C3181" s="31"/>
      <c r="D3181" s="31"/>
      <c r="E3181" s="25"/>
      <c r="F3181" s="26"/>
    </row>
    <row r="3182" spans="1:6" ht="16.8" customHeight="1" x14ac:dyDescent="0.3">
      <c r="A3182" s="20">
        <v>44779</v>
      </c>
      <c r="B3182" s="31"/>
      <c r="C3182" s="31"/>
      <c r="D3182" s="31"/>
      <c r="E3182" s="25"/>
      <c r="F3182" s="26"/>
    </row>
    <row r="3183" spans="1:6" ht="16.8" customHeight="1" x14ac:dyDescent="0.3">
      <c r="A3183" s="20">
        <v>44780</v>
      </c>
      <c r="B3183" s="31" t="s">
        <v>276</v>
      </c>
      <c r="C3183" s="31" t="s">
        <v>1094</v>
      </c>
      <c r="D3183" s="31" t="s">
        <v>2849</v>
      </c>
      <c r="E3183" s="25">
        <v>45929</v>
      </c>
      <c r="F3183" s="26" t="s">
        <v>1</v>
      </c>
    </row>
    <row r="3184" spans="1:6" ht="16.8" customHeight="1" x14ac:dyDescent="0.3">
      <c r="A3184" s="20">
        <v>44781</v>
      </c>
      <c r="B3184" s="31" t="s">
        <v>2850</v>
      </c>
      <c r="C3184" s="31" t="s">
        <v>685</v>
      </c>
      <c r="D3184" s="31" t="s">
        <v>1132</v>
      </c>
      <c r="E3184" s="25">
        <v>45929</v>
      </c>
      <c r="F3184" s="26" t="s">
        <v>1</v>
      </c>
    </row>
    <row r="3185" spans="1:6" ht="16.8" customHeight="1" x14ac:dyDescent="0.3">
      <c r="A3185" s="20">
        <v>44782</v>
      </c>
      <c r="B3185" s="31" t="s">
        <v>41</v>
      </c>
      <c r="C3185" s="31" t="s">
        <v>385</v>
      </c>
      <c r="D3185" s="31" t="s">
        <v>1948</v>
      </c>
      <c r="E3185" s="25">
        <v>45930</v>
      </c>
      <c r="F3185" s="26" t="s">
        <v>4</v>
      </c>
    </row>
    <row r="3186" spans="1:6" ht="16.8" customHeight="1" x14ac:dyDescent="0.3">
      <c r="A3186" s="20">
        <v>44783</v>
      </c>
      <c r="B3186" s="31"/>
      <c r="C3186" s="31"/>
      <c r="D3186" s="31"/>
      <c r="E3186" s="25"/>
      <c r="F3186" s="26"/>
    </row>
    <row r="3187" spans="1:6" ht="16.8" customHeight="1" x14ac:dyDescent="0.3">
      <c r="A3187" s="20">
        <v>44784</v>
      </c>
      <c r="B3187" s="31" t="s">
        <v>559</v>
      </c>
      <c r="C3187" s="31" t="s">
        <v>45</v>
      </c>
      <c r="D3187" s="31" t="s">
        <v>2842</v>
      </c>
      <c r="E3187" s="25">
        <v>45926</v>
      </c>
      <c r="F3187" s="26" t="s">
        <v>23</v>
      </c>
    </row>
    <row r="3188" spans="1:6" ht="16.8" customHeight="1" x14ac:dyDescent="0.3">
      <c r="A3188" s="20">
        <v>44785</v>
      </c>
      <c r="B3188" s="31"/>
      <c r="C3188" s="31"/>
      <c r="D3188" s="31"/>
      <c r="E3188" s="25"/>
      <c r="F3188" s="26"/>
    </row>
    <row r="3189" spans="1:6" ht="16.8" customHeight="1" x14ac:dyDescent="0.3">
      <c r="A3189" s="20">
        <v>44786</v>
      </c>
      <c r="B3189" s="31" t="s">
        <v>446</v>
      </c>
      <c r="C3189" s="31" t="s">
        <v>75</v>
      </c>
      <c r="D3189" s="31" t="s">
        <v>2844</v>
      </c>
      <c r="E3189" s="25">
        <v>45926</v>
      </c>
      <c r="F3189" s="26" t="s">
        <v>2</v>
      </c>
    </row>
    <row r="3190" spans="1:6" ht="16.8" customHeight="1" x14ac:dyDescent="0.3">
      <c r="A3190" s="20">
        <v>44787</v>
      </c>
      <c r="B3190" s="31" t="s">
        <v>86</v>
      </c>
      <c r="C3190" s="31" t="s">
        <v>148</v>
      </c>
      <c r="D3190" s="31" t="s">
        <v>2619</v>
      </c>
      <c r="E3190" s="25">
        <v>45929</v>
      </c>
      <c r="F3190" s="26" t="s">
        <v>1</v>
      </c>
    </row>
    <row r="3191" spans="1:6" ht="16.8" customHeight="1" x14ac:dyDescent="0.3">
      <c r="A3191" s="20">
        <v>44788</v>
      </c>
      <c r="B3191" s="31" t="s">
        <v>858</v>
      </c>
      <c r="C3191" s="31" t="s">
        <v>859</v>
      </c>
      <c r="D3191" s="31" t="s">
        <v>85</v>
      </c>
      <c r="E3191" s="25">
        <v>45929</v>
      </c>
      <c r="F3191" s="26" t="s">
        <v>1</v>
      </c>
    </row>
    <row r="3192" spans="1:6" ht="16.8" customHeight="1" x14ac:dyDescent="0.3">
      <c r="A3192" s="20">
        <v>44789</v>
      </c>
      <c r="B3192" s="31" t="s">
        <v>271</v>
      </c>
      <c r="C3192" s="31" t="s">
        <v>418</v>
      </c>
      <c r="D3192" s="31" t="s">
        <v>2869</v>
      </c>
      <c r="E3192" s="25">
        <v>45932</v>
      </c>
      <c r="F3192" s="26" t="s">
        <v>1</v>
      </c>
    </row>
    <row r="3193" spans="1:6" ht="16.8" customHeight="1" x14ac:dyDescent="0.3">
      <c r="A3193" s="20">
        <v>44790</v>
      </c>
      <c r="B3193" s="31"/>
      <c r="C3193" s="31"/>
      <c r="D3193" s="31"/>
      <c r="E3193" s="25"/>
      <c r="F3193" s="26"/>
    </row>
    <row r="3194" spans="1:6" ht="16.8" customHeight="1" x14ac:dyDescent="0.3">
      <c r="A3194" s="20">
        <v>44791</v>
      </c>
      <c r="B3194" s="31" t="s">
        <v>79</v>
      </c>
      <c r="C3194" s="31" t="s">
        <v>75</v>
      </c>
      <c r="D3194" s="31" t="s">
        <v>2352</v>
      </c>
      <c r="E3194" s="25">
        <v>45925</v>
      </c>
      <c r="F3194" s="26" t="s">
        <v>5</v>
      </c>
    </row>
    <row r="3195" spans="1:6" ht="16.8" customHeight="1" x14ac:dyDescent="0.3">
      <c r="A3195" s="20">
        <v>44792</v>
      </c>
      <c r="B3195" s="31" t="s">
        <v>41</v>
      </c>
      <c r="C3195" s="31" t="s">
        <v>32</v>
      </c>
      <c r="D3195" s="31" t="s">
        <v>1987</v>
      </c>
      <c r="E3195" s="25">
        <v>45926</v>
      </c>
      <c r="F3195" s="26" t="s">
        <v>5</v>
      </c>
    </row>
    <row r="3196" spans="1:6" ht="16.8" customHeight="1" x14ac:dyDescent="0.3">
      <c r="A3196" s="20">
        <v>44793</v>
      </c>
      <c r="B3196" s="31" t="s">
        <v>482</v>
      </c>
      <c r="C3196" s="31" t="s">
        <v>63</v>
      </c>
      <c r="D3196" s="31" t="s">
        <v>1987</v>
      </c>
      <c r="E3196" s="25">
        <v>45926</v>
      </c>
      <c r="F3196" s="26" t="s">
        <v>5</v>
      </c>
    </row>
    <row r="3197" spans="1:6" ht="16.8" customHeight="1" x14ac:dyDescent="0.3">
      <c r="A3197" s="20">
        <v>44794</v>
      </c>
      <c r="B3197" s="31" t="s">
        <v>102</v>
      </c>
      <c r="C3197" s="31" t="s">
        <v>32</v>
      </c>
      <c r="D3197" s="31" t="s">
        <v>1987</v>
      </c>
      <c r="E3197" s="25">
        <v>45926</v>
      </c>
      <c r="F3197" s="26" t="s">
        <v>5</v>
      </c>
    </row>
    <row r="3198" spans="1:6" ht="16.8" customHeight="1" x14ac:dyDescent="0.3">
      <c r="A3198" s="20">
        <v>44795</v>
      </c>
      <c r="B3198" s="31" t="s">
        <v>1097</v>
      </c>
      <c r="C3198" s="31" t="s">
        <v>106</v>
      </c>
      <c r="D3198" s="31" t="s">
        <v>1987</v>
      </c>
      <c r="E3198" s="25">
        <v>45926</v>
      </c>
      <c r="F3198" s="26" t="s">
        <v>5</v>
      </c>
    </row>
    <row r="3199" spans="1:6" ht="16.8" customHeight="1" x14ac:dyDescent="0.3">
      <c r="A3199" s="20">
        <v>44796</v>
      </c>
      <c r="B3199" s="31" t="s">
        <v>353</v>
      </c>
      <c r="C3199" s="31" t="s">
        <v>32</v>
      </c>
      <c r="D3199" s="31" t="s">
        <v>1987</v>
      </c>
      <c r="E3199" s="25">
        <v>45926</v>
      </c>
      <c r="F3199" s="26" t="s">
        <v>5</v>
      </c>
    </row>
    <row r="3200" spans="1:6" ht="16.8" customHeight="1" x14ac:dyDescent="0.3">
      <c r="A3200" s="20">
        <v>44797</v>
      </c>
      <c r="B3200" s="31" t="s">
        <v>2840</v>
      </c>
      <c r="C3200" s="31" t="s">
        <v>63</v>
      </c>
      <c r="D3200" s="31" t="s">
        <v>1987</v>
      </c>
      <c r="E3200" s="25">
        <v>45926</v>
      </c>
      <c r="F3200" s="26" t="s">
        <v>5</v>
      </c>
    </row>
    <row r="3201" spans="1:6" ht="16.8" customHeight="1" x14ac:dyDescent="0.3">
      <c r="A3201" s="20">
        <v>44798</v>
      </c>
      <c r="B3201" s="31" t="s">
        <v>516</v>
      </c>
      <c r="C3201" s="31" t="s">
        <v>63</v>
      </c>
      <c r="D3201" s="31" t="s">
        <v>1987</v>
      </c>
      <c r="E3201" s="25">
        <v>45926</v>
      </c>
      <c r="F3201" s="26" t="s">
        <v>5</v>
      </c>
    </row>
    <row r="3202" spans="1:6" ht="16.8" customHeight="1" x14ac:dyDescent="0.3">
      <c r="A3202" s="20">
        <v>44799</v>
      </c>
      <c r="B3202" s="31" t="s">
        <v>259</v>
      </c>
      <c r="C3202" s="31" t="s">
        <v>63</v>
      </c>
      <c r="D3202" s="31" t="s">
        <v>1987</v>
      </c>
      <c r="E3202" s="25">
        <v>45926</v>
      </c>
      <c r="F3202" s="26" t="s">
        <v>5</v>
      </c>
    </row>
    <row r="3203" spans="1:6" ht="16.8" customHeight="1" x14ac:dyDescent="0.3">
      <c r="A3203" s="20">
        <v>44800</v>
      </c>
      <c r="B3203" s="31" t="s">
        <v>141</v>
      </c>
      <c r="C3203" s="31" t="s">
        <v>63</v>
      </c>
      <c r="D3203" s="31" t="s">
        <v>1987</v>
      </c>
      <c r="E3203" s="25">
        <v>45926</v>
      </c>
      <c r="F3203" s="26" t="s">
        <v>5</v>
      </c>
    </row>
    <row r="3204" spans="1:6" ht="16.8" customHeight="1" x14ac:dyDescent="0.3">
      <c r="A3204" s="20">
        <v>44801</v>
      </c>
      <c r="B3204" s="31" t="s">
        <v>1117</v>
      </c>
      <c r="C3204" s="31" t="s">
        <v>32</v>
      </c>
      <c r="D3204" s="31" t="s">
        <v>1987</v>
      </c>
      <c r="E3204" s="25">
        <v>45926</v>
      </c>
      <c r="F3204" s="26" t="s">
        <v>5</v>
      </c>
    </row>
    <row r="3205" spans="1:6" ht="16.8" customHeight="1" x14ac:dyDescent="0.3">
      <c r="A3205" s="20">
        <v>44802</v>
      </c>
      <c r="B3205" s="31" t="s">
        <v>105</v>
      </c>
      <c r="C3205" s="31" t="s">
        <v>106</v>
      </c>
      <c r="D3205" s="31" t="s">
        <v>1987</v>
      </c>
      <c r="E3205" s="25">
        <v>45926</v>
      </c>
      <c r="F3205" s="26" t="s">
        <v>5</v>
      </c>
    </row>
    <row r="3206" spans="1:6" ht="16.8" customHeight="1" x14ac:dyDescent="0.3">
      <c r="A3206" s="20">
        <v>44803</v>
      </c>
      <c r="B3206" s="31" t="s">
        <v>309</v>
      </c>
      <c r="C3206" s="31" t="s">
        <v>440</v>
      </c>
      <c r="D3206" s="31" t="s">
        <v>1987</v>
      </c>
      <c r="E3206" s="25">
        <v>45926</v>
      </c>
      <c r="F3206" s="26" t="s">
        <v>5</v>
      </c>
    </row>
    <row r="3207" spans="1:6" ht="16.8" customHeight="1" x14ac:dyDescent="0.3">
      <c r="A3207" s="20">
        <v>44804</v>
      </c>
      <c r="B3207" s="31" t="s">
        <v>62</v>
      </c>
      <c r="C3207" s="31" t="s">
        <v>63</v>
      </c>
      <c r="D3207" s="31" t="s">
        <v>1987</v>
      </c>
      <c r="E3207" s="25">
        <v>45926</v>
      </c>
      <c r="F3207" s="26" t="s">
        <v>5</v>
      </c>
    </row>
    <row r="3208" spans="1:6" ht="16.8" customHeight="1" x14ac:dyDescent="0.3">
      <c r="A3208" s="20">
        <v>44805</v>
      </c>
      <c r="B3208" s="31" t="s">
        <v>205</v>
      </c>
      <c r="C3208" s="31" t="s">
        <v>106</v>
      </c>
      <c r="D3208" s="31" t="s">
        <v>1987</v>
      </c>
      <c r="E3208" s="25">
        <v>45926</v>
      </c>
      <c r="F3208" s="26" t="s">
        <v>5</v>
      </c>
    </row>
    <row r="3209" spans="1:6" ht="16.8" customHeight="1" x14ac:dyDescent="0.3">
      <c r="A3209" s="20">
        <v>44806</v>
      </c>
      <c r="B3209" s="31"/>
      <c r="C3209" s="31"/>
      <c r="D3209" s="31"/>
      <c r="E3209" s="25"/>
      <c r="F3209" s="26"/>
    </row>
    <row r="3210" spans="1:6" ht="16.8" customHeight="1" x14ac:dyDescent="0.3">
      <c r="A3210" s="20">
        <v>44807</v>
      </c>
      <c r="B3210" s="31"/>
      <c r="C3210" s="31"/>
      <c r="D3210" s="31"/>
      <c r="E3210" s="25"/>
      <c r="F3210" s="26"/>
    </row>
    <row r="3211" spans="1:6" ht="16.8" customHeight="1" x14ac:dyDescent="0.3">
      <c r="A3211" s="20">
        <v>44808</v>
      </c>
      <c r="B3211" s="31"/>
      <c r="C3211" s="31"/>
      <c r="D3211" s="31"/>
      <c r="E3211" s="25"/>
      <c r="F3211" s="26"/>
    </row>
    <row r="3212" spans="1:6" ht="16.8" customHeight="1" x14ac:dyDescent="0.3">
      <c r="A3212" s="20">
        <v>44809</v>
      </c>
      <c r="B3212" s="31" t="s">
        <v>2857</v>
      </c>
      <c r="C3212" s="31" t="s">
        <v>2858</v>
      </c>
      <c r="D3212" s="31" t="s">
        <v>121</v>
      </c>
      <c r="E3212" s="25">
        <v>45930</v>
      </c>
      <c r="F3212" s="26" t="s">
        <v>4</v>
      </c>
    </row>
    <row r="3213" spans="1:6" ht="16.8" customHeight="1" x14ac:dyDescent="0.3">
      <c r="A3213" s="20">
        <v>44810</v>
      </c>
      <c r="B3213" s="31" t="s">
        <v>41</v>
      </c>
      <c r="C3213" s="31" t="s">
        <v>781</v>
      </c>
      <c r="D3213" s="31" t="s">
        <v>492</v>
      </c>
      <c r="E3213" s="25">
        <v>45931</v>
      </c>
      <c r="F3213" s="26" t="s">
        <v>4</v>
      </c>
    </row>
    <row r="3214" spans="1:6" ht="16.8" customHeight="1" x14ac:dyDescent="0.3">
      <c r="A3214" s="20">
        <v>44811</v>
      </c>
      <c r="B3214" s="31"/>
      <c r="C3214" s="31"/>
      <c r="D3214" s="31"/>
      <c r="E3214" s="25"/>
      <c r="F3214" s="26"/>
    </row>
    <row r="3215" spans="1:6" ht="16.8" customHeight="1" x14ac:dyDescent="0.3">
      <c r="A3215" s="20">
        <v>44812</v>
      </c>
      <c r="B3215" s="31" t="s">
        <v>350</v>
      </c>
      <c r="C3215" s="31" t="s">
        <v>45</v>
      </c>
      <c r="D3215" s="31" t="s">
        <v>801</v>
      </c>
      <c r="E3215" s="25">
        <v>45929</v>
      </c>
      <c r="F3215" s="26" t="s">
        <v>1</v>
      </c>
    </row>
    <row r="3216" spans="1:6" ht="16.8" customHeight="1" x14ac:dyDescent="0.3">
      <c r="A3216" s="20">
        <v>44813</v>
      </c>
      <c r="B3216" s="31" t="s">
        <v>62</v>
      </c>
      <c r="C3216" s="31" t="s">
        <v>63</v>
      </c>
      <c r="D3216" s="31" t="s">
        <v>2853</v>
      </c>
      <c r="E3216" s="25">
        <v>45929</v>
      </c>
      <c r="F3216" s="26" t="s">
        <v>1</v>
      </c>
    </row>
    <row r="3217" spans="1:6" ht="16.8" customHeight="1" x14ac:dyDescent="0.3">
      <c r="A3217" s="20">
        <v>44814</v>
      </c>
      <c r="B3217" s="31" t="s">
        <v>86</v>
      </c>
      <c r="C3217" s="31" t="s">
        <v>45</v>
      </c>
      <c r="D3217" s="31" t="s">
        <v>1532</v>
      </c>
      <c r="E3217" s="25">
        <v>45932</v>
      </c>
      <c r="F3217" s="26" t="s">
        <v>3</v>
      </c>
    </row>
    <row r="3218" spans="1:6" ht="16.8" customHeight="1" x14ac:dyDescent="0.3">
      <c r="A3218" s="20">
        <v>44815</v>
      </c>
      <c r="B3218" s="31" t="s">
        <v>892</v>
      </c>
      <c r="C3218" s="31" t="s">
        <v>148</v>
      </c>
      <c r="D3218" s="31" t="s">
        <v>1100</v>
      </c>
      <c r="E3218" s="25">
        <v>45929</v>
      </c>
      <c r="F3218" s="26" t="s">
        <v>1</v>
      </c>
    </row>
    <row r="3219" spans="1:6" ht="16.8" customHeight="1" x14ac:dyDescent="0.3">
      <c r="A3219" s="20">
        <v>44816</v>
      </c>
      <c r="B3219" s="31" t="s">
        <v>49</v>
      </c>
      <c r="C3219" s="31" t="s">
        <v>148</v>
      </c>
      <c r="D3219" s="31" t="s">
        <v>1088</v>
      </c>
      <c r="E3219" s="25">
        <v>45929</v>
      </c>
      <c r="F3219" s="26" t="s">
        <v>1</v>
      </c>
    </row>
    <row r="3220" spans="1:6" ht="16.8" customHeight="1" x14ac:dyDescent="0.3">
      <c r="A3220" s="20">
        <v>44817</v>
      </c>
      <c r="B3220" s="31"/>
      <c r="C3220" s="31"/>
      <c r="D3220" s="31"/>
      <c r="E3220" s="25"/>
      <c r="F3220" s="26"/>
    </row>
    <row r="3221" spans="1:6" ht="16.8" customHeight="1" x14ac:dyDescent="0.3">
      <c r="A3221" s="20">
        <v>44818</v>
      </c>
      <c r="B3221" s="31"/>
      <c r="C3221" s="31"/>
      <c r="D3221" s="31"/>
      <c r="E3221" s="25"/>
      <c r="F3221" s="26"/>
    </row>
    <row r="3222" spans="1:6" ht="16.8" customHeight="1" x14ac:dyDescent="0.3">
      <c r="A3222" s="20">
        <v>44819</v>
      </c>
      <c r="B3222" s="31"/>
      <c r="C3222" s="31"/>
      <c r="D3222" s="31"/>
      <c r="E3222" s="25"/>
      <c r="F3222" s="26"/>
    </row>
    <row r="3223" spans="1:6" ht="16.8" customHeight="1" x14ac:dyDescent="0.3">
      <c r="A3223" s="20">
        <v>44820</v>
      </c>
      <c r="B3223" s="31"/>
      <c r="C3223" s="31"/>
      <c r="D3223" s="31"/>
      <c r="E3223" s="25"/>
      <c r="F3223" s="26"/>
    </row>
    <row r="3224" spans="1:6" ht="16.8" customHeight="1" x14ac:dyDescent="0.3">
      <c r="A3224" s="20">
        <v>44821</v>
      </c>
      <c r="B3224" s="31"/>
      <c r="C3224" s="31"/>
      <c r="D3224" s="31"/>
      <c r="E3224" s="25"/>
      <c r="F3224" s="26"/>
    </row>
    <row r="3225" spans="1:6" ht="16.8" customHeight="1" x14ac:dyDescent="0.3">
      <c r="A3225" s="20">
        <v>44822</v>
      </c>
      <c r="B3225" s="31" t="s">
        <v>778</v>
      </c>
      <c r="C3225" s="31" t="s">
        <v>179</v>
      </c>
      <c r="D3225" s="31" t="s">
        <v>952</v>
      </c>
      <c r="E3225" s="25">
        <v>45929</v>
      </c>
      <c r="F3225" s="26" t="s">
        <v>1</v>
      </c>
    </row>
    <row r="3226" spans="1:6" ht="16.8" customHeight="1" x14ac:dyDescent="0.3">
      <c r="A3226" s="20">
        <v>44823</v>
      </c>
      <c r="B3226" s="31"/>
      <c r="C3226" s="31"/>
      <c r="D3226" s="31"/>
      <c r="E3226" s="25"/>
      <c r="F3226" s="26"/>
    </row>
    <row r="3227" spans="1:6" ht="16.8" customHeight="1" x14ac:dyDescent="0.3">
      <c r="A3227" s="20">
        <v>44824</v>
      </c>
      <c r="B3227" s="31" t="s">
        <v>1090</v>
      </c>
      <c r="C3227" s="31" t="s">
        <v>179</v>
      </c>
      <c r="D3227" s="31" t="s">
        <v>777</v>
      </c>
      <c r="E3227" s="25">
        <v>45929</v>
      </c>
      <c r="F3227" s="26" t="s">
        <v>1</v>
      </c>
    </row>
    <row r="3228" spans="1:6" ht="16.8" customHeight="1" x14ac:dyDescent="0.3">
      <c r="A3228" s="20">
        <v>44825</v>
      </c>
      <c r="B3228" s="31" t="s">
        <v>205</v>
      </c>
      <c r="C3228" s="31" t="s">
        <v>2607</v>
      </c>
      <c r="D3228" s="31" t="s">
        <v>58</v>
      </c>
      <c r="E3228" s="25">
        <v>45930</v>
      </c>
      <c r="F3228" s="26" t="s">
        <v>18</v>
      </c>
    </row>
    <row r="3229" spans="1:6" ht="16.8" customHeight="1" x14ac:dyDescent="0.3">
      <c r="A3229" s="20">
        <v>44826</v>
      </c>
      <c r="B3229" s="31"/>
      <c r="C3229" s="31"/>
      <c r="D3229" s="31"/>
      <c r="E3229" s="25"/>
      <c r="F3229" s="26"/>
    </row>
    <row r="3230" spans="1:6" ht="16.8" customHeight="1" x14ac:dyDescent="0.3">
      <c r="A3230" s="20">
        <v>44827</v>
      </c>
      <c r="B3230" s="31"/>
      <c r="C3230" s="31"/>
      <c r="D3230" s="31"/>
      <c r="E3230" s="25"/>
      <c r="F3230" s="26"/>
    </row>
    <row r="3231" spans="1:6" ht="16.8" customHeight="1" x14ac:dyDescent="0.3">
      <c r="A3231" s="20">
        <v>44828</v>
      </c>
      <c r="B3231" s="31"/>
      <c r="C3231" s="31"/>
      <c r="D3231" s="31"/>
      <c r="E3231" s="25"/>
      <c r="F3231" s="26"/>
    </row>
    <row r="3232" spans="1:6" ht="16.8" customHeight="1" x14ac:dyDescent="0.3">
      <c r="A3232" s="20">
        <v>44829</v>
      </c>
      <c r="B3232" s="31"/>
      <c r="C3232" s="31"/>
      <c r="D3232" s="31"/>
      <c r="E3232" s="25"/>
      <c r="F3232" s="26"/>
    </row>
    <row r="3233" spans="1:6" ht="16.8" customHeight="1" x14ac:dyDescent="0.3">
      <c r="A3233" s="20">
        <v>44830</v>
      </c>
      <c r="B3233" s="31"/>
      <c r="C3233" s="31"/>
      <c r="D3233" s="31"/>
      <c r="E3233" s="25"/>
      <c r="F3233" s="26"/>
    </row>
    <row r="3234" spans="1:6" ht="16.8" customHeight="1" x14ac:dyDescent="0.3">
      <c r="A3234" s="20">
        <v>44831</v>
      </c>
      <c r="B3234" s="31"/>
      <c r="C3234" s="31"/>
      <c r="D3234" s="31"/>
      <c r="E3234" s="25"/>
      <c r="F3234" s="26"/>
    </row>
    <row r="3235" spans="1:6" ht="16.8" customHeight="1" x14ac:dyDescent="0.3">
      <c r="A3235" s="20">
        <v>44832</v>
      </c>
      <c r="B3235" s="31"/>
      <c r="C3235" s="31"/>
      <c r="D3235" s="31"/>
      <c r="E3235" s="25"/>
      <c r="F3235" s="26"/>
    </row>
    <row r="3236" spans="1:6" ht="16.8" customHeight="1" x14ac:dyDescent="0.3">
      <c r="A3236" s="20">
        <v>44833</v>
      </c>
      <c r="B3236" s="31"/>
      <c r="C3236" s="31"/>
      <c r="D3236" s="31"/>
      <c r="E3236" s="25"/>
      <c r="F3236" s="26"/>
    </row>
    <row r="3237" spans="1:6" ht="16.8" customHeight="1" x14ac:dyDescent="0.3">
      <c r="A3237" s="20">
        <v>44834</v>
      </c>
      <c r="B3237" s="31"/>
      <c r="C3237" s="31"/>
      <c r="D3237" s="31"/>
      <c r="E3237" s="25"/>
      <c r="F3237" s="26"/>
    </row>
    <row r="3238" spans="1:6" ht="16.8" customHeight="1" x14ac:dyDescent="0.3">
      <c r="A3238" s="20">
        <v>44835</v>
      </c>
      <c r="B3238" s="31"/>
      <c r="C3238" s="31"/>
      <c r="D3238" s="31"/>
      <c r="E3238" s="25"/>
      <c r="F3238" s="26"/>
    </row>
    <row r="3239" spans="1:6" ht="16.8" customHeight="1" x14ac:dyDescent="0.3">
      <c r="A3239" s="20">
        <v>44836</v>
      </c>
      <c r="B3239" s="31" t="s">
        <v>1977</v>
      </c>
      <c r="C3239" s="31" t="s">
        <v>260</v>
      </c>
      <c r="D3239" s="31" t="s">
        <v>403</v>
      </c>
      <c r="E3239" s="25">
        <v>45932</v>
      </c>
      <c r="F3239" s="26" t="s">
        <v>1</v>
      </c>
    </row>
    <row r="3240" spans="1:6" ht="16.8" customHeight="1" x14ac:dyDescent="0.3">
      <c r="A3240" s="20">
        <v>44837</v>
      </c>
      <c r="B3240" s="31"/>
      <c r="C3240" s="31"/>
      <c r="D3240" s="31"/>
      <c r="E3240" s="25"/>
      <c r="F3240" s="26"/>
    </row>
    <row r="3241" spans="1:6" ht="16.8" customHeight="1" x14ac:dyDescent="0.3">
      <c r="A3241" s="20">
        <v>44838</v>
      </c>
      <c r="B3241" s="31"/>
      <c r="C3241" s="31"/>
      <c r="D3241" s="31"/>
      <c r="E3241" s="25"/>
      <c r="F3241" s="26"/>
    </row>
    <row r="3242" spans="1:6" ht="16.8" customHeight="1" x14ac:dyDescent="0.3">
      <c r="A3242" s="20">
        <v>44839</v>
      </c>
      <c r="B3242" s="31"/>
      <c r="C3242" s="31"/>
      <c r="D3242" s="31"/>
      <c r="E3242" s="25"/>
      <c r="F3242" s="26"/>
    </row>
    <row r="3243" spans="1:6" ht="16.8" customHeight="1" x14ac:dyDescent="0.3">
      <c r="A3243" s="20">
        <v>44840</v>
      </c>
      <c r="B3243" s="31"/>
      <c r="C3243" s="31"/>
      <c r="D3243" s="31"/>
      <c r="E3243" s="25"/>
      <c r="F3243" s="26"/>
    </row>
    <row r="3244" spans="1:6" ht="16.8" customHeight="1" x14ac:dyDescent="0.3">
      <c r="A3244" s="20">
        <v>44841</v>
      </c>
      <c r="B3244" s="31"/>
      <c r="C3244" s="31"/>
      <c r="D3244" s="31"/>
      <c r="E3244" s="25"/>
      <c r="F3244" s="26"/>
    </row>
    <row r="3245" spans="1:6" ht="16.8" customHeight="1" x14ac:dyDescent="0.3">
      <c r="A3245" s="20">
        <v>44842</v>
      </c>
      <c r="B3245" s="31"/>
      <c r="C3245" s="31"/>
      <c r="D3245" s="31"/>
      <c r="E3245" s="25"/>
      <c r="F3245" s="26"/>
    </row>
    <row r="3246" spans="1:6" ht="16.8" customHeight="1" x14ac:dyDescent="0.3">
      <c r="A3246" s="20">
        <v>44843</v>
      </c>
      <c r="B3246" s="31"/>
      <c r="C3246" s="31"/>
      <c r="D3246" s="31"/>
      <c r="E3246" s="25"/>
      <c r="F3246" s="26"/>
    </row>
    <row r="3247" spans="1:6" ht="16.8" customHeight="1" x14ac:dyDescent="0.3">
      <c r="A3247" s="20">
        <v>44844</v>
      </c>
      <c r="B3247" s="31" t="s">
        <v>1027</v>
      </c>
      <c r="C3247" s="31"/>
      <c r="D3247" s="31" t="s">
        <v>27</v>
      </c>
      <c r="E3247" s="25">
        <v>45932</v>
      </c>
      <c r="F3247" s="26" t="s">
        <v>1</v>
      </c>
    </row>
    <row r="3248" spans="1:6" ht="16.8" customHeight="1" x14ac:dyDescent="0.3">
      <c r="A3248" s="20">
        <v>44845</v>
      </c>
      <c r="B3248" s="31"/>
      <c r="C3248" s="31"/>
      <c r="D3248" s="31"/>
      <c r="E3248" s="25"/>
      <c r="F3248" s="26"/>
    </row>
    <row r="3249" spans="1:6" ht="16.8" customHeight="1" x14ac:dyDescent="0.3">
      <c r="A3249" s="20">
        <v>44846</v>
      </c>
      <c r="B3249" s="31"/>
      <c r="C3249" s="31"/>
      <c r="D3249" s="31"/>
      <c r="E3249" s="25"/>
      <c r="F3249" s="26"/>
    </row>
    <row r="3250" spans="1:6" ht="16.8" customHeight="1" x14ac:dyDescent="0.3">
      <c r="A3250" s="20">
        <v>44847</v>
      </c>
      <c r="B3250" s="31"/>
      <c r="C3250" s="31"/>
      <c r="D3250" s="31"/>
      <c r="E3250" s="25"/>
      <c r="F3250" s="26"/>
    </row>
    <row r="3251" spans="1:6" ht="16.8" customHeight="1" x14ac:dyDescent="0.3">
      <c r="A3251" s="20">
        <v>44848</v>
      </c>
      <c r="B3251" s="31"/>
      <c r="C3251" s="31"/>
      <c r="D3251" s="31"/>
      <c r="E3251" s="25"/>
      <c r="F3251" s="26"/>
    </row>
    <row r="3252" spans="1:6" ht="16.8" customHeight="1" x14ac:dyDescent="0.3">
      <c r="A3252" s="20">
        <v>44849</v>
      </c>
      <c r="B3252" s="31"/>
      <c r="C3252" s="31"/>
      <c r="D3252" s="31"/>
      <c r="E3252" s="25"/>
      <c r="F3252" s="26"/>
    </row>
    <row r="3253" spans="1:6" ht="16.8" customHeight="1" x14ac:dyDescent="0.3">
      <c r="A3253" s="20">
        <v>44850</v>
      </c>
      <c r="B3253" s="31"/>
      <c r="C3253" s="31"/>
      <c r="D3253" s="31"/>
      <c r="E3253" s="25"/>
      <c r="F3253" s="26"/>
    </row>
    <row r="3254" spans="1:6" ht="16.8" customHeight="1" x14ac:dyDescent="0.3">
      <c r="A3254" s="20">
        <v>44851</v>
      </c>
      <c r="B3254" s="31"/>
      <c r="C3254" s="31"/>
      <c r="D3254" s="31"/>
      <c r="E3254" s="25"/>
      <c r="F3254" s="26"/>
    </row>
    <row r="3255" spans="1:6" ht="16.8" customHeight="1" x14ac:dyDescent="0.3">
      <c r="A3255" s="20">
        <v>44852</v>
      </c>
      <c r="B3255" s="31"/>
      <c r="C3255" s="31"/>
      <c r="D3255" s="31"/>
      <c r="E3255" s="25"/>
      <c r="F3255" s="26"/>
    </row>
    <row r="3256" spans="1:6" ht="16.8" customHeight="1" x14ac:dyDescent="0.3">
      <c r="A3256" s="20">
        <v>44853</v>
      </c>
      <c r="B3256" s="31"/>
      <c r="C3256" s="31"/>
      <c r="D3256" s="31"/>
      <c r="E3256" s="25"/>
      <c r="F3256" s="26"/>
    </row>
    <row r="3257" spans="1:6" ht="16.8" customHeight="1" x14ac:dyDescent="0.3">
      <c r="A3257" s="20">
        <v>44854</v>
      </c>
      <c r="B3257" s="31"/>
      <c r="C3257" s="31"/>
      <c r="D3257" s="31"/>
      <c r="E3257" s="25"/>
      <c r="F3257" s="26"/>
    </row>
    <row r="3258" spans="1:6" ht="16.8" customHeight="1" x14ac:dyDescent="0.3">
      <c r="A3258" s="20">
        <v>44855</v>
      </c>
      <c r="B3258" s="31"/>
      <c r="C3258" s="31"/>
      <c r="D3258" s="31"/>
      <c r="E3258" s="25"/>
      <c r="F3258" s="26"/>
    </row>
    <row r="3259" spans="1:6" ht="16.8" customHeight="1" x14ac:dyDescent="0.3">
      <c r="A3259" s="20">
        <v>44856</v>
      </c>
      <c r="B3259" s="31"/>
      <c r="C3259" s="31"/>
      <c r="D3259" s="31"/>
      <c r="E3259" s="25"/>
      <c r="F3259" s="26"/>
    </row>
    <row r="3260" spans="1:6" ht="16.8" customHeight="1" x14ac:dyDescent="0.3">
      <c r="A3260" s="20">
        <v>44857</v>
      </c>
      <c r="B3260" s="31"/>
      <c r="C3260" s="31"/>
      <c r="D3260" s="31"/>
      <c r="E3260" s="25"/>
      <c r="F3260" s="26"/>
    </row>
    <row r="3261" spans="1:6" ht="16.8" customHeight="1" x14ac:dyDescent="0.3">
      <c r="A3261" s="20">
        <v>44858</v>
      </c>
      <c r="B3261" s="31"/>
      <c r="C3261" s="31"/>
      <c r="D3261" s="31"/>
      <c r="E3261" s="25"/>
      <c r="F3261" s="26"/>
    </row>
    <row r="3262" spans="1:6" ht="16.8" customHeight="1" x14ac:dyDescent="0.3">
      <c r="A3262" s="20">
        <v>44859</v>
      </c>
      <c r="B3262" s="31"/>
      <c r="C3262" s="31"/>
      <c r="D3262" s="31"/>
      <c r="E3262" s="25"/>
      <c r="F3262" s="26"/>
    </row>
    <row r="3263" spans="1:6" ht="16.8" customHeight="1" x14ac:dyDescent="0.3">
      <c r="A3263" s="20">
        <v>44860</v>
      </c>
      <c r="B3263" s="31"/>
      <c r="C3263" s="31"/>
      <c r="D3263" s="31"/>
      <c r="E3263" s="25"/>
      <c r="F3263" s="26"/>
    </row>
    <row r="3264" spans="1:6" ht="16.8" customHeight="1" x14ac:dyDescent="0.3">
      <c r="A3264" s="20">
        <v>44861</v>
      </c>
      <c r="B3264" s="31"/>
      <c r="C3264" s="31"/>
      <c r="D3264" s="31"/>
      <c r="E3264" s="25"/>
      <c r="F3264" s="26"/>
    </row>
    <row r="3265" spans="1:6" ht="16.8" customHeight="1" x14ac:dyDescent="0.3">
      <c r="A3265" s="20">
        <v>44862</v>
      </c>
      <c r="B3265" s="31"/>
      <c r="C3265" s="31"/>
      <c r="D3265" s="31"/>
      <c r="E3265" s="25"/>
      <c r="F3265" s="26"/>
    </row>
    <row r="3266" spans="1:6" ht="16.8" customHeight="1" x14ac:dyDescent="0.3">
      <c r="A3266" s="20">
        <v>44863</v>
      </c>
      <c r="B3266" s="31"/>
      <c r="C3266" s="31"/>
      <c r="D3266" s="31"/>
      <c r="E3266" s="25"/>
      <c r="F3266" s="26"/>
    </row>
    <row r="3267" spans="1:6" ht="16.8" customHeight="1" x14ac:dyDescent="0.3">
      <c r="A3267" s="20">
        <v>44864</v>
      </c>
      <c r="B3267" s="31"/>
      <c r="C3267" s="31"/>
      <c r="D3267" s="31"/>
      <c r="E3267" s="25"/>
      <c r="F3267" s="26"/>
    </row>
    <row r="3268" spans="1:6" ht="16.8" customHeight="1" x14ac:dyDescent="0.3">
      <c r="A3268" s="20">
        <v>44865</v>
      </c>
      <c r="B3268" s="31"/>
      <c r="C3268" s="31"/>
      <c r="D3268" s="31"/>
      <c r="E3268" s="25"/>
      <c r="F3268" s="26"/>
    </row>
    <row r="3269" spans="1:6" ht="16.8" customHeight="1" x14ac:dyDescent="0.3">
      <c r="A3269" s="20">
        <v>44866</v>
      </c>
      <c r="B3269" s="31"/>
      <c r="C3269" s="31"/>
      <c r="D3269" s="31"/>
      <c r="E3269" s="25"/>
      <c r="F3269" s="26"/>
    </row>
    <row r="3270" spans="1:6" ht="16.8" customHeight="1" x14ac:dyDescent="0.3">
      <c r="A3270" s="20">
        <v>44867</v>
      </c>
      <c r="B3270" s="31"/>
      <c r="C3270" s="31"/>
      <c r="D3270" s="31"/>
      <c r="E3270" s="25"/>
      <c r="F3270" s="26"/>
    </row>
    <row r="3271" spans="1:6" ht="16.8" customHeight="1" x14ac:dyDescent="0.3">
      <c r="A3271" s="20">
        <v>44868</v>
      </c>
      <c r="B3271" s="31"/>
      <c r="C3271" s="31"/>
      <c r="D3271" s="31"/>
      <c r="E3271" s="25"/>
      <c r="F3271" s="26"/>
    </row>
    <row r="3272" spans="1:6" ht="16.8" customHeight="1" x14ac:dyDescent="0.3">
      <c r="A3272" s="20">
        <v>44869</v>
      </c>
      <c r="B3272" s="31"/>
      <c r="C3272" s="31"/>
      <c r="D3272" s="31"/>
      <c r="E3272" s="25"/>
      <c r="F3272" s="26"/>
    </row>
    <row r="3273" spans="1:6" ht="16.8" customHeight="1" x14ac:dyDescent="0.3">
      <c r="A3273" s="20">
        <v>44870</v>
      </c>
      <c r="B3273" s="31"/>
      <c r="C3273" s="31"/>
      <c r="D3273" s="31"/>
      <c r="E3273" s="25"/>
      <c r="F3273" s="26"/>
    </row>
    <row r="3274" spans="1:6" ht="16.8" customHeight="1" x14ac:dyDescent="0.3">
      <c r="A3274" s="20">
        <v>44871</v>
      </c>
      <c r="B3274" s="31"/>
      <c r="C3274" s="31"/>
      <c r="D3274" s="31"/>
      <c r="E3274" s="25"/>
      <c r="F3274" s="26"/>
    </row>
    <row r="3275" spans="1:6" ht="16.8" customHeight="1" x14ac:dyDescent="0.3">
      <c r="A3275" s="20">
        <v>44872</v>
      </c>
      <c r="B3275" s="31"/>
      <c r="C3275" s="31"/>
      <c r="D3275" s="31"/>
      <c r="E3275" s="25"/>
      <c r="F3275" s="26"/>
    </row>
    <row r="3276" spans="1:6" ht="16.8" customHeight="1" x14ac:dyDescent="0.3">
      <c r="A3276" s="20">
        <v>44873</v>
      </c>
      <c r="B3276" s="31"/>
      <c r="C3276" s="31"/>
      <c r="D3276" s="31"/>
      <c r="E3276" s="25"/>
      <c r="F3276" s="26"/>
    </row>
    <row r="3277" spans="1:6" ht="16.8" customHeight="1" x14ac:dyDescent="0.3">
      <c r="A3277" s="20">
        <v>44874</v>
      </c>
      <c r="B3277" s="31"/>
      <c r="C3277" s="31"/>
      <c r="D3277" s="31"/>
      <c r="E3277" s="25"/>
      <c r="F3277" s="26"/>
    </row>
    <row r="3278" spans="1:6" ht="16.8" customHeight="1" x14ac:dyDescent="0.3">
      <c r="A3278" s="20">
        <v>44875</v>
      </c>
      <c r="B3278" s="31"/>
      <c r="C3278" s="31"/>
      <c r="D3278" s="31"/>
      <c r="E3278" s="25"/>
      <c r="F3278" s="26"/>
    </row>
    <row r="3279" spans="1:6" ht="16.8" customHeight="1" x14ac:dyDescent="0.3">
      <c r="A3279" s="20">
        <v>44876</v>
      </c>
      <c r="B3279" s="31"/>
      <c r="C3279" s="31"/>
      <c r="D3279" s="31"/>
      <c r="E3279" s="25"/>
      <c r="F3279" s="26"/>
    </row>
    <row r="3280" spans="1:6" ht="16.8" customHeight="1" x14ac:dyDescent="0.3">
      <c r="A3280" s="20">
        <v>44877</v>
      </c>
      <c r="B3280" s="31"/>
      <c r="C3280" s="31"/>
      <c r="D3280" s="31"/>
      <c r="E3280" s="25"/>
      <c r="F3280" s="26"/>
    </row>
    <row r="3281" spans="1:6" ht="16.8" customHeight="1" x14ac:dyDescent="0.3">
      <c r="A3281" s="20">
        <v>44878</v>
      </c>
      <c r="B3281" s="31"/>
      <c r="C3281" s="31"/>
      <c r="D3281" s="31"/>
      <c r="E3281" s="25"/>
      <c r="F3281" s="26"/>
    </row>
    <row r="3282" spans="1:6" ht="16.8" customHeight="1" x14ac:dyDescent="0.3">
      <c r="A3282" s="20">
        <v>44879</v>
      </c>
      <c r="B3282" s="31"/>
      <c r="C3282" s="31"/>
      <c r="D3282" s="31"/>
      <c r="E3282" s="25"/>
      <c r="F3282" s="26"/>
    </row>
    <row r="3283" spans="1:6" ht="16.8" customHeight="1" x14ac:dyDescent="0.3">
      <c r="A3283" s="20">
        <v>44880</v>
      </c>
      <c r="B3283" s="31"/>
      <c r="C3283" s="31"/>
      <c r="D3283" s="31"/>
      <c r="E3283" s="25"/>
      <c r="F3283" s="26"/>
    </row>
    <row r="3284" spans="1:6" ht="16.8" customHeight="1" x14ac:dyDescent="0.3">
      <c r="A3284" s="20">
        <v>44881</v>
      </c>
      <c r="B3284" s="31"/>
      <c r="C3284" s="31"/>
      <c r="D3284" s="31"/>
      <c r="E3284" s="25"/>
      <c r="F3284" s="26"/>
    </row>
    <row r="3285" spans="1:6" ht="16.8" customHeight="1" x14ac:dyDescent="0.3">
      <c r="A3285" s="20">
        <v>44882</v>
      </c>
      <c r="B3285" s="31"/>
      <c r="C3285" s="31"/>
      <c r="D3285" s="31"/>
      <c r="E3285" s="25"/>
      <c r="F3285" s="26"/>
    </row>
    <row r="3286" spans="1:6" ht="16.8" customHeight="1" x14ac:dyDescent="0.3">
      <c r="A3286" s="20">
        <v>44883</v>
      </c>
      <c r="B3286" s="31"/>
      <c r="C3286" s="31"/>
      <c r="D3286" s="31"/>
      <c r="E3286" s="25"/>
      <c r="F3286" s="26"/>
    </row>
    <row r="3287" spans="1:6" ht="16.8" customHeight="1" x14ac:dyDescent="0.3">
      <c r="A3287" s="20">
        <v>44884</v>
      </c>
      <c r="B3287" s="31"/>
      <c r="C3287" s="31"/>
      <c r="D3287" s="31"/>
      <c r="E3287" s="25"/>
      <c r="F3287" s="26"/>
    </row>
    <row r="3288" spans="1:6" ht="16.8" customHeight="1" x14ac:dyDescent="0.3">
      <c r="A3288" s="20">
        <v>44885</v>
      </c>
      <c r="B3288" s="31"/>
      <c r="C3288" s="31"/>
      <c r="D3288" s="31"/>
      <c r="E3288" s="25"/>
      <c r="F3288" s="26"/>
    </row>
    <row r="3289" spans="1:6" ht="16.8" customHeight="1" x14ac:dyDescent="0.3">
      <c r="A3289" s="20">
        <v>44886</v>
      </c>
      <c r="B3289" s="31"/>
      <c r="C3289" s="31"/>
      <c r="D3289" s="31"/>
      <c r="E3289" s="25"/>
      <c r="F3289" s="26"/>
    </row>
    <row r="3290" spans="1:6" ht="16.8" customHeight="1" x14ac:dyDescent="0.3">
      <c r="A3290" s="20">
        <v>44887</v>
      </c>
      <c r="B3290" s="31"/>
      <c r="C3290" s="31"/>
      <c r="D3290" s="31"/>
      <c r="E3290" s="25"/>
      <c r="F3290" s="26"/>
    </row>
    <row r="3291" spans="1:6" ht="16.8" customHeight="1" x14ac:dyDescent="0.3">
      <c r="A3291" s="20">
        <v>44888</v>
      </c>
      <c r="B3291" s="31"/>
      <c r="C3291" s="31"/>
      <c r="D3291" s="31"/>
      <c r="E3291" s="25"/>
      <c r="F3291" s="26"/>
    </row>
    <row r="3292" spans="1:6" ht="16.8" customHeight="1" x14ac:dyDescent="0.3">
      <c r="A3292" s="20">
        <v>44889</v>
      </c>
      <c r="B3292" s="31"/>
      <c r="C3292" s="31"/>
      <c r="D3292" s="31"/>
      <c r="E3292" s="25"/>
      <c r="F3292" s="26"/>
    </row>
    <row r="3293" spans="1:6" ht="16.8" customHeight="1" x14ac:dyDescent="0.3">
      <c r="A3293" s="20">
        <v>44890</v>
      </c>
      <c r="B3293" s="31"/>
      <c r="C3293" s="31"/>
      <c r="D3293" s="31"/>
      <c r="E3293" s="25"/>
      <c r="F3293" s="26"/>
    </row>
    <row r="3294" spans="1:6" ht="16.8" customHeight="1" x14ac:dyDescent="0.3">
      <c r="A3294" s="20">
        <v>44891</v>
      </c>
      <c r="B3294" s="31"/>
      <c r="C3294" s="31"/>
      <c r="D3294" s="31"/>
      <c r="E3294" s="25"/>
      <c r="F3294" s="26"/>
    </row>
    <row r="3295" spans="1:6" ht="16.8" customHeight="1" x14ac:dyDescent="0.3">
      <c r="A3295" s="20">
        <v>44892</v>
      </c>
      <c r="B3295" s="31"/>
      <c r="C3295" s="31"/>
      <c r="D3295" s="31"/>
      <c r="E3295" s="25"/>
      <c r="F3295" s="26"/>
    </row>
    <row r="3296" spans="1:6" ht="16.8" customHeight="1" x14ac:dyDescent="0.3">
      <c r="A3296" s="20">
        <v>44893</v>
      </c>
      <c r="B3296" s="31"/>
      <c r="C3296" s="31"/>
      <c r="D3296" s="31"/>
      <c r="E3296" s="25"/>
      <c r="F3296" s="26"/>
    </row>
    <row r="3297" spans="1:6" ht="16.8" customHeight="1" x14ac:dyDescent="0.3">
      <c r="A3297" s="20">
        <v>44894</v>
      </c>
      <c r="B3297" s="31"/>
      <c r="C3297" s="31"/>
      <c r="D3297" s="31"/>
      <c r="E3297" s="25"/>
      <c r="F3297" s="26"/>
    </row>
    <row r="3298" spans="1:6" ht="16.8" customHeight="1" x14ac:dyDescent="0.3">
      <c r="A3298" s="20">
        <v>44895</v>
      </c>
      <c r="B3298" s="31"/>
      <c r="C3298" s="31"/>
      <c r="D3298" s="31"/>
      <c r="E3298" s="25"/>
      <c r="F3298" s="26"/>
    </row>
    <row r="3299" spans="1:6" ht="16.8" customHeight="1" x14ac:dyDescent="0.3">
      <c r="A3299" s="20">
        <v>44896</v>
      </c>
      <c r="B3299" s="31"/>
      <c r="C3299" s="31"/>
      <c r="D3299" s="31"/>
      <c r="E3299" s="25"/>
      <c r="F3299" s="26"/>
    </row>
    <row r="3300" spans="1:6" ht="16.8" customHeight="1" x14ac:dyDescent="0.3">
      <c r="A3300" s="20">
        <v>44897</v>
      </c>
      <c r="B3300" s="31"/>
      <c r="C3300" s="31"/>
      <c r="D3300" s="31"/>
      <c r="E3300" s="25"/>
      <c r="F3300" s="26"/>
    </row>
    <row r="3301" spans="1:6" ht="16.8" customHeight="1" x14ac:dyDescent="0.3">
      <c r="A3301" s="20">
        <v>44898</v>
      </c>
      <c r="B3301" s="31"/>
      <c r="C3301" s="31"/>
      <c r="D3301" s="31"/>
      <c r="E3301" s="25"/>
      <c r="F3301" s="26"/>
    </row>
    <row r="3302" spans="1:6" ht="16.8" customHeight="1" x14ac:dyDescent="0.3">
      <c r="A3302" s="20">
        <v>44899</v>
      </c>
      <c r="B3302" s="31"/>
      <c r="C3302" s="31"/>
      <c r="D3302" s="31"/>
      <c r="E3302" s="25"/>
      <c r="F3302" s="26"/>
    </row>
    <row r="3303" spans="1:6" ht="16.8" customHeight="1" x14ac:dyDescent="0.3">
      <c r="A3303" s="20">
        <v>44900</v>
      </c>
      <c r="B3303" s="31"/>
      <c r="C3303" s="31"/>
      <c r="D3303" s="31"/>
      <c r="E3303" s="25"/>
      <c r="F3303" s="26"/>
    </row>
    <row r="3304" spans="1:6" ht="16.8" customHeight="1" x14ac:dyDescent="0.3">
      <c r="A3304" s="20">
        <v>44901</v>
      </c>
      <c r="B3304" s="31"/>
      <c r="C3304" s="31"/>
      <c r="D3304" s="31"/>
      <c r="E3304" s="25"/>
      <c r="F3304" s="26"/>
    </row>
    <row r="3305" spans="1:6" ht="16.8" customHeight="1" x14ac:dyDescent="0.3">
      <c r="A3305" s="20">
        <v>44902</v>
      </c>
      <c r="B3305" s="31"/>
      <c r="C3305" s="31"/>
      <c r="D3305" s="31"/>
      <c r="E3305" s="25"/>
      <c r="F3305" s="26"/>
    </row>
    <row r="3306" spans="1:6" ht="16.8" customHeight="1" x14ac:dyDescent="0.3">
      <c r="A3306" s="20">
        <v>44903</v>
      </c>
      <c r="B3306" s="31"/>
      <c r="C3306" s="31"/>
      <c r="D3306" s="31"/>
      <c r="E3306" s="25"/>
      <c r="F3306" s="26"/>
    </row>
    <row r="3307" spans="1:6" ht="16.8" customHeight="1" x14ac:dyDescent="0.3">
      <c r="A3307" s="20">
        <v>44904</v>
      </c>
      <c r="B3307" s="31"/>
      <c r="C3307" s="31"/>
      <c r="D3307" s="31"/>
      <c r="E3307" s="25"/>
      <c r="F3307" s="26"/>
    </row>
    <row r="3308" spans="1:6" ht="16.8" customHeight="1" x14ac:dyDescent="0.3">
      <c r="A3308" s="20">
        <v>44905</v>
      </c>
      <c r="B3308" s="31"/>
      <c r="C3308" s="31"/>
      <c r="D3308" s="31"/>
      <c r="E3308" s="25"/>
      <c r="F3308" s="26"/>
    </row>
    <row r="3309" spans="1:6" ht="16.8" customHeight="1" x14ac:dyDescent="0.3">
      <c r="A3309" s="20">
        <v>44906</v>
      </c>
      <c r="B3309" s="31"/>
      <c r="C3309" s="31"/>
      <c r="D3309" s="31"/>
      <c r="E3309" s="25"/>
      <c r="F3309" s="26"/>
    </row>
    <row r="3310" spans="1:6" ht="16.8" customHeight="1" x14ac:dyDescent="0.3">
      <c r="A3310" s="20">
        <v>44907</v>
      </c>
      <c r="B3310" s="31"/>
      <c r="C3310" s="31"/>
      <c r="D3310" s="31"/>
      <c r="E3310" s="25"/>
      <c r="F3310" s="26"/>
    </row>
    <row r="3311" spans="1:6" ht="16.8" customHeight="1" x14ac:dyDescent="0.3">
      <c r="A3311" s="20">
        <v>44908</v>
      </c>
      <c r="B3311" s="31"/>
      <c r="C3311" s="31"/>
      <c r="D3311" s="31"/>
      <c r="E3311" s="25"/>
      <c r="F3311" s="26"/>
    </row>
    <row r="3312" spans="1:6" ht="16.8" customHeight="1" x14ac:dyDescent="0.3">
      <c r="A3312" s="20">
        <v>44909</v>
      </c>
      <c r="B3312" s="31"/>
      <c r="C3312" s="31"/>
      <c r="D3312" s="31"/>
      <c r="E3312" s="25"/>
      <c r="F3312" s="26"/>
    </row>
    <row r="3313" spans="1:6" ht="16.8" customHeight="1" x14ac:dyDescent="0.3">
      <c r="A3313" s="20">
        <v>44910</v>
      </c>
      <c r="B3313" s="31"/>
      <c r="C3313" s="31"/>
      <c r="D3313" s="31"/>
      <c r="E3313" s="25"/>
      <c r="F3313" s="26"/>
    </row>
    <row r="3314" spans="1:6" ht="16.8" customHeight="1" x14ac:dyDescent="0.3">
      <c r="A3314" s="20">
        <v>44911</v>
      </c>
      <c r="B3314" s="31"/>
      <c r="C3314" s="31"/>
      <c r="D3314" s="31"/>
      <c r="E3314" s="25"/>
      <c r="F3314" s="26"/>
    </row>
    <row r="3315" spans="1:6" ht="16.8" customHeight="1" x14ac:dyDescent="0.3">
      <c r="A3315" s="20">
        <v>44912</v>
      </c>
      <c r="B3315" s="31"/>
      <c r="C3315" s="31"/>
      <c r="D3315" s="31"/>
      <c r="E3315" s="25"/>
      <c r="F3315" s="26"/>
    </row>
    <row r="3316" spans="1:6" ht="16.8" customHeight="1" x14ac:dyDescent="0.3">
      <c r="A3316" s="20">
        <v>44913</v>
      </c>
      <c r="B3316" s="31"/>
      <c r="C3316" s="31"/>
      <c r="D3316" s="31"/>
      <c r="E3316" s="25"/>
      <c r="F3316" s="26"/>
    </row>
    <row r="3317" spans="1:6" ht="16.8" customHeight="1" x14ac:dyDescent="0.3">
      <c r="A3317" s="20">
        <v>44914</v>
      </c>
      <c r="B3317" s="31"/>
      <c r="C3317" s="31"/>
      <c r="D3317" s="31"/>
      <c r="E3317" s="25"/>
      <c r="F3317" s="26"/>
    </row>
    <row r="3318" spans="1:6" ht="16.8" customHeight="1" x14ac:dyDescent="0.3">
      <c r="A3318" s="20">
        <v>44915</v>
      </c>
      <c r="B3318" s="31"/>
      <c r="C3318" s="31"/>
      <c r="D3318" s="31"/>
      <c r="E3318" s="25"/>
      <c r="F3318" s="26"/>
    </row>
    <row r="3319" spans="1:6" ht="16.8" customHeight="1" x14ac:dyDescent="0.3">
      <c r="A3319" s="20">
        <v>44916</v>
      </c>
      <c r="B3319" s="31"/>
      <c r="C3319" s="31"/>
      <c r="D3319" s="31"/>
      <c r="E3319" s="25"/>
      <c r="F3319" s="26"/>
    </row>
    <row r="3320" spans="1:6" ht="16.8" customHeight="1" x14ac:dyDescent="0.3">
      <c r="A3320" s="20">
        <v>44917</v>
      </c>
      <c r="B3320" s="31"/>
      <c r="C3320" s="31"/>
      <c r="D3320" s="31"/>
      <c r="E3320" s="25"/>
      <c r="F3320" s="26"/>
    </row>
    <row r="3321" spans="1:6" ht="16.8" customHeight="1" x14ac:dyDescent="0.3">
      <c r="A3321" s="20">
        <v>44918</v>
      </c>
      <c r="B3321" s="31"/>
      <c r="C3321" s="31"/>
      <c r="D3321" s="31"/>
      <c r="E3321" s="25"/>
      <c r="F3321" s="26"/>
    </row>
    <row r="3322" spans="1:6" ht="16.8" customHeight="1" x14ac:dyDescent="0.3">
      <c r="A3322" s="20">
        <v>44919</v>
      </c>
      <c r="B3322" s="31"/>
      <c r="C3322" s="31"/>
      <c r="D3322" s="31"/>
      <c r="E3322" s="25"/>
      <c r="F3322" s="26"/>
    </row>
    <row r="3323" spans="1:6" ht="16.8" customHeight="1" x14ac:dyDescent="0.3">
      <c r="A3323" s="20">
        <v>44920</v>
      </c>
      <c r="B3323" s="31"/>
      <c r="C3323" s="31"/>
      <c r="D3323" s="31"/>
      <c r="E3323" s="25"/>
      <c r="F3323" s="26"/>
    </row>
    <row r="3324" spans="1:6" ht="16.8" customHeight="1" x14ac:dyDescent="0.3">
      <c r="A3324" s="20">
        <v>44921</v>
      </c>
      <c r="B3324" s="31"/>
      <c r="C3324" s="31"/>
      <c r="D3324" s="31"/>
      <c r="E3324" s="25"/>
      <c r="F3324" s="26"/>
    </row>
    <row r="3325" spans="1:6" ht="16.8" customHeight="1" x14ac:dyDescent="0.3">
      <c r="A3325" s="20">
        <v>44922</v>
      </c>
      <c r="B3325" s="31"/>
      <c r="C3325" s="31"/>
      <c r="D3325" s="31"/>
      <c r="E3325" s="25"/>
      <c r="F3325" s="26"/>
    </row>
    <row r="3326" spans="1:6" ht="16.8" customHeight="1" x14ac:dyDescent="0.3">
      <c r="A3326" s="20">
        <v>44923</v>
      </c>
      <c r="B3326" s="31"/>
      <c r="C3326" s="31"/>
      <c r="D3326" s="31"/>
      <c r="E3326" s="25"/>
      <c r="F3326" s="26"/>
    </row>
    <row r="3327" spans="1:6" ht="16.8" customHeight="1" x14ac:dyDescent="0.3">
      <c r="A3327" s="20">
        <v>44924</v>
      </c>
      <c r="B3327" s="31"/>
      <c r="C3327" s="31"/>
      <c r="D3327" s="31"/>
      <c r="E3327" s="25"/>
      <c r="F3327" s="26"/>
    </row>
    <row r="3328" spans="1:6" ht="16.8" customHeight="1" x14ac:dyDescent="0.3">
      <c r="A3328" s="20">
        <v>44925</v>
      </c>
      <c r="B3328" s="31"/>
      <c r="C3328" s="31"/>
      <c r="D3328" s="31"/>
      <c r="E3328" s="25"/>
      <c r="F3328" s="26"/>
    </row>
    <row r="3329" spans="1:6" ht="16.8" customHeight="1" x14ac:dyDescent="0.3">
      <c r="A3329" s="20">
        <v>44926</v>
      </c>
      <c r="B3329" s="31"/>
      <c r="C3329" s="31"/>
      <c r="D3329" s="31"/>
      <c r="E3329" s="25"/>
      <c r="F3329" s="26"/>
    </row>
    <row r="3330" spans="1:6" ht="16.8" customHeight="1" x14ac:dyDescent="0.3">
      <c r="A3330" s="20">
        <v>44927</v>
      </c>
      <c r="B3330" s="31"/>
      <c r="C3330" s="31"/>
      <c r="D3330" s="31"/>
      <c r="E3330" s="25"/>
      <c r="F3330" s="26"/>
    </row>
    <row r="3331" spans="1:6" ht="16.8" customHeight="1" x14ac:dyDescent="0.3">
      <c r="A3331" s="20">
        <v>44928</v>
      </c>
      <c r="B3331" s="31"/>
      <c r="C3331" s="31"/>
      <c r="D3331" s="31"/>
      <c r="E3331" s="25"/>
      <c r="F3331" s="26"/>
    </row>
    <row r="3332" spans="1:6" ht="16.8" customHeight="1" x14ac:dyDescent="0.3">
      <c r="A3332" s="20">
        <v>44929</v>
      </c>
      <c r="B3332" s="31"/>
      <c r="C3332" s="31"/>
      <c r="D3332" s="31"/>
      <c r="E3332" s="25"/>
      <c r="F3332" s="26"/>
    </row>
    <row r="3333" spans="1:6" ht="16.8" customHeight="1" x14ac:dyDescent="0.3">
      <c r="A3333" s="20">
        <v>44930</v>
      </c>
      <c r="B3333" s="31"/>
      <c r="C3333" s="31"/>
      <c r="D3333" s="31"/>
      <c r="E3333" s="25"/>
      <c r="F3333" s="26"/>
    </row>
    <row r="3334" spans="1:6" ht="16.8" customHeight="1" x14ac:dyDescent="0.3">
      <c r="A3334" s="20">
        <v>44931</v>
      </c>
      <c r="B3334" s="31"/>
      <c r="C3334" s="31"/>
      <c r="D3334" s="31"/>
      <c r="E3334" s="25"/>
      <c r="F3334" s="26"/>
    </row>
    <row r="3335" spans="1:6" ht="16.8" customHeight="1" x14ac:dyDescent="0.3">
      <c r="A3335" s="20">
        <v>44932</v>
      </c>
      <c r="B3335" s="31"/>
      <c r="C3335" s="31"/>
      <c r="D3335" s="31"/>
      <c r="E3335" s="25"/>
      <c r="F3335" s="26"/>
    </row>
    <row r="3336" spans="1:6" ht="16.8" customHeight="1" x14ac:dyDescent="0.3">
      <c r="A3336" s="20">
        <v>44933</v>
      </c>
      <c r="B3336" s="31"/>
      <c r="C3336" s="31"/>
      <c r="D3336" s="31"/>
      <c r="E3336" s="25"/>
      <c r="F3336" s="26"/>
    </row>
    <row r="3337" spans="1:6" ht="16.8" customHeight="1" x14ac:dyDescent="0.3">
      <c r="A3337" s="20">
        <v>44934</v>
      </c>
      <c r="B3337" s="31"/>
      <c r="C3337" s="31"/>
      <c r="D3337" s="31"/>
      <c r="E3337" s="25"/>
      <c r="F3337" s="26"/>
    </row>
    <row r="3338" spans="1:6" ht="16.8" customHeight="1" x14ac:dyDescent="0.3">
      <c r="A3338" s="20">
        <v>44935</v>
      </c>
      <c r="B3338" s="31"/>
      <c r="C3338" s="31"/>
      <c r="D3338" s="31"/>
      <c r="E3338" s="25"/>
      <c r="F3338" s="26"/>
    </row>
    <row r="3339" spans="1:6" ht="16.8" customHeight="1" x14ac:dyDescent="0.3">
      <c r="A3339" s="20">
        <v>44936</v>
      </c>
      <c r="B3339" s="31"/>
      <c r="C3339" s="31"/>
      <c r="D3339" s="31"/>
      <c r="E3339" s="25"/>
      <c r="F3339" s="26"/>
    </row>
    <row r="3340" spans="1:6" ht="16.8" customHeight="1" x14ac:dyDescent="0.3">
      <c r="A3340" s="20">
        <v>44937</v>
      </c>
      <c r="B3340" s="31"/>
      <c r="C3340" s="31"/>
      <c r="D3340" s="31"/>
      <c r="E3340" s="25"/>
      <c r="F3340" s="26"/>
    </row>
    <row r="3341" spans="1:6" ht="16.8" customHeight="1" x14ac:dyDescent="0.3">
      <c r="A3341" s="20">
        <v>44938</v>
      </c>
      <c r="B3341" s="31"/>
      <c r="C3341" s="31"/>
      <c r="D3341" s="31"/>
      <c r="E3341" s="25"/>
      <c r="F3341" s="26"/>
    </row>
    <row r="3342" spans="1:6" ht="16.8" customHeight="1" x14ac:dyDescent="0.3">
      <c r="A3342" s="20">
        <v>44939</v>
      </c>
      <c r="B3342" s="31"/>
      <c r="C3342" s="31"/>
      <c r="D3342" s="31"/>
      <c r="E3342" s="25"/>
      <c r="F3342" s="26"/>
    </row>
    <row r="3343" spans="1:6" ht="16.8" customHeight="1" x14ac:dyDescent="0.3">
      <c r="A3343" s="20">
        <v>44940</v>
      </c>
      <c r="B3343" s="31"/>
      <c r="C3343" s="31"/>
      <c r="D3343" s="31"/>
      <c r="E3343" s="25"/>
      <c r="F3343" s="26"/>
    </row>
    <row r="3344" spans="1:6" ht="16.8" customHeight="1" x14ac:dyDescent="0.3">
      <c r="A3344" s="20">
        <v>44941</v>
      </c>
      <c r="B3344" s="31"/>
      <c r="C3344" s="31"/>
      <c r="D3344" s="31"/>
      <c r="E3344" s="25"/>
      <c r="F3344" s="26"/>
    </row>
    <row r="3345" spans="1:6" ht="16.8" customHeight="1" x14ac:dyDescent="0.3">
      <c r="A3345" s="20">
        <v>44942</v>
      </c>
      <c r="B3345" s="31"/>
      <c r="C3345" s="31"/>
      <c r="D3345" s="31"/>
      <c r="E3345" s="25"/>
      <c r="F3345" s="26"/>
    </row>
    <row r="3346" spans="1:6" ht="16.8" customHeight="1" x14ac:dyDescent="0.3">
      <c r="A3346" s="20">
        <v>44943</v>
      </c>
      <c r="B3346" s="31"/>
      <c r="C3346" s="31"/>
      <c r="D3346" s="31"/>
      <c r="E3346" s="25"/>
      <c r="F3346" s="26"/>
    </row>
    <row r="3347" spans="1:6" ht="16.8" customHeight="1" x14ac:dyDescent="0.3">
      <c r="A3347" s="20">
        <v>44944</v>
      </c>
      <c r="B3347" s="31"/>
      <c r="C3347" s="31"/>
      <c r="D3347" s="31"/>
      <c r="E3347" s="25"/>
      <c r="F3347" s="26"/>
    </row>
    <row r="3348" spans="1:6" ht="16.8" customHeight="1" x14ac:dyDescent="0.3">
      <c r="A3348" s="20">
        <v>44945</v>
      </c>
      <c r="B3348" s="31"/>
      <c r="C3348" s="31"/>
      <c r="D3348" s="31"/>
      <c r="E3348" s="25"/>
      <c r="F3348" s="26"/>
    </row>
    <row r="3349" spans="1:6" ht="16.8" customHeight="1" x14ac:dyDescent="0.3">
      <c r="A3349" s="20">
        <v>44946</v>
      </c>
      <c r="B3349" s="31"/>
      <c r="C3349" s="31"/>
      <c r="D3349" s="31"/>
      <c r="E3349" s="25"/>
      <c r="F3349" s="26"/>
    </row>
    <row r="3350" spans="1:6" ht="16.8" customHeight="1" x14ac:dyDescent="0.3">
      <c r="A3350" s="20">
        <v>44947</v>
      </c>
      <c r="B3350" s="31"/>
      <c r="C3350" s="31"/>
      <c r="D3350" s="31"/>
      <c r="E3350" s="25"/>
      <c r="F3350" s="26"/>
    </row>
    <row r="3351" spans="1:6" ht="16.8" customHeight="1" x14ac:dyDescent="0.3">
      <c r="A3351" s="20">
        <v>44948</v>
      </c>
      <c r="B3351" s="31"/>
      <c r="C3351" s="31"/>
      <c r="D3351" s="31"/>
      <c r="E3351" s="25"/>
      <c r="F3351" s="26"/>
    </row>
    <row r="3352" spans="1:6" ht="16.8" customHeight="1" x14ac:dyDescent="0.3">
      <c r="A3352" s="20">
        <v>44949</v>
      </c>
      <c r="B3352" s="31"/>
      <c r="C3352" s="31"/>
      <c r="D3352" s="31"/>
      <c r="E3352" s="25"/>
      <c r="F3352" s="26"/>
    </row>
    <row r="3353" spans="1:6" ht="16.8" customHeight="1" x14ac:dyDescent="0.3">
      <c r="A3353" s="20">
        <v>44950</v>
      </c>
      <c r="B3353" s="31"/>
      <c r="C3353" s="31"/>
      <c r="D3353" s="31"/>
      <c r="E3353" s="25"/>
      <c r="F3353" s="26"/>
    </row>
    <row r="3354" spans="1:6" ht="16.8" customHeight="1" x14ac:dyDescent="0.3">
      <c r="A3354" s="20">
        <v>44951</v>
      </c>
      <c r="B3354" s="31"/>
      <c r="C3354" s="31"/>
      <c r="D3354" s="31"/>
      <c r="E3354" s="25"/>
      <c r="F3354" s="26"/>
    </row>
    <row r="3355" spans="1:6" ht="16.8" customHeight="1" x14ac:dyDescent="0.3">
      <c r="A3355" s="20">
        <v>44952</v>
      </c>
      <c r="B3355" s="31"/>
      <c r="C3355" s="31"/>
      <c r="D3355" s="31"/>
      <c r="E3355" s="25"/>
      <c r="F3355" s="26"/>
    </row>
    <row r="3356" spans="1:6" ht="16.8" customHeight="1" x14ac:dyDescent="0.3">
      <c r="A3356" s="20">
        <v>44953</v>
      </c>
      <c r="B3356" s="31"/>
      <c r="C3356" s="31"/>
      <c r="D3356" s="31"/>
      <c r="E3356" s="25"/>
      <c r="F3356" s="26"/>
    </row>
    <row r="3357" spans="1:6" ht="16.8" customHeight="1" x14ac:dyDescent="0.3">
      <c r="A3357" s="20">
        <v>44954</v>
      </c>
      <c r="B3357" s="31"/>
      <c r="C3357" s="31"/>
      <c r="D3357" s="31"/>
      <c r="E3357" s="25"/>
      <c r="F3357" s="26"/>
    </row>
    <row r="3358" spans="1:6" ht="16.8" customHeight="1" x14ac:dyDescent="0.3">
      <c r="A3358" s="20">
        <v>44955</v>
      </c>
      <c r="B3358" s="31"/>
      <c r="C3358" s="31"/>
      <c r="D3358" s="31"/>
      <c r="E3358" s="25"/>
      <c r="F3358" s="26"/>
    </row>
    <row r="3359" spans="1:6" ht="16.8" customHeight="1" x14ac:dyDescent="0.3">
      <c r="A3359" s="20">
        <v>44956</v>
      </c>
      <c r="B3359" s="31"/>
      <c r="C3359" s="31"/>
      <c r="D3359" s="31"/>
      <c r="E3359" s="25"/>
      <c r="F3359" s="26"/>
    </row>
    <row r="3360" spans="1:6" ht="16.8" customHeight="1" x14ac:dyDescent="0.3">
      <c r="A3360" s="20">
        <v>44957</v>
      </c>
      <c r="B3360" s="31"/>
      <c r="C3360" s="31"/>
      <c r="D3360" s="31"/>
      <c r="E3360" s="25"/>
      <c r="F3360" s="26"/>
    </row>
    <row r="3361" spans="1:6" ht="16.8" customHeight="1" x14ac:dyDescent="0.3">
      <c r="A3361" s="20">
        <v>44958</v>
      </c>
      <c r="B3361" s="31"/>
      <c r="C3361" s="31"/>
      <c r="D3361" s="31"/>
      <c r="E3361" s="25"/>
      <c r="F3361" s="26"/>
    </row>
    <row r="3362" spans="1:6" ht="16.8" customHeight="1" x14ac:dyDescent="0.3">
      <c r="A3362" s="20">
        <v>44959</v>
      </c>
      <c r="B3362" s="31"/>
      <c r="C3362" s="31"/>
      <c r="D3362" s="31"/>
      <c r="E3362" s="25"/>
      <c r="F3362" s="26"/>
    </row>
    <row r="3363" spans="1:6" ht="16.8" customHeight="1" x14ac:dyDescent="0.3">
      <c r="A3363" s="20">
        <v>44960</v>
      </c>
      <c r="B3363" s="31"/>
      <c r="C3363" s="31"/>
      <c r="D3363" s="31"/>
      <c r="E3363" s="25"/>
      <c r="F3363" s="26"/>
    </row>
    <row r="3364" spans="1:6" ht="16.8" customHeight="1" x14ac:dyDescent="0.3">
      <c r="A3364" s="20">
        <v>44961</v>
      </c>
      <c r="B3364" s="31"/>
      <c r="C3364" s="31"/>
      <c r="D3364" s="31"/>
      <c r="E3364" s="25"/>
      <c r="F3364" s="26"/>
    </row>
    <row r="3365" spans="1:6" ht="16.8" customHeight="1" x14ac:dyDescent="0.3">
      <c r="A3365" s="20">
        <v>44962</v>
      </c>
      <c r="B3365" s="31"/>
      <c r="C3365" s="31"/>
      <c r="D3365" s="31"/>
      <c r="E3365" s="25"/>
      <c r="F3365" s="26"/>
    </row>
    <row r="3366" spans="1:6" ht="16.8" customHeight="1" x14ac:dyDescent="0.3">
      <c r="A3366" s="20">
        <v>44963</v>
      </c>
      <c r="B3366" s="31"/>
      <c r="C3366" s="31"/>
      <c r="D3366" s="31"/>
      <c r="E3366" s="25"/>
      <c r="F3366" s="26"/>
    </row>
    <row r="3367" spans="1:6" ht="16.8" customHeight="1" x14ac:dyDescent="0.3">
      <c r="A3367" s="20">
        <v>44964</v>
      </c>
      <c r="B3367" s="31"/>
      <c r="C3367" s="31"/>
      <c r="D3367" s="31"/>
      <c r="E3367" s="25"/>
      <c r="F3367" s="26"/>
    </row>
    <row r="3368" spans="1:6" ht="16.8" customHeight="1" x14ac:dyDescent="0.3">
      <c r="A3368" s="20">
        <v>44965</v>
      </c>
      <c r="B3368" s="31"/>
      <c r="C3368" s="31"/>
      <c r="D3368" s="31"/>
      <c r="E3368" s="25"/>
      <c r="F3368" s="26"/>
    </row>
    <row r="3369" spans="1:6" ht="16.8" customHeight="1" x14ac:dyDescent="0.3">
      <c r="A3369" s="20">
        <v>44966</v>
      </c>
      <c r="B3369" s="31"/>
      <c r="C3369" s="31"/>
      <c r="D3369" s="31"/>
      <c r="E3369" s="25"/>
      <c r="F3369" s="26"/>
    </row>
    <row r="3370" spans="1:6" ht="16.8" customHeight="1" x14ac:dyDescent="0.3">
      <c r="A3370" s="20">
        <v>44967</v>
      </c>
      <c r="B3370" s="31"/>
      <c r="C3370" s="31"/>
      <c r="D3370" s="31"/>
      <c r="E3370" s="25"/>
      <c r="F3370" s="26"/>
    </row>
    <row r="3371" spans="1:6" ht="16.8" customHeight="1" x14ac:dyDescent="0.3">
      <c r="A3371" s="20">
        <v>44968</v>
      </c>
      <c r="B3371" s="31"/>
      <c r="C3371" s="31"/>
      <c r="D3371" s="31"/>
      <c r="E3371" s="25"/>
      <c r="F3371" s="26"/>
    </row>
    <row r="3372" spans="1:6" ht="16.8" customHeight="1" x14ac:dyDescent="0.3">
      <c r="A3372" s="20">
        <v>44969</v>
      </c>
      <c r="B3372" s="31"/>
      <c r="C3372" s="31"/>
      <c r="D3372" s="31"/>
      <c r="E3372" s="25"/>
      <c r="F3372" s="26"/>
    </row>
    <row r="3373" spans="1:6" ht="16.8" customHeight="1" x14ac:dyDescent="0.3">
      <c r="A3373" s="20">
        <v>44970</v>
      </c>
      <c r="B3373" s="31"/>
      <c r="C3373" s="31"/>
      <c r="D3373" s="31"/>
      <c r="E3373" s="25"/>
      <c r="F3373" s="26"/>
    </row>
    <row r="3374" spans="1:6" ht="16.8" customHeight="1" x14ac:dyDescent="0.3">
      <c r="A3374" s="20">
        <v>44971</v>
      </c>
      <c r="B3374" s="31"/>
      <c r="C3374" s="31"/>
      <c r="D3374" s="31"/>
      <c r="E3374" s="25"/>
      <c r="F3374" s="26"/>
    </row>
    <row r="3375" spans="1:6" ht="16.8" customHeight="1" x14ac:dyDescent="0.3">
      <c r="A3375" s="20">
        <v>44972</v>
      </c>
      <c r="B3375" s="31"/>
      <c r="C3375" s="31"/>
      <c r="D3375" s="31"/>
      <c r="E3375" s="25"/>
      <c r="F3375" s="26"/>
    </row>
    <row r="3376" spans="1:6" ht="16.8" customHeight="1" x14ac:dyDescent="0.3">
      <c r="A3376" s="20">
        <v>44973</v>
      </c>
      <c r="B3376" s="31"/>
      <c r="C3376" s="31"/>
      <c r="D3376" s="31"/>
      <c r="E3376" s="25"/>
      <c r="F3376" s="26"/>
    </row>
    <row r="3377" spans="1:6" ht="16.8" customHeight="1" x14ac:dyDescent="0.3">
      <c r="A3377" s="20">
        <v>44974</v>
      </c>
      <c r="B3377" s="31"/>
      <c r="C3377" s="31"/>
      <c r="D3377" s="31"/>
      <c r="E3377" s="25"/>
      <c r="F3377" s="26"/>
    </row>
    <row r="3378" spans="1:6" ht="16.8" customHeight="1" x14ac:dyDescent="0.3">
      <c r="A3378" s="20">
        <v>44975</v>
      </c>
      <c r="B3378" s="31"/>
      <c r="C3378" s="31"/>
      <c r="D3378" s="31"/>
      <c r="E3378" s="25"/>
      <c r="F3378" s="26"/>
    </row>
    <row r="3379" spans="1:6" ht="16.8" customHeight="1" x14ac:dyDescent="0.3">
      <c r="A3379" s="20">
        <v>44976</v>
      </c>
      <c r="B3379" s="31"/>
      <c r="C3379" s="31"/>
      <c r="D3379" s="31"/>
      <c r="E3379" s="25"/>
      <c r="F3379" s="26"/>
    </row>
    <row r="3380" spans="1:6" ht="16.8" customHeight="1" x14ac:dyDescent="0.3">
      <c r="A3380" s="20">
        <v>44977</v>
      </c>
      <c r="B3380" s="31"/>
      <c r="C3380" s="31"/>
      <c r="D3380" s="31"/>
      <c r="E3380" s="25"/>
      <c r="F3380" s="26"/>
    </row>
    <row r="3381" spans="1:6" ht="16.8" customHeight="1" x14ac:dyDescent="0.3">
      <c r="A3381" s="20">
        <v>44978</v>
      </c>
      <c r="B3381" s="31"/>
      <c r="C3381" s="31"/>
      <c r="D3381" s="31"/>
      <c r="E3381" s="25"/>
      <c r="F3381" s="26"/>
    </row>
    <row r="3382" spans="1:6" ht="16.8" customHeight="1" x14ac:dyDescent="0.3">
      <c r="A3382" s="20">
        <v>44979</v>
      </c>
      <c r="B3382" s="31"/>
      <c r="C3382" s="31"/>
      <c r="D3382" s="31"/>
      <c r="E3382" s="25"/>
      <c r="F3382" s="26"/>
    </row>
    <row r="3383" spans="1:6" ht="16.8" customHeight="1" x14ac:dyDescent="0.3">
      <c r="A3383" s="20">
        <v>44980</v>
      </c>
      <c r="B3383" s="31"/>
      <c r="C3383" s="31"/>
      <c r="D3383" s="31"/>
      <c r="E3383" s="25"/>
      <c r="F3383" s="26"/>
    </row>
    <row r="3384" spans="1:6" ht="16.8" customHeight="1" x14ac:dyDescent="0.3">
      <c r="A3384" s="20">
        <v>44981</v>
      </c>
      <c r="B3384" s="31"/>
      <c r="C3384" s="31"/>
      <c r="D3384" s="31"/>
      <c r="E3384" s="25"/>
      <c r="F3384" s="26"/>
    </row>
    <row r="3385" spans="1:6" ht="16.8" customHeight="1" x14ac:dyDescent="0.3">
      <c r="A3385" s="20">
        <v>44982</v>
      </c>
      <c r="B3385" s="31"/>
      <c r="C3385" s="31"/>
      <c r="D3385" s="31"/>
      <c r="E3385" s="25"/>
      <c r="F3385" s="26"/>
    </row>
    <row r="3386" spans="1:6" ht="16.8" customHeight="1" x14ac:dyDescent="0.3">
      <c r="A3386" s="20">
        <v>44983</v>
      </c>
      <c r="B3386" s="31"/>
      <c r="C3386" s="31"/>
      <c r="D3386" s="31"/>
      <c r="E3386" s="25"/>
      <c r="F3386" s="26"/>
    </row>
    <row r="3387" spans="1:6" ht="16.8" customHeight="1" x14ac:dyDescent="0.3">
      <c r="A3387" s="20">
        <v>44984</v>
      </c>
      <c r="B3387" s="31"/>
      <c r="C3387" s="31"/>
      <c r="D3387" s="31"/>
      <c r="E3387" s="25"/>
      <c r="F3387" s="26"/>
    </row>
    <row r="3388" spans="1:6" ht="16.8" customHeight="1" x14ac:dyDescent="0.3">
      <c r="A3388" s="20">
        <v>44985</v>
      </c>
      <c r="B3388" s="31"/>
      <c r="C3388" s="31"/>
      <c r="D3388" s="31"/>
      <c r="E3388" s="25"/>
      <c r="F3388" s="26"/>
    </row>
    <row r="3389" spans="1:6" ht="16.8" customHeight="1" x14ac:dyDescent="0.3">
      <c r="A3389" s="20">
        <v>44986</v>
      </c>
      <c r="B3389" s="31"/>
      <c r="C3389" s="31"/>
      <c r="D3389" s="31"/>
      <c r="E3389" s="25"/>
      <c r="F3389" s="26"/>
    </row>
    <row r="3390" spans="1:6" ht="16.8" customHeight="1" x14ac:dyDescent="0.3">
      <c r="A3390" s="20">
        <v>44987</v>
      </c>
      <c r="B3390" s="31"/>
      <c r="C3390" s="31"/>
      <c r="D3390" s="31"/>
      <c r="E3390" s="25"/>
      <c r="F3390" s="26"/>
    </row>
    <row r="3391" spans="1:6" ht="16.8" customHeight="1" x14ac:dyDescent="0.3">
      <c r="A3391" s="20">
        <v>44988</v>
      </c>
      <c r="B3391" s="31"/>
      <c r="C3391" s="31"/>
      <c r="D3391" s="31"/>
      <c r="E3391" s="25"/>
      <c r="F3391" s="26"/>
    </row>
    <row r="3392" spans="1:6" ht="16.8" customHeight="1" x14ac:dyDescent="0.3">
      <c r="A3392" s="20">
        <v>44989</v>
      </c>
      <c r="B3392" s="31"/>
      <c r="C3392" s="31"/>
      <c r="D3392" s="31"/>
      <c r="E3392" s="25"/>
      <c r="F3392" s="26"/>
    </row>
    <row r="3393" spans="1:6" ht="16.8" customHeight="1" x14ac:dyDescent="0.3">
      <c r="A3393" s="20">
        <v>44990</v>
      </c>
      <c r="B3393" s="31"/>
      <c r="C3393" s="31"/>
      <c r="D3393" s="31"/>
      <c r="E3393" s="25"/>
      <c r="F3393" s="26"/>
    </row>
    <row r="3394" spans="1:6" ht="16.8" customHeight="1" x14ac:dyDescent="0.3">
      <c r="A3394" s="20">
        <v>44991</v>
      </c>
      <c r="B3394" s="31"/>
      <c r="C3394" s="31"/>
      <c r="D3394" s="31"/>
      <c r="E3394" s="25"/>
      <c r="F3394" s="26"/>
    </row>
    <row r="3395" spans="1:6" ht="16.8" customHeight="1" x14ac:dyDescent="0.3">
      <c r="A3395" s="20">
        <v>44992</v>
      </c>
      <c r="B3395" s="31"/>
      <c r="C3395" s="31"/>
      <c r="D3395" s="31"/>
      <c r="E3395" s="25"/>
      <c r="F3395" s="26"/>
    </row>
    <row r="3396" spans="1:6" ht="16.8" customHeight="1" x14ac:dyDescent="0.3">
      <c r="A3396" s="20">
        <v>44993</v>
      </c>
      <c r="B3396" s="31"/>
      <c r="C3396" s="31"/>
      <c r="D3396" s="31"/>
      <c r="E3396" s="25"/>
      <c r="F3396" s="26"/>
    </row>
    <row r="3397" spans="1:6" ht="16.8" customHeight="1" x14ac:dyDescent="0.3">
      <c r="A3397" s="20">
        <v>44994</v>
      </c>
      <c r="B3397" s="31"/>
      <c r="C3397" s="31"/>
      <c r="D3397" s="31"/>
      <c r="E3397" s="25"/>
      <c r="F3397" s="26"/>
    </row>
    <row r="3398" spans="1:6" ht="16.8" customHeight="1" x14ac:dyDescent="0.3">
      <c r="A3398" s="20">
        <v>44995</v>
      </c>
      <c r="B3398" s="31"/>
      <c r="C3398" s="31"/>
      <c r="D3398" s="31"/>
      <c r="E3398" s="25"/>
      <c r="F3398" s="26"/>
    </row>
    <row r="3399" spans="1:6" ht="16.8" customHeight="1" x14ac:dyDescent="0.3">
      <c r="A3399" s="20">
        <v>44996</v>
      </c>
      <c r="B3399" s="31"/>
      <c r="C3399" s="31"/>
      <c r="D3399" s="31"/>
      <c r="E3399" s="25"/>
      <c r="F3399" s="26"/>
    </row>
    <row r="3400" spans="1:6" ht="16.8" customHeight="1" x14ac:dyDescent="0.3">
      <c r="A3400" s="20">
        <v>44997</v>
      </c>
      <c r="B3400" s="31"/>
      <c r="C3400" s="31"/>
      <c r="D3400" s="31"/>
      <c r="E3400" s="25"/>
      <c r="F3400" s="26"/>
    </row>
    <row r="3401" spans="1:6" ht="16.8" customHeight="1" x14ac:dyDescent="0.3">
      <c r="A3401" s="20">
        <v>44998</v>
      </c>
      <c r="B3401" s="31"/>
      <c r="C3401" s="31"/>
      <c r="D3401" s="31"/>
      <c r="E3401" s="25"/>
      <c r="F3401" s="26"/>
    </row>
    <row r="3402" spans="1:6" ht="16.8" customHeight="1" x14ac:dyDescent="0.3">
      <c r="A3402" s="20">
        <v>44999</v>
      </c>
      <c r="B3402" s="31"/>
      <c r="C3402" s="31"/>
      <c r="D3402" s="31"/>
      <c r="E3402" s="25"/>
      <c r="F3402" s="26"/>
    </row>
    <row r="3403" spans="1:6" ht="16.8" customHeight="1" x14ac:dyDescent="0.3">
      <c r="A3403" s="20">
        <v>45000</v>
      </c>
      <c r="B3403" s="31"/>
      <c r="C3403" s="31"/>
      <c r="D3403" s="31"/>
      <c r="E3403" s="25"/>
      <c r="F3403" s="26"/>
    </row>
    <row r="3404" spans="1:6" ht="16.8" customHeight="1" x14ac:dyDescent="0.3">
      <c r="A3404" s="20">
        <v>45001</v>
      </c>
      <c r="B3404" s="31"/>
      <c r="C3404" s="31"/>
      <c r="D3404" s="31"/>
      <c r="E3404" s="25"/>
      <c r="F3404" s="26"/>
    </row>
    <row r="3405" spans="1:6" ht="16.8" customHeight="1" x14ac:dyDescent="0.3">
      <c r="A3405" s="20">
        <v>45002</v>
      </c>
      <c r="B3405" s="31"/>
      <c r="C3405" s="31"/>
      <c r="D3405" s="31"/>
      <c r="E3405" s="25"/>
      <c r="F3405" s="26"/>
    </row>
    <row r="3406" spans="1:6" ht="16.8" customHeight="1" x14ac:dyDescent="0.3">
      <c r="A3406" s="20">
        <v>45003</v>
      </c>
      <c r="B3406" s="31"/>
      <c r="C3406" s="31"/>
      <c r="D3406" s="31"/>
      <c r="E3406" s="25"/>
      <c r="F3406" s="26"/>
    </row>
    <row r="3407" spans="1:6" ht="16.8" customHeight="1" x14ac:dyDescent="0.3">
      <c r="A3407" s="20">
        <v>45004</v>
      </c>
      <c r="B3407" s="31"/>
      <c r="C3407" s="31"/>
      <c r="D3407" s="31"/>
      <c r="E3407" s="25"/>
      <c r="F3407" s="26"/>
    </row>
    <row r="3408" spans="1:6" ht="16.8" customHeight="1" x14ac:dyDescent="0.3">
      <c r="A3408" s="20">
        <v>45005</v>
      </c>
      <c r="B3408" s="31"/>
      <c r="C3408" s="31"/>
      <c r="D3408" s="31"/>
      <c r="E3408" s="25"/>
      <c r="F3408" s="26"/>
    </row>
    <row r="3409" spans="1:6" ht="16.8" customHeight="1" x14ac:dyDescent="0.3">
      <c r="A3409" s="20">
        <v>45006</v>
      </c>
      <c r="B3409" s="31"/>
      <c r="C3409" s="31"/>
      <c r="D3409" s="31"/>
      <c r="E3409" s="25"/>
      <c r="F3409" s="26"/>
    </row>
    <row r="3410" spans="1:6" ht="16.8" customHeight="1" x14ac:dyDescent="0.3">
      <c r="A3410" s="20">
        <v>45007</v>
      </c>
      <c r="B3410" s="31"/>
      <c r="C3410" s="31"/>
      <c r="D3410" s="31"/>
      <c r="E3410" s="25"/>
      <c r="F3410" s="26"/>
    </row>
    <row r="3411" spans="1:6" ht="16.8" customHeight="1" x14ac:dyDescent="0.3">
      <c r="A3411" s="20">
        <v>45008</v>
      </c>
      <c r="B3411" s="31"/>
      <c r="C3411" s="31"/>
      <c r="D3411" s="31"/>
      <c r="E3411" s="25"/>
      <c r="F3411" s="26"/>
    </row>
    <row r="3412" spans="1:6" ht="16.8" customHeight="1" x14ac:dyDescent="0.3">
      <c r="A3412" s="20">
        <v>45009</v>
      </c>
      <c r="B3412" s="31"/>
      <c r="C3412" s="31"/>
      <c r="D3412" s="31"/>
      <c r="E3412" s="25"/>
      <c r="F3412" s="26"/>
    </row>
    <row r="3413" spans="1:6" ht="16.8" customHeight="1" x14ac:dyDescent="0.3">
      <c r="A3413" s="20">
        <v>45010</v>
      </c>
      <c r="B3413" s="31"/>
      <c r="C3413" s="31"/>
      <c r="D3413" s="31"/>
      <c r="E3413" s="25"/>
      <c r="F3413" s="26"/>
    </row>
    <row r="3414" spans="1:6" ht="16.8" customHeight="1" x14ac:dyDescent="0.3">
      <c r="A3414" s="20">
        <v>45011</v>
      </c>
      <c r="B3414" s="31"/>
      <c r="C3414" s="31"/>
      <c r="D3414" s="31"/>
      <c r="E3414" s="25"/>
      <c r="F3414" s="26"/>
    </row>
    <row r="3415" spans="1:6" ht="16.8" customHeight="1" x14ac:dyDescent="0.3">
      <c r="A3415" s="20">
        <v>45012</v>
      </c>
      <c r="B3415" s="31"/>
      <c r="C3415" s="31"/>
      <c r="D3415" s="31"/>
      <c r="E3415" s="25"/>
      <c r="F3415" s="26"/>
    </row>
    <row r="3416" spans="1:6" ht="16.8" customHeight="1" x14ac:dyDescent="0.3">
      <c r="A3416" s="20">
        <v>45013</v>
      </c>
      <c r="B3416" s="31"/>
      <c r="C3416" s="31"/>
      <c r="D3416" s="31"/>
      <c r="E3416" s="25"/>
      <c r="F3416" s="26"/>
    </row>
    <row r="3417" spans="1:6" ht="16.8" customHeight="1" x14ac:dyDescent="0.3">
      <c r="A3417" s="20">
        <v>45014</v>
      </c>
      <c r="B3417" s="31"/>
      <c r="C3417" s="31"/>
      <c r="D3417" s="31"/>
      <c r="E3417" s="25"/>
      <c r="F3417" s="26"/>
    </row>
    <row r="3418" spans="1:6" ht="16.8" customHeight="1" x14ac:dyDescent="0.3">
      <c r="A3418" s="20">
        <v>45015</v>
      </c>
      <c r="B3418" s="31"/>
      <c r="C3418" s="31"/>
      <c r="D3418" s="31"/>
      <c r="E3418" s="25"/>
      <c r="F3418" s="26"/>
    </row>
    <row r="3419" spans="1:6" ht="16.8" customHeight="1" x14ac:dyDescent="0.3">
      <c r="A3419" s="20">
        <v>45016</v>
      </c>
      <c r="B3419" s="31"/>
      <c r="C3419" s="31"/>
      <c r="D3419" s="31"/>
      <c r="E3419" s="25"/>
      <c r="F3419" s="26"/>
    </row>
    <row r="3420" spans="1:6" ht="16.8" customHeight="1" x14ac:dyDescent="0.3">
      <c r="A3420" s="20">
        <v>45017</v>
      </c>
      <c r="B3420" s="31"/>
      <c r="C3420" s="31"/>
      <c r="D3420" s="31"/>
      <c r="E3420" s="25"/>
      <c r="F3420" s="26"/>
    </row>
    <row r="3421" spans="1:6" ht="16.8" customHeight="1" x14ac:dyDescent="0.3">
      <c r="A3421" s="20">
        <v>45018</v>
      </c>
      <c r="B3421" s="31"/>
      <c r="C3421" s="31"/>
      <c r="D3421" s="31"/>
      <c r="E3421" s="25"/>
      <c r="F3421" s="26"/>
    </row>
    <row r="3422" spans="1:6" ht="16.8" customHeight="1" x14ac:dyDescent="0.3">
      <c r="A3422" s="20">
        <v>45019</v>
      </c>
      <c r="B3422" s="31"/>
      <c r="C3422" s="31"/>
      <c r="D3422" s="31"/>
      <c r="E3422" s="25"/>
      <c r="F3422" s="26"/>
    </row>
    <row r="3423" spans="1:6" ht="16.8" customHeight="1" x14ac:dyDescent="0.3">
      <c r="A3423" s="20">
        <v>45020</v>
      </c>
      <c r="B3423" s="31"/>
      <c r="C3423" s="31"/>
      <c r="D3423" s="31"/>
      <c r="E3423" s="25"/>
      <c r="F3423" s="26"/>
    </row>
    <row r="3424" spans="1:6" ht="16.8" customHeight="1" x14ac:dyDescent="0.3">
      <c r="A3424" s="20">
        <v>45021</v>
      </c>
      <c r="B3424" s="31"/>
      <c r="C3424" s="31"/>
      <c r="D3424" s="31"/>
      <c r="E3424" s="25"/>
      <c r="F3424" s="26"/>
    </row>
    <row r="3425" spans="1:6" ht="16.8" customHeight="1" x14ac:dyDescent="0.3">
      <c r="A3425" s="20">
        <v>45022</v>
      </c>
      <c r="B3425" s="31"/>
      <c r="C3425" s="31"/>
      <c r="D3425" s="31"/>
      <c r="E3425" s="25"/>
      <c r="F3425" s="26"/>
    </row>
    <row r="3426" spans="1:6" ht="16.8" customHeight="1" x14ac:dyDescent="0.3">
      <c r="A3426" s="20">
        <v>45023</v>
      </c>
      <c r="B3426" s="31"/>
      <c r="C3426" s="31"/>
      <c r="D3426" s="31"/>
      <c r="E3426" s="25"/>
      <c r="F3426" s="26"/>
    </row>
    <row r="3427" spans="1:6" ht="16.8" customHeight="1" x14ac:dyDescent="0.3">
      <c r="A3427" s="20">
        <v>45024</v>
      </c>
      <c r="B3427" s="31"/>
      <c r="C3427" s="31"/>
      <c r="D3427" s="31"/>
      <c r="E3427" s="25"/>
      <c r="F3427" s="26"/>
    </row>
    <row r="3428" spans="1:6" ht="16.8" customHeight="1" x14ac:dyDescent="0.3">
      <c r="A3428" s="20">
        <v>45025</v>
      </c>
      <c r="B3428" s="31"/>
      <c r="C3428" s="31"/>
      <c r="D3428" s="31"/>
      <c r="E3428" s="25"/>
      <c r="F3428" s="26"/>
    </row>
    <row r="3429" spans="1:6" ht="16.8" customHeight="1" x14ac:dyDescent="0.3">
      <c r="A3429" s="20">
        <v>45026</v>
      </c>
      <c r="B3429" s="31"/>
      <c r="C3429" s="31"/>
      <c r="D3429" s="31"/>
      <c r="E3429" s="25"/>
      <c r="F3429" s="26"/>
    </row>
    <row r="3430" spans="1:6" ht="16.8" customHeight="1" x14ac:dyDescent="0.3">
      <c r="A3430" s="20">
        <v>45027</v>
      </c>
      <c r="B3430" s="31"/>
      <c r="C3430" s="31"/>
      <c r="D3430" s="31"/>
      <c r="E3430" s="25"/>
      <c r="F3430" s="26"/>
    </row>
    <row r="3431" spans="1:6" ht="16.8" customHeight="1" x14ac:dyDescent="0.3">
      <c r="A3431" s="20">
        <v>45028</v>
      </c>
      <c r="B3431" s="31"/>
      <c r="C3431" s="31"/>
      <c r="D3431" s="31"/>
      <c r="E3431" s="25"/>
      <c r="F3431" s="26"/>
    </row>
    <row r="3432" spans="1:6" ht="16.8" customHeight="1" x14ac:dyDescent="0.3">
      <c r="A3432" s="20">
        <v>45029</v>
      </c>
      <c r="B3432" s="31"/>
      <c r="C3432" s="31"/>
      <c r="D3432" s="31"/>
      <c r="E3432" s="25"/>
      <c r="F3432" s="26"/>
    </row>
    <row r="3433" spans="1:6" ht="16.8" customHeight="1" x14ac:dyDescent="0.3">
      <c r="A3433" s="20">
        <v>45030</v>
      </c>
      <c r="B3433" s="31"/>
      <c r="C3433" s="31"/>
      <c r="D3433" s="31"/>
      <c r="E3433" s="25"/>
      <c r="F3433" s="26"/>
    </row>
    <row r="3434" spans="1:6" ht="16.8" customHeight="1" x14ac:dyDescent="0.3">
      <c r="A3434" s="20">
        <v>45031</v>
      </c>
      <c r="B3434" s="31"/>
      <c r="C3434" s="31"/>
      <c r="D3434" s="31"/>
      <c r="E3434" s="25"/>
      <c r="F3434" s="26"/>
    </row>
    <row r="3435" spans="1:6" ht="16.8" customHeight="1" x14ac:dyDescent="0.3">
      <c r="A3435" s="20">
        <v>45032</v>
      </c>
      <c r="B3435" s="31"/>
      <c r="C3435" s="31"/>
      <c r="D3435" s="31"/>
      <c r="E3435" s="25"/>
      <c r="F3435" s="26"/>
    </row>
    <row r="3436" spans="1:6" ht="16.8" customHeight="1" x14ac:dyDescent="0.3">
      <c r="A3436" s="20">
        <v>45033</v>
      </c>
      <c r="B3436" s="31"/>
      <c r="C3436" s="31"/>
      <c r="D3436" s="31"/>
      <c r="E3436" s="25"/>
      <c r="F3436" s="26"/>
    </row>
    <row r="3437" spans="1:6" ht="16.8" customHeight="1" x14ac:dyDescent="0.3">
      <c r="A3437" s="20">
        <v>45034</v>
      </c>
      <c r="B3437" s="31"/>
      <c r="C3437" s="31"/>
      <c r="D3437" s="31"/>
      <c r="E3437" s="25"/>
      <c r="F3437" s="26"/>
    </row>
    <row r="3438" spans="1:6" ht="16.8" customHeight="1" x14ac:dyDescent="0.3">
      <c r="A3438" s="20">
        <v>45035</v>
      </c>
      <c r="B3438" s="31"/>
      <c r="C3438" s="31"/>
      <c r="D3438" s="31"/>
      <c r="E3438" s="25"/>
      <c r="F3438" s="26"/>
    </row>
    <row r="3439" spans="1:6" ht="16.8" customHeight="1" x14ac:dyDescent="0.3">
      <c r="A3439" s="20">
        <v>45036</v>
      </c>
      <c r="B3439" s="31"/>
      <c r="C3439" s="31"/>
      <c r="D3439" s="31"/>
      <c r="E3439" s="25"/>
      <c r="F3439" s="26"/>
    </row>
    <row r="3440" spans="1:6" ht="16.8" customHeight="1" x14ac:dyDescent="0.3">
      <c r="A3440" s="20">
        <v>45037</v>
      </c>
      <c r="B3440" s="31"/>
      <c r="C3440" s="31"/>
      <c r="D3440" s="31"/>
      <c r="E3440" s="25"/>
      <c r="F3440" s="26"/>
    </row>
    <row r="3441" spans="1:6" ht="16.8" customHeight="1" x14ac:dyDescent="0.3">
      <c r="A3441" s="20">
        <v>45038</v>
      </c>
      <c r="B3441" s="31"/>
      <c r="C3441" s="31"/>
      <c r="D3441" s="31"/>
      <c r="E3441" s="25"/>
      <c r="F3441" s="26"/>
    </row>
    <row r="3442" spans="1:6" ht="16.8" customHeight="1" x14ac:dyDescent="0.3">
      <c r="A3442" s="20">
        <v>45039</v>
      </c>
      <c r="B3442" s="31"/>
      <c r="C3442" s="31"/>
      <c r="D3442" s="31"/>
      <c r="E3442" s="25"/>
      <c r="F3442" s="26"/>
    </row>
    <row r="3443" spans="1:6" ht="16.8" customHeight="1" x14ac:dyDescent="0.3">
      <c r="A3443" s="20">
        <v>45040</v>
      </c>
      <c r="B3443" s="31"/>
      <c r="C3443" s="31"/>
      <c r="D3443" s="31"/>
      <c r="E3443" s="25"/>
      <c r="F3443" s="26"/>
    </row>
    <row r="3444" spans="1:6" ht="16.8" customHeight="1" x14ac:dyDescent="0.3">
      <c r="A3444" s="20">
        <v>45041</v>
      </c>
      <c r="B3444" s="31"/>
      <c r="C3444" s="31"/>
      <c r="D3444" s="31"/>
      <c r="E3444" s="25"/>
      <c r="F3444" s="26"/>
    </row>
    <row r="3445" spans="1:6" ht="16.8" customHeight="1" x14ac:dyDescent="0.3">
      <c r="A3445" s="20">
        <v>45042</v>
      </c>
      <c r="B3445" s="31"/>
      <c r="C3445" s="31"/>
      <c r="D3445" s="31"/>
      <c r="E3445" s="25"/>
      <c r="F3445" s="26"/>
    </row>
    <row r="3446" spans="1:6" ht="16.8" customHeight="1" x14ac:dyDescent="0.3">
      <c r="A3446" s="20">
        <v>45043</v>
      </c>
      <c r="B3446" s="31"/>
      <c r="C3446" s="31"/>
      <c r="D3446" s="31"/>
      <c r="E3446" s="25"/>
      <c r="F3446" s="26"/>
    </row>
    <row r="3447" spans="1:6" ht="16.8" customHeight="1" x14ac:dyDescent="0.3">
      <c r="A3447" s="20">
        <v>45044</v>
      </c>
      <c r="B3447" s="31"/>
      <c r="C3447" s="31"/>
      <c r="D3447" s="31"/>
      <c r="E3447" s="25"/>
      <c r="F3447" s="26"/>
    </row>
    <row r="3448" spans="1:6" ht="16.8" customHeight="1" x14ac:dyDescent="0.3">
      <c r="A3448" s="20">
        <v>45045</v>
      </c>
      <c r="B3448" s="31"/>
      <c r="C3448" s="31"/>
      <c r="D3448" s="31"/>
      <c r="E3448" s="25"/>
      <c r="F3448" s="26"/>
    </row>
    <row r="3449" spans="1:6" ht="16.8" customHeight="1" x14ac:dyDescent="0.3">
      <c r="A3449" s="20">
        <v>45046</v>
      </c>
      <c r="B3449" s="31"/>
      <c r="C3449" s="31"/>
      <c r="D3449" s="31"/>
      <c r="E3449" s="25"/>
      <c r="F3449" s="26"/>
    </row>
    <row r="3450" spans="1:6" ht="16.8" customHeight="1" x14ac:dyDescent="0.3">
      <c r="A3450" s="20">
        <v>45047</v>
      </c>
      <c r="B3450" s="31"/>
      <c r="C3450" s="31"/>
      <c r="D3450" s="31"/>
      <c r="E3450" s="25"/>
      <c r="F3450" s="26"/>
    </row>
    <row r="3451" spans="1:6" ht="16.8" customHeight="1" x14ac:dyDescent="0.3">
      <c r="A3451" s="20">
        <v>45048</v>
      </c>
      <c r="B3451" s="31"/>
      <c r="C3451" s="31"/>
      <c r="D3451" s="31"/>
      <c r="E3451" s="25"/>
      <c r="F3451" s="26"/>
    </row>
    <row r="3452" spans="1:6" ht="16.8" customHeight="1" x14ac:dyDescent="0.3">
      <c r="A3452" s="20">
        <v>45049</v>
      </c>
      <c r="B3452" s="31"/>
      <c r="C3452" s="31"/>
      <c r="D3452" s="31"/>
      <c r="E3452" s="25"/>
      <c r="F3452" s="26"/>
    </row>
    <row r="3453" spans="1:6" ht="16.8" customHeight="1" x14ac:dyDescent="0.3">
      <c r="A3453" s="20">
        <v>45050</v>
      </c>
      <c r="B3453" s="31"/>
      <c r="C3453" s="31"/>
      <c r="D3453" s="31"/>
      <c r="E3453" s="25"/>
      <c r="F3453" s="26"/>
    </row>
    <row r="3454" spans="1:6" ht="16.8" customHeight="1" x14ac:dyDescent="0.3">
      <c r="A3454" s="20">
        <v>45051</v>
      </c>
      <c r="B3454" s="31"/>
      <c r="C3454" s="31"/>
      <c r="D3454" s="31"/>
      <c r="E3454" s="25"/>
      <c r="F3454" s="26"/>
    </row>
    <row r="3455" spans="1:6" ht="16.8" customHeight="1" x14ac:dyDescent="0.3">
      <c r="A3455" s="20">
        <v>45052</v>
      </c>
      <c r="B3455" s="31"/>
      <c r="C3455" s="31"/>
      <c r="D3455" s="31"/>
      <c r="E3455" s="25"/>
      <c r="F3455" s="26"/>
    </row>
    <row r="3456" spans="1:6" ht="16.8" customHeight="1" x14ac:dyDescent="0.3">
      <c r="A3456" s="20">
        <v>45053</v>
      </c>
      <c r="B3456" s="31"/>
      <c r="C3456" s="31"/>
      <c r="D3456" s="31"/>
      <c r="E3456" s="25"/>
      <c r="F3456" s="26"/>
    </row>
    <row r="3457" spans="1:6" ht="16.8" customHeight="1" x14ac:dyDescent="0.3">
      <c r="A3457" s="20">
        <v>45054</v>
      </c>
      <c r="B3457" s="31"/>
      <c r="C3457" s="31"/>
      <c r="D3457" s="31"/>
      <c r="E3457" s="25"/>
      <c r="F3457" s="26"/>
    </row>
    <row r="3458" spans="1:6" ht="16.8" customHeight="1" x14ac:dyDescent="0.3">
      <c r="A3458" s="20">
        <v>45055</v>
      </c>
      <c r="B3458" s="31"/>
      <c r="C3458" s="31"/>
      <c r="D3458" s="31"/>
      <c r="E3458" s="25"/>
      <c r="F3458" s="26"/>
    </row>
    <row r="3459" spans="1:6" ht="16.8" customHeight="1" x14ac:dyDescent="0.3">
      <c r="A3459" s="20">
        <v>45056</v>
      </c>
      <c r="B3459" s="31"/>
      <c r="C3459" s="31"/>
      <c r="D3459" s="31"/>
      <c r="E3459" s="25"/>
      <c r="F3459" s="26"/>
    </row>
    <row r="3460" spans="1:6" ht="16.8" customHeight="1" x14ac:dyDescent="0.3">
      <c r="A3460" s="20">
        <v>45057</v>
      </c>
      <c r="B3460" s="31"/>
      <c r="C3460" s="31"/>
      <c r="D3460" s="31"/>
      <c r="E3460" s="25"/>
      <c r="F3460" s="26"/>
    </row>
    <row r="3461" spans="1:6" ht="16.8" customHeight="1" x14ac:dyDescent="0.3">
      <c r="A3461" s="20">
        <v>45058</v>
      </c>
      <c r="B3461" s="31"/>
      <c r="C3461" s="31"/>
      <c r="D3461" s="31"/>
      <c r="E3461" s="25"/>
      <c r="F3461" s="26"/>
    </row>
    <row r="3462" spans="1:6" ht="16.8" customHeight="1" x14ac:dyDescent="0.3">
      <c r="A3462" s="20">
        <v>45059</v>
      </c>
      <c r="B3462" s="31"/>
      <c r="C3462" s="31"/>
      <c r="D3462" s="31"/>
      <c r="E3462" s="25"/>
      <c r="F3462" s="26"/>
    </row>
    <row r="3463" spans="1:6" ht="16.8" customHeight="1" x14ac:dyDescent="0.3">
      <c r="A3463" s="20">
        <v>45060</v>
      </c>
      <c r="B3463" s="31"/>
      <c r="C3463" s="31"/>
      <c r="D3463" s="31"/>
      <c r="E3463" s="25"/>
      <c r="F3463" s="26"/>
    </row>
    <row r="3464" spans="1:6" ht="16.8" customHeight="1" x14ac:dyDescent="0.3">
      <c r="A3464" s="20">
        <v>45061</v>
      </c>
      <c r="B3464" s="31"/>
      <c r="C3464" s="31"/>
      <c r="D3464" s="31"/>
      <c r="E3464" s="25"/>
      <c r="F3464" s="26"/>
    </row>
    <row r="3465" spans="1:6" ht="16.8" customHeight="1" x14ac:dyDescent="0.3">
      <c r="A3465" s="20">
        <v>45062</v>
      </c>
      <c r="B3465" s="31"/>
      <c r="C3465" s="31"/>
      <c r="D3465" s="31"/>
      <c r="E3465" s="25"/>
      <c r="F3465" s="26"/>
    </row>
    <row r="3466" spans="1:6" ht="16.8" customHeight="1" x14ac:dyDescent="0.3">
      <c r="A3466" s="20">
        <v>45063</v>
      </c>
      <c r="B3466" s="31"/>
      <c r="C3466" s="31"/>
      <c r="D3466" s="31"/>
      <c r="E3466" s="25"/>
      <c r="F3466" s="26"/>
    </row>
    <row r="3467" spans="1:6" ht="16.8" customHeight="1" x14ac:dyDescent="0.3">
      <c r="A3467" s="20">
        <v>45064</v>
      </c>
      <c r="B3467" s="31"/>
      <c r="C3467" s="31"/>
      <c r="D3467" s="31"/>
      <c r="E3467" s="25"/>
      <c r="F3467" s="26"/>
    </row>
    <row r="3468" spans="1:6" ht="16.8" customHeight="1" x14ac:dyDescent="0.3">
      <c r="A3468" s="20">
        <v>45065</v>
      </c>
      <c r="B3468" s="31"/>
      <c r="C3468" s="31"/>
      <c r="D3468" s="31"/>
      <c r="E3468" s="25"/>
      <c r="F3468" s="26"/>
    </row>
    <row r="3469" spans="1:6" ht="16.8" customHeight="1" x14ac:dyDescent="0.3">
      <c r="A3469" s="20">
        <v>45066</v>
      </c>
      <c r="B3469" s="31"/>
      <c r="C3469" s="31"/>
      <c r="D3469" s="31"/>
      <c r="E3469" s="25"/>
      <c r="F3469" s="26"/>
    </row>
    <row r="3470" spans="1:6" ht="16.8" customHeight="1" x14ac:dyDescent="0.3">
      <c r="A3470" s="20">
        <v>45067</v>
      </c>
      <c r="B3470" s="31"/>
      <c r="C3470" s="31"/>
      <c r="D3470" s="31"/>
      <c r="E3470" s="25"/>
      <c r="F3470" s="26"/>
    </row>
    <row r="3471" spans="1:6" ht="16.8" customHeight="1" x14ac:dyDescent="0.3">
      <c r="A3471" s="20">
        <v>45068</v>
      </c>
      <c r="B3471" s="31"/>
      <c r="C3471" s="31"/>
      <c r="D3471" s="31"/>
      <c r="E3471" s="25"/>
      <c r="F3471" s="26"/>
    </row>
    <row r="3472" spans="1:6" ht="16.8" customHeight="1" x14ac:dyDescent="0.3">
      <c r="A3472" s="20">
        <v>45069</v>
      </c>
      <c r="B3472" s="31"/>
      <c r="C3472" s="31"/>
      <c r="D3472" s="31"/>
      <c r="E3472" s="25"/>
      <c r="F3472" s="26"/>
    </row>
    <row r="3473" spans="1:6" ht="16.8" customHeight="1" x14ac:dyDescent="0.3">
      <c r="A3473" s="20">
        <v>45070</v>
      </c>
      <c r="B3473" s="31"/>
      <c r="C3473" s="31"/>
      <c r="D3473" s="31"/>
      <c r="E3473" s="25"/>
      <c r="F3473" s="26"/>
    </row>
    <row r="3474" spans="1:6" ht="16.8" customHeight="1" x14ac:dyDescent="0.3">
      <c r="A3474" s="20">
        <v>45071</v>
      </c>
      <c r="B3474" s="31"/>
      <c r="C3474" s="31"/>
      <c r="D3474" s="31"/>
      <c r="E3474" s="25"/>
      <c r="F3474" s="26"/>
    </row>
    <row r="3475" spans="1:6" ht="16.8" customHeight="1" x14ac:dyDescent="0.3">
      <c r="A3475" s="20">
        <v>45072</v>
      </c>
      <c r="B3475" s="31"/>
      <c r="C3475" s="31"/>
      <c r="D3475" s="31"/>
      <c r="E3475" s="25"/>
      <c r="F3475" s="26"/>
    </row>
    <row r="3476" spans="1:6" ht="16.8" customHeight="1" x14ac:dyDescent="0.3">
      <c r="A3476" s="20">
        <v>45073</v>
      </c>
      <c r="B3476" s="31"/>
      <c r="C3476" s="31"/>
      <c r="D3476" s="31"/>
      <c r="E3476" s="25"/>
      <c r="F3476" s="26"/>
    </row>
    <row r="3477" spans="1:6" ht="16.8" customHeight="1" x14ac:dyDescent="0.3">
      <c r="A3477" s="20">
        <v>45074</v>
      </c>
      <c r="B3477" s="31"/>
      <c r="C3477" s="31"/>
      <c r="D3477" s="31"/>
      <c r="E3477" s="25"/>
      <c r="F3477" s="26"/>
    </row>
    <row r="3478" spans="1:6" ht="16.8" customHeight="1" x14ac:dyDescent="0.3">
      <c r="A3478" s="20">
        <v>45075</v>
      </c>
      <c r="B3478" s="31"/>
      <c r="C3478" s="31"/>
      <c r="D3478" s="31"/>
      <c r="E3478" s="25"/>
      <c r="F3478" s="26"/>
    </row>
    <row r="3479" spans="1:6" ht="16.8" customHeight="1" x14ac:dyDescent="0.3">
      <c r="A3479" s="20">
        <v>45076</v>
      </c>
      <c r="B3479" s="31"/>
      <c r="C3479" s="31"/>
      <c r="D3479" s="31"/>
      <c r="E3479" s="25"/>
      <c r="F3479" s="26"/>
    </row>
    <row r="3480" spans="1:6" ht="16.8" customHeight="1" x14ac:dyDescent="0.3">
      <c r="A3480" s="20">
        <v>45077</v>
      </c>
      <c r="B3480" s="31"/>
      <c r="C3480" s="31"/>
      <c r="D3480" s="31"/>
      <c r="E3480" s="25"/>
      <c r="F3480" s="26"/>
    </row>
    <row r="3481" spans="1:6" ht="16.8" customHeight="1" x14ac:dyDescent="0.3">
      <c r="A3481" s="20">
        <v>45078</v>
      </c>
      <c r="B3481" s="31"/>
      <c r="C3481" s="31"/>
      <c r="D3481" s="31"/>
      <c r="E3481" s="25"/>
      <c r="F3481" s="26"/>
    </row>
    <row r="3482" spans="1:6" ht="16.8" customHeight="1" x14ac:dyDescent="0.3">
      <c r="A3482" s="20">
        <v>45079</v>
      </c>
      <c r="B3482" s="31"/>
      <c r="C3482" s="31"/>
      <c r="D3482" s="31"/>
      <c r="E3482" s="25"/>
      <c r="F3482" s="26"/>
    </row>
    <row r="3483" spans="1:6" ht="16.8" customHeight="1" x14ac:dyDescent="0.3">
      <c r="A3483" s="20">
        <v>45080</v>
      </c>
      <c r="B3483" s="31"/>
      <c r="C3483" s="31"/>
      <c r="D3483" s="31"/>
      <c r="E3483" s="25"/>
      <c r="F3483" s="26"/>
    </row>
    <row r="3484" spans="1:6" ht="16.8" customHeight="1" x14ac:dyDescent="0.3">
      <c r="A3484" s="20">
        <v>45081</v>
      </c>
      <c r="B3484" s="31"/>
      <c r="C3484" s="31"/>
      <c r="D3484" s="31"/>
      <c r="E3484" s="25"/>
      <c r="F3484" s="26"/>
    </row>
    <row r="3485" spans="1:6" ht="16.8" customHeight="1" x14ac:dyDescent="0.3">
      <c r="A3485" s="20">
        <v>45082</v>
      </c>
      <c r="B3485" s="31"/>
      <c r="C3485" s="31"/>
      <c r="D3485" s="31"/>
      <c r="E3485" s="25"/>
      <c r="F3485" s="26"/>
    </row>
    <row r="3486" spans="1:6" ht="16.8" customHeight="1" x14ac:dyDescent="0.3">
      <c r="A3486" s="20">
        <v>45083</v>
      </c>
      <c r="B3486" s="31"/>
      <c r="C3486" s="31"/>
      <c r="D3486" s="31"/>
      <c r="E3486" s="25"/>
      <c r="F3486" s="26"/>
    </row>
    <row r="3487" spans="1:6" ht="16.8" customHeight="1" x14ac:dyDescent="0.3">
      <c r="A3487" s="20">
        <v>45084</v>
      </c>
      <c r="B3487" s="31"/>
      <c r="C3487" s="31"/>
      <c r="D3487" s="31"/>
      <c r="E3487" s="25"/>
      <c r="F3487" s="26"/>
    </row>
    <row r="3488" spans="1:6" ht="16.8" customHeight="1" x14ac:dyDescent="0.3">
      <c r="A3488" s="20">
        <v>45085</v>
      </c>
      <c r="B3488" s="31"/>
      <c r="C3488" s="31"/>
      <c r="D3488" s="31"/>
      <c r="E3488" s="25"/>
      <c r="F3488" s="26"/>
    </row>
    <row r="3489" spans="1:6" ht="16.8" customHeight="1" x14ac:dyDescent="0.3">
      <c r="A3489" s="20">
        <v>45086</v>
      </c>
      <c r="B3489" s="31"/>
      <c r="C3489" s="31"/>
      <c r="D3489" s="31"/>
      <c r="E3489" s="25"/>
      <c r="F3489" s="26"/>
    </row>
    <row r="3490" spans="1:6" ht="16.8" customHeight="1" x14ac:dyDescent="0.3">
      <c r="A3490" s="20">
        <v>45087</v>
      </c>
      <c r="B3490" s="31"/>
      <c r="C3490" s="31"/>
      <c r="D3490" s="31"/>
      <c r="E3490" s="25"/>
      <c r="F3490" s="26"/>
    </row>
    <row r="3491" spans="1:6" ht="16.8" customHeight="1" x14ac:dyDescent="0.3">
      <c r="A3491" s="20">
        <v>45088</v>
      </c>
      <c r="B3491" s="31"/>
      <c r="C3491" s="31"/>
      <c r="D3491" s="31"/>
      <c r="E3491" s="25"/>
      <c r="F3491" s="26"/>
    </row>
    <row r="3492" spans="1:6" ht="16.8" customHeight="1" x14ac:dyDescent="0.3">
      <c r="A3492" s="20">
        <v>45089</v>
      </c>
      <c r="B3492" s="31"/>
      <c r="C3492" s="31"/>
      <c r="D3492" s="31"/>
      <c r="E3492" s="25"/>
      <c r="F3492" s="26"/>
    </row>
    <row r="3493" spans="1:6" ht="16.8" customHeight="1" x14ac:dyDescent="0.3">
      <c r="A3493" s="20">
        <v>45090</v>
      </c>
      <c r="B3493" s="31"/>
      <c r="C3493" s="31"/>
      <c r="D3493" s="31"/>
      <c r="E3493" s="25"/>
      <c r="F3493" s="26"/>
    </row>
    <row r="3494" spans="1:6" ht="16.8" customHeight="1" x14ac:dyDescent="0.3">
      <c r="A3494" s="20">
        <v>45091</v>
      </c>
      <c r="B3494" s="31"/>
      <c r="C3494" s="31"/>
      <c r="D3494" s="31"/>
      <c r="E3494" s="25"/>
      <c r="F3494" s="26"/>
    </row>
    <row r="3495" spans="1:6" ht="16.8" customHeight="1" x14ac:dyDescent="0.3">
      <c r="A3495" s="20">
        <v>45092</v>
      </c>
      <c r="B3495" s="31"/>
      <c r="C3495" s="31"/>
      <c r="D3495" s="31"/>
      <c r="E3495" s="25"/>
      <c r="F3495" s="26"/>
    </row>
    <row r="3496" spans="1:6" ht="16.8" customHeight="1" x14ac:dyDescent="0.3">
      <c r="A3496" s="20">
        <v>45093</v>
      </c>
      <c r="B3496" s="31"/>
      <c r="C3496" s="31"/>
      <c r="D3496" s="31"/>
      <c r="E3496" s="25"/>
      <c r="F3496" s="26"/>
    </row>
    <row r="3497" spans="1:6" ht="16.8" customHeight="1" x14ac:dyDescent="0.3">
      <c r="A3497" s="20">
        <v>45094</v>
      </c>
      <c r="B3497" s="31"/>
      <c r="C3497" s="31"/>
      <c r="D3497" s="31"/>
      <c r="E3497" s="25"/>
      <c r="F3497" s="26"/>
    </row>
    <row r="3498" spans="1:6" ht="16.8" customHeight="1" x14ac:dyDescent="0.3">
      <c r="A3498" s="20">
        <v>45095</v>
      </c>
      <c r="B3498" s="31"/>
      <c r="C3498" s="31"/>
      <c r="D3498" s="31"/>
      <c r="E3498" s="25"/>
      <c r="F3498" s="26"/>
    </row>
    <row r="3499" spans="1:6" ht="16.8" customHeight="1" x14ac:dyDescent="0.3">
      <c r="A3499" s="20">
        <v>45096</v>
      </c>
      <c r="B3499" s="31"/>
      <c r="C3499" s="31"/>
      <c r="D3499" s="31"/>
      <c r="E3499" s="25"/>
      <c r="F3499" s="26"/>
    </row>
    <row r="3500" spans="1:6" ht="16.8" customHeight="1" x14ac:dyDescent="0.3">
      <c r="A3500" s="20">
        <v>45097</v>
      </c>
      <c r="B3500" s="31"/>
      <c r="C3500" s="31"/>
      <c r="D3500" s="31"/>
      <c r="E3500" s="25"/>
      <c r="F3500" s="26"/>
    </row>
    <row r="3501" spans="1:6" ht="16.8" customHeight="1" x14ac:dyDescent="0.3">
      <c r="A3501" s="20">
        <v>45098</v>
      </c>
      <c r="B3501" s="31"/>
      <c r="C3501" s="31"/>
      <c r="D3501" s="31"/>
      <c r="E3501" s="25"/>
      <c r="F3501" s="26"/>
    </row>
    <row r="3502" spans="1:6" ht="16.8" customHeight="1" x14ac:dyDescent="0.3">
      <c r="A3502" s="20">
        <v>45099</v>
      </c>
      <c r="B3502" s="31"/>
      <c r="C3502" s="31"/>
      <c r="D3502" s="31"/>
      <c r="E3502" s="25"/>
      <c r="F3502" s="26"/>
    </row>
    <row r="3503" spans="1:6" ht="16.8" customHeight="1" x14ac:dyDescent="0.3">
      <c r="A3503" s="20">
        <v>45100</v>
      </c>
      <c r="B3503" s="31"/>
      <c r="C3503" s="31"/>
      <c r="D3503" s="31"/>
      <c r="E3503" s="25"/>
      <c r="F3503" s="26"/>
    </row>
    <row r="3504" spans="1:6" ht="16.8" customHeight="1" x14ac:dyDescent="0.3">
      <c r="A3504" s="20">
        <v>45101</v>
      </c>
      <c r="B3504" s="31"/>
      <c r="C3504" s="31"/>
      <c r="D3504" s="31"/>
      <c r="E3504" s="25"/>
      <c r="F3504" s="26"/>
    </row>
    <row r="3505" spans="1:6" ht="16.8" customHeight="1" x14ac:dyDescent="0.3">
      <c r="A3505" s="20">
        <v>45102</v>
      </c>
      <c r="B3505" s="31"/>
      <c r="C3505" s="31"/>
      <c r="D3505" s="31"/>
      <c r="E3505" s="25"/>
      <c r="F3505" s="26"/>
    </row>
    <row r="3506" spans="1:6" ht="16.8" customHeight="1" x14ac:dyDescent="0.3">
      <c r="A3506" s="20">
        <v>45103</v>
      </c>
      <c r="B3506" s="31"/>
      <c r="C3506" s="31"/>
      <c r="D3506" s="31"/>
      <c r="E3506" s="25"/>
      <c r="F3506" s="26"/>
    </row>
    <row r="3507" spans="1:6" ht="16.8" customHeight="1" x14ac:dyDescent="0.3">
      <c r="A3507" s="20">
        <v>45104</v>
      </c>
      <c r="B3507" s="31"/>
      <c r="C3507" s="31"/>
      <c r="D3507" s="31"/>
      <c r="E3507" s="25"/>
      <c r="F3507" s="26"/>
    </row>
    <row r="3508" spans="1:6" ht="16.8" customHeight="1" x14ac:dyDescent="0.3">
      <c r="A3508" s="20">
        <v>45105</v>
      </c>
      <c r="B3508" s="31"/>
      <c r="C3508" s="31"/>
      <c r="D3508" s="31"/>
      <c r="E3508" s="25"/>
      <c r="F3508" s="26"/>
    </row>
    <row r="3509" spans="1:6" ht="16.8" customHeight="1" x14ac:dyDescent="0.3">
      <c r="A3509" s="20">
        <v>45106</v>
      </c>
      <c r="B3509" s="31"/>
      <c r="C3509" s="31"/>
      <c r="D3509" s="31"/>
      <c r="E3509" s="25"/>
      <c r="F3509" s="26"/>
    </row>
    <row r="3510" spans="1:6" ht="16.8" customHeight="1" x14ac:dyDescent="0.3">
      <c r="A3510" s="20">
        <v>45107</v>
      </c>
      <c r="B3510" s="31"/>
      <c r="C3510" s="31"/>
      <c r="D3510" s="31"/>
      <c r="E3510" s="25"/>
      <c r="F3510" s="26"/>
    </row>
    <row r="3511" spans="1:6" ht="16.8" customHeight="1" x14ac:dyDescent="0.3">
      <c r="A3511" s="20">
        <v>45108</v>
      </c>
      <c r="B3511" s="31"/>
      <c r="C3511" s="31"/>
      <c r="D3511" s="31"/>
      <c r="E3511" s="25"/>
      <c r="F3511" s="26"/>
    </row>
    <row r="3512" spans="1:6" ht="16.8" customHeight="1" x14ac:dyDescent="0.3">
      <c r="A3512" s="20">
        <v>45109</v>
      </c>
      <c r="B3512" s="31"/>
      <c r="C3512" s="31"/>
      <c r="D3512" s="31"/>
      <c r="E3512" s="25"/>
      <c r="F3512" s="26"/>
    </row>
    <row r="3513" spans="1:6" ht="16.8" customHeight="1" x14ac:dyDescent="0.3">
      <c r="A3513" s="20">
        <v>45110</v>
      </c>
      <c r="B3513" s="31"/>
      <c r="C3513" s="31"/>
      <c r="D3513" s="31"/>
      <c r="E3513" s="25"/>
      <c r="F3513" s="26"/>
    </row>
    <row r="3514" spans="1:6" ht="16.8" customHeight="1" x14ac:dyDescent="0.3">
      <c r="A3514" s="20">
        <v>45111</v>
      </c>
      <c r="B3514" s="31"/>
      <c r="C3514" s="31"/>
      <c r="D3514" s="31"/>
      <c r="E3514" s="25"/>
      <c r="F3514" s="26"/>
    </row>
    <row r="3515" spans="1:6" ht="16.8" customHeight="1" x14ac:dyDescent="0.3">
      <c r="A3515" s="20">
        <v>45112</v>
      </c>
      <c r="B3515" s="31"/>
      <c r="C3515" s="31"/>
      <c r="D3515" s="31"/>
      <c r="E3515" s="25"/>
      <c r="F3515" s="26"/>
    </row>
    <row r="3516" spans="1:6" ht="16.8" customHeight="1" x14ac:dyDescent="0.3">
      <c r="A3516" s="20">
        <v>45113</v>
      </c>
      <c r="B3516" s="31"/>
      <c r="C3516" s="31"/>
      <c r="D3516" s="31"/>
      <c r="E3516" s="25"/>
      <c r="F3516" s="26"/>
    </row>
    <row r="3517" spans="1:6" ht="16.8" customHeight="1" x14ac:dyDescent="0.3">
      <c r="A3517" s="20">
        <v>45114</v>
      </c>
      <c r="B3517" s="31"/>
      <c r="C3517" s="31"/>
      <c r="D3517" s="31"/>
      <c r="E3517" s="25"/>
      <c r="F3517" s="26"/>
    </row>
    <row r="3518" spans="1:6" ht="16.8" customHeight="1" x14ac:dyDescent="0.3">
      <c r="A3518" s="20">
        <v>45115</v>
      </c>
      <c r="B3518" s="31"/>
      <c r="C3518" s="31"/>
      <c r="D3518" s="31"/>
      <c r="E3518" s="25"/>
      <c r="F3518" s="26"/>
    </row>
    <row r="3519" spans="1:6" ht="16.8" customHeight="1" x14ac:dyDescent="0.3">
      <c r="A3519" s="20">
        <v>45116</v>
      </c>
      <c r="B3519" s="31"/>
      <c r="C3519" s="31"/>
      <c r="D3519" s="31"/>
      <c r="E3519" s="25"/>
      <c r="F3519" s="26"/>
    </row>
    <row r="3520" spans="1:6" ht="16.8" customHeight="1" x14ac:dyDescent="0.3">
      <c r="A3520" s="20">
        <v>45117</v>
      </c>
      <c r="B3520" s="31"/>
      <c r="C3520" s="31"/>
      <c r="D3520" s="31"/>
      <c r="E3520" s="25"/>
      <c r="F3520" s="26"/>
    </row>
    <row r="3521" spans="1:6" ht="16.8" customHeight="1" x14ac:dyDescent="0.3">
      <c r="A3521" s="20">
        <v>45118</v>
      </c>
      <c r="B3521" s="31"/>
      <c r="C3521" s="31"/>
      <c r="D3521" s="31"/>
      <c r="E3521" s="25"/>
      <c r="F3521" s="26"/>
    </row>
    <row r="3522" spans="1:6" ht="16.8" customHeight="1" x14ac:dyDescent="0.3">
      <c r="A3522" s="20">
        <v>45119</v>
      </c>
      <c r="B3522" s="31"/>
      <c r="C3522" s="31"/>
      <c r="D3522" s="31"/>
      <c r="E3522" s="25"/>
      <c r="F3522" s="26"/>
    </row>
    <row r="3523" spans="1:6" ht="16.8" customHeight="1" x14ac:dyDescent="0.3">
      <c r="A3523" s="20">
        <v>45120</v>
      </c>
      <c r="B3523" s="31"/>
      <c r="C3523" s="31"/>
      <c r="D3523" s="31"/>
      <c r="E3523" s="25"/>
      <c r="F3523" s="26"/>
    </row>
    <row r="3524" spans="1:6" ht="16.8" customHeight="1" x14ac:dyDescent="0.3">
      <c r="A3524" s="20">
        <v>45121</v>
      </c>
      <c r="B3524" s="31"/>
      <c r="C3524" s="31"/>
      <c r="D3524" s="31"/>
      <c r="E3524" s="25"/>
      <c r="F3524" s="26"/>
    </row>
    <row r="3525" spans="1:6" ht="16.8" customHeight="1" x14ac:dyDescent="0.3">
      <c r="A3525" s="20">
        <v>45122</v>
      </c>
      <c r="B3525" s="31"/>
      <c r="C3525" s="31"/>
      <c r="D3525" s="31"/>
      <c r="E3525" s="25"/>
      <c r="F3525" s="26"/>
    </row>
    <row r="3526" spans="1:6" ht="16.8" customHeight="1" x14ac:dyDescent="0.3">
      <c r="A3526" s="20">
        <v>45123</v>
      </c>
      <c r="B3526" s="31"/>
      <c r="C3526" s="31"/>
      <c r="D3526" s="31"/>
      <c r="E3526" s="25"/>
      <c r="F3526" s="26"/>
    </row>
    <row r="3527" spans="1:6" ht="16.8" customHeight="1" x14ac:dyDescent="0.3">
      <c r="A3527" s="20">
        <v>45124</v>
      </c>
      <c r="B3527" s="31"/>
      <c r="C3527" s="31"/>
      <c r="D3527" s="31"/>
      <c r="E3527" s="25"/>
      <c r="F3527" s="26"/>
    </row>
    <row r="3528" spans="1:6" ht="16.8" customHeight="1" x14ac:dyDescent="0.3">
      <c r="A3528" s="20">
        <v>45125</v>
      </c>
      <c r="B3528" s="31"/>
      <c r="C3528" s="31"/>
      <c r="D3528" s="31"/>
      <c r="E3528" s="25"/>
      <c r="F3528" s="26"/>
    </row>
    <row r="3529" spans="1:6" ht="16.8" customHeight="1" x14ac:dyDescent="0.3">
      <c r="A3529" s="20">
        <v>45126</v>
      </c>
      <c r="B3529" s="31"/>
      <c r="C3529" s="31"/>
      <c r="D3529" s="31"/>
      <c r="E3529" s="25"/>
      <c r="F3529" s="26"/>
    </row>
    <row r="3530" spans="1:6" ht="16.8" customHeight="1" x14ac:dyDescent="0.3">
      <c r="A3530" s="20">
        <v>45127</v>
      </c>
      <c r="B3530" s="31"/>
      <c r="C3530" s="31"/>
      <c r="D3530" s="31"/>
      <c r="E3530" s="25"/>
      <c r="F3530" s="26"/>
    </row>
    <row r="3531" spans="1:6" ht="16.8" customHeight="1" x14ac:dyDescent="0.3">
      <c r="A3531" s="20">
        <v>45128</v>
      </c>
      <c r="B3531" s="31"/>
      <c r="C3531" s="31"/>
      <c r="D3531" s="31"/>
      <c r="E3531" s="25"/>
      <c r="F3531" s="26"/>
    </row>
    <row r="3532" spans="1:6" ht="16.8" customHeight="1" x14ac:dyDescent="0.3">
      <c r="A3532" s="20">
        <v>45129</v>
      </c>
      <c r="B3532" s="31"/>
      <c r="C3532" s="31"/>
      <c r="D3532" s="31"/>
      <c r="E3532" s="25"/>
      <c r="F3532" s="26"/>
    </row>
    <row r="3533" spans="1:6" ht="16.8" customHeight="1" x14ac:dyDescent="0.3">
      <c r="A3533" s="20">
        <v>45130</v>
      </c>
      <c r="B3533" s="31"/>
      <c r="C3533" s="31"/>
      <c r="D3533" s="31"/>
      <c r="E3533" s="25"/>
      <c r="F3533" s="26"/>
    </row>
    <row r="3534" spans="1:6" ht="16.8" customHeight="1" x14ac:dyDescent="0.3">
      <c r="A3534" s="20">
        <v>45131</v>
      </c>
      <c r="B3534" s="31"/>
      <c r="C3534" s="31"/>
      <c r="D3534" s="31"/>
      <c r="E3534" s="25"/>
      <c r="F3534" s="26"/>
    </row>
    <row r="3535" spans="1:6" ht="16.8" customHeight="1" x14ac:dyDescent="0.3">
      <c r="A3535" s="20">
        <v>45132</v>
      </c>
      <c r="B3535" s="31"/>
      <c r="C3535" s="31"/>
      <c r="D3535" s="31"/>
      <c r="E3535" s="25"/>
      <c r="F3535" s="26"/>
    </row>
    <row r="3536" spans="1:6" ht="16.8" customHeight="1" x14ac:dyDescent="0.3">
      <c r="A3536" s="20">
        <v>45133</v>
      </c>
      <c r="B3536" s="31"/>
      <c r="C3536" s="31"/>
      <c r="D3536" s="31"/>
      <c r="E3536" s="25"/>
      <c r="F3536" s="26"/>
    </row>
    <row r="3537" spans="1:6" ht="16.8" customHeight="1" x14ac:dyDescent="0.3">
      <c r="A3537" s="20">
        <v>45134</v>
      </c>
      <c r="B3537" s="31"/>
      <c r="C3537" s="31"/>
      <c r="D3537" s="31"/>
      <c r="E3537" s="25"/>
      <c r="F3537" s="26"/>
    </row>
    <row r="3538" spans="1:6" ht="16.8" customHeight="1" x14ac:dyDescent="0.3">
      <c r="A3538" s="20">
        <v>45135</v>
      </c>
      <c r="B3538" s="31"/>
      <c r="C3538" s="31"/>
      <c r="D3538" s="31"/>
      <c r="E3538" s="25"/>
      <c r="F3538" s="26"/>
    </row>
    <row r="3539" spans="1:6" ht="16.8" customHeight="1" x14ac:dyDescent="0.3">
      <c r="A3539" s="20">
        <v>45136</v>
      </c>
      <c r="B3539" s="31"/>
      <c r="C3539" s="31"/>
      <c r="D3539" s="31"/>
      <c r="E3539" s="25"/>
      <c r="F3539" s="26"/>
    </row>
    <row r="3540" spans="1:6" ht="16.8" customHeight="1" x14ac:dyDescent="0.3">
      <c r="A3540" s="20">
        <v>45137</v>
      </c>
      <c r="B3540" s="31"/>
      <c r="C3540" s="31"/>
      <c r="D3540" s="31"/>
      <c r="E3540" s="25"/>
      <c r="F3540" s="26"/>
    </row>
    <row r="3541" spans="1:6" ht="16.8" customHeight="1" x14ac:dyDescent="0.3">
      <c r="A3541" s="20">
        <v>45138</v>
      </c>
      <c r="B3541" s="31"/>
      <c r="C3541" s="31"/>
      <c r="D3541" s="31"/>
      <c r="E3541" s="25"/>
      <c r="F3541" s="26"/>
    </row>
    <row r="3542" spans="1:6" ht="16.8" customHeight="1" x14ac:dyDescent="0.3">
      <c r="A3542" s="20">
        <v>45139</v>
      </c>
      <c r="B3542" s="31"/>
      <c r="C3542" s="31"/>
      <c r="D3542" s="31"/>
      <c r="E3542" s="25"/>
      <c r="F3542" s="26"/>
    </row>
    <row r="3543" spans="1:6" ht="16.8" customHeight="1" x14ac:dyDescent="0.3">
      <c r="A3543" s="20">
        <v>45140</v>
      </c>
      <c r="B3543" s="31"/>
      <c r="C3543" s="31"/>
      <c r="D3543" s="31"/>
      <c r="E3543" s="25"/>
      <c r="F3543" s="26"/>
    </row>
    <row r="3544" spans="1:6" ht="16.8" customHeight="1" x14ac:dyDescent="0.3">
      <c r="A3544" s="20">
        <v>45141</v>
      </c>
      <c r="B3544" s="31"/>
      <c r="C3544" s="31"/>
      <c r="D3544" s="31"/>
      <c r="E3544" s="25"/>
      <c r="F3544" s="26"/>
    </row>
    <row r="3545" spans="1:6" ht="16.8" customHeight="1" x14ac:dyDescent="0.3">
      <c r="A3545" s="20">
        <v>45142</v>
      </c>
      <c r="B3545" s="31"/>
      <c r="C3545" s="31"/>
      <c r="D3545" s="31"/>
      <c r="E3545" s="25"/>
      <c r="F3545" s="26"/>
    </row>
    <row r="3546" spans="1:6" ht="16.8" customHeight="1" x14ac:dyDescent="0.3">
      <c r="A3546" s="20">
        <v>45143</v>
      </c>
      <c r="B3546" s="31"/>
      <c r="C3546" s="31"/>
      <c r="D3546" s="31"/>
      <c r="E3546" s="25"/>
      <c r="F3546" s="26"/>
    </row>
    <row r="3547" spans="1:6" ht="16.8" customHeight="1" x14ac:dyDescent="0.3">
      <c r="A3547" s="20">
        <v>45144</v>
      </c>
      <c r="B3547" s="31"/>
      <c r="C3547" s="31"/>
      <c r="D3547" s="31"/>
      <c r="E3547" s="25"/>
      <c r="F3547" s="26"/>
    </row>
    <row r="3548" spans="1:6" ht="16.8" customHeight="1" x14ac:dyDescent="0.3">
      <c r="A3548" s="20">
        <v>45145</v>
      </c>
      <c r="B3548" s="31"/>
      <c r="C3548" s="31"/>
      <c r="D3548" s="31"/>
      <c r="E3548" s="25"/>
      <c r="F3548" s="26"/>
    </row>
    <row r="3549" spans="1:6" ht="16.8" customHeight="1" x14ac:dyDescent="0.3">
      <c r="A3549" s="20">
        <v>45146</v>
      </c>
      <c r="B3549" s="31"/>
      <c r="C3549" s="31"/>
      <c r="D3549" s="31"/>
      <c r="E3549" s="25"/>
      <c r="F3549" s="26"/>
    </row>
    <row r="3550" spans="1:6" ht="16.8" customHeight="1" x14ac:dyDescent="0.3">
      <c r="A3550" s="20">
        <v>45147</v>
      </c>
      <c r="B3550" s="31"/>
      <c r="C3550" s="31"/>
      <c r="D3550" s="31"/>
      <c r="E3550" s="25"/>
      <c r="F3550" s="26"/>
    </row>
    <row r="3551" spans="1:6" ht="16.8" customHeight="1" x14ac:dyDescent="0.3">
      <c r="A3551" s="20">
        <v>45148</v>
      </c>
      <c r="B3551" s="31"/>
      <c r="C3551" s="31"/>
      <c r="D3551" s="31"/>
      <c r="E3551" s="25"/>
      <c r="F3551" s="26"/>
    </row>
    <row r="3552" spans="1:6" ht="16.8" customHeight="1" x14ac:dyDescent="0.3">
      <c r="A3552" s="20">
        <v>45149</v>
      </c>
      <c r="B3552" s="31"/>
      <c r="C3552" s="31"/>
      <c r="D3552" s="31"/>
      <c r="E3552" s="25"/>
      <c r="F3552" s="26"/>
    </row>
    <row r="3553" spans="1:6" ht="16.8" customHeight="1" x14ac:dyDescent="0.3">
      <c r="A3553" s="20">
        <v>45150</v>
      </c>
      <c r="B3553" s="31"/>
      <c r="C3553" s="31"/>
      <c r="D3553" s="31"/>
      <c r="E3553" s="25"/>
      <c r="F3553" s="26"/>
    </row>
    <row r="3554" spans="1:6" ht="16.8" customHeight="1" x14ac:dyDescent="0.3">
      <c r="A3554" s="20">
        <v>45151</v>
      </c>
      <c r="B3554" s="31"/>
      <c r="C3554" s="31"/>
      <c r="D3554" s="31"/>
      <c r="E3554" s="25"/>
      <c r="F3554" s="26"/>
    </row>
    <row r="3555" spans="1:6" ht="16.8" customHeight="1" x14ac:dyDescent="0.3">
      <c r="A3555" s="20">
        <v>45152</v>
      </c>
      <c r="B3555" s="31"/>
      <c r="C3555" s="31"/>
      <c r="D3555" s="31"/>
      <c r="E3555" s="25"/>
      <c r="F3555" s="26"/>
    </row>
    <row r="3556" spans="1:6" ht="16.8" customHeight="1" x14ac:dyDescent="0.3">
      <c r="A3556" s="20">
        <v>45153</v>
      </c>
      <c r="B3556" s="31"/>
      <c r="C3556" s="31"/>
      <c r="D3556" s="31"/>
      <c r="E3556" s="25"/>
      <c r="F3556" s="26"/>
    </row>
    <row r="3557" spans="1:6" ht="16.8" customHeight="1" x14ac:dyDescent="0.3">
      <c r="A3557" s="20">
        <v>45154</v>
      </c>
      <c r="B3557" s="31"/>
      <c r="C3557" s="31"/>
      <c r="D3557" s="31"/>
      <c r="E3557" s="25"/>
      <c r="F3557" s="26"/>
    </row>
    <row r="3558" spans="1:6" ht="16.8" customHeight="1" x14ac:dyDescent="0.3">
      <c r="A3558" s="20">
        <v>45155</v>
      </c>
      <c r="B3558" s="31"/>
      <c r="C3558" s="31"/>
      <c r="D3558" s="31"/>
      <c r="E3558" s="25"/>
      <c r="F3558" s="26"/>
    </row>
    <row r="3559" spans="1:6" ht="16.8" customHeight="1" x14ac:dyDescent="0.3">
      <c r="A3559" s="20">
        <v>45156</v>
      </c>
      <c r="B3559" s="31"/>
      <c r="C3559" s="31"/>
      <c r="D3559" s="31"/>
      <c r="E3559" s="25"/>
      <c r="F3559" s="26"/>
    </row>
    <row r="3560" spans="1:6" ht="16.8" customHeight="1" x14ac:dyDescent="0.3">
      <c r="A3560" s="20">
        <v>45157</v>
      </c>
      <c r="B3560" s="31"/>
      <c r="C3560" s="31"/>
      <c r="D3560" s="31"/>
      <c r="E3560" s="25"/>
      <c r="F3560" s="26"/>
    </row>
    <row r="3561" spans="1:6" ht="16.8" customHeight="1" x14ac:dyDescent="0.3">
      <c r="A3561" s="20">
        <v>45158</v>
      </c>
      <c r="B3561" s="31"/>
      <c r="C3561" s="31"/>
      <c r="D3561" s="31"/>
      <c r="E3561" s="25"/>
      <c r="F3561" s="26"/>
    </row>
    <row r="3562" spans="1:6" ht="16.8" customHeight="1" x14ac:dyDescent="0.3">
      <c r="A3562" s="20">
        <v>45159</v>
      </c>
      <c r="B3562" s="31"/>
      <c r="C3562" s="31"/>
      <c r="D3562" s="31"/>
      <c r="E3562" s="25"/>
      <c r="F3562" s="26"/>
    </row>
    <row r="3563" spans="1:6" ht="16.8" customHeight="1" x14ac:dyDescent="0.3">
      <c r="A3563" s="20">
        <v>45160</v>
      </c>
      <c r="B3563" s="31"/>
      <c r="C3563" s="31"/>
      <c r="D3563" s="31"/>
      <c r="E3563" s="25"/>
      <c r="F3563" s="26"/>
    </row>
    <row r="3564" spans="1:6" ht="16.8" customHeight="1" x14ac:dyDescent="0.3">
      <c r="A3564" s="20">
        <v>45161</v>
      </c>
      <c r="B3564" s="31"/>
      <c r="C3564" s="31"/>
      <c r="D3564" s="31"/>
      <c r="E3564" s="25"/>
      <c r="F3564" s="26"/>
    </row>
    <row r="3565" spans="1:6" ht="16.8" customHeight="1" x14ac:dyDescent="0.3">
      <c r="A3565" s="20">
        <v>45162</v>
      </c>
      <c r="B3565" s="31"/>
      <c r="C3565" s="31"/>
      <c r="D3565" s="31"/>
      <c r="E3565" s="25"/>
      <c r="F3565" s="26"/>
    </row>
    <row r="3566" spans="1:6" ht="16.8" customHeight="1" x14ac:dyDescent="0.3">
      <c r="A3566" s="20">
        <v>45163</v>
      </c>
      <c r="B3566" s="31"/>
      <c r="C3566" s="31"/>
      <c r="D3566" s="31"/>
      <c r="E3566" s="25"/>
      <c r="F3566" s="26"/>
    </row>
    <row r="3567" spans="1:6" ht="16.8" customHeight="1" x14ac:dyDescent="0.3">
      <c r="A3567" s="20">
        <v>45164</v>
      </c>
      <c r="B3567" s="31"/>
      <c r="C3567" s="31"/>
      <c r="D3567" s="31"/>
      <c r="E3567" s="25"/>
      <c r="F3567" s="26"/>
    </row>
    <row r="3568" spans="1:6" ht="16.8" customHeight="1" x14ac:dyDescent="0.3">
      <c r="A3568" s="20">
        <v>45165</v>
      </c>
      <c r="B3568" s="31"/>
      <c r="C3568" s="31"/>
      <c r="D3568" s="31"/>
      <c r="E3568" s="25"/>
      <c r="F3568" s="26"/>
    </row>
    <row r="3569" spans="1:6" ht="16.8" customHeight="1" x14ac:dyDescent="0.3">
      <c r="A3569" s="20">
        <v>45166</v>
      </c>
      <c r="B3569" s="31"/>
      <c r="C3569" s="31"/>
      <c r="D3569" s="31"/>
      <c r="E3569" s="25"/>
      <c r="F3569" s="26"/>
    </row>
    <row r="3570" spans="1:6" ht="16.8" customHeight="1" x14ac:dyDescent="0.3">
      <c r="A3570" s="20">
        <v>45167</v>
      </c>
      <c r="B3570" s="31"/>
      <c r="C3570" s="31"/>
      <c r="D3570" s="31"/>
      <c r="E3570" s="25"/>
      <c r="F3570" s="26"/>
    </row>
    <row r="3571" spans="1:6" ht="16.8" customHeight="1" x14ac:dyDescent="0.3">
      <c r="A3571" s="20">
        <v>45168</v>
      </c>
      <c r="B3571" s="31"/>
      <c r="C3571" s="31"/>
      <c r="D3571" s="31"/>
      <c r="E3571" s="25"/>
      <c r="F3571" s="26"/>
    </row>
    <row r="3572" spans="1:6" ht="16.8" customHeight="1" x14ac:dyDescent="0.3">
      <c r="A3572" s="20">
        <v>45169</v>
      </c>
      <c r="B3572" s="31"/>
      <c r="C3572" s="31"/>
      <c r="D3572" s="31"/>
      <c r="E3572" s="25"/>
      <c r="F3572" s="26"/>
    </row>
    <row r="3573" spans="1:6" ht="16.8" customHeight="1" x14ac:dyDescent="0.3">
      <c r="A3573" s="20">
        <v>45170</v>
      </c>
      <c r="B3573" s="31"/>
      <c r="C3573" s="31"/>
      <c r="D3573" s="31"/>
      <c r="E3573" s="25"/>
      <c r="F3573" s="26"/>
    </row>
    <row r="3574" spans="1:6" ht="16.8" customHeight="1" x14ac:dyDescent="0.3">
      <c r="A3574" s="20">
        <v>45171</v>
      </c>
      <c r="B3574" s="31"/>
      <c r="C3574" s="31"/>
      <c r="D3574" s="31"/>
      <c r="E3574" s="25"/>
      <c r="F3574" s="26"/>
    </row>
    <row r="3575" spans="1:6" ht="16.8" customHeight="1" x14ac:dyDescent="0.3">
      <c r="A3575" s="20">
        <v>45172</v>
      </c>
      <c r="B3575" s="31"/>
      <c r="C3575" s="31"/>
      <c r="D3575" s="31"/>
      <c r="E3575" s="25"/>
      <c r="F3575" s="26"/>
    </row>
    <row r="3576" spans="1:6" ht="16.8" customHeight="1" x14ac:dyDescent="0.3">
      <c r="A3576" s="20">
        <v>45173</v>
      </c>
      <c r="B3576" s="31"/>
      <c r="C3576" s="31"/>
      <c r="D3576" s="31"/>
      <c r="E3576" s="25"/>
      <c r="F3576" s="26"/>
    </row>
    <row r="3577" spans="1:6" ht="16.8" customHeight="1" x14ac:dyDescent="0.3">
      <c r="A3577" s="20">
        <v>45174</v>
      </c>
      <c r="B3577" s="31"/>
      <c r="C3577" s="31"/>
      <c r="D3577" s="31"/>
      <c r="E3577" s="25"/>
      <c r="F3577" s="26"/>
    </row>
    <row r="3578" spans="1:6" ht="16.8" customHeight="1" x14ac:dyDescent="0.3">
      <c r="A3578" s="20">
        <v>45175</v>
      </c>
      <c r="B3578" s="31"/>
      <c r="C3578" s="31"/>
      <c r="D3578" s="31"/>
      <c r="E3578" s="25"/>
      <c r="F3578" s="26"/>
    </row>
    <row r="3579" spans="1:6" ht="16.8" customHeight="1" x14ac:dyDescent="0.3">
      <c r="A3579" s="20">
        <v>45176</v>
      </c>
      <c r="B3579" s="31"/>
      <c r="C3579" s="31"/>
      <c r="D3579" s="31"/>
      <c r="E3579" s="25"/>
      <c r="F3579" s="26"/>
    </row>
    <row r="3580" spans="1:6" ht="16.8" customHeight="1" x14ac:dyDescent="0.3">
      <c r="A3580" s="20">
        <v>45177</v>
      </c>
      <c r="B3580" s="31"/>
      <c r="C3580" s="31"/>
      <c r="D3580" s="31"/>
      <c r="E3580" s="25"/>
      <c r="F3580" s="26"/>
    </row>
    <row r="3581" spans="1:6" ht="16.8" customHeight="1" x14ac:dyDescent="0.3">
      <c r="A3581" s="20">
        <v>45178</v>
      </c>
      <c r="B3581" s="31"/>
      <c r="C3581" s="31"/>
      <c r="D3581" s="31"/>
      <c r="E3581" s="25"/>
      <c r="F3581" s="26"/>
    </row>
    <row r="3582" spans="1:6" ht="16.8" customHeight="1" x14ac:dyDescent="0.3">
      <c r="A3582" s="20">
        <v>45179</v>
      </c>
      <c r="B3582" s="31"/>
      <c r="C3582" s="31"/>
      <c r="D3582" s="31"/>
      <c r="E3582" s="25"/>
      <c r="F3582" s="26"/>
    </row>
    <row r="3583" spans="1:6" ht="16.8" customHeight="1" x14ac:dyDescent="0.3">
      <c r="A3583" s="20">
        <v>45180</v>
      </c>
      <c r="B3583" s="31"/>
      <c r="C3583" s="31"/>
      <c r="D3583" s="31"/>
      <c r="E3583" s="25"/>
      <c r="F3583" s="26"/>
    </row>
    <row r="3584" spans="1:6" ht="16.8" customHeight="1" x14ac:dyDescent="0.3">
      <c r="A3584" s="20">
        <v>45181</v>
      </c>
      <c r="B3584" s="31"/>
      <c r="C3584" s="31"/>
      <c r="D3584" s="31"/>
      <c r="E3584" s="25"/>
      <c r="F3584" s="26"/>
    </row>
    <row r="3585" spans="1:6" ht="16.8" customHeight="1" x14ac:dyDescent="0.3">
      <c r="A3585" s="20">
        <v>45182</v>
      </c>
      <c r="B3585" s="31"/>
      <c r="C3585" s="31"/>
      <c r="D3585" s="31"/>
      <c r="E3585" s="25"/>
      <c r="F3585" s="26"/>
    </row>
    <row r="3586" spans="1:6" ht="16.8" customHeight="1" x14ac:dyDescent="0.3">
      <c r="A3586" s="20">
        <v>45183</v>
      </c>
      <c r="B3586" s="31"/>
      <c r="C3586" s="31"/>
      <c r="D3586" s="31"/>
      <c r="E3586" s="25"/>
      <c r="F3586" s="26"/>
    </row>
    <row r="3587" spans="1:6" ht="16.8" customHeight="1" x14ac:dyDescent="0.3">
      <c r="A3587" s="20">
        <v>45184</v>
      </c>
      <c r="B3587" s="31"/>
      <c r="C3587" s="31"/>
      <c r="D3587" s="31"/>
      <c r="E3587" s="25"/>
      <c r="F3587" s="26"/>
    </row>
    <row r="3588" spans="1:6" ht="16.8" customHeight="1" x14ac:dyDescent="0.3">
      <c r="A3588" s="20">
        <v>45185</v>
      </c>
      <c r="B3588" s="31"/>
      <c r="C3588" s="31"/>
      <c r="D3588" s="31"/>
      <c r="E3588" s="25"/>
      <c r="F3588" s="26"/>
    </row>
    <row r="3589" spans="1:6" ht="16.8" customHeight="1" x14ac:dyDescent="0.3">
      <c r="A3589" s="20">
        <v>45186</v>
      </c>
      <c r="B3589" s="31"/>
      <c r="C3589" s="31"/>
      <c r="D3589" s="31"/>
      <c r="E3589" s="25"/>
      <c r="F3589" s="26"/>
    </row>
    <row r="3590" spans="1:6" ht="16.8" customHeight="1" x14ac:dyDescent="0.3">
      <c r="A3590" s="20">
        <v>45187</v>
      </c>
      <c r="B3590" s="31"/>
      <c r="C3590" s="31"/>
      <c r="D3590" s="31"/>
      <c r="E3590" s="25"/>
      <c r="F3590" s="26"/>
    </row>
    <row r="3591" spans="1:6" ht="16.8" customHeight="1" x14ac:dyDescent="0.3">
      <c r="A3591" s="20">
        <v>45188</v>
      </c>
      <c r="B3591" s="31"/>
      <c r="C3591" s="31"/>
      <c r="D3591" s="31"/>
      <c r="E3591" s="25"/>
      <c r="F3591" s="26"/>
    </row>
    <row r="3592" spans="1:6" ht="16.8" customHeight="1" x14ac:dyDescent="0.3">
      <c r="A3592" s="20">
        <v>45189</v>
      </c>
      <c r="B3592" s="31"/>
      <c r="C3592" s="31"/>
      <c r="D3592" s="31"/>
      <c r="E3592" s="25"/>
      <c r="F3592" s="26"/>
    </row>
    <row r="3593" spans="1:6" ht="16.8" customHeight="1" x14ac:dyDescent="0.3">
      <c r="A3593" s="20">
        <v>45190</v>
      </c>
      <c r="B3593" s="31"/>
      <c r="C3593" s="31"/>
      <c r="D3593" s="31"/>
      <c r="E3593" s="25"/>
      <c r="F3593" s="26"/>
    </row>
    <row r="3594" spans="1:6" ht="16.8" customHeight="1" x14ac:dyDescent="0.3">
      <c r="A3594" s="20">
        <v>45191</v>
      </c>
      <c r="B3594" s="31"/>
      <c r="C3594" s="31"/>
      <c r="D3594" s="31"/>
      <c r="E3594" s="25"/>
      <c r="F3594" s="26"/>
    </row>
    <row r="3595" spans="1:6" ht="16.8" customHeight="1" x14ac:dyDescent="0.3">
      <c r="A3595" s="20">
        <v>45192</v>
      </c>
      <c r="B3595" s="31"/>
      <c r="C3595" s="31"/>
      <c r="D3595" s="31"/>
      <c r="E3595" s="25"/>
      <c r="F3595" s="26"/>
    </row>
    <row r="3596" spans="1:6" ht="16.8" customHeight="1" x14ac:dyDescent="0.3">
      <c r="A3596" s="20">
        <v>45193</v>
      </c>
      <c r="B3596" s="31"/>
      <c r="C3596" s="31"/>
      <c r="D3596" s="31"/>
      <c r="E3596" s="25"/>
      <c r="F3596" s="26"/>
    </row>
    <row r="3597" spans="1:6" ht="16.8" customHeight="1" x14ac:dyDescent="0.3">
      <c r="A3597" s="20">
        <v>45194</v>
      </c>
      <c r="B3597" s="31"/>
      <c r="C3597" s="31"/>
      <c r="D3597" s="31"/>
      <c r="E3597" s="25"/>
      <c r="F3597" s="26"/>
    </row>
    <row r="3598" spans="1:6" ht="16.8" customHeight="1" x14ac:dyDescent="0.3">
      <c r="A3598" s="20">
        <v>45195</v>
      </c>
      <c r="B3598" s="31"/>
      <c r="C3598" s="31"/>
      <c r="D3598" s="31"/>
      <c r="E3598" s="25"/>
      <c r="F3598" s="26"/>
    </row>
    <row r="3599" spans="1:6" ht="16.8" customHeight="1" x14ac:dyDescent="0.3">
      <c r="A3599" s="20">
        <v>45196</v>
      </c>
      <c r="B3599" s="31"/>
      <c r="C3599" s="31"/>
      <c r="D3599" s="31"/>
      <c r="E3599" s="25"/>
      <c r="F3599" s="26"/>
    </row>
    <row r="3600" spans="1:6" ht="16.8" customHeight="1" x14ac:dyDescent="0.3">
      <c r="A3600" s="20">
        <v>45197</v>
      </c>
      <c r="B3600" s="31"/>
      <c r="C3600" s="31"/>
      <c r="D3600" s="31"/>
      <c r="E3600" s="25"/>
      <c r="F3600" s="26"/>
    </row>
    <row r="3601" spans="1:6" ht="16.8" customHeight="1" x14ac:dyDescent="0.3">
      <c r="A3601" s="20">
        <v>45198</v>
      </c>
      <c r="B3601" s="31"/>
      <c r="C3601" s="31"/>
      <c r="D3601" s="31"/>
      <c r="E3601" s="25"/>
      <c r="F3601" s="26"/>
    </row>
    <row r="3602" spans="1:6" ht="16.8" customHeight="1" x14ac:dyDescent="0.3">
      <c r="A3602" s="20">
        <v>45199</v>
      </c>
      <c r="B3602" s="31"/>
      <c r="C3602" s="31"/>
      <c r="D3602" s="31"/>
      <c r="E3602" s="25"/>
      <c r="F3602" s="26"/>
    </row>
    <row r="3603" spans="1:6" ht="16.8" customHeight="1" x14ac:dyDescent="0.3">
      <c r="A3603" s="20">
        <v>45200</v>
      </c>
      <c r="B3603" s="31"/>
      <c r="C3603" s="31"/>
      <c r="D3603" s="31"/>
      <c r="E3603" s="25"/>
      <c r="F3603" s="26"/>
    </row>
    <row r="3604" spans="1:6" ht="16.8" customHeight="1" x14ac:dyDescent="0.3">
      <c r="A3604" s="20">
        <v>45201</v>
      </c>
      <c r="B3604" s="31"/>
      <c r="C3604" s="31"/>
      <c r="D3604" s="31"/>
      <c r="E3604" s="25"/>
      <c r="F3604" s="26"/>
    </row>
    <row r="3605" spans="1:6" ht="16.8" customHeight="1" x14ac:dyDescent="0.3">
      <c r="A3605" s="20">
        <v>45202</v>
      </c>
      <c r="B3605" s="31"/>
      <c r="C3605" s="31"/>
      <c r="D3605" s="31"/>
      <c r="E3605" s="25"/>
      <c r="F3605" s="26"/>
    </row>
    <row r="3606" spans="1:6" ht="16.8" customHeight="1" x14ac:dyDescent="0.3">
      <c r="A3606" s="20">
        <v>45203</v>
      </c>
      <c r="B3606" s="31"/>
      <c r="C3606" s="31"/>
      <c r="D3606" s="31"/>
      <c r="E3606" s="25"/>
      <c r="F3606" s="26"/>
    </row>
    <row r="3607" spans="1:6" ht="16.8" customHeight="1" x14ac:dyDescent="0.3">
      <c r="A3607" s="20">
        <v>45204</v>
      </c>
      <c r="B3607" s="31"/>
      <c r="C3607" s="31"/>
      <c r="D3607" s="31"/>
      <c r="E3607" s="25"/>
      <c r="F3607" s="26"/>
    </row>
    <row r="3608" spans="1:6" ht="16.8" customHeight="1" x14ac:dyDescent="0.3">
      <c r="A3608" s="20">
        <v>45205</v>
      </c>
      <c r="B3608" s="31"/>
      <c r="C3608" s="31"/>
      <c r="D3608" s="31"/>
      <c r="E3608" s="25"/>
      <c r="F3608" s="26"/>
    </row>
    <row r="3609" spans="1:6" ht="16.8" customHeight="1" x14ac:dyDescent="0.3">
      <c r="A3609" s="20">
        <v>45206</v>
      </c>
      <c r="B3609" s="31"/>
      <c r="C3609" s="31"/>
      <c r="D3609" s="31"/>
      <c r="E3609" s="25"/>
      <c r="F3609" s="26"/>
    </row>
    <row r="3610" spans="1:6" ht="16.8" customHeight="1" x14ac:dyDescent="0.3">
      <c r="A3610" s="20">
        <v>45207</v>
      </c>
      <c r="B3610" s="31"/>
      <c r="C3610" s="31"/>
      <c r="D3610" s="31"/>
      <c r="E3610" s="25"/>
      <c r="F3610" s="26"/>
    </row>
    <row r="3611" spans="1:6" ht="16.8" customHeight="1" x14ac:dyDescent="0.3">
      <c r="A3611" s="20">
        <v>45208</v>
      </c>
      <c r="B3611" s="31"/>
      <c r="C3611" s="31"/>
      <c r="D3611" s="31"/>
      <c r="E3611" s="25"/>
      <c r="F3611" s="26"/>
    </row>
    <row r="3612" spans="1:6" ht="16.8" customHeight="1" x14ac:dyDescent="0.3">
      <c r="A3612" s="20">
        <v>45209</v>
      </c>
      <c r="B3612" s="31"/>
      <c r="C3612" s="31"/>
      <c r="D3612" s="31"/>
      <c r="E3612" s="25"/>
      <c r="F3612" s="26"/>
    </row>
    <row r="3613" spans="1:6" ht="16.8" customHeight="1" x14ac:dyDescent="0.3">
      <c r="A3613" s="20">
        <v>45210</v>
      </c>
      <c r="B3613" s="31"/>
      <c r="C3613" s="31"/>
      <c r="D3613" s="31"/>
      <c r="E3613" s="25"/>
      <c r="F3613" s="26"/>
    </row>
    <row r="3614" spans="1:6" ht="16.8" customHeight="1" x14ac:dyDescent="0.3">
      <c r="A3614" s="20">
        <v>45211</v>
      </c>
      <c r="B3614" s="31"/>
      <c r="C3614" s="31"/>
      <c r="D3614" s="31"/>
      <c r="E3614" s="25"/>
      <c r="F3614" s="26"/>
    </row>
    <row r="3615" spans="1:6" ht="16.8" customHeight="1" x14ac:dyDescent="0.3">
      <c r="A3615" s="20">
        <v>45212</v>
      </c>
      <c r="B3615" s="31"/>
      <c r="C3615" s="31"/>
      <c r="D3615" s="31"/>
      <c r="E3615" s="25"/>
      <c r="F3615" s="26"/>
    </row>
    <row r="3616" spans="1:6" ht="16.8" customHeight="1" x14ac:dyDescent="0.3">
      <c r="A3616" s="20">
        <v>45213</v>
      </c>
      <c r="B3616" s="31"/>
      <c r="C3616" s="31"/>
      <c r="D3616" s="31"/>
      <c r="E3616" s="25"/>
      <c r="F3616" s="26"/>
    </row>
    <row r="3617" spans="1:6" ht="16.8" customHeight="1" x14ac:dyDescent="0.3">
      <c r="A3617" s="20">
        <v>45214</v>
      </c>
      <c r="B3617" s="31"/>
      <c r="C3617" s="31"/>
      <c r="D3617" s="31"/>
      <c r="E3617" s="25"/>
      <c r="F3617" s="26"/>
    </row>
    <row r="3618" spans="1:6" ht="16.8" customHeight="1" x14ac:dyDescent="0.3">
      <c r="A3618" s="20">
        <v>45215</v>
      </c>
      <c r="B3618" s="31"/>
      <c r="C3618" s="31"/>
      <c r="D3618" s="31"/>
      <c r="E3618" s="25"/>
      <c r="F3618" s="26"/>
    </row>
    <row r="3619" spans="1:6" ht="16.8" customHeight="1" x14ac:dyDescent="0.3">
      <c r="A3619" s="20">
        <v>45216</v>
      </c>
      <c r="B3619" s="31"/>
      <c r="C3619" s="31"/>
      <c r="D3619" s="31"/>
      <c r="E3619" s="25"/>
      <c r="F3619" s="26"/>
    </row>
    <row r="3620" spans="1:6" ht="16.8" customHeight="1" x14ac:dyDescent="0.3">
      <c r="A3620" s="20">
        <v>45217</v>
      </c>
      <c r="B3620" s="31"/>
      <c r="C3620" s="31"/>
      <c r="D3620" s="31"/>
      <c r="E3620" s="25"/>
      <c r="F3620" s="26"/>
    </row>
    <row r="3621" spans="1:6" ht="16.8" customHeight="1" x14ac:dyDescent="0.3">
      <c r="A3621" s="20">
        <v>45218</v>
      </c>
      <c r="B3621" s="31"/>
      <c r="C3621" s="31"/>
      <c r="D3621" s="31"/>
      <c r="E3621" s="25"/>
      <c r="F3621" s="26"/>
    </row>
    <row r="3622" spans="1:6" ht="16.8" customHeight="1" x14ac:dyDescent="0.3">
      <c r="A3622" s="20">
        <v>45219</v>
      </c>
      <c r="B3622" s="31"/>
      <c r="C3622" s="31"/>
      <c r="D3622" s="31"/>
      <c r="E3622" s="25"/>
      <c r="F3622" s="26"/>
    </row>
    <row r="3623" spans="1:6" ht="16.8" customHeight="1" x14ac:dyDescent="0.3">
      <c r="A3623" s="20">
        <v>45220</v>
      </c>
      <c r="B3623" s="31"/>
      <c r="C3623" s="31"/>
      <c r="D3623" s="31"/>
      <c r="E3623" s="25"/>
      <c r="F3623" s="26"/>
    </row>
    <row r="3624" spans="1:6" ht="16.8" customHeight="1" x14ac:dyDescent="0.3">
      <c r="A3624" s="20">
        <v>45221</v>
      </c>
      <c r="B3624" s="31"/>
      <c r="C3624" s="31"/>
      <c r="D3624" s="31"/>
      <c r="E3624" s="25"/>
      <c r="F3624" s="26"/>
    </row>
    <row r="3625" spans="1:6" ht="16.8" customHeight="1" x14ac:dyDescent="0.3">
      <c r="A3625" s="20">
        <v>45222</v>
      </c>
      <c r="B3625" s="31"/>
      <c r="C3625" s="31"/>
      <c r="D3625" s="31"/>
      <c r="E3625" s="25"/>
      <c r="F3625" s="26"/>
    </row>
    <row r="3626" spans="1:6" ht="16.8" customHeight="1" x14ac:dyDescent="0.3">
      <c r="A3626" s="20">
        <v>45223</v>
      </c>
      <c r="B3626" s="31"/>
      <c r="C3626" s="31"/>
      <c r="D3626" s="31"/>
      <c r="E3626" s="25"/>
      <c r="F3626" s="26"/>
    </row>
    <row r="3627" spans="1:6" ht="16.8" customHeight="1" x14ac:dyDescent="0.3">
      <c r="A3627" s="20">
        <v>45224</v>
      </c>
      <c r="B3627" s="31"/>
      <c r="C3627" s="31"/>
      <c r="D3627" s="31"/>
      <c r="E3627" s="25"/>
      <c r="F3627" s="26"/>
    </row>
    <row r="3628" spans="1:6" ht="16.8" customHeight="1" x14ac:dyDescent="0.3">
      <c r="A3628" s="20">
        <v>45225</v>
      </c>
      <c r="B3628" s="31"/>
      <c r="C3628" s="31"/>
      <c r="D3628" s="31"/>
      <c r="E3628" s="25"/>
      <c r="F3628" s="26"/>
    </row>
    <row r="3629" spans="1:6" ht="16.8" customHeight="1" x14ac:dyDescent="0.3">
      <c r="A3629" s="20">
        <v>45226</v>
      </c>
      <c r="B3629" s="31"/>
      <c r="C3629" s="31"/>
      <c r="D3629" s="31"/>
      <c r="E3629" s="25"/>
      <c r="F3629" s="26"/>
    </row>
    <row r="3630" spans="1:6" ht="16.8" customHeight="1" x14ac:dyDescent="0.3">
      <c r="A3630" s="20">
        <v>45227</v>
      </c>
      <c r="B3630" s="31"/>
      <c r="C3630" s="31"/>
      <c r="D3630" s="31"/>
      <c r="E3630" s="25"/>
      <c r="F3630" s="26"/>
    </row>
    <row r="3631" spans="1:6" ht="16.8" customHeight="1" x14ac:dyDescent="0.3">
      <c r="A3631" s="20">
        <v>45228</v>
      </c>
      <c r="B3631" s="31"/>
      <c r="C3631" s="31"/>
      <c r="D3631" s="31"/>
      <c r="E3631" s="25"/>
      <c r="F3631" s="26"/>
    </row>
    <row r="3632" spans="1:6" ht="16.8" customHeight="1" x14ac:dyDescent="0.3">
      <c r="A3632" s="20">
        <v>45229</v>
      </c>
      <c r="B3632" s="31"/>
      <c r="C3632" s="31"/>
      <c r="D3632" s="31"/>
      <c r="E3632" s="25"/>
      <c r="F3632" s="26"/>
    </row>
    <row r="3633" spans="1:6" ht="16.8" customHeight="1" x14ac:dyDescent="0.3">
      <c r="A3633" s="20">
        <v>45230</v>
      </c>
      <c r="B3633" s="31"/>
      <c r="C3633" s="31"/>
      <c r="D3633" s="31"/>
      <c r="E3633" s="25"/>
      <c r="F3633" s="26"/>
    </row>
    <row r="3634" spans="1:6" ht="16.8" customHeight="1" x14ac:dyDescent="0.3">
      <c r="A3634" s="20">
        <v>45231</v>
      </c>
      <c r="B3634" s="31"/>
      <c r="C3634" s="31"/>
      <c r="D3634" s="31"/>
      <c r="E3634" s="25"/>
      <c r="F3634" s="26"/>
    </row>
    <row r="3635" spans="1:6" ht="16.8" customHeight="1" x14ac:dyDescent="0.3">
      <c r="A3635" s="20">
        <v>45232</v>
      </c>
      <c r="B3635" s="31"/>
      <c r="C3635" s="31"/>
      <c r="D3635" s="31"/>
      <c r="E3635" s="25"/>
      <c r="F3635" s="26"/>
    </row>
    <row r="3636" spans="1:6" ht="16.8" customHeight="1" x14ac:dyDescent="0.3">
      <c r="A3636" s="20">
        <v>45233</v>
      </c>
      <c r="B3636" s="31"/>
      <c r="C3636" s="31"/>
      <c r="D3636" s="31"/>
      <c r="E3636" s="25"/>
      <c r="F3636" s="26"/>
    </row>
    <row r="3637" spans="1:6" ht="16.8" customHeight="1" x14ac:dyDescent="0.3">
      <c r="A3637" s="20">
        <v>45234</v>
      </c>
      <c r="B3637" s="31"/>
      <c r="C3637" s="31"/>
      <c r="D3637" s="31"/>
      <c r="E3637" s="25"/>
      <c r="F3637" s="26"/>
    </row>
    <row r="3638" spans="1:6" ht="16.8" customHeight="1" x14ac:dyDescent="0.3">
      <c r="A3638" s="20">
        <v>45235</v>
      </c>
      <c r="B3638" s="31"/>
      <c r="C3638" s="31"/>
      <c r="D3638" s="31"/>
      <c r="E3638" s="25"/>
      <c r="F3638" s="26"/>
    </row>
    <row r="3639" spans="1:6" ht="16.8" customHeight="1" x14ac:dyDescent="0.3">
      <c r="A3639" s="20">
        <v>45236</v>
      </c>
      <c r="B3639" s="31"/>
      <c r="C3639" s="31"/>
      <c r="D3639" s="31"/>
      <c r="E3639" s="25"/>
      <c r="F3639" s="26"/>
    </row>
    <row r="3640" spans="1:6" ht="16.8" customHeight="1" x14ac:dyDescent="0.3">
      <c r="A3640" s="20">
        <v>45237</v>
      </c>
      <c r="B3640" s="31"/>
      <c r="C3640" s="31"/>
      <c r="D3640" s="31"/>
      <c r="E3640" s="25"/>
      <c r="F3640" s="26"/>
    </row>
    <row r="3641" spans="1:6" ht="16.8" customHeight="1" x14ac:dyDescent="0.3">
      <c r="A3641" s="20">
        <v>45238</v>
      </c>
      <c r="B3641" s="31"/>
      <c r="C3641" s="31"/>
      <c r="D3641" s="31"/>
      <c r="E3641" s="25"/>
      <c r="F3641" s="26"/>
    </row>
    <row r="3642" spans="1:6" ht="16.8" customHeight="1" x14ac:dyDescent="0.3">
      <c r="A3642" s="20">
        <v>45239</v>
      </c>
      <c r="B3642" s="31"/>
      <c r="C3642" s="31"/>
      <c r="D3642" s="31"/>
      <c r="E3642" s="25"/>
      <c r="F3642" s="26"/>
    </row>
    <row r="3643" spans="1:6" ht="16.8" customHeight="1" x14ac:dyDescent="0.3">
      <c r="A3643" s="20">
        <v>45240</v>
      </c>
      <c r="B3643" s="31"/>
      <c r="C3643" s="31"/>
      <c r="D3643" s="31"/>
      <c r="E3643" s="25"/>
      <c r="F3643" s="26"/>
    </row>
    <row r="3644" spans="1:6" ht="16.8" customHeight="1" x14ac:dyDescent="0.3">
      <c r="A3644" s="20">
        <v>45241</v>
      </c>
      <c r="B3644" s="31"/>
      <c r="C3644" s="31"/>
      <c r="D3644" s="31"/>
      <c r="E3644" s="25"/>
      <c r="F3644" s="26"/>
    </row>
    <row r="3645" spans="1:6" ht="16.8" customHeight="1" x14ac:dyDescent="0.3">
      <c r="A3645" s="20">
        <v>45242</v>
      </c>
      <c r="B3645" s="31"/>
      <c r="C3645" s="31"/>
      <c r="D3645" s="31"/>
      <c r="E3645" s="25"/>
      <c r="F3645" s="26"/>
    </row>
    <row r="3646" spans="1:6" ht="16.8" customHeight="1" x14ac:dyDescent="0.3">
      <c r="A3646" s="20">
        <v>45243</v>
      </c>
      <c r="B3646" s="31"/>
      <c r="C3646" s="31"/>
      <c r="D3646" s="31"/>
      <c r="E3646" s="25"/>
      <c r="F3646" s="26"/>
    </row>
    <row r="3647" spans="1:6" ht="16.8" customHeight="1" x14ac:dyDescent="0.3">
      <c r="A3647" s="20">
        <v>45244</v>
      </c>
      <c r="B3647" s="31"/>
      <c r="C3647" s="31"/>
      <c r="D3647" s="31"/>
      <c r="E3647" s="25"/>
      <c r="F3647" s="26"/>
    </row>
    <row r="3648" spans="1:6" ht="16.8" customHeight="1" x14ac:dyDescent="0.3">
      <c r="A3648" s="20">
        <v>45245</v>
      </c>
      <c r="B3648" s="31"/>
      <c r="C3648" s="31"/>
      <c r="D3648" s="31"/>
      <c r="E3648" s="25"/>
      <c r="F3648" s="26"/>
    </row>
    <row r="3649" spans="1:6" ht="16.8" customHeight="1" x14ac:dyDescent="0.3">
      <c r="A3649" s="20">
        <v>45246</v>
      </c>
      <c r="B3649" s="31"/>
      <c r="C3649" s="31"/>
      <c r="D3649" s="31"/>
      <c r="E3649" s="25"/>
      <c r="F3649" s="26"/>
    </row>
    <row r="3650" spans="1:6" ht="16.8" customHeight="1" x14ac:dyDescent="0.3">
      <c r="A3650" s="20">
        <v>45247</v>
      </c>
      <c r="B3650" s="31"/>
      <c r="C3650" s="31"/>
      <c r="D3650" s="31"/>
      <c r="E3650" s="25"/>
      <c r="F3650" s="26"/>
    </row>
    <row r="3651" spans="1:6" ht="16.8" customHeight="1" x14ac:dyDescent="0.3">
      <c r="A3651" s="20">
        <v>45248</v>
      </c>
      <c r="B3651" s="31"/>
      <c r="C3651" s="31"/>
      <c r="D3651" s="31"/>
      <c r="E3651" s="25"/>
      <c r="F3651" s="26"/>
    </row>
    <row r="3652" spans="1:6" ht="16.8" customHeight="1" x14ac:dyDescent="0.3">
      <c r="A3652" s="20">
        <v>45249</v>
      </c>
      <c r="B3652" s="31"/>
      <c r="C3652" s="31"/>
      <c r="D3652" s="31"/>
      <c r="E3652" s="25"/>
      <c r="F3652" s="26"/>
    </row>
    <row r="3653" spans="1:6" ht="16.8" customHeight="1" x14ac:dyDescent="0.3">
      <c r="A3653" s="20">
        <v>45250</v>
      </c>
      <c r="B3653" s="31"/>
      <c r="C3653" s="31"/>
      <c r="D3653" s="31"/>
      <c r="E3653" s="25"/>
      <c r="F3653" s="26"/>
    </row>
    <row r="3654" spans="1:6" ht="16.8" customHeight="1" x14ac:dyDescent="0.3">
      <c r="A3654" s="20">
        <v>45251</v>
      </c>
      <c r="B3654" s="31"/>
      <c r="C3654" s="31"/>
      <c r="D3654" s="31"/>
      <c r="E3654" s="25"/>
      <c r="F3654" s="26"/>
    </row>
    <row r="3655" spans="1:6" ht="16.8" customHeight="1" x14ac:dyDescent="0.3">
      <c r="A3655" s="20">
        <v>45252</v>
      </c>
      <c r="B3655" s="31"/>
      <c r="C3655" s="31"/>
      <c r="D3655" s="31"/>
      <c r="E3655" s="25"/>
      <c r="F3655" s="26"/>
    </row>
    <row r="3656" spans="1:6" ht="16.8" customHeight="1" x14ac:dyDescent="0.3">
      <c r="A3656" s="20">
        <v>45253</v>
      </c>
      <c r="B3656" s="31"/>
      <c r="C3656" s="31"/>
      <c r="D3656" s="31"/>
      <c r="E3656" s="25"/>
      <c r="F3656" s="26"/>
    </row>
    <row r="3657" spans="1:6" ht="16.8" customHeight="1" x14ac:dyDescent="0.3">
      <c r="A3657" s="20">
        <v>45254</v>
      </c>
      <c r="B3657" s="31"/>
      <c r="C3657" s="31"/>
      <c r="D3657" s="31"/>
      <c r="E3657" s="25"/>
      <c r="F3657" s="26"/>
    </row>
    <row r="3658" spans="1:6" ht="16.8" customHeight="1" x14ac:dyDescent="0.3">
      <c r="A3658" s="20">
        <v>45255</v>
      </c>
      <c r="B3658" s="31"/>
      <c r="C3658" s="31"/>
      <c r="D3658" s="31"/>
      <c r="E3658" s="25"/>
      <c r="F3658" s="26"/>
    </row>
    <row r="3659" spans="1:6" ht="16.8" customHeight="1" x14ac:dyDescent="0.3">
      <c r="A3659" s="20">
        <v>45256</v>
      </c>
      <c r="B3659" s="31"/>
      <c r="C3659" s="31"/>
      <c r="D3659" s="31"/>
      <c r="E3659" s="25"/>
      <c r="F3659" s="26"/>
    </row>
    <row r="3660" spans="1:6" ht="16.8" customHeight="1" x14ac:dyDescent="0.3">
      <c r="A3660" s="20">
        <v>45257</v>
      </c>
      <c r="B3660" s="31"/>
      <c r="C3660" s="31"/>
      <c r="D3660" s="31"/>
      <c r="E3660" s="25"/>
      <c r="F3660" s="26"/>
    </row>
    <row r="3661" spans="1:6" ht="16.8" customHeight="1" x14ac:dyDescent="0.3">
      <c r="A3661" s="20">
        <v>45258</v>
      </c>
      <c r="B3661" s="31"/>
      <c r="C3661" s="31"/>
      <c r="D3661" s="31"/>
      <c r="E3661" s="25"/>
      <c r="F3661" s="26"/>
    </row>
    <row r="3662" spans="1:6" ht="16.8" customHeight="1" x14ac:dyDescent="0.3">
      <c r="A3662" s="20">
        <v>45259</v>
      </c>
      <c r="B3662" s="31"/>
      <c r="C3662" s="31"/>
      <c r="D3662" s="31"/>
      <c r="E3662" s="25"/>
      <c r="F3662" s="26"/>
    </row>
    <row r="3663" spans="1:6" ht="16.8" customHeight="1" x14ac:dyDescent="0.3">
      <c r="A3663" s="20">
        <v>45260</v>
      </c>
      <c r="B3663" s="31"/>
      <c r="C3663" s="31"/>
      <c r="D3663" s="31"/>
      <c r="E3663" s="25"/>
      <c r="F3663" s="26"/>
    </row>
    <row r="3664" spans="1:6" ht="16.8" customHeight="1" x14ac:dyDescent="0.3">
      <c r="A3664" s="20">
        <v>45261</v>
      </c>
      <c r="B3664" s="31"/>
      <c r="C3664" s="31"/>
      <c r="D3664" s="31"/>
      <c r="E3664" s="25"/>
      <c r="F3664" s="26"/>
    </row>
    <row r="3665" spans="1:6" ht="16.8" customHeight="1" x14ac:dyDescent="0.3">
      <c r="A3665" s="20">
        <v>45262</v>
      </c>
      <c r="B3665" s="31"/>
      <c r="C3665" s="31"/>
      <c r="D3665" s="31"/>
      <c r="E3665" s="25"/>
      <c r="F3665" s="26"/>
    </row>
    <row r="3666" spans="1:6" ht="16.8" customHeight="1" x14ac:dyDescent="0.3">
      <c r="A3666" s="20">
        <v>45263</v>
      </c>
      <c r="B3666" s="31"/>
      <c r="C3666" s="31"/>
      <c r="D3666" s="31"/>
      <c r="E3666" s="25"/>
      <c r="F3666" s="26"/>
    </row>
    <row r="3667" spans="1:6" ht="16.8" customHeight="1" x14ac:dyDescent="0.3">
      <c r="A3667" s="20">
        <v>45264</v>
      </c>
      <c r="B3667" s="31"/>
      <c r="C3667" s="31"/>
      <c r="D3667" s="31"/>
      <c r="E3667" s="25"/>
      <c r="F3667" s="26"/>
    </row>
    <row r="3668" spans="1:6" ht="16.8" customHeight="1" x14ac:dyDescent="0.3">
      <c r="A3668" s="20">
        <v>45265</v>
      </c>
      <c r="B3668" s="31"/>
      <c r="C3668" s="31"/>
      <c r="D3668" s="31"/>
      <c r="E3668" s="25"/>
      <c r="F3668" s="26"/>
    </row>
    <row r="3669" spans="1:6" ht="16.8" customHeight="1" x14ac:dyDescent="0.3">
      <c r="A3669" s="20">
        <v>45266</v>
      </c>
      <c r="B3669" s="31"/>
      <c r="C3669" s="31"/>
      <c r="D3669" s="31"/>
      <c r="E3669" s="25"/>
      <c r="F3669" s="26"/>
    </row>
    <row r="3670" spans="1:6" ht="16.8" customHeight="1" x14ac:dyDescent="0.3">
      <c r="A3670" s="20">
        <v>45267</v>
      </c>
      <c r="B3670" s="31"/>
      <c r="C3670" s="31"/>
      <c r="D3670" s="31"/>
      <c r="E3670" s="25"/>
      <c r="F3670" s="26"/>
    </row>
    <row r="3671" spans="1:6" ht="16.8" customHeight="1" x14ac:dyDescent="0.3">
      <c r="A3671" s="20">
        <v>45268</v>
      </c>
      <c r="B3671" s="31"/>
      <c r="C3671" s="31"/>
      <c r="D3671" s="31"/>
      <c r="E3671" s="25"/>
      <c r="F3671" s="26"/>
    </row>
    <row r="3672" spans="1:6" ht="16.8" customHeight="1" x14ac:dyDescent="0.3">
      <c r="A3672" s="20">
        <v>45269</v>
      </c>
      <c r="B3672" s="31"/>
      <c r="C3672" s="31"/>
      <c r="D3672" s="31"/>
      <c r="E3672" s="25"/>
      <c r="F3672" s="26"/>
    </row>
    <row r="3673" spans="1:6" ht="16.8" customHeight="1" x14ac:dyDescent="0.3">
      <c r="A3673" s="20">
        <v>45270</v>
      </c>
      <c r="B3673" s="31"/>
      <c r="C3673" s="31"/>
      <c r="D3673" s="31"/>
      <c r="E3673" s="25"/>
      <c r="F3673" s="26"/>
    </row>
    <row r="3674" spans="1:6" ht="16.8" customHeight="1" x14ac:dyDescent="0.3">
      <c r="A3674" s="20">
        <v>45271</v>
      </c>
      <c r="B3674" s="31"/>
      <c r="C3674" s="31"/>
      <c r="D3674" s="31"/>
      <c r="E3674" s="25"/>
      <c r="F3674" s="26"/>
    </row>
    <row r="3675" spans="1:6" ht="16.8" customHeight="1" x14ac:dyDescent="0.3">
      <c r="A3675" s="20">
        <v>45272</v>
      </c>
      <c r="B3675" s="31"/>
      <c r="C3675" s="31"/>
      <c r="D3675" s="31"/>
      <c r="E3675" s="25"/>
      <c r="F3675" s="26"/>
    </row>
    <row r="3676" spans="1:6" ht="16.8" customHeight="1" x14ac:dyDescent="0.3">
      <c r="A3676" s="20">
        <v>45273</v>
      </c>
      <c r="B3676" s="31"/>
      <c r="C3676" s="31"/>
      <c r="D3676" s="31"/>
      <c r="E3676" s="25"/>
      <c r="F3676" s="26"/>
    </row>
    <row r="3677" spans="1:6" ht="16.8" customHeight="1" x14ac:dyDescent="0.3">
      <c r="A3677" s="20">
        <v>45274</v>
      </c>
      <c r="B3677" s="31"/>
      <c r="C3677" s="31"/>
      <c r="D3677" s="31"/>
      <c r="E3677" s="25"/>
      <c r="F3677" s="26"/>
    </row>
    <row r="3678" spans="1:6" ht="16.8" customHeight="1" x14ac:dyDescent="0.3">
      <c r="A3678" s="20">
        <v>45275</v>
      </c>
      <c r="B3678" s="31"/>
      <c r="C3678" s="31"/>
      <c r="D3678" s="31"/>
      <c r="E3678" s="25"/>
      <c r="F3678" s="26"/>
    </row>
    <row r="3679" spans="1:6" ht="16.8" customHeight="1" x14ac:dyDescent="0.3">
      <c r="A3679" s="20">
        <v>45276</v>
      </c>
      <c r="B3679" s="31"/>
      <c r="C3679" s="31"/>
      <c r="D3679" s="31"/>
      <c r="E3679" s="25"/>
      <c r="F3679" s="26"/>
    </row>
    <row r="3680" spans="1:6" ht="16.8" customHeight="1" x14ac:dyDescent="0.3">
      <c r="A3680" s="20">
        <v>45277</v>
      </c>
      <c r="B3680" s="31"/>
      <c r="C3680" s="31"/>
      <c r="D3680" s="31"/>
      <c r="E3680" s="25"/>
      <c r="F3680" s="26"/>
    </row>
    <row r="3681" spans="1:6" ht="16.8" customHeight="1" x14ac:dyDescent="0.3">
      <c r="A3681" s="20">
        <v>45278</v>
      </c>
      <c r="B3681" s="31"/>
      <c r="C3681" s="31"/>
      <c r="D3681" s="31"/>
      <c r="E3681" s="25"/>
      <c r="F3681" s="26"/>
    </row>
    <row r="3682" spans="1:6" ht="16.8" customHeight="1" x14ac:dyDescent="0.3">
      <c r="A3682" s="20">
        <v>45279</v>
      </c>
      <c r="B3682" s="31"/>
      <c r="C3682" s="31"/>
      <c r="D3682" s="31"/>
      <c r="E3682" s="25"/>
      <c r="F3682" s="26"/>
    </row>
    <row r="3683" spans="1:6" ht="16.8" customHeight="1" x14ac:dyDescent="0.3">
      <c r="A3683" s="20">
        <v>45280</v>
      </c>
      <c r="B3683" s="31"/>
      <c r="C3683" s="31"/>
      <c r="D3683" s="31"/>
      <c r="E3683" s="25"/>
      <c r="F3683" s="26"/>
    </row>
    <row r="3684" spans="1:6" ht="16.8" customHeight="1" x14ac:dyDescent="0.3">
      <c r="A3684" s="20">
        <v>45281</v>
      </c>
      <c r="B3684" s="31"/>
      <c r="C3684" s="31"/>
      <c r="D3684" s="31"/>
      <c r="E3684" s="25"/>
      <c r="F3684" s="26"/>
    </row>
    <row r="3685" spans="1:6" ht="16.8" customHeight="1" x14ac:dyDescent="0.3">
      <c r="A3685" s="20">
        <v>45282</v>
      </c>
      <c r="B3685" s="31"/>
      <c r="C3685" s="31"/>
      <c r="D3685" s="31"/>
      <c r="E3685" s="25"/>
      <c r="F3685" s="26"/>
    </row>
    <row r="3686" spans="1:6" ht="16.8" customHeight="1" x14ac:dyDescent="0.3">
      <c r="A3686" s="20">
        <v>45283</v>
      </c>
      <c r="B3686" s="31"/>
      <c r="C3686" s="31"/>
      <c r="D3686" s="31"/>
      <c r="E3686" s="25"/>
      <c r="F3686" s="26"/>
    </row>
    <row r="3687" spans="1:6" ht="16.8" customHeight="1" x14ac:dyDescent="0.3">
      <c r="A3687" s="20">
        <v>45284</v>
      </c>
      <c r="B3687" s="31"/>
      <c r="C3687" s="31"/>
      <c r="D3687" s="31"/>
      <c r="E3687" s="25"/>
      <c r="F3687" s="26"/>
    </row>
    <row r="3688" spans="1:6" ht="16.8" customHeight="1" x14ac:dyDescent="0.3">
      <c r="A3688" s="20">
        <v>45285</v>
      </c>
      <c r="B3688" s="31"/>
      <c r="C3688" s="31"/>
      <c r="D3688" s="31"/>
      <c r="E3688" s="25"/>
      <c r="F3688" s="26"/>
    </row>
    <row r="3689" spans="1:6" ht="16.8" customHeight="1" x14ac:dyDescent="0.3">
      <c r="A3689" s="20">
        <v>45286</v>
      </c>
      <c r="B3689" s="31"/>
      <c r="C3689" s="31"/>
      <c r="D3689" s="31"/>
      <c r="E3689" s="25"/>
      <c r="F3689" s="26"/>
    </row>
    <row r="3690" spans="1:6" ht="16.8" customHeight="1" x14ac:dyDescent="0.3">
      <c r="A3690" s="20">
        <v>45287</v>
      </c>
      <c r="B3690" s="31"/>
      <c r="C3690" s="31"/>
      <c r="D3690" s="31"/>
      <c r="E3690" s="25"/>
      <c r="F3690" s="26"/>
    </row>
    <row r="3691" spans="1:6" ht="16.8" customHeight="1" x14ac:dyDescent="0.3">
      <c r="A3691" s="20">
        <v>45288</v>
      </c>
      <c r="B3691" s="31"/>
      <c r="C3691" s="31"/>
      <c r="D3691" s="31"/>
      <c r="E3691" s="25"/>
      <c r="F3691" s="26"/>
    </row>
    <row r="3692" spans="1:6" ht="16.8" customHeight="1" x14ac:dyDescent="0.3">
      <c r="A3692" s="20">
        <v>45289</v>
      </c>
      <c r="B3692" s="31"/>
      <c r="C3692" s="31"/>
      <c r="D3692" s="31"/>
      <c r="E3692" s="25"/>
      <c r="F3692" s="26"/>
    </row>
    <row r="3693" spans="1:6" ht="16.8" customHeight="1" x14ac:dyDescent="0.3">
      <c r="A3693" s="20">
        <v>45290</v>
      </c>
      <c r="B3693" s="31"/>
      <c r="C3693" s="31"/>
      <c r="D3693" s="31"/>
      <c r="E3693" s="25"/>
      <c r="F3693" s="26"/>
    </row>
    <row r="3694" spans="1:6" ht="16.8" customHeight="1" x14ac:dyDescent="0.3">
      <c r="A3694" s="20">
        <v>45291</v>
      </c>
      <c r="B3694" s="31"/>
      <c r="C3694" s="31"/>
      <c r="D3694" s="31"/>
      <c r="E3694" s="25"/>
      <c r="F3694" s="26"/>
    </row>
    <row r="3695" spans="1:6" ht="16.8" customHeight="1" x14ac:dyDescent="0.3">
      <c r="A3695" s="20">
        <v>45292</v>
      </c>
      <c r="B3695" s="31"/>
      <c r="C3695" s="31"/>
      <c r="D3695" s="31"/>
      <c r="E3695" s="25"/>
      <c r="F3695" s="26"/>
    </row>
    <row r="3696" spans="1:6" ht="16.8" customHeight="1" x14ac:dyDescent="0.3">
      <c r="A3696" s="20">
        <v>45293</v>
      </c>
      <c r="B3696" s="31"/>
      <c r="C3696" s="31"/>
      <c r="D3696" s="31"/>
      <c r="E3696" s="25"/>
      <c r="F3696" s="26"/>
    </row>
    <row r="3697" spans="1:6" ht="16.8" customHeight="1" x14ac:dyDescent="0.3">
      <c r="A3697" s="20">
        <v>45294</v>
      </c>
      <c r="B3697" s="31"/>
      <c r="C3697" s="31"/>
      <c r="D3697" s="31"/>
      <c r="E3697" s="25"/>
      <c r="F3697" s="26"/>
    </row>
    <row r="3698" spans="1:6" ht="16.8" customHeight="1" x14ac:dyDescent="0.3">
      <c r="A3698" s="20">
        <v>45295</v>
      </c>
      <c r="B3698" s="31"/>
      <c r="C3698" s="31"/>
      <c r="D3698" s="31"/>
      <c r="E3698" s="25"/>
      <c r="F3698" s="26"/>
    </row>
    <row r="3699" spans="1:6" ht="16.8" customHeight="1" x14ac:dyDescent="0.3">
      <c r="A3699" s="20">
        <v>45296</v>
      </c>
      <c r="B3699" s="31"/>
      <c r="C3699" s="31"/>
      <c r="D3699" s="31"/>
      <c r="E3699" s="25"/>
      <c r="F3699" s="26"/>
    </row>
    <row r="3700" spans="1:6" ht="16.8" customHeight="1" x14ac:dyDescent="0.3">
      <c r="A3700" s="20">
        <v>45297</v>
      </c>
      <c r="B3700" s="31"/>
      <c r="C3700" s="31"/>
      <c r="D3700" s="31"/>
      <c r="E3700" s="25"/>
      <c r="F3700" s="26"/>
    </row>
    <row r="3701" spans="1:6" ht="16.8" customHeight="1" x14ac:dyDescent="0.3">
      <c r="A3701" s="20">
        <v>45298</v>
      </c>
      <c r="B3701" s="31"/>
      <c r="C3701" s="31"/>
      <c r="D3701" s="31"/>
      <c r="E3701" s="25"/>
      <c r="F3701" s="26"/>
    </row>
    <row r="3702" spans="1:6" ht="16.8" customHeight="1" x14ac:dyDescent="0.3">
      <c r="A3702" s="20">
        <v>45299</v>
      </c>
      <c r="B3702" s="31"/>
      <c r="C3702" s="31"/>
      <c r="D3702" s="31"/>
      <c r="E3702" s="25"/>
      <c r="F3702" s="26"/>
    </row>
    <row r="3703" spans="1:6" ht="16.8" customHeight="1" x14ac:dyDescent="0.3">
      <c r="A3703" s="20">
        <v>45300</v>
      </c>
      <c r="B3703" s="31"/>
      <c r="C3703" s="31"/>
      <c r="D3703" s="31"/>
      <c r="E3703" s="25"/>
      <c r="F3703" s="26"/>
    </row>
    <row r="3704" spans="1:6" ht="16.8" customHeight="1" x14ac:dyDescent="0.3">
      <c r="A3704" s="20">
        <v>45301</v>
      </c>
      <c r="B3704" s="31"/>
      <c r="C3704" s="31"/>
      <c r="D3704" s="31"/>
      <c r="E3704" s="25"/>
      <c r="F3704" s="26"/>
    </row>
    <row r="3705" spans="1:6" ht="16.8" customHeight="1" x14ac:dyDescent="0.3">
      <c r="A3705" s="20">
        <v>45302</v>
      </c>
      <c r="B3705" s="31"/>
      <c r="C3705" s="31"/>
      <c r="D3705" s="31"/>
      <c r="E3705" s="25"/>
      <c r="F3705" s="26"/>
    </row>
    <row r="3706" spans="1:6" ht="16.8" customHeight="1" x14ac:dyDescent="0.3">
      <c r="A3706" s="20">
        <v>45303</v>
      </c>
      <c r="B3706" s="31"/>
      <c r="C3706" s="31"/>
      <c r="D3706" s="31"/>
      <c r="E3706" s="25"/>
      <c r="F3706" s="26"/>
    </row>
    <row r="3707" spans="1:6" ht="16.8" customHeight="1" x14ac:dyDescent="0.3">
      <c r="A3707" s="20">
        <v>45304</v>
      </c>
      <c r="B3707" s="31"/>
      <c r="C3707" s="31"/>
      <c r="D3707" s="31"/>
      <c r="E3707" s="25"/>
      <c r="F3707" s="26"/>
    </row>
    <row r="3708" spans="1:6" ht="16.8" customHeight="1" x14ac:dyDescent="0.3">
      <c r="A3708" s="20">
        <v>45305</v>
      </c>
      <c r="B3708" s="31"/>
      <c r="C3708" s="31"/>
      <c r="D3708" s="31"/>
      <c r="E3708" s="25"/>
      <c r="F3708" s="26"/>
    </row>
    <row r="3709" spans="1:6" ht="16.8" customHeight="1" x14ac:dyDescent="0.3">
      <c r="A3709" s="20">
        <v>45306</v>
      </c>
      <c r="B3709" s="31"/>
      <c r="C3709" s="31"/>
      <c r="D3709" s="31"/>
      <c r="E3709" s="25"/>
      <c r="F3709" s="26"/>
    </row>
    <row r="3710" spans="1:6" ht="16.8" customHeight="1" x14ac:dyDescent="0.3">
      <c r="A3710" s="20">
        <v>45307</v>
      </c>
      <c r="B3710" s="31"/>
      <c r="C3710" s="31"/>
      <c r="D3710" s="31"/>
      <c r="E3710" s="25"/>
      <c r="F3710" s="26"/>
    </row>
    <row r="3711" spans="1:6" ht="16.8" customHeight="1" x14ac:dyDescent="0.3">
      <c r="A3711" s="20">
        <v>45308</v>
      </c>
      <c r="B3711" s="31"/>
      <c r="C3711" s="31"/>
      <c r="D3711" s="31"/>
      <c r="E3711" s="25"/>
      <c r="F3711" s="26"/>
    </row>
    <row r="3712" spans="1:6" ht="16.8" customHeight="1" x14ac:dyDescent="0.3">
      <c r="A3712" s="20">
        <v>45309</v>
      </c>
      <c r="B3712" s="31"/>
      <c r="C3712" s="31"/>
      <c r="D3712" s="31"/>
      <c r="E3712" s="25"/>
      <c r="F3712" s="26"/>
    </row>
    <row r="3713" spans="1:6" ht="16.8" customHeight="1" x14ac:dyDescent="0.3">
      <c r="A3713" s="20">
        <v>45310</v>
      </c>
      <c r="B3713" s="31"/>
      <c r="C3713" s="31"/>
      <c r="D3713" s="31"/>
      <c r="E3713" s="25"/>
      <c r="F3713" s="26"/>
    </row>
    <row r="3714" spans="1:6" ht="16.8" customHeight="1" x14ac:dyDescent="0.3">
      <c r="A3714" s="20">
        <v>45311</v>
      </c>
      <c r="B3714" s="31"/>
      <c r="C3714" s="31"/>
      <c r="D3714" s="31"/>
      <c r="E3714" s="25"/>
      <c r="F3714" s="26"/>
    </row>
    <row r="3715" spans="1:6" ht="16.8" customHeight="1" x14ac:dyDescent="0.3">
      <c r="A3715" s="20">
        <v>45312</v>
      </c>
      <c r="B3715" s="31"/>
      <c r="C3715" s="31"/>
      <c r="D3715" s="31"/>
      <c r="E3715" s="25"/>
      <c r="F3715" s="26"/>
    </row>
    <row r="3716" spans="1:6" ht="16.8" customHeight="1" x14ac:dyDescent="0.3">
      <c r="A3716" s="20">
        <v>45313</v>
      </c>
      <c r="B3716" s="31"/>
      <c r="C3716" s="31"/>
      <c r="D3716" s="31"/>
      <c r="E3716" s="25"/>
      <c r="F3716" s="26"/>
    </row>
    <row r="3717" spans="1:6" ht="16.8" customHeight="1" x14ac:dyDescent="0.3">
      <c r="A3717" s="20">
        <v>45314</v>
      </c>
      <c r="B3717" s="31"/>
      <c r="C3717" s="31"/>
      <c r="D3717" s="31"/>
      <c r="E3717" s="25"/>
      <c r="F3717" s="26"/>
    </row>
    <row r="3718" spans="1:6" ht="16.8" customHeight="1" x14ac:dyDescent="0.3">
      <c r="A3718" s="20">
        <v>45315</v>
      </c>
      <c r="B3718" s="31"/>
      <c r="C3718" s="31"/>
      <c r="D3718" s="31"/>
      <c r="E3718" s="25"/>
      <c r="F3718" s="26"/>
    </row>
    <row r="3719" spans="1:6" ht="16.8" customHeight="1" x14ac:dyDescent="0.3">
      <c r="A3719" s="20">
        <v>45316</v>
      </c>
      <c r="B3719" s="31"/>
      <c r="C3719" s="31"/>
      <c r="D3719" s="31"/>
      <c r="E3719" s="25"/>
      <c r="F3719" s="26"/>
    </row>
    <row r="3720" spans="1:6" ht="16.8" customHeight="1" x14ac:dyDescent="0.3">
      <c r="A3720" s="20">
        <v>45317</v>
      </c>
      <c r="B3720" s="31"/>
      <c r="C3720" s="31"/>
      <c r="D3720" s="31"/>
      <c r="E3720" s="25"/>
      <c r="F3720" s="26"/>
    </row>
    <row r="3721" spans="1:6" ht="16.8" customHeight="1" x14ac:dyDescent="0.3">
      <c r="A3721" s="20">
        <v>45318</v>
      </c>
      <c r="B3721" s="31"/>
      <c r="C3721" s="31"/>
      <c r="D3721" s="31"/>
      <c r="E3721" s="25"/>
      <c r="F3721" s="26"/>
    </row>
    <row r="3722" spans="1:6" ht="16.8" customHeight="1" x14ac:dyDescent="0.3">
      <c r="A3722" s="20">
        <v>45319</v>
      </c>
      <c r="B3722" s="31"/>
      <c r="C3722" s="31"/>
      <c r="D3722" s="31"/>
      <c r="E3722" s="25"/>
      <c r="F3722" s="26"/>
    </row>
    <row r="3723" spans="1:6" ht="16.8" customHeight="1" x14ac:dyDescent="0.3">
      <c r="A3723" s="20">
        <v>45320</v>
      </c>
      <c r="B3723" s="31"/>
      <c r="C3723" s="31"/>
      <c r="D3723" s="31"/>
      <c r="E3723" s="25"/>
      <c r="F3723" s="26"/>
    </row>
    <row r="3724" spans="1:6" ht="16.8" customHeight="1" x14ac:dyDescent="0.3">
      <c r="A3724" s="20">
        <v>45321</v>
      </c>
      <c r="B3724" s="31"/>
      <c r="C3724" s="31"/>
      <c r="D3724" s="31"/>
      <c r="E3724" s="25"/>
      <c r="F3724" s="26"/>
    </row>
    <row r="3725" spans="1:6" ht="16.8" customHeight="1" x14ac:dyDescent="0.3">
      <c r="A3725" s="20">
        <v>45322</v>
      </c>
      <c r="B3725" s="31"/>
      <c r="C3725" s="31"/>
      <c r="D3725" s="31"/>
      <c r="E3725" s="25"/>
      <c r="F3725" s="26"/>
    </row>
    <row r="3726" spans="1:6" ht="16.8" customHeight="1" x14ac:dyDescent="0.3">
      <c r="A3726" s="20">
        <v>45323</v>
      </c>
      <c r="B3726" s="31"/>
      <c r="C3726" s="31"/>
      <c r="D3726" s="31"/>
      <c r="E3726" s="25"/>
      <c r="F3726" s="26"/>
    </row>
    <row r="3727" spans="1:6" ht="16.8" customHeight="1" x14ac:dyDescent="0.3">
      <c r="A3727" s="20">
        <v>45324</v>
      </c>
      <c r="B3727" s="31"/>
      <c r="C3727" s="31"/>
      <c r="D3727" s="31"/>
      <c r="E3727" s="25"/>
      <c r="F3727" s="26"/>
    </row>
    <row r="3728" spans="1:6" ht="16.8" customHeight="1" x14ac:dyDescent="0.3">
      <c r="A3728" s="20">
        <v>45325</v>
      </c>
      <c r="B3728" s="31"/>
      <c r="C3728" s="31"/>
      <c r="D3728" s="31"/>
      <c r="E3728" s="25"/>
      <c r="F3728" s="26"/>
    </row>
    <row r="3729" spans="1:6" ht="16.8" customHeight="1" x14ac:dyDescent="0.3">
      <c r="A3729" s="20">
        <v>45326</v>
      </c>
      <c r="B3729" s="31"/>
      <c r="C3729" s="31"/>
      <c r="D3729" s="31"/>
      <c r="E3729" s="25"/>
      <c r="F3729" s="26"/>
    </row>
    <row r="3730" spans="1:6" ht="16.8" customHeight="1" x14ac:dyDescent="0.3">
      <c r="A3730" s="20">
        <v>45327</v>
      </c>
      <c r="B3730" s="31"/>
      <c r="C3730" s="31"/>
      <c r="D3730" s="31"/>
      <c r="E3730" s="25"/>
      <c r="F3730" s="26"/>
    </row>
    <row r="3731" spans="1:6" ht="16.8" customHeight="1" x14ac:dyDescent="0.3">
      <c r="A3731" s="20">
        <v>45328</v>
      </c>
      <c r="B3731" s="31"/>
      <c r="C3731" s="31"/>
      <c r="D3731" s="31"/>
      <c r="E3731" s="25"/>
      <c r="F3731" s="26"/>
    </row>
    <row r="3732" spans="1:6" ht="16.8" customHeight="1" x14ac:dyDescent="0.3">
      <c r="A3732" s="20">
        <v>45329</v>
      </c>
      <c r="B3732" s="31"/>
      <c r="C3732" s="31"/>
      <c r="D3732" s="31"/>
      <c r="E3732" s="25"/>
      <c r="F3732" s="26"/>
    </row>
    <row r="3733" spans="1:6" ht="16.8" customHeight="1" x14ac:dyDescent="0.3">
      <c r="A3733" s="20">
        <v>45330</v>
      </c>
      <c r="B3733" s="31"/>
      <c r="C3733" s="31"/>
      <c r="D3733" s="31"/>
      <c r="E3733" s="25"/>
      <c r="F3733" s="26"/>
    </row>
    <row r="3734" spans="1:6" ht="16.8" customHeight="1" x14ac:dyDescent="0.3">
      <c r="A3734" s="20">
        <v>45331</v>
      </c>
      <c r="B3734" s="31"/>
      <c r="C3734" s="31"/>
      <c r="D3734" s="31"/>
      <c r="E3734" s="25"/>
      <c r="F3734" s="26"/>
    </row>
    <row r="3735" spans="1:6" ht="16.8" customHeight="1" x14ac:dyDescent="0.3">
      <c r="A3735" s="20">
        <v>45332</v>
      </c>
      <c r="B3735" s="31"/>
      <c r="C3735" s="31"/>
      <c r="D3735" s="31"/>
      <c r="E3735" s="25"/>
      <c r="F3735" s="26"/>
    </row>
    <row r="3736" spans="1:6" ht="16.8" customHeight="1" x14ac:dyDescent="0.3">
      <c r="A3736" s="20">
        <v>45333</v>
      </c>
      <c r="B3736" s="31"/>
      <c r="C3736" s="31"/>
      <c r="D3736" s="31"/>
      <c r="E3736" s="25"/>
      <c r="F3736" s="26"/>
    </row>
    <row r="3737" spans="1:6" ht="16.8" customHeight="1" x14ac:dyDescent="0.3">
      <c r="A3737" s="20">
        <v>45334</v>
      </c>
      <c r="B3737" s="31"/>
      <c r="C3737" s="31"/>
      <c r="D3737" s="31"/>
      <c r="E3737" s="25"/>
      <c r="F3737" s="26"/>
    </row>
    <row r="3738" spans="1:6" ht="16.8" customHeight="1" x14ac:dyDescent="0.3">
      <c r="A3738" s="20">
        <v>45335</v>
      </c>
      <c r="B3738" s="31"/>
      <c r="C3738" s="31"/>
      <c r="D3738" s="31"/>
      <c r="E3738" s="25"/>
      <c r="F3738" s="26"/>
    </row>
    <row r="3739" spans="1:6" ht="16.8" customHeight="1" x14ac:dyDescent="0.3">
      <c r="A3739" s="20">
        <v>45336</v>
      </c>
      <c r="B3739" s="31"/>
      <c r="C3739" s="31"/>
      <c r="D3739" s="31"/>
      <c r="E3739" s="25"/>
      <c r="F3739" s="26"/>
    </row>
    <row r="3740" spans="1:6" ht="16.8" customHeight="1" x14ac:dyDescent="0.3">
      <c r="A3740" s="20">
        <v>45337</v>
      </c>
      <c r="B3740" s="31"/>
      <c r="C3740" s="31"/>
      <c r="D3740" s="31"/>
      <c r="E3740" s="25"/>
      <c r="F3740" s="26"/>
    </row>
    <row r="3741" spans="1:6" ht="16.8" customHeight="1" x14ac:dyDescent="0.3">
      <c r="A3741" s="20">
        <v>45338</v>
      </c>
      <c r="B3741" s="31"/>
      <c r="C3741" s="31"/>
      <c r="D3741" s="31"/>
      <c r="E3741" s="25"/>
      <c r="F3741" s="26"/>
    </row>
    <row r="3742" spans="1:6" ht="16.8" customHeight="1" x14ac:dyDescent="0.3">
      <c r="A3742" s="20">
        <v>45339</v>
      </c>
      <c r="B3742" s="31"/>
      <c r="C3742" s="31"/>
      <c r="D3742" s="31"/>
      <c r="E3742" s="25"/>
      <c r="F3742" s="26"/>
    </row>
    <row r="3743" spans="1:6" ht="16.8" customHeight="1" x14ac:dyDescent="0.3">
      <c r="A3743" s="20">
        <v>45340</v>
      </c>
      <c r="B3743" s="31"/>
      <c r="C3743" s="31"/>
      <c r="D3743" s="31"/>
      <c r="E3743" s="25"/>
      <c r="F3743" s="26"/>
    </row>
    <row r="3744" spans="1:6" ht="16.8" customHeight="1" x14ac:dyDescent="0.3">
      <c r="A3744" s="20">
        <v>45341</v>
      </c>
      <c r="B3744" s="31"/>
      <c r="C3744" s="31"/>
      <c r="D3744" s="31"/>
      <c r="E3744" s="25"/>
      <c r="F3744" s="26"/>
    </row>
    <row r="3745" spans="1:6" ht="16.8" customHeight="1" x14ac:dyDescent="0.3">
      <c r="A3745" s="20">
        <v>45342</v>
      </c>
      <c r="B3745" s="31"/>
      <c r="C3745" s="31"/>
      <c r="D3745" s="31"/>
      <c r="E3745" s="25"/>
      <c r="F3745" s="26"/>
    </row>
    <row r="3746" spans="1:6" ht="16.8" customHeight="1" x14ac:dyDescent="0.3">
      <c r="A3746" s="20">
        <v>45343</v>
      </c>
      <c r="B3746" s="31"/>
      <c r="C3746" s="31"/>
      <c r="D3746" s="31"/>
      <c r="E3746" s="25"/>
      <c r="F3746" s="26"/>
    </row>
    <row r="3747" spans="1:6" ht="16.8" customHeight="1" x14ac:dyDescent="0.3">
      <c r="A3747" s="20">
        <v>45344</v>
      </c>
      <c r="B3747" s="31"/>
      <c r="C3747" s="31"/>
      <c r="D3747" s="31"/>
      <c r="E3747" s="25"/>
      <c r="F3747" s="26"/>
    </row>
    <row r="3748" spans="1:6" ht="16.8" customHeight="1" x14ac:dyDescent="0.3">
      <c r="A3748" s="20">
        <v>45345</v>
      </c>
      <c r="B3748" s="31"/>
      <c r="C3748" s="31"/>
      <c r="D3748" s="31"/>
      <c r="E3748" s="25"/>
      <c r="F3748" s="26"/>
    </row>
    <row r="3749" spans="1:6" ht="16.8" customHeight="1" x14ac:dyDescent="0.3">
      <c r="A3749" s="20">
        <v>45346</v>
      </c>
      <c r="B3749" s="31"/>
      <c r="C3749" s="31"/>
      <c r="D3749" s="31"/>
      <c r="E3749" s="25"/>
      <c r="F3749" s="26"/>
    </row>
    <row r="3750" spans="1:6" ht="16.8" customHeight="1" x14ac:dyDescent="0.3">
      <c r="A3750" s="20">
        <v>45347</v>
      </c>
      <c r="B3750" s="31"/>
      <c r="C3750" s="31"/>
      <c r="D3750" s="31"/>
      <c r="E3750" s="25"/>
      <c r="F3750" s="26"/>
    </row>
    <row r="3751" spans="1:6" ht="16.8" customHeight="1" x14ac:dyDescent="0.3">
      <c r="A3751" s="20">
        <v>45348</v>
      </c>
      <c r="B3751" s="31"/>
      <c r="C3751" s="31"/>
      <c r="D3751" s="31"/>
      <c r="E3751" s="25"/>
      <c r="F3751" s="26"/>
    </row>
    <row r="3752" spans="1:6" ht="16.8" customHeight="1" x14ac:dyDescent="0.3">
      <c r="A3752" s="20">
        <v>45349</v>
      </c>
      <c r="B3752" s="31"/>
      <c r="C3752" s="31"/>
      <c r="D3752" s="31"/>
      <c r="E3752" s="25"/>
      <c r="F3752" s="26"/>
    </row>
    <row r="3753" spans="1:6" ht="16.8" customHeight="1" x14ac:dyDescent="0.3">
      <c r="A3753" s="20">
        <v>45350</v>
      </c>
      <c r="B3753" s="31"/>
      <c r="C3753" s="31"/>
      <c r="D3753" s="31"/>
      <c r="E3753" s="25"/>
      <c r="F3753" s="26"/>
    </row>
    <row r="3754" spans="1:6" ht="16.8" customHeight="1" x14ac:dyDescent="0.3">
      <c r="A3754" s="20">
        <v>45351</v>
      </c>
      <c r="B3754" s="31"/>
      <c r="C3754" s="31"/>
      <c r="D3754" s="31"/>
      <c r="E3754" s="25"/>
      <c r="F3754" s="26"/>
    </row>
    <row r="3755" spans="1:6" ht="16.8" customHeight="1" x14ac:dyDescent="0.3">
      <c r="A3755" s="20">
        <v>45352</v>
      </c>
      <c r="B3755" s="31"/>
      <c r="C3755" s="31"/>
      <c r="D3755" s="31"/>
      <c r="E3755" s="25"/>
      <c r="F3755" s="26"/>
    </row>
    <row r="3756" spans="1:6" ht="16.8" customHeight="1" x14ac:dyDescent="0.3">
      <c r="A3756" s="20">
        <v>45353</v>
      </c>
      <c r="B3756" s="31"/>
      <c r="C3756" s="31"/>
      <c r="D3756" s="31"/>
      <c r="E3756" s="25"/>
      <c r="F3756" s="26"/>
    </row>
    <row r="3757" spans="1:6" ht="16.8" customHeight="1" x14ac:dyDescent="0.3">
      <c r="A3757" s="20">
        <v>45354</v>
      </c>
      <c r="B3757" s="31"/>
      <c r="C3757" s="31"/>
      <c r="D3757" s="31"/>
      <c r="E3757" s="25"/>
      <c r="F3757" s="26"/>
    </row>
    <row r="3758" spans="1:6" ht="16.8" customHeight="1" x14ac:dyDescent="0.3">
      <c r="A3758" s="20">
        <v>45355</v>
      </c>
      <c r="B3758" s="31"/>
      <c r="C3758" s="31"/>
      <c r="D3758" s="31"/>
      <c r="E3758" s="25"/>
      <c r="F3758" s="26"/>
    </row>
    <row r="3759" spans="1:6" ht="16.8" customHeight="1" x14ac:dyDescent="0.3">
      <c r="A3759" s="20">
        <v>45356</v>
      </c>
      <c r="B3759" s="31"/>
      <c r="C3759" s="31"/>
      <c r="D3759" s="31"/>
      <c r="E3759" s="25"/>
      <c r="F3759" s="26"/>
    </row>
    <row r="3760" spans="1:6" ht="16.8" customHeight="1" x14ac:dyDescent="0.3">
      <c r="A3760" s="20">
        <v>45357</v>
      </c>
      <c r="B3760" s="31"/>
      <c r="C3760" s="31"/>
      <c r="D3760" s="31"/>
      <c r="E3760" s="25"/>
      <c r="F3760" s="26"/>
    </row>
    <row r="3761" spans="1:6" ht="16.8" customHeight="1" x14ac:dyDescent="0.3">
      <c r="A3761" s="20">
        <v>45358</v>
      </c>
      <c r="B3761" s="31"/>
      <c r="C3761" s="31"/>
      <c r="D3761" s="31"/>
      <c r="E3761" s="25"/>
      <c r="F3761" s="26"/>
    </row>
    <row r="3762" spans="1:6" ht="16.8" customHeight="1" x14ac:dyDescent="0.3">
      <c r="A3762" s="20">
        <v>45359</v>
      </c>
      <c r="B3762" s="31"/>
      <c r="C3762" s="31"/>
      <c r="D3762" s="31"/>
      <c r="E3762" s="25"/>
      <c r="F3762" s="26"/>
    </row>
    <row r="3763" spans="1:6" ht="16.8" customHeight="1" x14ac:dyDescent="0.3">
      <c r="A3763" s="20">
        <v>45360</v>
      </c>
      <c r="B3763" s="31"/>
      <c r="C3763" s="31"/>
      <c r="D3763" s="31"/>
      <c r="E3763" s="25"/>
      <c r="F3763" s="26"/>
    </row>
    <row r="3764" spans="1:6" ht="16.8" customHeight="1" x14ac:dyDescent="0.3">
      <c r="A3764" s="20">
        <v>45361</v>
      </c>
      <c r="B3764" s="31"/>
      <c r="C3764" s="31"/>
      <c r="D3764" s="31"/>
      <c r="E3764" s="25"/>
      <c r="F3764" s="26"/>
    </row>
    <row r="3765" spans="1:6" ht="16.8" customHeight="1" x14ac:dyDescent="0.3">
      <c r="A3765" s="20">
        <v>45362</v>
      </c>
      <c r="B3765" s="31"/>
      <c r="C3765" s="31"/>
      <c r="D3765" s="31"/>
      <c r="E3765" s="25"/>
      <c r="F3765" s="26"/>
    </row>
    <row r="3766" spans="1:6" ht="16.8" customHeight="1" x14ac:dyDescent="0.3">
      <c r="A3766" s="20">
        <v>45363</v>
      </c>
      <c r="B3766" s="31"/>
      <c r="C3766" s="31"/>
      <c r="D3766" s="31"/>
      <c r="E3766" s="25"/>
      <c r="F3766" s="26"/>
    </row>
    <row r="3767" spans="1:6" ht="16.8" customHeight="1" x14ac:dyDescent="0.3">
      <c r="A3767" s="20">
        <v>45364</v>
      </c>
      <c r="B3767" s="31"/>
      <c r="C3767" s="31"/>
      <c r="D3767" s="31"/>
      <c r="E3767" s="25"/>
      <c r="F3767" s="26"/>
    </row>
    <row r="3768" spans="1:6" ht="16.8" customHeight="1" x14ac:dyDescent="0.3">
      <c r="A3768" s="20">
        <v>45365</v>
      </c>
      <c r="B3768" s="31"/>
      <c r="C3768" s="31"/>
      <c r="D3768" s="31"/>
      <c r="E3768" s="25"/>
      <c r="F3768" s="26"/>
    </row>
    <row r="3769" spans="1:6" ht="16.8" customHeight="1" x14ac:dyDescent="0.3">
      <c r="A3769" s="20">
        <v>45366</v>
      </c>
      <c r="B3769" s="31"/>
      <c r="C3769" s="31"/>
      <c r="D3769" s="31"/>
      <c r="E3769" s="25"/>
      <c r="F3769" s="26"/>
    </row>
    <row r="3770" spans="1:6" ht="16.8" customHeight="1" x14ac:dyDescent="0.3">
      <c r="A3770" s="20">
        <v>45367</v>
      </c>
      <c r="B3770" s="31"/>
      <c r="C3770" s="31"/>
      <c r="D3770" s="31"/>
      <c r="E3770" s="25"/>
      <c r="F3770" s="26"/>
    </row>
    <row r="3771" spans="1:6" ht="16.8" customHeight="1" x14ac:dyDescent="0.3">
      <c r="A3771" s="20">
        <v>45368</v>
      </c>
      <c r="B3771" s="31"/>
      <c r="C3771" s="31"/>
      <c r="D3771" s="31"/>
      <c r="E3771" s="25"/>
      <c r="F3771" s="26"/>
    </row>
    <row r="3772" spans="1:6" ht="16.8" customHeight="1" x14ac:dyDescent="0.3">
      <c r="A3772" s="20">
        <v>45369</v>
      </c>
      <c r="B3772" s="31"/>
      <c r="C3772" s="31"/>
      <c r="D3772" s="31"/>
      <c r="E3772" s="25"/>
      <c r="F3772" s="26"/>
    </row>
    <row r="3773" spans="1:6" ht="16.8" customHeight="1" x14ac:dyDescent="0.3">
      <c r="A3773" s="20">
        <v>45370</v>
      </c>
      <c r="B3773" s="31"/>
      <c r="C3773" s="31"/>
      <c r="D3773" s="31"/>
      <c r="E3773" s="25"/>
      <c r="F3773" s="26"/>
    </row>
    <row r="3774" spans="1:6" ht="16.8" customHeight="1" x14ac:dyDescent="0.3">
      <c r="A3774" s="20">
        <v>45371</v>
      </c>
      <c r="B3774" s="31"/>
      <c r="C3774" s="31"/>
      <c r="D3774" s="31"/>
      <c r="E3774" s="25"/>
      <c r="F3774" s="26"/>
    </row>
    <row r="3775" spans="1:6" ht="16.8" customHeight="1" x14ac:dyDescent="0.3">
      <c r="A3775" s="20">
        <v>45372</v>
      </c>
      <c r="B3775" s="31"/>
      <c r="C3775" s="31"/>
      <c r="D3775" s="31"/>
      <c r="E3775" s="25"/>
      <c r="F3775" s="26"/>
    </row>
    <row r="3776" spans="1:6" ht="16.8" customHeight="1" x14ac:dyDescent="0.3">
      <c r="A3776" s="20">
        <v>45373</v>
      </c>
      <c r="B3776" s="31"/>
      <c r="C3776" s="31"/>
      <c r="D3776" s="31"/>
      <c r="E3776" s="25"/>
      <c r="F3776" s="26"/>
    </row>
    <row r="3777" spans="1:6" ht="16.8" customHeight="1" x14ac:dyDescent="0.3">
      <c r="A3777" s="20">
        <v>45374</v>
      </c>
      <c r="B3777" s="31"/>
      <c r="C3777" s="31"/>
      <c r="D3777" s="31"/>
      <c r="E3777" s="25"/>
      <c r="F3777" s="26"/>
    </row>
    <row r="3778" spans="1:6" ht="16.8" customHeight="1" x14ac:dyDescent="0.3">
      <c r="A3778" s="20">
        <v>45375</v>
      </c>
      <c r="B3778" s="31"/>
      <c r="C3778" s="31"/>
      <c r="D3778" s="31"/>
      <c r="E3778" s="25"/>
      <c r="F3778" s="26"/>
    </row>
    <row r="3779" spans="1:6" ht="16.8" customHeight="1" x14ac:dyDescent="0.3">
      <c r="A3779" s="20">
        <v>45376</v>
      </c>
      <c r="B3779" s="31"/>
      <c r="C3779" s="31"/>
      <c r="D3779" s="31"/>
      <c r="E3779" s="25"/>
      <c r="F3779" s="26"/>
    </row>
    <row r="3780" spans="1:6" ht="16.8" customHeight="1" x14ac:dyDescent="0.3">
      <c r="A3780" s="20">
        <v>45377</v>
      </c>
      <c r="B3780" s="31"/>
      <c r="C3780" s="31"/>
      <c r="D3780" s="31"/>
      <c r="E3780" s="25"/>
      <c r="F3780" s="26"/>
    </row>
    <row r="3781" spans="1:6" ht="16.8" customHeight="1" x14ac:dyDescent="0.3">
      <c r="A3781" s="20">
        <v>45378</v>
      </c>
      <c r="B3781" s="31"/>
      <c r="C3781" s="31"/>
      <c r="D3781" s="31"/>
      <c r="E3781" s="25"/>
      <c r="F3781" s="26"/>
    </row>
    <row r="3782" spans="1:6" ht="16.8" customHeight="1" x14ac:dyDescent="0.3">
      <c r="A3782" s="20">
        <v>45379</v>
      </c>
      <c r="B3782" s="31"/>
      <c r="C3782" s="31"/>
      <c r="D3782" s="31"/>
      <c r="E3782" s="25"/>
      <c r="F3782" s="26"/>
    </row>
    <row r="3783" spans="1:6" ht="16.8" customHeight="1" x14ac:dyDescent="0.3">
      <c r="A3783" s="20">
        <v>45380</v>
      </c>
      <c r="B3783" s="31"/>
      <c r="C3783" s="31"/>
      <c r="D3783" s="31"/>
      <c r="E3783" s="25"/>
      <c r="F3783" s="26"/>
    </row>
    <row r="3784" spans="1:6" ht="16.8" customHeight="1" x14ac:dyDescent="0.3">
      <c r="A3784" s="20">
        <v>45381</v>
      </c>
      <c r="B3784" s="31"/>
      <c r="C3784" s="31"/>
      <c r="D3784" s="31"/>
      <c r="E3784" s="25"/>
      <c r="F3784" s="26"/>
    </row>
    <row r="3785" spans="1:6" ht="16.8" customHeight="1" x14ac:dyDescent="0.3">
      <c r="A3785" s="20">
        <v>45382</v>
      </c>
      <c r="B3785" s="31"/>
      <c r="C3785" s="31"/>
      <c r="D3785" s="31"/>
      <c r="E3785" s="25"/>
      <c r="F3785" s="26"/>
    </row>
    <row r="3786" spans="1:6" ht="16.8" customHeight="1" x14ac:dyDescent="0.3">
      <c r="A3786" s="20">
        <v>45383</v>
      </c>
      <c r="B3786" s="31"/>
      <c r="C3786" s="31"/>
      <c r="D3786" s="31"/>
      <c r="E3786" s="25"/>
      <c r="F3786" s="26"/>
    </row>
    <row r="3787" spans="1:6" ht="16.8" customHeight="1" x14ac:dyDescent="0.3">
      <c r="A3787" s="20">
        <v>45384</v>
      </c>
      <c r="B3787" s="31"/>
      <c r="C3787" s="31"/>
      <c r="D3787" s="31"/>
      <c r="E3787" s="25"/>
      <c r="F3787" s="26"/>
    </row>
    <row r="3788" spans="1:6" ht="16.8" customHeight="1" x14ac:dyDescent="0.3">
      <c r="A3788" s="20">
        <v>45385</v>
      </c>
      <c r="B3788" s="31"/>
      <c r="C3788" s="31"/>
      <c r="D3788" s="31"/>
      <c r="E3788" s="25"/>
      <c r="F3788" s="26"/>
    </row>
    <row r="3789" spans="1:6" ht="16.8" customHeight="1" x14ac:dyDescent="0.3">
      <c r="A3789" s="20">
        <v>45386</v>
      </c>
      <c r="B3789" s="31"/>
      <c r="C3789" s="31"/>
      <c r="D3789" s="31"/>
      <c r="E3789" s="25"/>
      <c r="F3789" s="26"/>
    </row>
    <row r="3790" spans="1:6" ht="16.8" customHeight="1" x14ac:dyDescent="0.3">
      <c r="A3790" s="20">
        <v>45387</v>
      </c>
      <c r="B3790" s="31"/>
      <c r="C3790" s="31"/>
      <c r="D3790" s="31"/>
      <c r="E3790" s="25"/>
      <c r="F3790" s="26"/>
    </row>
    <row r="3791" spans="1:6" ht="16.8" customHeight="1" x14ac:dyDescent="0.3">
      <c r="A3791" s="20">
        <v>45388</v>
      </c>
      <c r="B3791" s="31"/>
      <c r="C3791" s="31"/>
      <c r="D3791" s="31"/>
      <c r="E3791" s="25"/>
      <c r="F3791" s="26"/>
    </row>
    <row r="3792" spans="1:6" ht="16.8" customHeight="1" x14ac:dyDescent="0.3">
      <c r="A3792" s="20">
        <v>45389</v>
      </c>
      <c r="B3792" s="31"/>
      <c r="C3792" s="31"/>
      <c r="D3792" s="31"/>
      <c r="E3792" s="25"/>
      <c r="F3792" s="26"/>
    </row>
    <row r="3793" spans="1:6" ht="16.8" customHeight="1" x14ac:dyDescent="0.3">
      <c r="A3793" s="20">
        <v>45390</v>
      </c>
      <c r="B3793" s="31"/>
      <c r="C3793" s="31"/>
      <c r="D3793" s="31"/>
      <c r="E3793" s="25"/>
      <c r="F3793" s="26"/>
    </row>
    <row r="3794" spans="1:6" ht="16.8" customHeight="1" x14ac:dyDescent="0.3">
      <c r="A3794" s="20">
        <v>45391</v>
      </c>
      <c r="B3794" s="31"/>
      <c r="C3794" s="31"/>
      <c r="D3794" s="31"/>
      <c r="E3794" s="25"/>
      <c r="F3794" s="26"/>
    </row>
    <row r="3795" spans="1:6" ht="16.8" customHeight="1" x14ac:dyDescent="0.3">
      <c r="A3795" s="20">
        <v>45392</v>
      </c>
      <c r="B3795" s="31"/>
      <c r="C3795" s="31"/>
      <c r="D3795" s="31"/>
      <c r="E3795" s="25"/>
      <c r="F3795" s="26"/>
    </row>
    <row r="3796" spans="1:6" ht="16.8" customHeight="1" x14ac:dyDescent="0.3">
      <c r="A3796" s="20">
        <v>45393</v>
      </c>
      <c r="B3796" s="31"/>
      <c r="C3796" s="31"/>
      <c r="D3796" s="31"/>
      <c r="E3796" s="25"/>
      <c r="F3796" s="26"/>
    </row>
    <row r="3797" spans="1:6" ht="16.8" customHeight="1" x14ac:dyDescent="0.3">
      <c r="A3797" s="20">
        <v>45394</v>
      </c>
      <c r="B3797" s="31"/>
      <c r="C3797" s="31"/>
      <c r="D3797" s="31"/>
      <c r="E3797" s="25"/>
      <c r="F3797" s="26"/>
    </row>
    <row r="3798" spans="1:6" ht="16.8" customHeight="1" x14ac:dyDescent="0.3">
      <c r="A3798" s="20">
        <v>45395</v>
      </c>
      <c r="B3798" s="31"/>
      <c r="C3798" s="31"/>
      <c r="D3798" s="31"/>
      <c r="E3798" s="25"/>
      <c r="F3798" s="26"/>
    </row>
    <row r="3799" spans="1:6" ht="16.8" customHeight="1" x14ac:dyDescent="0.3">
      <c r="A3799" s="20">
        <v>45396</v>
      </c>
      <c r="B3799" s="31"/>
      <c r="C3799" s="31"/>
      <c r="D3799" s="31"/>
      <c r="E3799" s="25"/>
      <c r="F3799" s="26"/>
    </row>
    <row r="3800" spans="1:6" ht="16.8" customHeight="1" x14ac:dyDescent="0.3">
      <c r="A3800" s="20">
        <v>45397</v>
      </c>
      <c r="B3800" s="31"/>
      <c r="C3800" s="31"/>
      <c r="D3800" s="31"/>
      <c r="E3800" s="25"/>
      <c r="F3800" s="26"/>
    </row>
    <row r="3801" spans="1:6" ht="16.8" customHeight="1" x14ac:dyDescent="0.3">
      <c r="A3801" s="20">
        <v>45398</v>
      </c>
      <c r="B3801" s="31"/>
      <c r="C3801" s="31"/>
      <c r="D3801" s="31"/>
      <c r="E3801" s="25"/>
      <c r="F3801" s="26"/>
    </row>
    <row r="3802" spans="1:6" ht="16.8" customHeight="1" x14ac:dyDescent="0.3">
      <c r="A3802" s="20">
        <v>45399</v>
      </c>
      <c r="B3802" s="31"/>
      <c r="C3802" s="31"/>
      <c r="D3802" s="31"/>
      <c r="E3802" s="25"/>
      <c r="F3802" s="26"/>
    </row>
    <row r="3803" spans="1:6" ht="16.8" customHeight="1" x14ac:dyDescent="0.3">
      <c r="A3803" s="20">
        <v>45400</v>
      </c>
      <c r="B3803" s="31"/>
      <c r="C3803" s="31"/>
      <c r="D3803" s="31"/>
      <c r="E3803" s="25"/>
      <c r="F3803" s="26"/>
    </row>
    <row r="3804" spans="1:6" ht="16.8" customHeight="1" x14ac:dyDescent="0.3">
      <c r="A3804" s="20">
        <v>45401</v>
      </c>
      <c r="B3804" s="31"/>
      <c r="C3804" s="31"/>
      <c r="D3804" s="31"/>
      <c r="E3804" s="25"/>
      <c r="F3804" s="26"/>
    </row>
    <row r="3805" spans="1:6" ht="16.8" customHeight="1" x14ac:dyDescent="0.3">
      <c r="A3805" s="20">
        <v>45402</v>
      </c>
      <c r="B3805" s="31"/>
      <c r="C3805" s="31"/>
      <c r="D3805" s="31"/>
      <c r="E3805" s="25"/>
      <c r="F3805" s="26"/>
    </row>
    <row r="3806" spans="1:6" ht="16.8" customHeight="1" x14ac:dyDescent="0.3">
      <c r="A3806" s="20">
        <v>45403</v>
      </c>
      <c r="B3806" s="31"/>
      <c r="C3806" s="31"/>
      <c r="D3806" s="31"/>
      <c r="E3806" s="25"/>
      <c r="F3806" s="26"/>
    </row>
    <row r="3807" spans="1:6" ht="16.8" customHeight="1" x14ac:dyDescent="0.3">
      <c r="A3807" s="20">
        <v>45404</v>
      </c>
      <c r="B3807" s="31"/>
      <c r="C3807" s="31"/>
      <c r="D3807" s="31"/>
      <c r="E3807" s="25"/>
      <c r="F3807" s="26"/>
    </row>
    <row r="3808" spans="1:6" ht="16.8" customHeight="1" x14ac:dyDescent="0.3">
      <c r="A3808" s="20">
        <v>45405</v>
      </c>
      <c r="B3808" s="31"/>
      <c r="C3808" s="31"/>
      <c r="D3808" s="31"/>
      <c r="E3808" s="25"/>
      <c r="F3808" s="26"/>
    </row>
    <row r="3809" spans="1:6" ht="16.8" customHeight="1" x14ac:dyDescent="0.3">
      <c r="A3809" s="20">
        <v>45406</v>
      </c>
      <c r="B3809" s="31"/>
      <c r="C3809" s="31"/>
      <c r="D3809" s="31"/>
      <c r="E3809" s="25"/>
      <c r="F3809" s="26"/>
    </row>
    <row r="3810" spans="1:6" ht="16.8" customHeight="1" x14ac:dyDescent="0.3">
      <c r="A3810" s="20">
        <v>45407</v>
      </c>
      <c r="B3810" s="31"/>
      <c r="C3810" s="31"/>
      <c r="D3810" s="31"/>
      <c r="E3810" s="25"/>
      <c r="F3810" s="26"/>
    </row>
    <row r="3811" spans="1:6" ht="16.8" customHeight="1" x14ac:dyDescent="0.3">
      <c r="A3811" s="20">
        <v>45408</v>
      </c>
      <c r="B3811" s="31"/>
      <c r="C3811" s="31"/>
      <c r="D3811" s="31"/>
      <c r="E3811" s="25"/>
      <c r="F3811" s="26"/>
    </row>
    <row r="3812" spans="1:6" ht="16.8" customHeight="1" x14ac:dyDescent="0.3">
      <c r="A3812" s="20">
        <v>45409</v>
      </c>
      <c r="B3812" s="31"/>
      <c r="C3812" s="31"/>
      <c r="D3812" s="31"/>
      <c r="E3812" s="25"/>
      <c r="F3812" s="26"/>
    </row>
    <row r="3813" spans="1:6" ht="16.8" customHeight="1" x14ac:dyDescent="0.3">
      <c r="A3813" s="20">
        <v>45410</v>
      </c>
      <c r="B3813" s="31"/>
      <c r="C3813" s="31"/>
      <c r="D3813" s="31"/>
      <c r="E3813" s="25"/>
      <c r="F3813" s="26"/>
    </row>
    <row r="3814" spans="1:6" ht="16.8" customHeight="1" x14ac:dyDescent="0.3">
      <c r="A3814" s="20">
        <v>45411</v>
      </c>
      <c r="B3814" s="31"/>
      <c r="C3814" s="31"/>
      <c r="D3814" s="31"/>
      <c r="E3814" s="25"/>
      <c r="F3814" s="26"/>
    </row>
    <row r="3815" spans="1:6" ht="16.8" customHeight="1" x14ac:dyDescent="0.3">
      <c r="A3815" s="20">
        <v>45412</v>
      </c>
      <c r="B3815" s="31"/>
      <c r="C3815" s="31"/>
      <c r="D3815" s="31"/>
      <c r="E3815" s="25"/>
      <c r="F3815" s="26"/>
    </row>
    <row r="3816" spans="1:6" ht="16.8" customHeight="1" x14ac:dyDescent="0.3">
      <c r="A3816" s="20">
        <v>45413</v>
      </c>
      <c r="B3816" s="31"/>
      <c r="C3816" s="31"/>
      <c r="D3816" s="31"/>
      <c r="E3816" s="25"/>
      <c r="F3816" s="26"/>
    </row>
    <row r="3817" spans="1:6" ht="16.8" customHeight="1" x14ac:dyDescent="0.3">
      <c r="A3817" s="20">
        <v>45414</v>
      </c>
      <c r="B3817" s="31"/>
      <c r="C3817" s="31"/>
      <c r="D3817" s="31"/>
      <c r="E3817" s="25"/>
      <c r="F3817" s="26"/>
    </row>
    <row r="3818" spans="1:6" ht="16.8" customHeight="1" x14ac:dyDescent="0.3">
      <c r="A3818" s="20">
        <v>45415</v>
      </c>
      <c r="B3818" s="31"/>
      <c r="C3818" s="31"/>
      <c r="D3818" s="31"/>
      <c r="E3818" s="25"/>
      <c r="F3818" s="26"/>
    </row>
    <row r="3819" spans="1:6" ht="16.8" customHeight="1" x14ac:dyDescent="0.3">
      <c r="A3819" s="20">
        <v>45416</v>
      </c>
      <c r="B3819" s="31"/>
      <c r="C3819" s="31"/>
      <c r="D3819" s="31"/>
      <c r="E3819" s="25"/>
      <c r="F3819" s="26"/>
    </row>
    <row r="3820" spans="1:6" ht="16.8" customHeight="1" x14ac:dyDescent="0.3">
      <c r="A3820" s="20">
        <v>45417</v>
      </c>
      <c r="B3820" s="31"/>
      <c r="C3820" s="31"/>
      <c r="D3820" s="31"/>
      <c r="E3820" s="25"/>
      <c r="F3820" s="26"/>
    </row>
    <row r="3821" spans="1:6" ht="16.8" customHeight="1" x14ac:dyDescent="0.3">
      <c r="A3821" s="20">
        <v>45418</v>
      </c>
      <c r="B3821" s="31"/>
      <c r="C3821" s="31"/>
      <c r="D3821" s="31"/>
      <c r="E3821" s="25"/>
      <c r="F3821" s="26"/>
    </row>
    <row r="3822" spans="1:6" ht="16.8" customHeight="1" x14ac:dyDescent="0.3">
      <c r="A3822" s="20">
        <v>45419</v>
      </c>
      <c r="B3822" s="31"/>
      <c r="C3822" s="31"/>
      <c r="D3822" s="31"/>
      <c r="E3822" s="25"/>
      <c r="F3822" s="26"/>
    </row>
    <row r="3823" spans="1:6" ht="16.8" customHeight="1" x14ac:dyDescent="0.3">
      <c r="A3823" s="20">
        <v>45420</v>
      </c>
      <c r="B3823" s="31"/>
      <c r="C3823" s="31"/>
      <c r="D3823" s="31"/>
      <c r="E3823" s="25"/>
      <c r="F3823" s="26"/>
    </row>
    <row r="3824" spans="1:6" ht="16.8" customHeight="1" x14ac:dyDescent="0.3">
      <c r="A3824" s="20">
        <v>45421</v>
      </c>
      <c r="B3824" s="31"/>
      <c r="C3824" s="31"/>
      <c r="D3824" s="31"/>
      <c r="E3824" s="25"/>
      <c r="F3824" s="26"/>
    </row>
    <row r="3825" spans="1:6" ht="16.8" customHeight="1" x14ac:dyDescent="0.3">
      <c r="A3825" s="20">
        <v>45422</v>
      </c>
      <c r="B3825" s="31"/>
      <c r="C3825" s="31"/>
      <c r="D3825" s="31"/>
      <c r="E3825" s="25"/>
      <c r="F3825" s="26"/>
    </row>
    <row r="3826" spans="1:6" ht="16.8" customHeight="1" x14ac:dyDescent="0.3">
      <c r="A3826" s="20">
        <v>45423</v>
      </c>
      <c r="B3826" s="31"/>
      <c r="C3826" s="31"/>
      <c r="D3826" s="31"/>
      <c r="E3826" s="25"/>
      <c r="F3826" s="26"/>
    </row>
    <row r="3827" spans="1:6" ht="16.8" customHeight="1" x14ac:dyDescent="0.3">
      <c r="A3827" s="20">
        <v>45424</v>
      </c>
      <c r="B3827" s="31"/>
      <c r="C3827" s="31"/>
      <c r="D3827" s="31"/>
      <c r="E3827" s="25"/>
      <c r="F3827" s="26"/>
    </row>
    <row r="3828" spans="1:6" ht="16.8" customHeight="1" x14ac:dyDescent="0.3">
      <c r="A3828" s="20">
        <v>45425</v>
      </c>
      <c r="B3828" s="31"/>
      <c r="C3828" s="31"/>
      <c r="D3828" s="31"/>
      <c r="E3828" s="25"/>
      <c r="F3828" s="26"/>
    </row>
    <row r="3829" spans="1:6" ht="16.8" customHeight="1" x14ac:dyDescent="0.3">
      <c r="A3829" s="20">
        <v>45426</v>
      </c>
      <c r="B3829" s="31"/>
      <c r="C3829" s="31"/>
      <c r="D3829" s="31"/>
      <c r="E3829" s="25"/>
      <c r="F3829" s="26"/>
    </row>
    <row r="3830" spans="1:6" ht="16.8" customHeight="1" x14ac:dyDescent="0.3">
      <c r="A3830" s="20">
        <v>45427</v>
      </c>
      <c r="B3830" s="31"/>
      <c r="C3830" s="31"/>
      <c r="D3830" s="31"/>
      <c r="E3830" s="25"/>
      <c r="F3830" s="26"/>
    </row>
    <row r="3831" spans="1:6" ht="16.8" customHeight="1" x14ac:dyDescent="0.3">
      <c r="A3831" s="20">
        <v>45428</v>
      </c>
      <c r="B3831" s="31"/>
      <c r="C3831" s="31"/>
      <c r="D3831" s="31"/>
      <c r="E3831" s="25"/>
      <c r="F3831" s="26"/>
    </row>
    <row r="3832" spans="1:6" ht="16.8" customHeight="1" x14ac:dyDescent="0.3">
      <c r="A3832" s="20">
        <v>45429</v>
      </c>
      <c r="B3832" s="31"/>
      <c r="C3832" s="31"/>
      <c r="D3832" s="31"/>
      <c r="E3832" s="25"/>
      <c r="F3832" s="26"/>
    </row>
    <row r="3833" spans="1:6" ht="16.8" customHeight="1" x14ac:dyDescent="0.3">
      <c r="A3833" s="20">
        <v>45430</v>
      </c>
      <c r="B3833" s="31"/>
      <c r="C3833" s="31"/>
      <c r="D3833" s="31"/>
      <c r="E3833" s="25"/>
      <c r="F3833" s="26"/>
    </row>
    <row r="3834" spans="1:6" ht="16.8" customHeight="1" x14ac:dyDescent="0.3">
      <c r="A3834" s="20">
        <v>45431</v>
      </c>
      <c r="B3834" s="31"/>
      <c r="C3834" s="31"/>
      <c r="D3834" s="31"/>
      <c r="E3834" s="25"/>
      <c r="F3834" s="26"/>
    </row>
    <row r="3835" spans="1:6" ht="16.8" customHeight="1" x14ac:dyDescent="0.3">
      <c r="A3835" s="20">
        <v>45432</v>
      </c>
      <c r="B3835" s="31"/>
      <c r="C3835" s="31"/>
      <c r="D3835" s="31"/>
      <c r="E3835" s="25"/>
      <c r="F3835" s="26"/>
    </row>
    <row r="3836" spans="1:6" ht="16.8" customHeight="1" x14ac:dyDescent="0.3">
      <c r="A3836" s="20">
        <v>45433</v>
      </c>
      <c r="B3836" s="31"/>
      <c r="C3836" s="31"/>
      <c r="D3836" s="31"/>
      <c r="E3836" s="25"/>
      <c r="F3836" s="26"/>
    </row>
    <row r="3837" spans="1:6" ht="16.8" customHeight="1" x14ac:dyDescent="0.3">
      <c r="A3837" s="20">
        <v>45434</v>
      </c>
      <c r="B3837" s="31"/>
      <c r="C3837" s="31"/>
      <c r="D3837" s="31"/>
      <c r="E3837" s="25"/>
      <c r="F3837" s="26"/>
    </row>
    <row r="3838" spans="1:6" ht="16.8" customHeight="1" x14ac:dyDescent="0.3">
      <c r="A3838" s="20">
        <v>45435</v>
      </c>
      <c r="B3838" s="31"/>
      <c r="C3838" s="31"/>
      <c r="D3838" s="31"/>
      <c r="E3838" s="25"/>
      <c r="F3838" s="26"/>
    </row>
    <row r="3839" spans="1:6" ht="16.8" customHeight="1" x14ac:dyDescent="0.3">
      <c r="A3839" s="20">
        <v>45436</v>
      </c>
      <c r="B3839" s="31"/>
      <c r="C3839" s="31"/>
      <c r="D3839" s="31"/>
      <c r="E3839" s="25"/>
      <c r="F3839" s="26"/>
    </row>
    <row r="3840" spans="1:6" ht="16.8" customHeight="1" x14ac:dyDescent="0.3">
      <c r="A3840" s="20">
        <v>45437</v>
      </c>
      <c r="B3840" s="31"/>
      <c r="C3840" s="31"/>
      <c r="D3840" s="31"/>
      <c r="E3840" s="25"/>
      <c r="F3840" s="26"/>
    </row>
    <row r="3841" spans="1:6" ht="16.8" customHeight="1" x14ac:dyDescent="0.3">
      <c r="A3841" s="20">
        <v>45438</v>
      </c>
      <c r="B3841" s="31"/>
      <c r="C3841" s="31"/>
      <c r="D3841" s="31"/>
      <c r="E3841" s="25"/>
      <c r="F3841" s="26"/>
    </row>
    <row r="3842" spans="1:6" ht="16.8" customHeight="1" x14ac:dyDescent="0.3">
      <c r="A3842" s="20">
        <v>45439</v>
      </c>
      <c r="B3842" s="31"/>
      <c r="C3842" s="31"/>
      <c r="D3842" s="31"/>
      <c r="E3842" s="25"/>
      <c r="F3842" s="26"/>
    </row>
    <row r="3843" spans="1:6" ht="16.8" customHeight="1" x14ac:dyDescent="0.3">
      <c r="A3843" s="20">
        <v>45440</v>
      </c>
      <c r="B3843" s="31"/>
      <c r="C3843" s="31"/>
      <c r="D3843" s="31"/>
      <c r="E3843" s="25"/>
      <c r="F3843" s="26"/>
    </row>
    <row r="3844" spans="1:6" ht="16.8" customHeight="1" x14ac:dyDescent="0.3">
      <c r="A3844" s="20">
        <v>45441</v>
      </c>
      <c r="B3844" s="31"/>
      <c r="C3844" s="31"/>
      <c r="D3844" s="31"/>
      <c r="E3844" s="25"/>
      <c r="F3844" s="26"/>
    </row>
    <row r="3845" spans="1:6" ht="16.8" customHeight="1" x14ac:dyDescent="0.3">
      <c r="A3845" s="20">
        <v>45442</v>
      </c>
      <c r="B3845" s="31"/>
      <c r="C3845" s="31"/>
      <c r="D3845" s="31"/>
      <c r="E3845" s="25"/>
      <c r="F3845" s="26"/>
    </row>
    <row r="3846" spans="1:6" ht="16.8" customHeight="1" x14ac:dyDescent="0.3">
      <c r="A3846" s="20">
        <v>45443</v>
      </c>
      <c r="B3846" s="31"/>
      <c r="C3846" s="31"/>
      <c r="D3846" s="31"/>
      <c r="E3846" s="25"/>
      <c r="F3846" s="26"/>
    </row>
    <row r="3847" spans="1:6" ht="16.8" customHeight="1" x14ac:dyDescent="0.3">
      <c r="A3847" s="20">
        <v>45444</v>
      </c>
      <c r="B3847" s="31"/>
      <c r="C3847" s="31"/>
      <c r="D3847" s="31"/>
      <c r="E3847" s="25"/>
      <c r="F3847" s="26"/>
    </row>
    <row r="3848" spans="1:6" ht="16.8" customHeight="1" x14ac:dyDescent="0.3">
      <c r="A3848" s="20">
        <v>45445</v>
      </c>
      <c r="B3848" s="31"/>
      <c r="C3848" s="31"/>
      <c r="D3848" s="31"/>
      <c r="E3848" s="25"/>
      <c r="F3848" s="26"/>
    </row>
    <row r="3849" spans="1:6" ht="16.8" customHeight="1" x14ac:dyDescent="0.3">
      <c r="A3849" s="20">
        <v>45446</v>
      </c>
      <c r="B3849" s="31"/>
      <c r="C3849" s="31"/>
      <c r="D3849" s="31"/>
      <c r="E3849" s="25"/>
      <c r="F3849" s="26"/>
    </row>
    <row r="3850" spans="1:6" ht="16.8" customHeight="1" x14ac:dyDescent="0.3">
      <c r="A3850" s="20">
        <v>45447</v>
      </c>
      <c r="B3850" s="31"/>
      <c r="C3850" s="31"/>
      <c r="D3850" s="31"/>
      <c r="E3850" s="25"/>
      <c r="F3850" s="26"/>
    </row>
    <row r="3851" spans="1:6" ht="16.8" customHeight="1" x14ac:dyDescent="0.3">
      <c r="A3851" s="20">
        <v>45448</v>
      </c>
      <c r="B3851" s="31"/>
      <c r="C3851" s="31"/>
      <c r="D3851" s="31"/>
      <c r="E3851" s="25"/>
      <c r="F3851" s="26"/>
    </row>
    <row r="3852" spans="1:6" ht="16.8" customHeight="1" x14ac:dyDescent="0.3">
      <c r="A3852" s="20">
        <v>45449</v>
      </c>
      <c r="B3852" s="31"/>
      <c r="C3852" s="31"/>
      <c r="D3852" s="31"/>
      <c r="E3852" s="25"/>
      <c r="F3852" s="26"/>
    </row>
    <row r="3853" spans="1:6" ht="16.8" customHeight="1" x14ac:dyDescent="0.3">
      <c r="A3853" s="20">
        <v>45450</v>
      </c>
      <c r="B3853" s="31"/>
      <c r="C3853" s="31"/>
      <c r="D3853" s="31"/>
      <c r="E3853" s="25"/>
      <c r="F3853" s="26"/>
    </row>
    <row r="3854" spans="1:6" ht="16.8" customHeight="1" x14ac:dyDescent="0.3">
      <c r="A3854" s="20">
        <v>45451</v>
      </c>
      <c r="B3854" s="31"/>
      <c r="C3854" s="31"/>
      <c r="D3854" s="31"/>
      <c r="E3854" s="25"/>
      <c r="F3854" s="26"/>
    </row>
    <row r="3855" spans="1:6" ht="16.8" customHeight="1" x14ac:dyDescent="0.3">
      <c r="A3855" s="20">
        <v>45452</v>
      </c>
      <c r="B3855" s="31"/>
      <c r="C3855" s="31"/>
      <c r="D3855" s="31"/>
      <c r="E3855" s="25"/>
      <c r="F3855" s="26"/>
    </row>
    <row r="3856" spans="1:6" ht="16.8" customHeight="1" x14ac:dyDescent="0.3">
      <c r="A3856" s="20">
        <v>45453</v>
      </c>
      <c r="B3856" s="31"/>
      <c r="C3856" s="31"/>
      <c r="D3856" s="31"/>
      <c r="E3856" s="25"/>
      <c r="F3856" s="26"/>
    </row>
    <row r="3857" spans="1:6" ht="16.8" customHeight="1" x14ac:dyDescent="0.3">
      <c r="A3857" s="20">
        <v>45454</v>
      </c>
      <c r="B3857" s="31"/>
      <c r="C3857" s="31"/>
      <c r="D3857" s="31"/>
      <c r="E3857" s="25"/>
      <c r="F3857" s="26"/>
    </row>
    <row r="3858" spans="1:6" ht="16.8" customHeight="1" x14ac:dyDescent="0.3">
      <c r="A3858" s="20">
        <v>45455</v>
      </c>
      <c r="B3858" s="31"/>
      <c r="C3858" s="31"/>
      <c r="D3858" s="31"/>
      <c r="E3858" s="25"/>
      <c r="F3858" s="26"/>
    </row>
    <row r="3859" spans="1:6" ht="16.8" customHeight="1" x14ac:dyDescent="0.3">
      <c r="A3859" s="20">
        <v>45456</v>
      </c>
      <c r="B3859" s="31"/>
      <c r="C3859" s="31"/>
      <c r="D3859" s="31"/>
      <c r="E3859" s="25"/>
      <c r="F3859" s="26"/>
    </row>
    <row r="3860" spans="1:6" ht="16.8" customHeight="1" x14ac:dyDescent="0.3">
      <c r="A3860" s="20">
        <v>45457</v>
      </c>
      <c r="B3860" s="31"/>
      <c r="C3860" s="31"/>
      <c r="D3860" s="31"/>
      <c r="E3860" s="25"/>
      <c r="F3860" s="26"/>
    </row>
    <row r="3861" spans="1:6" ht="16.8" customHeight="1" x14ac:dyDescent="0.3">
      <c r="A3861" s="20">
        <v>45458</v>
      </c>
      <c r="B3861" s="31"/>
      <c r="C3861" s="31"/>
      <c r="D3861" s="31"/>
      <c r="E3861" s="25"/>
      <c r="F3861" s="26"/>
    </row>
    <row r="3862" spans="1:6" ht="16.8" customHeight="1" x14ac:dyDescent="0.3">
      <c r="A3862" s="20">
        <v>45459</v>
      </c>
      <c r="B3862" s="31"/>
      <c r="C3862" s="31"/>
      <c r="D3862" s="31"/>
      <c r="E3862" s="25"/>
      <c r="F3862" s="26"/>
    </row>
    <row r="3863" spans="1:6" ht="16.8" customHeight="1" x14ac:dyDescent="0.3">
      <c r="A3863" s="20">
        <v>45460</v>
      </c>
      <c r="B3863" s="31"/>
      <c r="C3863" s="31"/>
      <c r="D3863" s="31"/>
      <c r="E3863" s="25"/>
      <c r="F3863" s="26"/>
    </row>
    <row r="3864" spans="1:6" ht="16.8" customHeight="1" x14ac:dyDescent="0.3">
      <c r="A3864" s="20">
        <v>45461</v>
      </c>
      <c r="B3864" s="31"/>
      <c r="C3864" s="31"/>
      <c r="D3864" s="31"/>
      <c r="E3864" s="25"/>
      <c r="F3864" s="26"/>
    </row>
    <row r="3865" spans="1:6" ht="16.8" customHeight="1" x14ac:dyDescent="0.3">
      <c r="A3865" s="20">
        <v>45462</v>
      </c>
      <c r="B3865" s="31"/>
      <c r="C3865" s="31"/>
      <c r="D3865" s="31"/>
      <c r="E3865" s="25"/>
      <c r="F3865" s="26"/>
    </row>
    <row r="3866" spans="1:6" ht="16.8" customHeight="1" x14ac:dyDescent="0.3">
      <c r="A3866" s="20">
        <v>45463</v>
      </c>
      <c r="B3866" s="31"/>
      <c r="C3866" s="31"/>
      <c r="D3866" s="31"/>
      <c r="E3866" s="25"/>
      <c r="F3866" s="26"/>
    </row>
    <row r="3867" spans="1:6" ht="16.8" customHeight="1" x14ac:dyDescent="0.3">
      <c r="A3867" s="20">
        <v>45464</v>
      </c>
      <c r="B3867" s="31"/>
      <c r="C3867" s="31"/>
      <c r="D3867" s="31"/>
      <c r="E3867" s="25"/>
      <c r="F3867" s="26"/>
    </row>
    <row r="3868" spans="1:6" ht="16.8" customHeight="1" x14ac:dyDescent="0.3">
      <c r="A3868" s="20">
        <v>45465</v>
      </c>
      <c r="B3868" s="31"/>
      <c r="C3868" s="31"/>
      <c r="D3868" s="31"/>
      <c r="E3868" s="25"/>
      <c r="F3868" s="26"/>
    </row>
    <row r="3869" spans="1:6" ht="16.8" customHeight="1" x14ac:dyDescent="0.3">
      <c r="A3869" s="20">
        <v>45466</v>
      </c>
      <c r="B3869" s="31"/>
      <c r="C3869" s="31"/>
      <c r="D3869" s="31"/>
      <c r="E3869" s="25"/>
      <c r="F3869" s="26"/>
    </row>
    <row r="3870" spans="1:6" ht="16.8" customHeight="1" x14ac:dyDescent="0.3">
      <c r="A3870" s="20">
        <v>45467</v>
      </c>
      <c r="B3870" s="31"/>
      <c r="C3870" s="31"/>
      <c r="D3870" s="31"/>
      <c r="E3870" s="25"/>
      <c r="F3870" s="26"/>
    </row>
    <row r="3871" spans="1:6" ht="16.8" customHeight="1" x14ac:dyDescent="0.3">
      <c r="A3871" s="20">
        <v>45468</v>
      </c>
      <c r="B3871" s="31"/>
      <c r="C3871" s="31"/>
      <c r="D3871" s="31"/>
      <c r="E3871" s="25"/>
      <c r="F3871" s="26"/>
    </row>
    <row r="3872" spans="1:6" ht="16.8" customHeight="1" x14ac:dyDescent="0.3">
      <c r="A3872" s="20">
        <v>45469</v>
      </c>
      <c r="B3872" s="31"/>
      <c r="C3872" s="31"/>
      <c r="D3872" s="31"/>
      <c r="E3872" s="25"/>
      <c r="F3872" s="26"/>
    </row>
    <row r="3873" spans="1:6" ht="16.8" customHeight="1" x14ac:dyDescent="0.3">
      <c r="A3873" s="20">
        <v>45470</v>
      </c>
      <c r="B3873" s="31"/>
      <c r="C3873" s="31"/>
      <c r="D3873" s="31"/>
      <c r="E3873" s="25"/>
      <c r="F3873" s="26"/>
    </row>
    <row r="3874" spans="1:6" ht="16.8" customHeight="1" x14ac:dyDescent="0.3">
      <c r="A3874" s="20">
        <v>45471</v>
      </c>
      <c r="B3874" s="31"/>
      <c r="C3874" s="31"/>
      <c r="D3874" s="31"/>
      <c r="E3874" s="25"/>
      <c r="F3874" s="26"/>
    </row>
    <row r="3875" spans="1:6" ht="16.8" customHeight="1" x14ac:dyDescent="0.3">
      <c r="A3875" s="20">
        <v>45472</v>
      </c>
      <c r="B3875" s="31"/>
      <c r="C3875" s="31"/>
      <c r="D3875" s="31"/>
      <c r="E3875" s="25"/>
      <c r="F3875" s="26"/>
    </row>
    <row r="3876" spans="1:6" ht="16.8" customHeight="1" x14ac:dyDescent="0.3">
      <c r="A3876" s="20">
        <v>45473</v>
      </c>
      <c r="B3876" s="31"/>
      <c r="C3876" s="31"/>
      <c r="D3876" s="31"/>
      <c r="E3876" s="25"/>
      <c r="F3876" s="26"/>
    </row>
    <row r="3877" spans="1:6" ht="16.8" customHeight="1" x14ac:dyDescent="0.3">
      <c r="A3877" s="20">
        <v>45474</v>
      </c>
      <c r="B3877" s="31"/>
      <c r="C3877" s="31"/>
      <c r="D3877" s="31"/>
      <c r="E3877" s="25"/>
      <c r="F3877" s="26"/>
    </row>
    <row r="3878" spans="1:6" ht="16.8" customHeight="1" x14ac:dyDescent="0.3">
      <c r="A3878" s="20">
        <v>45475</v>
      </c>
      <c r="B3878" s="31"/>
      <c r="C3878" s="31"/>
      <c r="D3878" s="31"/>
      <c r="E3878" s="25"/>
      <c r="F3878" s="26"/>
    </row>
    <row r="3879" spans="1:6" ht="16.8" customHeight="1" x14ac:dyDescent="0.3">
      <c r="A3879" s="20">
        <v>45476</v>
      </c>
      <c r="B3879" s="31"/>
      <c r="C3879" s="31"/>
      <c r="D3879" s="31"/>
      <c r="E3879" s="25"/>
      <c r="F3879" s="26"/>
    </row>
    <row r="3880" spans="1:6" ht="16.8" customHeight="1" x14ac:dyDescent="0.3">
      <c r="A3880" s="20">
        <v>45477</v>
      </c>
      <c r="B3880" s="31"/>
      <c r="C3880" s="31"/>
      <c r="D3880" s="31"/>
      <c r="E3880" s="25"/>
      <c r="F3880" s="26"/>
    </row>
    <row r="3881" spans="1:6" ht="16.8" customHeight="1" x14ac:dyDescent="0.3">
      <c r="A3881" s="20">
        <v>45478</v>
      </c>
      <c r="B3881" s="31"/>
      <c r="C3881" s="31"/>
      <c r="D3881" s="31"/>
      <c r="E3881" s="25"/>
      <c r="F3881" s="26"/>
    </row>
    <row r="3882" spans="1:6" ht="16.8" customHeight="1" x14ac:dyDescent="0.3">
      <c r="A3882" s="20">
        <v>45479</v>
      </c>
      <c r="B3882" s="31"/>
      <c r="C3882" s="31"/>
      <c r="D3882" s="31"/>
      <c r="E3882" s="25"/>
      <c r="F3882" s="26"/>
    </row>
    <row r="3883" spans="1:6" ht="16.8" customHeight="1" x14ac:dyDescent="0.3">
      <c r="A3883" s="20">
        <v>45480</v>
      </c>
      <c r="B3883" s="31"/>
      <c r="C3883" s="31"/>
      <c r="D3883" s="31"/>
      <c r="E3883" s="25"/>
      <c r="F3883" s="26"/>
    </row>
    <row r="3884" spans="1:6" ht="16.8" customHeight="1" x14ac:dyDescent="0.3">
      <c r="A3884" s="20">
        <v>45481</v>
      </c>
      <c r="B3884" s="31"/>
      <c r="C3884" s="31"/>
      <c r="D3884" s="31"/>
      <c r="E3884" s="25"/>
      <c r="F3884" s="26"/>
    </row>
    <row r="3885" spans="1:6" ht="16.8" customHeight="1" x14ac:dyDescent="0.3">
      <c r="A3885" s="20">
        <v>45482</v>
      </c>
      <c r="B3885" s="31"/>
      <c r="C3885" s="31"/>
      <c r="D3885" s="31"/>
      <c r="E3885" s="25"/>
      <c r="F3885" s="26"/>
    </row>
    <row r="3886" spans="1:6" ht="16.8" customHeight="1" x14ac:dyDescent="0.3">
      <c r="A3886" s="20">
        <v>45483</v>
      </c>
      <c r="B3886" s="31"/>
      <c r="C3886" s="31"/>
      <c r="D3886" s="31"/>
      <c r="E3886" s="25"/>
      <c r="F3886" s="26"/>
    </row>
    <row r="3887" spans="1:6" ht="16.8" customHeight="1" x14ac:dyDescent="0.3">
      <c r="A3887" s="20">
        <v>45484</v>
      </c>
      <c r="B3887" s="31"/>
      <c r="C3887" s="31"/>
      <c r="D3887" s="31"/>
      <c r="E3887" s="25"/>
      <c r="F3887" s="26"/>
    </row>
    <row r="3888" spans="1:6" ht="16.8" customHeight="1" x14ac:dyDescent="0.3">
      <c r="A3888" s="20">
        <v>45485</v>
      </c>
      <c r="B3888" s="31"/>
      <c r="C3888" s="31"/>
      <c r="D3888" s="31"/>
      <c r="E3888" s="25"/>
      <c r="F3888" s="26"/>
    </row>
    <row r="3889" spans="1:6" ht="16.8" customHeight="1" x14ac:dyDescent="0.3">
      <c r="A3889" s="20">
        <v>45486</v>
      </c>
      <c r="B3889" s="31"/>
      <c r="C3889" s="31"/>
      <c r="D3889" s="31"/>
      <c r="E3889" s="25"/>
      <c r="F3889" s="26"/>
    </row>
    <row r="3890" spans="1:6" ht="16.8" customHeight="1" x14ac:dyDescent="0.3">
      <c r="A3890" s="20">
        <v>45487</v>
      </c>
      <c r="B3890" s="31"/>
      <c r="C3890" s="31"/>
      <c r="D3890" s="31"/>
      <c r="E3890" s="25"/>
      <c r="F3890" s="26"/>
    </row>
    <row r="3891" spans="1:6" ht="16.8" customHeight="1" x14ac:dyDescent="0.3">
      <c r="A3891" s="20">
        <v>45488</v>
      </c>
      <c r="B3891" s="31"/>
      <c r="C3891" s="31"/>
      <c r="D3891" s="31"/>
      <c r="E3891" s="25"/>
      <c r="F3891" s="26"/>
    </row>
    <row r="3892" spans="1:6" ht="16.8" customHeight="1" x14ac:dyDescent="0.3">
      <c r="A3892" s="20">
        <v>45489</v>
      </c>
      <c r="B3892" s="31"/>
      <c r="C3892" s="31"/>
      <c r="D3892" s="31"/>
      <c r="E3892" s="25"/>
      <c r="F3892" s="26"/>
    </row>
    <row r="3893" spans="1:6" ht="16.8" customHeight="1" x14ac:dyDescent="0.3">
      <c r="A3893" s="20">
        <v>45490</v>
      </c>
      <c r="B3893" s="31"/>
      <c r="C3893" s="31"/>
      <c r="D3893" s="31"/>
      <c r="E3893" s="25"/>
      <c r="F3893" s="26"/>
    </row>
    <row r="3894" spans="1:6" ht="16.8" customHeight="1" x14ac:dyDescent="0.3">
      <c r="A3894" s="20">
        <v>45491</v>
      </c>
      <c r="B3894" s="31"/>
      <c r="C3894" s="31"/>
      <c r="D3894" s="31"/>
      <c r="E3894" s="25"/>
      <c r="F3894" s="26"/>
    </row>
    <row r="3895" spans="1:6" ht="16.8" customHeight="1" x14ac:dyDescent="0.3">
      <c r="A3895" s="20">
        <v>45492</v>
      </c>
      <c r="B3895" s="31"/>
      <c r="C3895" s="31"/>
      <c r="D3895" s="31"/>
      <c r="E3895" s="25"/>
      <c r="F3895" s="26"/>
    </row>
    <row r="3896" spans="1:6" ht="16.8" customHeight="1" x14ac:dyDescent="0.3">
      <c r="A3896" s="20">
        <v>45493</v>
      </c>
      <c r="B3896" s="31"/>
      <c r="C3896" s="31"/>
      <c r="D3896" s="31"/>
      <c r="E3896" s="25"/>
      <c r="F3896" s="26"/>
    </row>
    <row r="3897" spans="1:6" ht="16.8" customHeight="1" x14ac:dyDescent="0.3">
      <c r="A3897" s="20">
        <v>45494</v>
      </c>
      <c r="B3897" s="31"/>
      <c r="C3897" s="31"/>
      <c r="D3897" s="31"/>
      <c r="E3897" s="25"/>
      <c r="F3897" s="26"/>
    </row>
    <row r="3898" spans="1:6" ht="16.8" customHeight="1" x14ac:dyDescent="0.3">
      <c r="A3898" s="20">
        <v>45495</v>
      </c>
      <c r="B3898" s="31"/>
      <c r="C3898" s="31"/>
      <c r="D3898" s="31"/>
      <c r="E3898" s="25"/>
      <c r="F3898" s="26"/>
    </row>
    <row r="3899" spans="1:6" ht="16.8" customHeight="1" x14ac:dyDescent="0.3">
      <c r="A3899" s="20">
        <v>45496</v>
      </c>
      <c r="B3899" s="31"/>
      <c r="C3899" s="31"/>
      <c r="D3899" s="31"/>
      <c r="E3899" s="25"/>
      <c r="F3899" s="26"/>
    </row>
    <row r="3900" spans="1:6" ht="16.8" customHeight="1" x14ac:dyDescent="0.3">
      <c r="A3900" s="20">
        <v>45497</v>
      </c>
      <c r="B3900" s="31"/>
      <c r="C3900" s="31"/>
      <c r="D3900" s="31"/>
      <c r="E3900" s="25"/>
      <c r="F3900" s="26"/>
    </row>
    <row r="3901" spans="1:6" ht="16.8" customHeight="1" x14ac:dyDescent="0.3">
      <c r="A3901" s="20">
        <v>45498</v>
      </c>
      <c r="B3901" s="31"/>
      <c r="C3901" s="31"/>
      <c r="D3901" s="31"/>
      <c r="E3901" s="25"/>
      <c r="F3901" s="26"/>
    </row>
    <row r="3902" spans="1:6" ht="16.8" customHeight="1" x14ac:dyDescent="0.3">
      <c r="A3902" s="20">
        <v>45499</v>
      </c>
      <c r="B3902" s="31"/>
      <c r="C3902" s="31"/>
      <c r="D3902" s="31"/>
      <c r="E3902" s="25"/>
      <c r="F3902" s="26"/>
    </row>
    <row r="3903" spans="1:6" ht="16.8" customHeight="1" x14ac:dyDescent="0.3">
      <c r="A3903" s="20">
        <v>45500</v>
      </c>
      <c r="B3903" s="31"/>
      <c r="C3903" s="31"/>
      <c r="D3903" s="31"/>
      <c r="E3903" s="25"/>
      <c r="F3903" s="26"/>
    </row>
    <row r="3904" spans="1:6" ht="16.8" customHeight="1" x14ac:dyDescent="0.3">
      <c r="A3904" s="20">
        <v>45501</v>
      </c>
      <c r="B3904" s="31"/>
      <c r="C3904" s="31"/>
      <c r="D3904" s="31"/>
      <c r="E3904" s="25"/>
      <c r="F3904" s="26"/>
    </row>
    <row r="3905" spans="1:6" ht="16.8" customHeight="1" x14ac:dyDescent="0.3">
      <c r="A3905" s="20">
        <v>45502</v>
      </c>
      <c r="B3905" s="31"/>
      <c r="C3905" s="31"/>
      <c r="D3905" s="31"/>
      <c r="E3905" s="25"/>
      <c r="F3905" s="26"/>
    </row>
    <row r="3906" spans="1:6" ht="16.8" customHeight="1" x14ac:dyDescent="0.3">
      <c r="A3906" s="20">
        <v>45503</v>
      </c>
      <c r="B3906" s="31"/>
      <c r="C3906" s="31"/>
      <c r="D3906" s="31"/>
      <c r="E3906" s="25"/>
      <c r="F3906" s="26"/>
    </row>
    <row r="3907" spans="1:6" ht="16.8" customHeight="1" x14ac:dyDescent="0.3">
      <c r="A3907" s="20">
        <v>45504</v>
      </c>
      <c r="B3907" s="31"/>
      <c r="C3907" s="31"/>
      <c r="D3907" s="31"/>
      <c r="E3907" s="25"/>
      <c r="F3907" s="26"/>
    </row>
    <row r="3908" spans="1:6" ht="16.8" customHeight="1" x14ac:dyDescent="0.3">
      <c r="A3908" s="20">
        <v>45505</v>
      </c>
      <c r="B3908" s="31"/>
      <c r="C3908" s="31"/>
      <c r="D3908" s="31"/>
      <c r="E3908" s="25"/>
      <c r="F3908" s="26"/>
    </row>
    <row r="3909" spans="1:6" ht="16.8" customHeight="1" x14ac:dyDescent="0.3">
      <c r="A3909" s="20">
        <v>45506</v>
      </c>
      <c r="B3909" s="31"/>
      <c r="C3909" s="31"/>
      <c r="D3909" s="31"/>
      <c r="E3909" s="25"/>
      <c r="F3909" s="26"/>
    </row>
    <row r="3910" spans="1:6" ht="16.8" customHeight="1" x14ac:dyDescent="0.3">
      <c r="A3910" s="20">
        <v>45507</v>
      </c>
      <c r="B3910" s="31"/>
      <c r="C3910" s="31"/>
      <c r="D3910" s="31"/>
      <c r="E3910" s="25"/>
      <c r="F3910" s="26"/>
    </row>
    <row r="3911" spans="1:6" ht="16.8" customHeight="1" x14ac:dyDescent="0.3">
      <c r="A3911" s="20">
        <v>45508</v>
      </c>
      <c r="B3911" s="31"/>
      <c r="C3911" s="31"/>
      <c r="D3911" s="31"/>
      <c r="E3911" s="25"/>
      <c r="F3911" s="26"/>
    </row>
    <row r="3912" spans="1:6" ht="16.8" customHeight="1" x14ac:dyDescent="0.3">
      <c r="A3912" s="20">
        <v>45509</v>
      </c>
      <c r="B3912" s="31"/>
      <c r="C3912" s="31"/>
      <c r="D3912" s="31"/>
      <c r="E3912" s="25"/>
      <c r="F3912" s="26"/>
    </row>
    <row r="3913" spans="1:6" ht="16.8" customHeight="1" x14ac:dyDescent="0.3">
      <c r="A3913" s="20">
        <v>45510</v>
      </c>
      <c r="B3913" s="31"/>
      <c r="C3913" s="31"/>
      <c r="D3913" s="31"/>
      <c r="E3913" s="25"/>
      <c r="F3913" s="26"/>
    </row>
    <row r="3914" spans="1:6" ht="16.8" customHeight="1" x14ac:dyDescent="0.3">
      <c r="A3914" s="20">
        <v>45511</v>
      </c>
      <c r="B3914" s="31"/>
      <c r="C3914" s="31"/>
      <c r="D3914" s="31"/>
      <c r="E3914" s="25"/>
      <c r="F3914" s="26"/>
    </row>
    <row r="3915" spans="1:6" ht="16.8" customHeight="1" x14ac:dyDescent="0.3">
      <c r="A3915" s="20">
        <v>45512</v>
      </c>
      <c r="B3915" s="31"/>
      <c r="C3915" s="31"/>
      <c r="D3915" s="31"/>
      <c r="E3915" s="25"/>
      <c r="F3915" s="26"/>
    </row>
    <row r="3916" spans="1:6" ht="16.8" customHeight="1" x14ac:dyDescent="0.3">
      <c r="A3916" s="20">
        <v>45513</v>
      </c>
      <c r="B3916" s="31"/>
      <c r="C3916" s="31"/>
      <c r="D3916" s="31"/>
      <c r="E3916" s="25"/>
      <c r="F3916" s="26"/>
    </row>
    <row r="3917" spans="1:6" ht="16.8" customHeight="1" x14ac:dyDescent="0.3">
      <c r="A3917" s="20">
        <v>45514</v>
      </c>
      <c r="B3917" s="31"/>
      <c r="C3917" s="31"/>
      <c r="D3917" s="31"/>
      <c r="E3917" s="25"/>
      <c r="F3917" s="26"/>
    </row>
    <row r="3918" spans="1:6" ht="16.8" customHeight="1" x14ac:dyDescent="0.3">
      <c r="A3918" s="20">
        <v>45515</v>
      </c>
      <c r="B3918" s="31"/>
      <c r="C3918" s="31"/>
      <c r="D3918" s="31"/>
      <c r="E3918" s="25"/>
      <c r="F3918" s="26"/>
    </row>
    <row r="3919" spans="1:6" ht="16.8" customHeight="1" x14ac:dyDescent="0.3">
      <c r="A3919" s="20">
        <v>45516</v>
      </c>
      <c r="B3919" s="31"/>
      <c r="C3919" s="31"/>
      <c r="D3919" s="31"/>
      <c r="E3919" s="25"/>
      <c r="F3919" s="26"/>
    </row>
    <row r="3920" spans="1:6" ht="16.8" customHeight="1" x14ac:dyDescent="0.3">
      <c r="A3920" s="20">
        <v>45517</v>
      </c>
      <c r="B3920" s="31"/>
      <c r="C3920" s="31"/>
      <c r="D3920" s="31"/>
      <c r="E3920" s="25"/>
      <c r="F3920" s="26"/>
    </row>
    <row r="3921" spans="1:6" ht="16.8" customHeight="1" x14ac:dyDescent="0.3">
      <c r="A3921" s="20">
        <v>45518</v>
      </c>
      <c r="B3921" s="31"/>
      <c r="C3921" s="31"/>
      <c r="D3921" s="31"/>
      <c r="E3921" s="25"/>
      <c r="F3921" s="26"/>
    </row>
    <row r="3922" spans="1:6" ht="16.8" customHeight="1" x14ac:dyDescent="0.3">
      <c r="A3922" s="20">
        <v>45519</v>
      </c>
      <c r="B3922" s="31"/>
      <c r="C3922" s="31"/>
      <c r="D3922" s="31"/>
      <c r="E3922" s="25"/>
      <c r="F3922" s="26"/>
    </row>
    <row r="3923" spans="1:6" ht="16.8" customHeight="1" x14ac:dyDescent="0.3">
      <c r="A3923" s="20">
        <v>45520</v>
      </c>
      <c r="B3923" s="31"/>
      <c r="C3923" s="31"/>
      <c r="D3923" s="31"/>
      <c r="E3923" s="25"/>
      <c r="F3923" s="26"/>
    </row>
    <row r="3924" spans="1:6" ht="16.8" customHeight="1" x14ac:dyDescent="0.3">
      <c r="A3924" s="20">
        <v>45521</v>
      </c>
      <c r="B3924" s="31"/>
      <c r="C3924" s="31"/>
      <c r="D3924" s="31"/>
      <c r="E3924" s="25"/>
      <c r="F3924" s="26"/>
    </row>
    <row r="3925" spans="1:6" ht="16.8" customHeight="1" x14ac:dyDescent="0.3">
      <c r="A3925" s="20">
        <v>45522</v>
      </c>
      <c r="B3925" s="31"/>
      <c r="C3925" s="31"/>
      <c r="D3925" s="31"/>
      <c r="E3925" s="25"/>
      <c r="F3925" s="26"/>
    </row>
    <row r="3926" spans="1:6" ht="16.8" customHeight="1" x14ac:dyDescent="0.3">
      <c r="A3926" s="20">
        <v>45523</v>
      </c>
      <c r="B3926" s="31"/>
      <c r="C3926" s="31"/>
      <c r="D3926" s="31"/>
      <c r="E3926" s="25"/>
      <c r="F3926" s="26"/>
    </row>
    <row r="3927" spans="1:6" ht="16.8" customHeight="1" x14ac:dyDescent="0.3">
      <c r="A3927" s="20">
        <v>45524</v>
      </c>
      <c r="B3927" s="31"/>
      <c r="C3927" s="31"/>
      <c r="D3927" s="31"/>
      <c r="E3927" s="25"/>
      <c r="F3927" s="26"/>
    </row>
    <row r="3928" spans="1:6" ht="16.8" customHeight="1" x14ac:dyDescent="0.3">
      <c r="A3928" s="20">
        <v>45525</v>
      </c>
      <c r="B3928" s="31"/>
      <c r="C3928" s="31"/>
      <c r="D3928" s="31"/>
      <c r="E3928" s="25"/>
      <c r="F3928" s="26"/>
    </row>
    <row r="3929" spans="1:6" ht="16.8" customHeight="1" x14ac:dyDescent="0.3">
      <c r="A3929" s="20">
        <v>45526</v>
      </c>
      <c r="B3929" s="31"/>
      <c r="C3929" s="31"/>
      <c r="D3929" s="31"/>
      <c r="E3929" s="25"/>
      <c r="F3929" s="26"/>
    </row>
    <row r="3930" spans="1:6" ht="16.8" customHeight="1" x14ac:dyDescent="0.3">
      <c r="A3930" s="20">
        <v>45527</v>
      </c>
      <c r="B3930" s="31"/>
      <c r="C3930" s="31"/>
      <c r="D3930" s="31"/>
      <c r="E3930" s="25"/>
      <c r="F3930" s="26"/>
    </row>
    <row r="3931" spans="1:6" ht="16.8" customHeight="1" x14ac:dyDescent="0.3">
      <c r="A3931" s="20">
        <v>45528</v>
      </c>
      <c r="B3931" s="31"/>
      <c r="C3931" s="31"/>
      <c r="D3931" s="31"/>
      <c r="E3931" s="25"/>
      <c r="F3931" s="26"/>
    </row>
    <row r="3932" spans="1:6" ht="16.8" customHeight="1" x14ac:dyDescent="0.3">
      <c r="A3932" s="20">
        <v>45529</v>
      </c>
      <c r="B3932" s="31"/>
      <c r="C3932" s="31"/>
      <c r="D3932" s="31"/>
      <c r="E3932" s="25"/>
      <c r="F3932" s="26"/>
    </row>
    <row r="3933" spans="1:6" ht="16.8" customHeight="1" x14ac:dyDescent="0.3">
      <c r="A3933" s="20">
        <v>45530</v>
      </c>
      <c r="B3933" s="31"/>
      <c r="C3933" s="31"/>
      <c r="D3933" s="31"/>
      <c r="E3933" s="25"/>
      <c r="F3933" s="26"/>
    </row>
    <row r="3934" spans="1:6" ht="16.8" customHeight="1" x14ac:dyDescent="0.3">
      <c r="A3934" s="20">
        <v>45531</v>
      </c>
      <c r="B3934" s="31"/>
      <c r="C3934" s="31"/>
      <c r="D3934" s="31"/>
      <c r="E3934" s="25"/>
      <c r="F3934" s="26"/>
    </row>
    <row r="3935" spans="1:6" ht="16.8" customHeight="1" x14ac:dyDescent="0.3">
      <c r="A3935" s="20">
        <v>45532</v>
      </c>
      <c r="B3935" s="31"/>
      <c r="C3935" s="31"/>
      <c r="D3935" s="31"/>
      <c r="E3935" s="25"/>
      <c r="F3935" s="26"/>
    </row>
    <row r="3936" spans="1:6" ht="16.8" customHeight="1" x14ac:dyDescent="0.3">
      <c r="A3936" s="20">
        <v>45533</v>
      </c>
      <c r="B3936" s="31"/>
      <c r="C3936" s="31"/>
      <c r="D3936" s="31"/>
      <c r="E3936" s="25"/>
      <c r="F3936" s="26"/>
    </row>
    <row r="3937" spans="1:6" ht="16.8" customHeight="1" x14ac:dyDescent="0.3">
      <c r="A3937" s="20">
        <v>45534</v>
      </c>
      <c r="B3937" s="31"/>
      <c r="C3937" s="31"/>
      <c r="D3937" s="31"/>
      <c r="E3937" s="25"/>
      <c r="F3937" s="26"/>
    </row>
    <row r="3938" spans="1:6" ht="16.8" customHeight="1" x14ac:dyDescent="0.3">
      <c r="A3938" s="20">
        <v>45535</v>
      </c>
      <c r="B3938" s="31"/>
      <c r="C3938" s="31"/>
      <c r="D3938" s="31"/>
      <c r="E3938" s="25"/>
      <c r="F3938" s="26"/>
    </row>
    <row r="3939" spans="1:6" ht="16.8" customHeight="1" x14ac:dyDescent="0.3">
      <c r="A3939" s="20">
        <v>45536</v>
      </c>
      <c r="B3939" s="31"/>
      <c r="C3939" s="31"/>
      <c r="D3939" s="31"/>
      <c r="E3939" s="25"/>
      <c r="F3939" s="26"/>
    </row>
    <row r="3940" spans="1:6" ht="16.8" customHeight="1" x14ac:dyDescent="0.3">
      <c r="A3940" s="20">
        <v>45537</v>
      </c>
      <c r="B3940" s="31"/>
      <c r="C3940" s="31"/>
      <c r="D3940" s="31"/>
      <c r="E3940" s="25"/>
      <c r="F3940" s="26"/>
    </row>
    <row r="3941" spans="1:6" ht="16.8" customHeight="1" x14ac:dyDescent="0.3">
      <c r="A3941" s="20">
        <v>45538</v>
      </c>
      <c r="B3941" s="31"/>
      <c r="C3941" s="31"/>
      <c r="D3941" s="31"/>
      <c r="E3941" s="25"/>
      <c r="F3941" s="26"/>
    </row>
    <row r="3942" spans="1:6" ht="16.8" customHeight="1" x14ac:dyDescent="0.3">
      <c r="A3942" s="20">
        <v>45539</v>
      </c>
      <c r="B3942" s="31"/>
      <c r="C3942" s="31"/>
      <c r="D3942" s="31"/>
      <c r="E3942" s="25"/>
      <c r="F3942" s="26"/>
    </row>
    <row r="3943" spans="1:6" ht="16.8" customHeight="1" x14ac:dyDescent="0.3">
      <c r="A3943" s="20">
        <v>45540</v>
      </c>
      <c r="B3943" s="31"/>
      <c r="C3943" s="31"/>
      <c r="D3943" s="31"/>
      <c r="E3943" s="25"/>
      <c r="F3943" s="26"/>
    </row>
    <row r="3944" spans="1:6" ht="16.8" customHeight="1" x14ac:dyDescent="0.3">
      <c r="A3944" s="20">
        <v>45541</v>
      </c>
      <c r="B3944" s="31"/>
      <c r="C3944" s="31"/>
      <c r="D3944" s="31"/>
      <c r="E3944" s="25"/>
      <c r="F3944" s="26"/>
    </row>
    <row r="3945" spans="1:6" ht="16.8" customHeight="1" x14ac:dyDescent="0.3">
      <c r="A3945" s="20">
        <v>45542</v>
      </c>
      <c r="B3945" s="31"/>
      <c r="C3945" s="31"/>
      <c r="D3945" s="31"/>
      <c r="E3945" s="25"/>
      <c r="F3945" s="26"/>
    </row>
    <row r="3946" spans="1:6" ht="16.8" customHeight="1" x14ac:dyDescent="0.3">
      <c r="A3946" s="20">
        <v>45543</v>
      </c>
      <c r="B3946" s="31"/>
      <c r="C3946" s="31"/>
      <c r="D3946" s="31"/>
      <c r="E3946" s="25"/>
      <c r="F3946" s="26"/>
    </row>
    <row r="3947" spans="1:6" ht="16.8" customHeight="1" x14ac:dyDescent="0.3">
      <c r="A3947" s="20">
        <v>45544</v>
      </c>
      <c r="B3947" s="31"/>
      <c r="C3947" s="31"/>
      <c r="D3947" s="31"/>
      <c r="E3947" s="25"/>
      <c r="F3947" s="26"/>
    </row>
    <row r="3948" spans="1:6" ht="16.8" customHeight="1" x14ac:dyDescent="0.3">
      <c r="A3948" s="20">
        <v>45545</v>
      </c>
      <c r="B3948" s="31"/>
      <c r="C3948" s="31"/>
      <c r="D3948" s="31"/>
      <c r="E3948" s="25"/>
      <c r="F3948" s="26"/>
    </row>
    <row r="3949" spans="1:6" ht="16.8" customHeight="1" x14ac:dyDescent="0.3">
      <c r="A3949" s="20">
        <v>45546</v>
      </c>
      <c r="B3949" s="31"/>
      <c r="C3949" s="31"/>
      <c r="D3949" s="31"/>
      <c r="E3949" s="25"/>
      <c r="F3949" s="26"/>
    </row>
    <row r="3950" spans="1:6" ht="16.8" customHeight="1" x14ac:dyDescent="0.3">
      <c r="A3950" s="20">
        <v>45547</v>
      </c>
      <c r="B3950" s="31"/>
      <c r="C3950" s="31"/>
      <c r="D3950" s="31"/>
      <c r="E3950" s="25"/>
      <c r="F3950" s="26"/>
    </row>
    <row r="3951" spans="1:6" ht="16.8" customHeight="1" x14ac:dyDescent="0.3">
      <c r="A3951" s="20">
        <v>45548</v>
      </c>
      <c r="B3951" s="31"/>
      <c r="C3951" s="31"/>
      <c r="D3951" s="31"/>
      <c r="E3951" s="25"/>
      <c r="F3951" s="26"/>
    </row>
    <row r="3952" spans="1:6" ht="16.8" customHeight="1" x14ac:dyDescent="0.3">
      <c r="A3952" s="20">
        <v>45549</v>
      </c>
      <c r="B3952" s="31"/>
      <c r="C3952" s="31"/>
      <c r="D3952" s="31"/>
      <c r="E3952" s="25"/>
      <c r="F3952" s="26"/>
    </row>
    <row r="3953" spans="1:6" ht="16.8" customHeight="1" x14ac:dyDescent="0.3">
      <c r="A3953" s="20">
        <v>45550</v>
      </c>
      <c r="B3953" s="31"/>
      <c r="C3953" s="31"/>
      <c r="D3953" s="31"/>
      <c r="E3953" s="25"/>
      <c r="F3953" s="26"/>
    </row>
    <row r="3954" spans="1:6" ht="16.8" customHeight="1" x14ac:dyDescent="0.3">
      <c r="A3954" s="20">
        <v>45551</v>
      </c>
      <c r="B3954" s="31"/>
      <c r="C3954" s="31"/>
      <c r="D3954" s="31"/>
      <c r="E3954" s="25"/>
      <c r="F3954" s="26"/>
    </row>
    <row r="3955" spans="1:6" ht="16.8" customHeight="1" x14ac:dyDescent="0.3">
      <c r="A3955" s="20">
        <v>45552</v>
      </c>
      <c r="B3955" s="31"/>
      <c r="C3955" s="31"/>
      <c r="D3955" s="31"/>
      <c r="E3955" s="25"/>
      <c r="F3955" s="26"/>
    </row>
    <row r="3956" spans="1:6" ht="16.8" customHeight="1" x14ac:dyDescent="0.3">
      <c r="A3956" s="20">
        <v>45553</v>
      </c>
      <c r="B3956" s="31"/>
      <c r="C3956" s="31"/>
      <c r="D3956" s="31"/>
      <c r="E3956" s="25"/>
      <c r="F3956" s="26"/>
    </row>
    <row r="3957" spans="1:6" ht="16.8" customHeight="1" x14ac:dyDescent="0.3">
      <c r="A3957" s="20">
        <v>45554</v>
      </c>
      <c r="B3957" s="31"/>
      <c r="C3957" s="31"/>
      <c r="D3957" s="31"/>
      <c r="E3957" s="25"/>
      <c r="F3957" s="26"/>
    </row>
    <row r="3958" spans="1:6" ht="16.8" customHeight="1" x14ac:dyDescent="0.3">
      <c r="A3958" s="20">
        <v>45555</v>
      </c>
      <c r="B3958" s="31"/>
      <c r="C3958" s="31"/>
      <c r="D3958" s="31"/>
      <c r="E3958" s="25"/>
      <c r="F3958" s="26"/>
    </row>
    <row r="3959" spans="1:6" ht="16.8" customHeight="1" x14ac:dyDescent="0.3">
      <c r="A3959" s="20">
        <v>45556</v>
      </c>
      <c r="B3959" s="31"/>
      <c r="C3959" s="31"/>
      <c r="D3959" s="31"/>
      <c r="E3959" s="25"/>
      <c r="F3959" s="26"/>
    </row>
    <row r="3960" spans="1:6" ht="16.8" customHeight="1" x14ac:dyDescent="0.3">
      <c r="A3960" s="20">
        <v>45557</v>
      </c>
      <c r="B3960" s="31"/>
      <c r="C3960" s="31"/>
      <c r="D3960" s="31"/>
      <c r="E3960" s="25"/>
      <c r="F3960" s="26"/>
    </row>
    <row r="3961" spans="1:6" ht="16.8" customHeight="1" x14ac:dyDescent="0.3">
      <c r="A3961" s="20">
        <v>45558</v>
      </c>
      <c r="B3961" s="31"/>
      <c r="C3961" s="31"/>
      <c r="D3961" s="31"/>
      <c r="E3961" s="25"/>
      <c r="F3961" s="26"/>
    </row>
    <row r="3962" spans="1:6" ht="16.8" customHeight="1" x14ac:dyDescent="0.3">
      <c r="A3962" s="20">
        <v>45559</v>
      </c>
      <c r="B3962" s="31"/>
      <c r="C3962" s="31"/>
      <c r="D3962" s="31"/>
      <c r="E3962" s="25"/>
      <c r="F3962" s="26"/>
    </row>
    <row r="3963" spans="1:6" ht="16.8" customHeight="1" x14ac:dyDescent="0.3">
      <c r="A3963" s="20">
        <v>45560</v>
      </c>
      <c r="B3963" s="31"/>
      <c r="C3963" s="31"/>
      <c r="D3963" s="31"/>
      <c r="E3963" s="25"/>
      <c r="F3963" s="26"/>
    </row>
    <row r="3964" spans="1:6" ht="16.8" customHeight="1" x14ac:dyDescent="0.3">
      <c r="A3964" s="20">
        <v>45561</v>
      </c>
      <c r="B3964" s="31"/>
      <c r="C3964" s="31"/>
      <c r="D3964" s="31"/>
      <c r="E3964" s="25"/>
      <c r="F3964" s="26"/>
    </row>
    <row r="3965" spans="1:6" ht="16.8" customHeight="1" x14ac:dyDescent="0.3">
      <c r="A3965" s="20">
        <v>45562</v>
      </c>
      <c r="B3965" s="31"/>
      <c r="C3965" s="31"/>
      <c r="D3965" s="31"/>
      <c r="E3965" s="25"/>
      <c r="F3965" s="26"/>
    </row>
    <row r="3966" spans="1:6" ht="16.8" customHeight="1" x14ac:dyDescent="0.3">
      <c r="A3966" s="20">
        <v>45563</v>
      </c>
      <c r="B3966" s="31"/>
      <c r="C3966" s="31"/>
      <c r="D3966" s="31"/>
      <c r="E3966" s="25"/>
      <c r="F3966" s="26"/>
    </row>
    <row r="3967" spans="1:6" ht="16.8" customHeight="1" x14ac:dyDescent="0.3">
      <c r="A3967" s="20">
        <v>45564</v>
      </c>
      <c r="B3967" s="31"/>
      <c r="C3967" s="31"/>
      <c r="D3967" s="31"/>
      <c r="E3967" s="25"/>
      <c r="F3967" s="26"/>
    </row>
    <row r="3968" spans="1:6" ht="16.8" customHeight="1" x14ac:dyDescent="0.3">
      <c r="A3968" s="20">
        <v>45565</v>
      </c>
      <c r="B3968" s="31"/>
      <c r="C3968" s="31"/>
      <c r="D3968" s="31"/>
      <c r="E3968" s="25"/>
      <c r="F3968" s="26"/>
    </row>
    <row r="3969" spans="1:6" ht="16.8" customHeight="1" x14ac:dyDescent="0.3">
      <c r="A3969" s="20">
        <v>45566</v>
      </c>
      <c r="B3969" s="31"/>
      <c r="C3969" s="31"/>
      <c r="D3969" s="31"/>
      <c r="E3969" s="25"/>
      <c r="F3969" s="26"/>
    </row>
    <row r="3970" spans="1:6" ht="16.8" customHeight="1" x14ac:dyDescent="0.3">
      <c r="A3970" s="20">
        <v>45567</v>
      </c>
      <c r="B3970" s="31"/>
      <c r="C3970" s="31"/>
      <c r="D3970" s="31"/>
      <c r="E3970" s="25"/>
      <c r="F3970" s="26"/>
    </row>
    <row r="3971" spans="1:6" ht="16.8" customHeight="1" x14ac:dyDescent="0.3">
      <c r="A3971" s="20">
        <v>45568</v>
      </c>
      <c r="B3971" s="31"/>
      <c r="C3971" s="31"/>
      <c r="D3971" s="31"/>
      <c r="E3971" s="25"/>
      <c r="F3971" s="26"/>
    </row>
    <row r="3972" spans="1:6" ht="16.8" customHeight="1" x14ac:dyDescent="0.3">
      <c r="A3972" s="20">
        <v>45569</v>
      </c>
      <c r="B3972" s="31"/>
      <c r="C3972" s="31"/>
      <c r="D3972" s="31"/>
      <c r="E3972" s="25"/>
      <c r="F3972" s="26"/>
    </row>
    <row r="3973" spans="1:6" ht="16.8" customHeight="1" x14ac:dyDescent="0.3">
      <c r="A3973" s="20">
        <v>45570</v>
      </c>
      <c r="B3973" s="31"/>
      <c r="C3973" s="31"/>
      <c r="D3973" s="31"/>
      <c r="E3973" s="25"/>
      <c r="F3973" s="26"/>
    </row>
    <row r="3974" spans="1:6" ht="16.8" customHeight="1" x14ac:dyDescent="0.3">
      <c r="A3974" s="20">
        <v>45571</v>
      </c>
      <c r="B3974" s="31"/>
      <c r="C3974" s="31"/>
      <c r="D3974" s="31"/>
      <c r="E3974" s="25"/>
      <c r="F3974" s="26"/>
    </row>
    <row r="3975" spans="1:6" ht="16.8" customHeight="1" x14ac:dyDescent="0.3">
      <c r="A3975" s="20">
        <v>45572</v>
      </c>
      <c r="B3975" s="31"/>
      <c r="C3975" s="31"/>
      <c r="D3975" s="31"/>
      <c r="E3975" s="25"/>
      <c r="F3975" s="26"/>
    </row>
    <row r="3976" spans="1:6" ht="16.8" customHeight="1" x14ac:dyDescent="0.3">
      <c r="A3976" s="20">
        <v>45573</v>
      </c>
      <c r="B3976" s="31"/>
      <c r="C3976" s="31"/>
      <c r="D3976" s="31"/>
      <c r="E3976" s="25"/>
      <c r="F3976" s="26"/>
    </row>
    <row r="3977" spans="1:6" ht="16.8" customHeight="1" x14ac:dyDescent="0.3">
      <c r="A3977" s="20">
        <v>45574</v>
      </c>
      <c r="B3977" s="31"/>
      <c r="C3977" s="31"/>
      <c r="D3977" s="31"/>
      <c r="E3977" s="25"/>
      <c r="F3977" s="26"/>
    </row>
    <row r="3978" spans="1:6" ht="16.8" customHeight="1" x14ac:dyDescent="0.3">
      <c r="A3978" s="20">
        <v>45575</v>
      </c>
      <c r="B3978" s="31"/>
      <c r="C3978" s="31"/>
      <c r="D3978" s="31"/>
      <c r="E3978" s="25"/>
      <c r="F3978" s="26"/>
    </row>
    <row r="3979" spans="1:6" ht="16.8" customHeight="1" x14ac:dyDescent="0.3">
      <c r="A3979" s="20">
        <v>45576</v>
      </c>
      <c r="B3979" s="31"/>
      <c r="C3979" s="31"/>
      <c r="D3979" s="31"/>
      <c r="E3979" s="25"/>
      <c r="F3979" s="26"/>
    </row>
    <row r="3980" spans="1:6" ht="16.8" customHeight="1" x14ac:dyDescent="0.3">
      <c r="A3980" s="20">
        <v>45577</v>
      </c>
      <c r="B3980" s="31"/>
      <c r="C3980" s="31"/>
      <c r="D3980" s="31"/>
      <c r="E3980" s="25"/>
      <c r="F3980" s="26"/>
    </row>
    <row r="3981" spans="1:6" ht="16.8" customHeight="1" x14ac:dyDescent="0.3">
      <c r="A3981" s="20">
        <v>45578</v>
      </c>
      <c r="B3981" s="31"/>
      <c r="C3981" s="31"/>
      <c r="D3981" s="31"/>
      <c r="E3981" s="25"/>
      <c r="F3981" s="26"/>
    </row>
    <row r="3982" spans="1:6" ht="16.8" customHeight="1" x14ac:dyDescent="0.3">
      <c r="A3982" s="20">
        <v>45579</v>
      </c>
      <c r="B3982" s="31"/>
      <c r="C3982" s="31"/>
      <c r="D3982" s="31"/>
      <c r="E3982" s="25"/>
      <c r="F3982" s="26"/>
    </row>
    <row r="3983" spans="1:6" ht="16.8" customHeight="1" x14ac:dyDescent="0.3">
      <c r="A3983" s="20">
        <v>45580</v>
      </c>
      <c r="B3983" s="31"/>
      <c r="C3983" s="31"/>
      <c r="D3983" s="31"/>
      <c r="E3983" s="25"/>
      <c r="F3983" s="26"/>
    </row>
    <row r="3984" spans="1:6" ht="16.8" customHeight="1" x14ac:dyDescent="0.3">
      <c r="A3984" s="20">
        <v>45581</v>
      </c>
      <c r="B3984" s="31"/>
      <c r="C3984" s="31"/>
      <c r="D3984" s="31"/>
      <c r="E3984" s="25"/>
      <c r="F3984" s="26"/>
    </row>
    <row r="3985" spans="1:6" ht="16.8" customHeight="1" x14ac:dyDescent="0.3">
      <c r="A3985" s="20">
        <v>45582</v>
      </c>
      <c r="B3985" s="31"/>
      <c r="C3985" s="31"/>
      <c r="D3985" s="31"/>
      <c r="E3985" s="25"/>
      <c r="F3985" s="26"/>
    </row>
    <row r="3986" spans="1:6" ht="16.8" customHeight="1" x14ac:dyDescent="0.3">
      <c r="A3986" s="20">
        <v>45583</v>
      </c>
      <c r="B3986" s="31"/>
      <c r="C3986" s="31"/>
      <c r="D3986" s="31"/>
      <c r="E3986" s="25"/>
      <c r="F3986" s="26"/>
    </row>
    <row r="3987" spans="1:6" ht="16.8" customHeight="1" x14ac:dyDescent="0.3">
      <c r="A3987" s="20">
        <v>45584</v>
      </c>
      <c r="B3987" s="31"/>
      <c r="C3987" s="31"/>
      <c r="D3987" s="31"/>
      <c r="E3987" s="25"/>
      <c r="F3987" s="26"/>
    </row>
    <row r="3988" spans="1:6" ht="16.8" customHeight="1" x14ac:dyDescent="0.3">
      <c r="A3988" s="20">
        <v>45585</v>
      </c>
      <c r="B3988" s="31"/>
      <c r="C3988" s="31"/>
      <c r="D3988" s="31"/>
      <c r="E3988" s="25"/>
      <c r="F3988" s="26"/>
    </row>
    <row r="3989" spans="1:6" ht="16.8" customHeight="1" x14ac:dyDescent="0.3">
      <c r="A3989" s="20">
        <v>45586</v>
      </c>
      <c r="B3989" s="31"/>
      <c r="C3989" s="31"/>
      <c r="D3989" s="31"/>
      <c r="E3989" s="25"/>
      <c r="F3989" s="26"/>
    </row>
    <row r="3990" spans="1:6" ht="16.8" customHeight="1" x14ac:dyDescent="0.3">
      <c r="A3990" s="20">
        <v>45587</v>
      </c>
      <c r="B3990" s="31"/>
      <c r="C3990" s="31"/>
      <c r="D3990" s="31"/>
      <c r="E3990" s="25"/>
      <c r="F3990" s="26"/>
    </row>
    <row r="3991" spans="1:6" ht="16.8" customHeight="1" x14ac:dyDescent="0.3">
      <c r="A3991" s="20">
        <v>45588</v>
      </c>
      <c r="B3991" s="31"/>
      <c r="C3991" s="31"/>
      <c r="D3991" s="31"/>
      <c r="E3991" s="25"/>
      <c r="F3991" s="26"/>
    </row>
    <row r="3992" spans="1:6" ht="16.8" customHeight="1" x14ac:dyDescent="0.3">
      <c r="A3992" s="20">
        <v>45589</v>
      </c>
      <c r="B3992" s="31"/>
      <c r="C3992" s="31"/>
      <c r="D3992" s="31"/>
      <c r="E3992" s="25"/>
      <c r="F3992" s="26"/>
    </row>
    <row r="3993" spans="1:6" ht="16.8" customHeight="1" x14ac:dyDescent="0.3">
      <c r="A3993" s="20">
        <v>45590</v>
      </c>
      <c r="B3993" s="31"/>
      <c r="C3993" s="31"/>
      <c r="D3993" s="31"/>
      <c r="E3993" s="25"/>
      <c r="F3993" s="26"/>
    </row>
    <row r="3994" spans="1:6" ht="16.8" customHeight="1" x14ac:dyDescent="0.3">
      <c r="A3994" s="20">
        <v>45591</v>
      </c>
      <c r="B3994" s="31"/>
      <c r="C3994" s="31"/>
      <c r="D3994" s="31"/>
      <c r="E3994" s="25"/>
      <c r="F3994" s="26"/>
    </row>
    <row r="3995" spans="1:6" ht="16.8" customHeight="1" x14ac:dyDescent="0.3">
      <c r="A3995" s="20">
        <v>45592</v>
      </c>
      <c r="B3995" s="31"/>
      <c r="C3995" s="31"/>
      <c r="D3995" s="31"/>
      <c r="E3995" s="25"/>
      <c r="F3995" s="26"/>
    </row>
    <row r="3996" spans="1:6" ht="16.8" customHeight="1" x14ac:dyDescent="0.3">
      <c r="A3996" s="20">
        <v>45593</v>
      </c>
      <c r="B3996" s="31"/>
      <c r="C3996" s="31"/>
      <c r="D3996" s="31"/>
      <c r="E3996" s="25"/>
      <c r="F3996" s="26"/>
    </row>
    <row r="3997" spans="1:6" ht="16.8" customHeight="1" x14ac:dyDescent="0.3">
      <c r="A3997" s="20">
        <v>45594</v>
      </c>
      <c r="B3997" s="31"/>
      <c r="C3997" s="31"/>
      <c r="D3997" s="31"/>
      <c r="E3997" s="25"/>
      <c r="F3997" s="26"/>
    </row>
    <row r="3998" spans="1:6" ht="16.8" customHeight="1" x14ac:dyDescent="0.3">
      <c r="A3998" s="20">
        <v>45595</v>
      </c>
      <c r="B3998" s="31"/>
      <c r="C3998" s="31"/>
      <c r="D3998" s="31"/>
      <c r="E3998" s="25"/>
      <c r="F3998" s="26"/>
    </row>
    <row r="3999" spans="1:6" ht="16.8" customHeight="1" x14ac:dyDescent="0.3">
      <c r="A3999" s="20">
        <v>45596</v>
      </c>
      <c r="B3999" s="31"/>
      <c r="C3999" s="31"/>
      <c r="D3999" s="31"/>
      <c r="E3999" s="25"/>
      <c r="F3999" s="26"/>
    </row>
    <row r="4000" spans="1:6" ht="16.8" customHeight="1" x14ac:dyDescent="0.3">
      <c r="A4000" s="20">
        <v>45597</v>
      </c>
      <c r="B4000" s="31"/>
      <c r="C4000" s="31"/>
      <c r="D4000" s="31"/>
      <c r="E4000" s="25"/>
      <c r="F4000" s="26"/>
    </row>
    <row r="4001" spans="1:6" ht="16.8" customHeight="1" x14ac:dyDescent="0.3">
      <c r="A4001" s="20">
        <v>45598</v>
      </c>
      <c r="B4001" s="31"/>
      <c r="C4001" s="31"/>
      <c r="D4001" s="31"/>
      <c r="E4001" s="25"/>
      <c r="F4001" s="26"/>
    </row>
    <row r="4002" spans="1:6" ht="16.8" customHeight="1" x14ac:dyDescent="0.3">
      <c r="A4002" s="20">
        <v>45599</v>
      </c>
      <c r="B4002" s="31"/>
      <c r="C4002" s="31"/>
      <c r="D4002" s="31"/>
      <c r="E4002" s="25"/>
      <c r="F4002" s="26"/>
    </row>
    <row r="4003" spans="1:6" ht="16.8" customHeight="1" x14ac:dyDescent="0.3">
      <c r="A4003" s="20">
        <v>45600</v>
      </c>
      <c r="B4003" s="31"/>
      <c r="C4003" s="31"/>
      <c r="D4003" s="31"/>
      <c r="E4003" s="25"/>
      <c r="F4003" s="26"/>
    </row>
    <row r="4004" spans="1:6" ht="16.8" customHeight="1" x14ac:dyDescent="0.3">
      <c r="A4004" s="20">
        <v>45601</v>
      </c>
      <c r="B4004" s="31"/>
      <c r="C4004" s="31"/>
      <c r="D4004" s="31"/>
      <c r="E4004" s="25"/>
      <c r="F4004" s="26"/>
    </row>
    <row r="4005" spans="1:6" ht="16.8" customHeight="1" x14ac:dyDescent="0.3">
      <c r="A4005" s="20">
        <v>45602</v>
      </c>
      <c r="B4005" s="31"/>
      <c r="C4005" s="31"/>
      <c r="D4005" s="31"/>
      <c r="E4005" s="25"/>
      <c r="F4005" s="26"/>
    </row>
    <row r="4006" spans="1:6" ht="16.8" customHeight="1" x14ac:dyDescent="0.3">
      <c r="A4006" s="20">
        <v>45603</v>
      </c>
      <c r="B4006" s="31"/>
      <c r="C4006" s="31"/>
      <c r="D4006" s="31"/>
      <c r="E4006" s="25"/>
      <c r="F4006" s="26"/>
    </row>
    <row r="4007" spans="1:6" ht="16.8" customHeight="1" x14ac:dyDescent="0.3">
      <c r="A4007" s="20">
        <v>45604</v>
      </c>
      <c r="B4007" s="31"/>
      <c r="C4007" s="31"/>
      <c r="D4007" s="31"/>
      <c r="E4007" s="25"/>
      <c r="F4007" s="26"/>
    </row>
    <row r="4008" spans="1:6" ht="16.8" customHeight="1" x14ac:dyDescent="0.3">
      <c r="A4008" s="20">
        <v>45605</v>
      </c>
      <c r="B4008" s="31"/>
      <c r="C4008" s="31"/>
      <c r="D4008" s="31"/>
      <c r="E4008" s="25"/>
      <c r="F4008" s="26"/>
    </row>
    <row r="4009" spans="1:6" ht="16.8" customHeight="1" x14ac:dyDescent="0.3">
      <c r="A4009" s="20">
        <v>45606</v>
      </c>
      <c r="B4009" s="31"/>
      <c r="C4009" s="31"/>
      <c r="D4009" s="31"/>
      <c r="E4009" s="25"/>
      <c r="F4009" s="26"/>
    </row>
    <row r="4010" spans="1:6" ht="16.8" customHeight="1" x14ac:dyDescent="0.3">
      <c r="A4010" s="20">
        <v>45607</v>
      </c>
      <c r="B4010" s="31"/>
      <c r="C4010" s="31"/>
      <c r="D4010" s="31"/>
      <c r="E4010" s="25"/>
      <c r="F4010" s="26"/>
    </row>
    <row r="4011" spans="1:6" ht="16.8" customHeight="1" x14ac:dyDescent="0.3">
      <c r="A4011" s="20">
        <v>45608</v>
      </c>
      <c r="B4011" s="31"/>
      <c r="C4011" s="31"/>
      <c r="D4011" s="31"/>
      <c r="E4011" s="25"/>
      <c r="F4011" s="26"/>
    </row>
    <row r="4012" spans="1:6" ht="16.8" customHeight="1" x14ac:dyDescent="0.3">
      <c r="A4012" s="20">
        <v>45609</v>
      </c>
      <c r="B4012" s="31"/>
      <c r="C4012" s="31"/>
      <c r="D4012" s="31"/>
      <c r="E4012" s="25"/>
      <c r="F4012" s="26"/>
    </row>
    <row r="4013" spans="1:6" ht="16.8" customHeight="1" x14ac:dyDescent="0.3">
      <c r="A4013" s="20">
        <v>45610</v>
      </c>
      <c r="B4013" s="31"/>
      <c r="C4013" s="31"/>
      <c r="D4013" s="31"/>
      <c r="E4013" s="25"/>
      <c r="F4013" s="26"/>
    </row>
    <row r="4014" spans="1:6" ht="16.8" customHeight="1" x14ac:dyDescent="0.3">
      <c r="A4014" s="20">
        <v>45611</v>
      </c>
      <c r="B4014" s="31"/>
      <c r="C4014" s="31"/>
      <c r="D4014" s="31"/>
      <c r="E4014" s="25"/>
      <c r="F4014" s="26"/>
    </row>
    <row r="4015" spans="1:6" ht="16.8" customHeight="1" x14ac:dyDescent="0.3">
      <c r="A4015" s="20">
        <v>45612</v>
      </c>
      <c r="B4015" s="31"/>
      <c r="C4015" s="31"/>
      <c r="D4015" s="31"/>
      <c r="E4015" s="25"/>
      <c r="F4015" s="26"/>
    </row>
    <row r="4016" spans="1:6" ht="16.8" customHeight="1" x14ac:dyDescent="0.3">
      <c r="A4016" s="20">
        <v>45613</v>
      </c>
      <c r="B4016" s="31"/>
      <c r="C4016" s="31"/>
      <c r="D4016" s="31"/>
      <c r="E4016" s="25"/>
      <c r="F4016" s="26"/>
    </row>
    <row r="4017" spans="1:6" ht="16.8" customHeight="1" x14ac:dyDescent="0.3">
      <c r="A4017" s="20">
        <v>45614</v>
      </c>
      <c r="B4017" s="31"/>
      <c r="C4017" s="31"/>
      <c r="D4017" s="31"/>
      <c r="E4017" s="25"/>
      <c r="F4017" s="26"/>
    </row>
    <row r="4018" spans="1:6" ht="16.8" customHeight="1" x14ac:dyDescent="0.3">
      <c r="A4018" s="20">
        <v>45615</v>
      </c>
      <c r="B4018" s="31"/>
      <c r="C4018" s="31"/>
      <c r="D4018" s="31"/>
      <c r="E4018" s="25"/>
      <c r="F4018" s="26"/>
    </row>
    <row r="4019" spans="1:6" ht="16.8" customHeight="1" x14ac:dyDescent="0.3">
      <c r="A4019" s="20">
        <v>45616</v>
      </c>
      <c r="B4019" s="31"/>
      <c r="C4019" s="31"/>
      <c r="D4019" s="31"/>
      <c r="E4019" s="25"/>
      <c r="F4019" s="26"/>
    </row>
    <row r="4020" spans="1:6" ht="16.8" customHeight="1" x14ac:dyDescent="0.3">
      <c r="A4020" s="20">
        <v>45617</v>
      </c>
      <c r="B4020" s="31"/>
      <c r="C4020" s="31"/>
      <c r="D4020" s="31"/>
      <c r="E4020" s="25"/>
      <c r="F4020" s="26"/>
    </row>
    <row r="4021" spans="1:6" ht="16.8" customHeight="1" x14ac:dyDescent="0.3">
      <c r="A4021" s="20">
        <v>45618</v>
      </c>
      <c r="B4021" s="31"/>
      <c r="C4021" s="31"/>
      <c r="D4021" s="31"/>
      <c r="E4021" s="25"/>
      <c r="F4021" s="26"/>
    </row>
    <row r="4022" spans="1:6" ht="16.8" customHeight="1" x14ac:dyDescent="0.3">
      <c r="A4022" s="20">
        <v>45619</v>
      </c>
      <c r="B4022" s="31"/>
      <c r="C4022" s="31"/>
      <c r="D4022" s="31"/>
      <c r="E4022" s="25"/>
      <c r="F4022" s="26"/>
    </row>
    <row r="4023" spans="1:6" ht="16.8" customHeight="1" x14ac:dyDescent="0.3">
      <c r="A4023" s="20">
        <v>45620</v>
      </c>
      <c r="B4023" s="31"/>
      <c r="C4023" s="31"/>
      <c r="D4023" s="31"/>
      <c r="E4023" s="25"/>
      <c r="F4023" s="26"/>
    </row>
    <row r="4024" spans="1:6" ht="16.8" customHeight="1" x14ac:dyDescent="0.3">
      <c r="A4024" s="20">
        <v>45621</v>
      </c>
      <c r="B4024" s="31"/>
      <c r="C4024" s="31"/>
      <c r="D4024" s="31"/>
      <c r="E4024" s="25"/>
      <c r="F4024" s="26"/>
    </row>
    <row r="4025" spans="1:6" ht="16.8" customHeight="1" x14ac:dyDescent="0.3">
      <c r="A4025" s="20">
        <v>45622</v>
      </c>
      <c r="B4025" s="31"/>
      <c r="C4025" s="31"/>
      <c r="D4025" s="31"/>
      <c r="E4025" s="25"/>
      <c r="F4025" s="26"/>
    </row>
    <row r="4026" spans="1:6" ht="16.8" customHeight="1" x14ac:dyDescent="0.3">
      <c r="A4026" s="20">
        <v>45623</v>
      </c>
      <c r="B4026" s="31"/>
      <c r="C4026" s="31"/>
      <c r="D4026" s="31"/>
      <c r="E4026" s="25"/>
      <c r="F4026" s="26"/>
    </row>
    <row r="4027" spans="1:6" ht="16.8" customHeight="1" x14ac:dyDescent="0.3">
      <c r="A4027" s="20">
        <v>45624</v>
      </c>
      <c r="B4027" s="31"/>
      <c r="C4027" s="31"/>
      <c r="D4027" s="31"/>
      <c r="E4027" s="25"/>
      <c r="F4027" s="26"/>
    </row>
    <row r="4028" spans="1:6" ht="16.8" customHeight="1" x14ac:dyDescent="0.3">
      <c r="A4028" s="20">
        <v>45625</v>
      </c>
      <c r="B4028" s="31"/>
      <c r="C4028" s="31"/>
      <c r="D4028" s="31"/>
      <c r="E4028" s="25"/>
      <c r="F4028" s="26"/>
    </row>
    <row r="4029" spans="1:6" ht="16.8" customHeight="1" x14ac:dyDescent="0.3">
      <c r="A4029" s="20">
        <v>45626</v>
      </c>
      <c r="B4029" s="31"/>
      <c r="C4029" s="31"/>
      <c r="D4029" s="31"/>
      <c r="E4029" s="25"/>
      <c r="F4029" s="26"/>
    </row>
    <row r="4030" spans="1:6" ht="16.8" customHeight="1" x14ac:dyDescent="0.3">
      <c r="A4030" s="20">
        <v>45627</v>
      </c>
      <c r="B4030" s="31"/>
      <c r="C4030" s="31"/>
      <c r="D4030" s="31"/>
      <c r="E4030" s="25"/>
      <c r="F4030" s="26"/>
    </row>
    <row r="4031" spans="1:6" ht="16.8" customHeight="1" x14ac:dyDescent="0.3">
      <c r="A4031" s="20">
        <v>45628</v>
      </c>
      <c r="B4031" s="31"/>
      <c r="C4031" s="31"/>
      <c r="D4031" s="31"/>
      <c r="E4031" s="25"/>
      <c r="F4031" s="26"/>
    </row>
    <row r="4032" spans="1:6" ht="16.8" customHeight="1" x14ac:dyDescent="0.3">
      <c r="A4032" s="20">
        <v>45629</v>
      </c>
      <c r="B4032" s="31"/>
      <c r="C4032" s="31"/>
      <c r="D4032" s="31"/>
      <c r="E4032" s="25"/>
      <c r="F4032" s="26"/>
    </row>
    <row r="4033" spans="1:6" ht="16.8" customHeight="1" x14ac:dyDescent="0.3">
      <c r="A4033" s="20">
        <v>45630</v>
      </c>
      <c r="B4033" s="31"/>
      <c r="C4033" s="31"/>
      <c r="D4033" s="31"/>
      <c r="E4033" s="25"/>
      <c r="F4033" s="26"/>
    </row>
    <row r="4034" spans="1:6" ht="16.8" customHeight="1" x14ac:dyDescent="0.3">
      <c r="A4034" s="20">
        <v>45631</v>
      </c>
      <c r="B4034" s="31"/>
      <c r="C4034" s="31"/>
      <c r="D4034" s="31"/>
      <c r="E4034" s="25"/>
      <c r="F4034" s="26"/>
    </row>
    <row r="4035" spans="1:6" ht="16.8" customHeight="1" x14ac:dyDescent="0.3">
      <c r="A4035" s="20">
        <v>45632</v>
      </c>
      <c r="B4035" s="31"/>
      <c r="C4035" s="31"/>
      <c r="D4035" s="31"/>
      <c r="E4035" s="25"/>
      <c r="F4035" s="26"/>
    </row>
    <row r="4036" spans="1:6" ht="16.8" customHeight="1" x14ac:dyDescent="0.3">
      <c r="A4036" s="20">
        <v>45633</v>
      </c>
      <c r="B4036" s="31"/>
      <c r="C4036" s="31"/>
      <c r="D4036" s="31"/>
      <c r="E4036" s="25"/>
      <c r="F4036" s="26"/>
    </row>
    <row r="4037" spans="1:6" ht="16.8" customHeight="1" x14ac:dyDescent="0.3">
      <c r="A4037" s="20">
        <v>45634</v>
      </c>
      <c r="B4037" s="31"/>
      <c r="C4037" s="31"/>
      <c r="D4037" s="31"/>
      <c r="E4037" s="25"/>
      <c r="F4037" s="26"/>
    </row>
    <row r="4038" spans="1:6" ht="16.8" customHeight="1" x14ac:dyDescent="0.3">
      <c r="A4038" s="20">
        <v>45635</v>
      </c>
      <c r="B4038" s="31"/>
      <c r="C4038" s="31"/>
      <c r="D4038" s="31"/>
      <c r="E4038" s="25"/>
      <c r="F4038" s="26"/>
    </row>
    <row r="4039" spans="1:6" ht="16.8" customHeight="1" x14ac:dyDescent="0.3">
      <c r="A4039" s="20">
        <v>45636</v>
      </c>
      <c r="B4039" s="31"/>
      <c r="C4039" s="31"/>
      <c r="D4039" s="31"/>
      <c r="E4039" s="25"/>
      <c r="F4039" s="26"/>
    </row>
    <row r="4040" spans="1:6" ht="16.8" customHeight="1" x14ac:dyDescent="0.3">
      <c r="A4040" s="20">
        <v>45637</v>
      </c>
      <c r="B4040" s="31"/>
      <c r="C4040" s="31"/>
      <c r="D4040" s="31"/>
      <c r="E4040" s="25"/>
      <c r="F4040" s="26"/>
    </row>
    <row r="4041" spans="1:6" ht="16.8" customHeight="1" x14ac:dyDescent="0.3">
      <c r="A4041" s="20">
        <v>45638</v>
      </c>
      <c r="B4041" s="31"/>
      <c r="C4041" s="31"/>
      <c r="D4041" s="31"/>
      <c r="E4041" s="25"/>
      <c r="F4041" s="26"/>
    </row>
    <row r="4042" spans="1:6" ht="16.8" customHeight="1" x14ac:dyDescent="0.3">
      <c r="A4042" s="20">
        <v>45639</v>
      </c>
      <c r="B4042" s="31"/>
      <c r="C4042" s="31"/>
      <c r="D4042" s="31"/>
      <c r="E4042" s="25"/>
      <c r="F4042" s="26"/>
    </row>
    <row r="4043" spans="1:6" ht="16.8" customHeight="1" x14ac:dyDescent="0.3">
      <c r="A4043" s="20">
        <v>45640</v>
      </c>
      <c r="B4043" s="31"/>
      <c r="C4043" s="31"/>
      <c r="D4043" s="31"/>
      <c r="E4043" s="25"/>
      <c r="F4043" s="26"/>
    </row>
    <row r="4044" spans="1:6" ht="16.8" customHeight="1" x14ac:dyDescent="0.3">
      <c r="A4044" s="20">
        <v>45641</v>
      </c>
      <c r="B4044" s="31"/>
      <c r="C4044" s="31"/>
      <c r="D4044" s="31"/>
      <c r="E4044" s="25"/>
      <c r="F4044" s="26"/>
    </row>
    <row r="4045" spans="1:6" ht="16.8" customHeight="1" x14ac:dyDescent="0.3">
      <c r="A4045" s="20">
        <v>45642</v>
      </c>
      <c r="B4045" s="31"/>
      <c r="C4045" s="31"/>
      <c r="D4045" s="31"/>
      <c r="E4045" s="25"/>
      <c r="F4045" s="26"/>
    </row>
    <row r="4046" spans="1:6" ht="16.8" customHeight="1" x14ac:dyDescent="0.3">
      <c r="A4046" s="20">
        <v>45643</v>
      </c>
      <c r="B4046" s="31"/>
      <c r="C4046" s="31"/>
      <c r="D4046" s="31"/>
      <c r="E4046" s="25"/>
      <c r="F4046" s="26"/>
    </row>
    <row r="4047" spans="1:6" ht="16.8" customHeight="1" x14ac:dyDescent="0.3">
      <c r="A4047" s="20">
        <v>45644</v>
      </c>
      <c r="B4047" s="31"/>
      <c r="C4047" s="31"/>
      <c r="D4047" s="31"/>
      <c r="E4047" s="25"/>
      <c r="F4047" s="26"/>
    </row>
    <row r="4048" spans="1:6" ht="16.8" customHeight="1" x14ac:dyDescent="0.3">
      <c r="A4048" s="20">
        <v>45645</v>
      </c>
      <c r="B4048" s="31"/>
      <c r="C4048" s="31"/>
      <c r="D4048" s="31"/>
      <c r="E4048" s="25"/>
      <c r="F4048" s="26"/>
    </row>
    <row r="4049" spans="1:6" ht="16.8" customHeight="1" x14ac:dyDescent="0.3">
      <c r="A4049" s="20">
        <v>45646</v>
      </c>
      <c r="B4049" s="31"/>
      <c r="C4049" s="31"/>
      <c r="D4049" s="31"/>
      <c r="E4049" s="25"/>
      <c r="F4049" s="26"/>
    </row>
    <row r="4050" spans="1:6" ht="16.8" customHeight="1" x14ac:dyDescent="0.3">
      <c r="A4050" s="20">
        <v>45647</v>
      </c>
      <c r="B4050" s="31"/>
      <c r="C4050" s="31"/>
      <c r="D4050" s="31"/>
      <c r="E4050" s="25"/>
      <c r="F4050" s="26"/>
    </row>
    <row r="4051" spans="1:6" ht="16.8" customHeight="1" x14ac:dyDescent="0.3">
      <c r="A4051" s="20">
        <v>45648</v>
      </c>
      <c r="B4051" s="31"/>
      <c r="C4051" s="31"/>
      <c r="D4051" s="31"/>
      <c r="E4051" s="25"/>
      <c r="F4051" s="26"/>
    </row>
    <row r="4052" spans="1:6" ht="16.8" customHeight="1" x14ac:dyDescent="0.3">
      <c r="A4052" s="20">
        <v>45649</v>
      </c>
      <c r="B4052" s="31"/>
      <c r="C4052" s="31"/>
      <c r="D4052" s="31"/>
      <c r="E4052" s="25"/>
      <c r="F4052" s="26"/>
    </row>
    <row r="4053" spans="1:6" ht="16.8" customHeight="1" x14ac:dyDescent="0.3">
      <c r="A4053" s="20">
        <v>45650</v>
      </c>
      <c r="B4053" s="31"/>
      <c r="C4053" s="31"/>
      <c r="D4053" s="31"/>
      <c r="E4053" s="25"/>
      <c r="F4053" s="26"/>
    </row>
    <row r="4054" spans="1:6" ht="16.8" customHeight="1" x14ac:dyDescent="0.3">
      <c r="A4054" s="20">
        <v>45651</v>
      </c>
      <c r="B4054" s="31"/>
      <c r="C4054" s="31"/>
      <c r="D4054" s="31"/>
      <c r="E4054" s="25"/>
      <c r="F4054" s="26"/>
    </row>
    <row r="4055" spans="1:6" ht="16.8" customHeight="1" x14ac:dyDescent="0.3">
      <c r="A4055" s="20">
        <v>45652</v>
      </c>
      <c r="B4055" s="31"/>
      <c r="C4055" s="31"/>
      <c r="D4055" s="31"/>
      <c r="E4055" s="25"/>
      <c r="F4055" s="26"/>
    </row>
    <row r="4056" spans="1:6" ht="16.8" customHeight="1" x14ac:dyDescent="0.3">
      <c r="A4056" s="20">
        <v>45653</v>
      </c>
      <c r="B4056" s="31"/>
      <c r="C4056" s="31"/>
      <c r="D4056" s="31"/>
      <c r="E4056" s="25"/>
      <c r="F4056" s="26"/>
    </row>
    <row r="4057" spans="1:6" ht="16.8" customHeight="1" x14ac:dyDescent="0.3">
      <c r="A4057" s="20">
        <v>45654</v>
      </c>
      <c r="B4057" s="31"/>
      <c r="C4057" s="31"/>
      <c r="D4057" s="31"/>
      <c r="E4057" s="25"/>
      <c r="F4057" s="26"/>
    </row>
    <row r="4058" spans="1:6" ht="16.8" customHeight="1" x14ac:dyDescent="0.3">
      <c r="A4058" s="20">
        <v>45655</v>
      </c>
      <c r="B4058" s="31"/>
      <c r="C4058" s="31"/>
      <c r="D4058" s="31"/>
      <c r="E4058" s="25"/>
      <c r="F4058" s="26"/>
    </row>
    <row r="4059" spans="1:6" ht="16.8" customHeight="1" x14ac:dyDescent="0.3">
      <c r="A4059" s="20">
        <v>45656</v>
      </c>
      <c r="B4059" s="31"/>
      <c r="C4059" s="31"/>
      <c r="D4059" s="31"/>
      <c r="E4059" s="25"/>
      <c r="F4059" s="26"/>
    </row>
    <row r="4060" spans="1:6" ht="16.8" customHeight="1" x14ac:dyDescent="0.3">
      <c r="A4060" s="20">
        <v>45657</v>
      </c>
      <c r="B4060" s="31"/>
      <c r="C4060" s="31"/>
      <c r="D4060" s="31"/>
      <c r="E4060" s="25"/>
      <c r="F4060" s="26"/>
    </row>
    <row r="4061" spans="1:6" ht="16.8" customHeight="1" x14ac:dyDescent="0.3">
      <c r="A4061" s="20">
        <v>45658</v>
      </c>
      <c r="B4061" s="31"/>
      <c r="C4061" s="31"/>
      <c r="D4061" s="31"/>
      <c r="E4061" s="25"/>
      <c r="F4061" s="26"/>
    </row>
    <row r="4062" spans="1:6" ht="16.8" customHeight="1" x14ac:dyDescent="0.3">
      <c r="A4062" s="20">
        <v>45659</v>
      </c>
      <c r="B4062" s="31"/>
      <c r="C4062" s="31"/>
      <c r="D4062" s="31"/>
      <c r="E4062" s="25"/>
      <c r="F4062" s="26"/>
    </row>
    <row r="4063" spans="1:6" ht="16.8" customHeight="1" x14ac:dyDescent="0.3">
      <c r="A4063" s="20">
        <v>45660</v>
      </c>
      <c r="B4063" s="31"/>
      <c r="C4063" s="31"/>
      <c r="D4063" s="31"/>
      <c r="E4063" s="25"/>
      <c r="F4063" s="26"/>
    </row>
    <row r="4064" spans="1:6" ht="16.8" customHeight="1" x14ac:dyDescent="0.3">
      <c r="A4064" s="20">
        <v>45661</v>
      </c>
      <c r="B4064" s="31"/>
      <c r="C4064" s="31"/>
      <c r="D4064" s="31"/>
      <c r="E4064" s="25"/>
      <c r="F4064" s="26"/>
    </row>
    <row r="4065" spans="1:6" ht="16.8" customHeight="1" x14ac:dyDescent="0.3">
      <c r="A4065" s="20">
        <v>45662</v>
      </c>
      <c r="B4065" s="31"/>
      <c r="C4065" s="31"/>
      <c r="D4065" s="31"/>
      <c r="E4065" s="25"/>
      <c r="F4065" s="26"/>
    </row>
    <row r="4066" spans="1:6" ht="16.8" customHeight="1" x14ac:dyDescent="0.3">
      <c r="A4066" s="20">
        <v>45663</v>
      </c>
      <c r="B4066" s="31"/>
      <c r="C4066" s="31"/>
      <c r="D4066" s="31"/>
      <c r="E4066" s="25"/>
      <c r="F4066" s="26"/>
    </row>
    <row r="4067" spans="1:6" ht="16.8" customHeight="1" x14ac:dyDescent="0.3">
      <c r="A4067" s="20">
        <v>45664</v>
      </c>
      <c r="B4067" s="31"/>
      <c r="C4067" s="31"/>
      <c r="D4067" s="31"/>
      <c r="E4067" s="25"/>
      <c r="F4067" s="26"/>
    </row>
    <row r="4068" spans="1:6" ht="16.8" customHeight="1" x14ac:dyDescent="0.3">
      <c r="A4068" s="20">
        <v>45665</v>
      </c>
      <c r="B4068" s="31"/>
      <c r="C4068" s="31"/>
      <c r="D4068" s="31"/>
      <c r="E4068" s="25"/>
      <c r="F4068" s="26"/>
    </row>
    <row r="4069" spans="1:6" ht="16.8" customHeight="1" x14ac:dyDescent="0.3">
      <c r="A4069" s="20">
        <v>45666</v>
      </c>
      <c r="B4069" s="31"/>
      <c r="C4069" s="31"/>
      <c r="D4069" s="31"/>
      <c r="E4069" s="25"/>
      <c r="F4069" s="26"/>
    </row>
    <row r="4070" spans="1:6" ht="16.8" customHeight="1" x14ac:dyDescent="0.3">
      <c r="A4070" s="20">
        <v>45667</v>
      </c>
      <c r="B4070" s="31"/>
      <c r="C4070" s="31"/>
      <c r="D4070" s="31"/>
      <c r="E4070" s="25"/>
      <c r="F4070" s="26"/>
    </row>
    <row r="4071" spans="1:6" ht="16.8" customHeight="1" x14ac:dyDescent="0.3">
      <c r="A4071" s="20">
        <v>45668</v>
      </c>
      <c r="B4071" s="31"/>
      <c r="C4071" s="31"/>
      <c r="D4071" s="31"/>
      <c r="E4071" s="25"/>
      <c r="F4071" s="26"/>
    </row>
    <row r="4072" spans="1:6" ht="16.8" customHeight="1" x14ac:dyDescent="0.3">
      <c r="A4072" s="20">
        <v>45669</v>
      </c>
      <c r="B4072" s="31"/>
      <c r="C4072" s="31"/>
      <c r="D4072" s="31"/>
      <c r="E4072" s="25"/>
      <c r="F4072" s="26"/>
    </row>
    <row r="4073" spans="1:6" ht="16.8" customHeight="1" x14ac:dyDescent="0.3">
      <c r="A4073" s="20">
        <v>45670</v>
      </c>
      <c r="B4073" s="31"/>
      <c r="C4073" s="31"/>
      <c r="D4073" s="31"/>
      <c r="E4073" s="25"/>
      <c r="F4073" s="26"/>
    </row>
    <row r="4074" spans="1:6" ht="16.8" customHeight="1" x14ac:dyDescent="0.3">
      <c r="A4074" s="20">
        <v>45671</v>
      </c>
      <c r="B4074" s="31"/>
      <c r="C4074" s="31"/>
      <c r="D4074" s="31"/>
      <c r="E4074" s="25"/>
      <c r="F4074" s="26"/>
    </row>
    <row r="4075" spans="1:6" ht="16.8" customHeight="1" x14ac:dyDescent="0.3">
      <c r="A4075" s="20">
        <v>45672</v>
      </c>
      <c r="B4075" s="31"/>
      <c r="C4075" s="31"/>
      <c r="D4075" s="31"/>
      <c r="E4075" s="25"/>
      <c r="F4075" s="26"/>
    </row>
    <row r="4076" spans="1:6" ht="16.8" customHeight="1" x14ac:dyDescent="0.3">
      <c r="A4076" s="20">
        <v>45673</v>
      </c>
      <c r="B4076" s="31"/>
      <c r="C4076" s="31"/>
      <c r="D4076" s="31"/>
      <c r="E4076" s="25"/>
      <c r="F4076" s="26"/>
    </row>
    <row r="4077" spans="1:6" ht="16.8" customHeight="1" x14ac:dyDescent="0.3">
      <c r="A4077" s="20">
        <v>45674</v>
      </c>
      <c r="B4077" s="31"/>
      <c r="C4077" s="31"/>
      <c r="D4077" s="31"/>
      <c r="E4077" s="25"/>
      <c r="F4077" s="26"/>
    </row>
    <row r="4078" spans="1:6" ht="16.8" customHeight="1" x14ac:dyDescent="0.3">
      <c r="A4078" s="20">
        <v>45675</v>
      </c>
      <c r="B4078" s="31"/>
      <c r="C4078" s="31"/>
      <c r="D4078" s="31"/>
      <c r="E4078" s="25"/>
      <c r="F4078" s="26"/>
    </row>
    <row r="4079" spans="1:6" ht="16.8" customHeight="1" x14ac:dyDescent="0.3">
      <c r="A4079" s="20">
        <v>45676</v>
      </c>
      <c r="B4079" s="31"/>
      <c r="C4079" s="31"/>
      <c r="D4079" s="31"/>
      <c r="E4079" s="25"/>
      <c r="F4079" s="26"/>
    </row>
    <row r="4080" spans="1:6" ht="16.8" customHeight="1" x14ac:dyDescent="0.3">
      <c r="A4080" s="20">
        <v>45677</v>
      </c>
      <c r="B4080" s="31"/>
      <c r="C4080" s="31"/>
      <c r="D4080" s="31"/>
      <c r="E4080" s="25"/>
      <c r="F4080" s="26"/>
    </row>
    <row r="4081" spans="1:6" ht="16.8" customHeight="1" x14ac:dyDescent="0.3">
      <c r="A4081" s="20">
        <v>45678</v>
      </c>
      <c r="B4081" s="31"/>
      <c r="C4081" s="31"/>
      <c r="D4081" s="31"/>
      <c r="E4081" s="25"/>
      <c r="F4081" s="26"/>
    </row>
    <row r="4082" spans="1:6" ht="16.8" customHeight="1" x14ac:dyDescent="0.3">
      <c r="A4082" s="20">
        <v>45679</v>
      </c>
      <c r="B4082" s="31"/>
      <c r="C4082" s="31"/>
      <c r="D4082" s="31"/>
      <c r="E4082" s="25"/>
      <c r="F4082" s="26"/>
    </row>
    <row r="4083" spans="1:6" ht="16.8" customHeight="1" x14ac:dyDescent="0.3">
      <c r="A4083" s="20">
        <v>45680</v>
      </c>
      <c r="B4083" s="31"/>
      <c r="C4083" s="31"/>
      <c r="D4083" s="31"/>
      <c r="E4083" s="25"/>
      <c r="F4083" s="26"/>
    </row>
    <row r="4084" spans="1:6" ht="16.8" customHeight="1" x14ac:dyDescent="0.3">
      <c r="A4084" s="20">
        <v>45681</v>
      </c>
      <c r="B4084" s="31"/>
      <c r="C4084" s="31"/>
      <c r="D4084" s="31"/>
      <c r="E4084" s="25"/>
      <c r="F4084" s="26"/>
    </row>
    <row r="4085" spans="1:6" ht="16.8" customHeight="1" x14ac:dyDescent="0.3">
      <c r="A4085" s="20">
        <v>45682</v>
      </c>
      <c r="B4085" s="31"/>
      <c r="C4085" s="31"/>
      <c r="D4085" s="31"/>
      <c r="E4085" s="25"/>
      <c r="F4085" s="26"/>
    </row>
    <row r="4086" spans="1:6" ht="16.8" customHeight="1" x14ac:dyDescent="0.3">
      <c r="A4086" s="20">
        <v>45683</v>
      </c>
      <c r="B4086" s="31"/>
      <c r="C4086" s="31"/>
      <c r="D4086" s="31"/>
      <c r="E4086" s="25"/>
      <c r="F4086" s="26"/>
    </row>
    <row r="4087" spans="1:6" ht="16.8" customHeight="1" x14ac:dyDescent="0.3">
      <c r="A4087" s="20">
        <v>45684</v>
      </c>
      <c r="B4087" s="31"/>
      <c r="C4087" s="31"/>
      <c r="D4087" s="31"/>
      <c r="E4087" s="25"/>
      <c r="F4087" s="26"/>
    </row>
    <row r="4088" spans="1:6" ht="16.8" customHeight="1" x14ac:dyDescent="0.3">
      <c r="A4088" s="20">
        <v>45685</v>
      </c>
      <c r="B4088" s="31"/>
      <c r="C4088" s="31"/>
      <c r="D4088" s="31"/>
      <c r="E4088" s="25"/>
      <c r="F4088" s="26"/>
    </row>
    <row r="4089" spans="1:6" ht="16.8" customHeight="1" x14ac:dyDescent="0.3">
      <c r="A4089" s="20">
        <v>45686</v>
      </c>
      <c r="B4089" s="31"/>
      <c r="C4089" s="31"/>
      <c r="D4089" s="31"/>
      <c r="E4089" s="25"/>
      <c r="F4089" s="26"/>
    </row>
    <row r="4090" spans="1:6" ht="16.8" customHeight="1" x14ac:dyDescent="0.3">
      <c r="A4090" s="20">
        <v>45687</v>
      </c>
      <c r="B4090" s="31"/>
      <c r="C4090" s="31"/>
      <c r="D4090" s="31"/>
      <c r="E4090" s="25"/>
      <c r="F4090" s="26"/>
    </row>
    <row r="4091" spans="1:6" ht="16.8" customHeight="1" x14ac:dyDescent="0.3">
      <c r="A4091" s="20">
        <v>45688</v>
      </c>
      <c r="B4091" s="31"/>
      <c r="C4091" s="31"/>
      <c r="D4091" s="31"/>
      <c r="E4091" s="25"/>
      <c r="F4091" s="26"/>
    </row>
    <row r="4092" spans="1:6" ht="16.8" customHeight="1" x14ac:dyDescent="0.3">
      <c r="A4092" s="20">
        <v>45689</v>
      </c>
      <c r="B4092" s="31"/>
      <c r="C4092" s="31"/>
      <c r="D4092" s="31"/>
      <c r="E4092" s="25"/>
      <c r="F4092" s="26"/>
    </row>
    <row r="4093" spans="1:6" ht="16.8" customHeight="1" x14ac:dyDescent="0.3">
      <c r="A4093" s="20">
        <v>45690</v>
      </c>
      <c r="B4093" s="31"/>
      <c r="C4093" s="31"/>
      <c r="D4093" s="31"/>
      <c r="E4093" s="25"/>
      <c r="F4093" s="26"/>
    </row>
    <row r="4094" spans="1:6" ht="16.8" customHeight="1" x14ac:dyDescent="0.3">
      <c r="A4094" s="20">
        <v>45691</v>
      </c>
      <c r="B4094" s="31"/>
      <c r="C4094" s="31"/>
      <c r="D4094" s="31"/>
      <c r="E4094" s="25"/>
      <c r="F4094" s="26"/>
    </row>
    <row r="4095" spans="1:6" ht="16.8" customHeight="1" x14ac:dyDescent="0.3">
      <c r="A4095" s="20">
        <v>45692</v>
      </c>
      <c r="B4095" s="31"/>
      <c r="C4095" s="31"/>
      <c r="D4095" s="31"/>
      <c r="E4095" s="25"/>
      <c r="F4095" s="26"/>
    </row>
    <row r="4096" spans="1:6" ht="16.8" customHeight="1" x14ac:dyDescent="0.3">
      <c r="A4096" s="20">
        <v>45693</v>
      </c>
      <c r="B4096" s="31"/>
      <c r="C4096" s="31"/>
      <c r="D4096" s="31"/>
      <c r="E4096" s="25"/>
      <c r="F4096" s="26"/>
    </row>
    <row r="4097" spans="1:6" ht="16.8" customHeight="1" x14ac:dyDescent="0.3">
      <c r="A4097" s="20">
        <v>45694</v>
      </c>
      <c r="B4097" s="31"/>
      <c r="C4097" s="31"/>
      <c r="D4097" s="31"/>
      <c r="E4097" s="25"/>
      <c r="F4097" s="26"/>
    </row>
    <row r="4098" spans="1:6" ht="16.8" customHeight="1" x14ac:dyDescent="0.3">
      <c r="A4098" s="20">
        <v>45695</v>
      </c>
      <c r="B4098" s="31"/>
      <c r="C4098" s="31"/>
      <c r="D4098" s="31"/>
      <c r="E4098" s="25"/>
      <c r="F4098" s="26"/>
    </row>
    <row r="4099" spans="1:6" ht="16.8" customHeight="1" x14ac:dyDescent="0.3">
      <c r="A4099" s="20">
        <v>45696</v>
      </c>
      <c r="B4099" s="31"/>
      <c r="C4099" s="31"/>
      <c r="D4099" s="31"/>
      <c r="E4099" s="25"/>
      <c r="F4099" s="26"/>
    </row>
    <row r="4100" spans="1:6" ht="16.8" customHeight="1" x14ac:dyDescent="0.3">
      <c r="A4100" s="20">
        <v>45697</v>
      </c>
      <c r="B4100" s="31"/>
      <c r="C4100" s="31"/>
      <c r="D4100" s="31"/>
      <c r="E4100" s="25"/>
      <c r="F4100" s="26"/>
    </row>
    <row r="4101" spans="1:6" ht="16.8" customHeight="1" x14ac:dyDescent="0.3">
      <c r="A4101" s="20">
        <v>45698</v>
      </c>
      <c r="B4101" s="31"/>
      <c r="C4101" s="31"/>
      <c r="D4101" s="31"/>
      <c r="E4101" s="25"/>
      <c r="F4101" s="26"/>
    </row>
    <row r="4102" spans="1:6" ht="16.8" customHeight="1" x14ac:dyDescent="0.3">
      <c r="A4102" s="20">
        <v>45699</v>
      </c>
      <c r="B4102" s="31"/>
      <c r="C4102" s="31"/>
      <c r="D4102" s="31"/>
      <c r="E4102" s="25"/>
      <c r="F4102" s="26"/>
    </row>
    <row r="4103" spans="1:6" ht="16.8" customHeight="1" x14ac:dyDescent="0.3">
      <c r="A4103" s="20">
        <v>45700</v>
      </c>
      <c r="B4103" s="31"/>
      <c r="C4103" s="31"/>
      <c r="D4103" s="31"/>
      <c r="E4103" s="25"/>
      <c r="F4103" s="26"/>
    </row>
    <row r="4104" spans="1:6" ht="16.8" customHeight="1" x14ac:dyDescent="0.3">
      <c r="A4104" s="20">
        <v>45701</v>
      </c>
      <c r="B4104" s="31"/>
      <c r="C4104" s="31"/>
      <c r="D4104" s="31"/>
      <c r="E4104" s="25"/>
      <c r="F4104" s="26"/>
    </row>
    <row r="4105" spans="1:6" ht="16.8" customHeight="1" x14ac:dyDescent="0.3">
      <c r="A4105" s="20">
        <v>45702</v>
      </c>
      <c r="B4105" s="31"/>
      <c r="C4105" s="31"/>
      <c r="D4105" s="31"/>
      <c r="E4105" s="25"/>
      <c r="F4105" s="26"/>
    </row>
    <row r="4106" spans="1:6" ht="16.8" customHeight="1" x14ac:dyDescent="0.3">
      <c r="A4106" s="20">
        <v>45703</v>
      </c>
      <c r="B4106" s="31"/>
      <c r="C4106" s="31"/>
      <c r="D4106" s="31"/>
      <c r="E4106" s="25"/>
      <c r="F4106" s="26"/>
    </row>
    <row r="4107" spans="1:6" ht="16.8" customHeight="1" x14ac:dyDescent="0.3">
      <c r="A4107" s="20">
        <v>45704</v>
      </c>
      <c r="B4107" s="31"/>
      <c r="C4107" s="31"/>
      <c r="D4107" s="31"/>
      <c r="E4107" s="25"/>
      <c r="F4107" s="26"/>
    </row>
    <row r="4108" spans="1:6" ht="16.8" customHeight="1" x14ac:dyDescent="0.3">
      <c r="A4108" s="20">
        <v>45705</v>
      </c>
      <c r="B4108" s="31"/>
      <c r="C4108" s="31"/>
      <c r="D4108" s="31"/>
      <c r="E4108" s="25"/>
      <c r="F4108" s="26"/>
    </row>
    <row r="4109" spans="1:6" ht="16.8" customHeight="1" x14ac:dyDescent="0.3">
      <c r="A4109" s="20">
        <v>45706</v>
      </c>
      <c r="B4109" s="31"/>
      <c r="C4109" s="31"/>
      <c r="D4109" s="31"/>
      <c r="E4109" s="25"/>
      <c r="F4109" s="26"/>
    </row>
    <row r="4110" spans="1:6" ht="16.8" customHeight="1" x14ac:dyDescent="0.3">
      <c r="A4110" s="20">
        <v>45707</v>
      </c>
      <c r="B4110" s="31"/>
      <c r="C4110" s="31"/>
      <c r="D4110" s="31"/>
      <c r="E4110" s="25"/>
      <c r="F4110" s="26"/>
    </row>
    <row r="4111" spans="1:6" ht="16.8" customHeight="1" x14ac:dyDescent="0.3">
      <c r="A4111" s="20">
        <v>45708</v>
      </c>
      <c r="B4111" s="31"/>
      <c r="C4111" s="31"/>
      <c r="D4111" s="31"/>
      <c r="E4111" s="25"/>
      <c r="F4111" s="26"/>
    </row>
    <row r="4112" spans="1:6" ht="16.8" customHeight="1" x14ac:dyDescent="0.3">
      <c r="A4112" s="20">
        <v>45709</v>
      </c>
      <c r="B4112" s="31"/>
      <c r="C4112" s="31"/>
      <c r="D4112" s="31"/>
      <c r="E4112" s="25"/>
      <c r="F4112" s="26"/>
    </row>
    <row r="4113" spans="1:6" ht="16.8" customHeight="1" x14ac:dyDescent="0.3">
      <c r="A4113" s="20">
        <v>45710</v>
      </c>
      <c r="B4113" s="31"/>
      <c r="C4113" s="31"/>
      <c r="D4113" s="31"/>
      <c r="E4113" s="25"/>
      <c r="F4113" s="26"/>
    </row>
    <row r="4114" spans="1:6" ht="16.8" customHeight="1" x14ac:dyDescent="0.3">
      <c r="A4114" s="20">
        <v>45711</v>
      </c>
      <c r="B4114" s="31"/>
      <c r="C4114" s="31"/>
      <c r="D4114" s="31"/>
      <c r="E4114" s="25"/>
      <c r="F4114" s="26"/>
    </row>
    <row r="4115" spans="1:6" ht="16.8" customHeight="1" x14ac:dyDescent="0.3">
      <c r="A4115" s="20">
        <v>45712</v>
      </c>
      <c r="B4115" s="31"/>
      <c r="C4115" s="31"/>
      <c r="D4115" s="31"/>
      <c r="E4115" s="25"/>
      <c r="F4115" s="26"/>
    </row>
    <row r="4116" spans="1:6" ht="16.8" customHeight="1" x14ac:dyDescent="0.3">
      <c r="A4116" s="20">
        <v>45713</v>
      </c>
      <c r="B4116" s="31"/>
      <c r="C4116" s="31"/>
      <c r="D4116" s="31"/>
      <c r="E4116" s="25"/>
      <c r="F4116" s="26"/>
    </row>
    <row r="4117" spans="1:6" ht="16.8" customHeight="1" x14ac:dyDescent="0.3">
      <c r="A4117" s="20">
        <v>45714</v>
      </c>
      <c r="B4117" s="31"/>
      <c r="C4117" s="31"/>
      <c r="D4117" s="31"/>
      <c r="E4117" s="25"/>
      <c r="F4117" s="26"/>
    </row>
    <row r="4118" spans="1:6" ht="16.8" customHeight="1" x14ac:dyDescent="0.3">
      <c r="A4118" s="20">
        <v>45715</v>
      </c>
      <c r="B4118" s="31"/>
      <c r="C4118" s="31"/>
      <c r="D4118" s="31"/>
      <c r="E4118" s="25"/>
      <c r="F4118" s="26"/>
    </row>
    <row r="4119" spans="1:6" ht="16.8" customHeight="1" x14ac:dyDescent="0.3">
      <c r="A4119" s="20">
        <v>45716</v>
      </c>
      <c r="B4119" s="31"/>
      <c r="C4119" s="31"/>
      <c r="D4119" s="31"/>
      <c r="E4119" s="25"/>
      <c r="F4119" s="26"/>
    </row>
    <row r="4120" spans="1:6" ht="16.8" customHeight="1" x14ac:dyDescent="0.3">
      <c r="A4120" s="20">
        <v>45717</v>
      </c>
      <c r="B4120" s="31"/>
      <c r="C4120" s="31"/>
      <c r="D4120" s="31"/>
      <c r="E4120" s="25"/>
      <c r="F4120" s="26"/>
    </row>
    <row r="4121" spans="1:6" ht="16.8" customHeight="1" x14ac:dyDescent="0.3">
      <c r="A4121" s="20">
        <v>45718</v>
      </c>
      <c r="B4121" s="31"/>
      <c r="C4121" s="31"/>
      <c r="D4121" s="31"/>
      <c r="E4121" s="25"/>
      <c r="F4121" s="26"/>
    </row>
    <row r="4122" spans="1:6" ht="16.8" customHeight="1" x14ac:dyDescent="0.3">
      <c r="A4122" s="20">
        <v>45719</v>
      </c>
      <c r="B4122" s="31"/>
      <c r="C4122" s="31"/>
      <c r="D4122" s="31"/>
      <c r="E4122" s="25"/>
      <c r="F4122" s="26"/>
    </row>
    <row r="4123" spans="1:6" ht="16.8" customHeight="1" x14ac:dyDescent="0.3">
      <c r="A4123" s="20">
        <v>45720</v>
      </c>
      <c r="B4123" s="31"/>
      <c r="C4123" s="31"/>
      <c r="D4123" s="31"/>
      <c r="E4123" s="25"/>
      <c r="F4123" s="26"/>
    </row>
    <row r="4124" spans="1:6" ht="16.8" customHeight="1" x14ac:dyDescent="0.3">
      <c r="A4124" s="20">
        <v>45721</v>
      </c>
      <c r="B4124" s="31"/>
      <c r="C4124" s="31"/>
      <c r="D4124" s="31"/>
      <c r="E4124" s="25"/>
      <c r="F4124" s="26"/>
    </row>
    <row r="4125" spans="1:6" ht="16.8" customHeight="1" x14ac:dyDescent="0.3">
      <c r="A4125" s="20">
        <v>45722</v>
      </c>
      <c r="B4125" s="31"/>
      <c r="C4125" s="31"/>
      <c r="D4125" s="31"/>
      <c r="E4125" s="25"/>
      <c r="F4125" s="26"/>
    </row>
    <row r="4126" spans="1:6" ht="16.8" customHeight="1" x14ac:dyDescent="0.3">
      <c r="A4126" s="20">
        <v>45723</v>
      </c>
      <c r="B4126" s="31"/>
      <c r="C4126" s="31"/>
      <c r="D4126" s="31"/>
      <c r="E4126" s="25"/>
      <c r="F4126" s="26"/>
    </row>
    <row r="4127" spans="1:6" ht="16.8" customHeight="1" x14ac:dyDescent="0.3">
      <c r="A4127" s="20">
        <v>45724</v>
      </c>
      <c r="B4127" s="31"/>
      <c r="C4127" s="31"/>
      <c r="D4127" s="31"/>
      <c r="E4127" s="25"/>
      <c r="F4127" s="26"/>
    </row>
    <row r="4128" spans="1:6" ht="16.8" customHeight="1" x14ac:dyDescent="0.3">
      <c r="A4128" s="20">
        <v>45725</v>
      </c>
      <c r="B4128" s="31"/>
      <c r="C4128" s="31"/>
      <c r="D4128" s="31"/>
      <c r="E4128" s="25"/>
      <c r="F4128" s="26"/>
    </row>
    <row r="4129" spans="1:6" ht="16.8" customHeight="1" x14ac:dyDescent="0.3">
      <c r="A4129" s="20">
        <v>45726</v>
      </c>
      <c r="B4129" s="31"/>
      <c r="C4129" s="31"/>
      <c r="D4129" s="31"/>
      <c r="E4129" s="25"/>
      <c r="F4129" s="26"/>
    </row>
    <row r="4130" spans="1:6" ht="16.8" customHeight="1" x14ac:dyDescent="0.3">
      <c r="A4130" s="20">
        <v>45727</v>
      </c>
      <c r="B4130" s="31"/>
      <c r="C4130" s="31"/>
      <c r="D4130" s="31"/>
      <c r="E4130" s="25"/>
      <c r="F4130" s="26"/>
    </row>
    <row r="4131" spans="1:6" ht="16.8" customHeight="1" x14ac:dyDescent="0.3">
      <c r="A4131" s="20">
        <v>45728</v>
      </c>
      <c r="B4131" s="31"/>
      <c r="C4131" s="31"/>
      <c r="D4131" s="31"/>
      <c r="E4131" s="25"/>
      <c r="F4131" s="26"/>
    </row>
    <row r="4132" spans="1:6" ht="16.8" customHeight="1" x14ac:dyDescent="0.3">
      <c r="A4132" s="20">
        <v>45729</v>
      </c>
      <c r="B4132" s="31"/>
      <c r="C4132" s="31"/>
      <c r="D4132" s="31"/>
      <c r="E4132" s="25"/>
      <c r="F4132" s="26"/>
    </row>
    <row r="4133" spans="1:6" ht="16.8" customHeight="1" x14ac:dyDescent="0.3">
      <c r="A4133" s="20">
        <v>45730</v>
      </c>
      <c r="B4133" s="31"/>
      <c r="C4133" s="31"/>
      <c r="D4133" s="31"/>
      <c r="E4133" s="25"/>
      <c r="F4133" s="26"/>
    </row>
    <row r="4134" spans="1:6" ht="16.8" customHeight="1" x14ac:dyDescent="0.3">
      <c r="A4134" s="20">
        <v>45731</v>
      </c>
      <c r="B4134" s="31"/>
      <c r="C4134" s="31"/>
      <c r="D4134" s="31"/>
      <c r="E4134" s="25"/>
      <c r="F4134" s="26"/>
    </row>
    <row r="4135" spans="1:6" ht="16.8" customHeight="1" x14ac:dyDescent="0.3">
      <c r="A4135" s="20">
        <v>45732</v>
      </c>
      <c r="B4135" s="31"/>
      <c r="C4135" s="31"/>
      <c r="D4135" s="31"/>
      <c r="E4135" s="25"/>
      <c r="F4135" s="26"/>
    </row>
    <row r="4136" spans="1:6" ht="16.8" customHeight="1" x14ac:dyDescent="0.3">
      <c r="A4136" s="20">
        <v>45733</v>
      </c>
      <c r="B4136" s="31"/>
      <c r="C4136" s="31"/>
      <c r="D4136" s="31"/>
      <c r="E4136" s="25"/>
      <c r="F4136" s="26"/>
    </row>
    <row r="4137" spans="1:6" ht="16.8" customHeight="1" x14ac:dyDescent="0.3">
      <c r="A4137" s="20">
        <v>45734</v>
      </c>
      <c r="B4137" s="31"/>
      <c r="C4137" s="31"/>
      <c r="D4137" s="31"/>
      <c r="E4137" s="25"/>
      <c r="F4137" s="26"/>
    </row>
    <row r="4138" spans="1:6" ht="16.8" customHeight="1" x14ac:dyDescent="0.3">
      <c r="A4138" s="20">
        <v>45735</v>
      </c>
      <c r="B4138" s="31"/>
      <c r="C4138" s="31"/>
      <c r="D4138" s="31"/>
      <c r="E4138" s="25"/>
      <c r="F4138" s="26"/>
    </row>
    <row r="4139" spans="1:6" ht="16.8" customHeight="1" x14ac:dyDescent="0.3">
      <c r="A4139" s="20">
        <v>45736</v>
      </c>
      <c r="B4139" s="31"/>
      <c r="C4139" s="31"/>
      <c r="D4139" s="31"/>
      <c r="E4139" s="25"/>
      <c r="F4139" s="26"/>
    </row>
    <row r="4140" spans="1:6" ht="16.8" customHeight="1" x14ac:dyDescent="0.3">
      <c r="A4140" s="20">
        <v>45737</v>
      </c>
      <c r="B4140" s="31"/>
      <c r="C4140" s="31"/>
      <c r="D4140" s="31"/>
      <c r="E4140" s="25"/>
      <c r="F4140" s="26"/>
    </row>
    <row r="4141" spans="1:6" ht="16.8" customHeight="1" x14ac:dyDescent="0.3">
      <c r="A4141" s="20">
        <v>45738</v>
      </c>
      <c r="B4141" s="31"/>
      <c r="C4141" s="31"/>
      <c r="D4141" s="31"/>
      <c r="E4141" s="25"/>
      <c r="F4141" s="26"/>
    </row>
    <row r="4142" spans="1:6" ht="16.8" customHeight="1" x14ac:dyDescent="0.3">
      <c r="A4142" s="20">
        <v>45739</v>
      </c>
      <c r="B4142" s="31"/>
      <c r="C4142" s="31"/>
      <c r="D4142" s="31"/>
      <c r="E4142" s="25"/>
      <c r="F4142" s="26"/>
    </row>
    <row r="4143" spans="1:6" ht="16.8" customHeight="1" x14ac:dyDescent="0.3">
      <c r="A4143" s="20">
        <v>45740</v>
      </c>
      <c r="B4143" s="31"/>
      <c r="C4143" s="31"/>
      <c r="D4143" s="31"/>
      <c r="E4143" s="25"/>
      <c r="F4143" s="26"/>
    </row>
    <row r="4144" spans="1:6" ht="16.8" customHeight="1" x14ac:dyDescent="0.3">
      <c r="A4144" s="20">
        <v>45741</v>
      </c>
      <c r="B4144" s="31"/>
      <c r="C4144" s="31"/>
      <c r="D4144" s="31"/>
      <c r="E4144" s="25"/>
      <c r="F4144" s="26"/>
    </row>
    <row r="4145" spans="1:6" ht="16.8" customHeight="1" x14ac:dyDescent="0.3">
      <c r="A4145" s="20">
        <v>45742</v>
      </c>
      <c r="B4145" s="31"/>
      <c r="C4145" s="31"/>
      <c r="D4145" s="31"/>
      <c r="E4145" s="25"/>
      <c r="F4145" s="26"/>
    </row>
    <row r="4146" spans="1:6" ht="16.8" customHeight="1" x14ac:dyDescent="0.3">
      <c r="A4146" s="20">
        <v>45743</v>
      </c>
      <c r="B4146" s="31"/>
      <c r="C4146" s="31"/>
      <c r="D4146" s="31"/>
      <c r="E4146" s="25"/>
      <c r="F4146" s="26"/>
    </row>
    <row r="4147" spans="1:6" ht="16.8" customHeight="1" x14ac:dyDescent="0.3">
      <c r="A4147" s="20">
        <v>45744</v>
      </c>
      <c r="B4147" s="31"/>
      <c r="C4147" s="31"/>
      <c r="D4147" s="31"/>
      <c r="E4147" s="25"/>
      <c r="F4147" s="26"/>
    </row>
    <row r="4148" spans="1:6" ht="16.8" customHeight="1" x14ac:dyDescent="0.3">
      <c r="A4148" s="20">
        <v>45745</v>
      </c>
      <c r="B4148" s="31"/>
      <c r="C4148" s="31"/>
      <c r="D4148" s="31"/>
      <c r="E4148" s="25"/>
      <c r="F4148" s="26"/>
    </row>
    <row r="4149" spans="1:6" ht="16.8" customHeight="1" x14ac:dyDescent="0.3">
      <c r="A4149" s="20">
        <v>45746</v>
      </c>
      <c r="B4149" s="31"/>
      <c r="C4149" s="31"/>
      <c r="D4149" s="31"/>
      <c r="E4149" s="25"/>
      <c r="F4149" s="26"/>
    </row>
    <row r="4150" spans="1:6" ht="16.8" customHeight="1" x14ac:dyDescent="0.3">
      <c r="A4150" s="20">
        <v>45747</v>
      </c>
      <c r="B4150" s="31"/>
      <c r="C4150" s="31"/>
      <c r="D4150" s="31"/>
      <c r="E4150" s="25"/>
      <c r="F4150" s="26"/>
    </row>
    <row r="4151" spans="1:6" ht="16.8" customHeight="1" x14ac:dyDescent="0.3">
      <c r="A4151" s="20">
        <v>45748</v>
      </c>
      <c r="B4151" s="31"/>
      <c r="C4151" s="31"/>
      <c r="D4151" s="31"/>
      <c r="E4151" s="25"/>
      <c r="F4151" s="26"/>
    </row>
    <row r="4152" spans="1:6" ht="16.8" customHeight="1" x14ac:dyDescent="0.3">
      <c r="A4152" s="20">
        <v>45749</v>
      </c>
      <c r="B4152" s="31"/>
      <c r="C4152" s="31"/>
      <c r="D4152" s="31"/>
      <c r="E4152" s="25"/>
      <c r="F4152" s="26"/>
    </row>
    <row r="4153" spans="1:6" ht="16.8" customHeight="1" x14ac:dyDescent="0.3">
      <c r="A4153" s="20">
        <v>45750</v>
      </c>
      <c r="B4153" s="31"/>
      <c r="C4153" s="31"/>
      <c r="D4153" s="31"/>
      <c r="E4153" s="25"/>
      <c r="F4153" s="26"/>
    </row>
    <row r="4154" spans="1:6" ht="16.8" customHeight="1" x14ac:dyDescent="0.3">
      <c r="A4154" s="20">
        <v>45751</v>
      </c>
      <c r="B4154" s="31"/>
      <c r="C4154" s="31"/>
      <c r="D4154" s="31"/>
      <c r="E4154" s="25"/>
      <c r="F4154" s="26"/>
    </row>
    <row r="4155" spans="1:6" ht="16.8" customHeight="1" x14ac:dyDescent="0.3">
      <c r="A4155" s="20">
        <v>45752</v>
      </c>
      <c r="B4155" s="31"/>
      <c r="C4155" s="31"/>
      <c r="D4155" s="31"/>
      <c r="E4155" s="25"/>
      <c r="F4155" s="26"/>
    </row>
    <row r="4156" spans="1:6" ht="16.8" customHeight="1" x14ac:dyDescent="0.3">
      <c r="A4156" s="20">
        <v>45753</v>
      </c>
      <c r="B4156" s="31"/>
      <c r="C4156" s="31"/>
      <c r="D4156" s="31"/>
      <c r="E4156" s="25"/>
      <c r="F4156" s="26"/>
    </row>
    <row r="4157" spans="1:6" ht="16.8" customHeight="1" x14ac:dyDescent="0.3">
      <c r="A4157" s="20">
        <v>45754</v>
      </c>
      <c r="B4157" s="31"/>
      <c r="C4157" s="31"/>
      <c r="D4157" s="31"/>
      <c r="E4157" s="25"/>
      <c r="F4157" s="26"/>
    </row>
    <row r="4158" spans="1:6" ht="16.8" customHeight="1" x14ac:dyDescent="0.3">
      <c r="A4158" s="20">
        <v>45755</v>
      </c>
      <c r="B4158" s="31"/>
      <c r="C4158" s="31"/>
      <c r="D4158" s="31"/>
      <c r="E4158" s="25"/>
      <c r="F4158" s="26"/>
    </row>
    <row r="4159" spans="1:6" ht="16.8" customHeight="1" x14ac:dyDescent="0.3">
      <c r="A4159" s="20">
        <v>45756</v>
      </c>
      <c r="B4159" s="31"/>
      <c r="C4159" s="31"/>
      <c r="D4159" s="31"/>
      <c r="E4159" s="25"/>
      <c r="F4159" s="26"/>
    </row>
    <row r="4160" spans="1:6" ht="16.8" customHeight="1" x14ac:dyDescent="0.3">
      <c r="A4160" s="20">
        <v>45757</v>
      </c>
      <c r="B4160" s="31"/>
      <c r="C4160" s="31"/>
      <c r="D4160" s="31"/>
      <c r="E4160" s="25"/>
      <c r="F4160" s="26"/>
    </row>
    <row r="4161" spans="1:6" ht="16.8" customHeight="1" x14ac:dyDescent="0.3">
      <c r="A4161" s="20">
        <v>45758</v>
      </c>
      <c r="B4161" s="31"/>
      <c r="C4161" s="31"/>
      <c r="D4161" s="31"/>
      <c r="E4161" s="25"/>
      <c r="F4161" s="26"/>
    </row>
    <row r="4162" spans="1:6" ht="16.8" customHeight="1" x14ac:dyDescent="0.3">
      <c r="A4162" s="20">
        <v>45759</v>
      </c>
      <c r="B4162" s="31"/>
      <c r="C4162" s="31"/>
      <c r="D4162" s="31"/>
      <c r="E4162" s="25"/>
      <c r="F4162" s="26"/>
    </row>
    <row r="4163" spans="1:6" ht="16.8" customHeight="1" x14ac:dyDescent="0.3">
      <c r="A4163" s="20">
        <v>45760</v>
      </c>
      <c r="B4163" s="31"/>
      <c r="C4163" s="31"/>
      <c r="D4163" s="31"/>
      <c r="E4163" s="25"/>
      <c r="F4163" s="26"/>
    </row>
    <row r="4164" spans="1:6" ht="16.8" customHeight="1" x14ac:dyDescent="0.3">
      <c r="A4164" s="20">
        <v>45761</v>
      </c>
      <c r="B4164" s="31"/>
      <c r="C4164" s="31"/>
      <c r="D4164" s="31"/>
      <c r="E4164" s="25"/>
      <c r="F4164" s="26"/>
    </row>
    <row r="4165" spans="1:6" ht="16.8" customHeight="1" x14ac:dyDescent="0.3">
      <c r="A4165" s="20">
        <v>45762</v>
      </c>
      <c r="B4165" s="31"/>
      <c r="C4165" s="31"/>
      <c r="D4165" s="31"/>
      <c r="E4165" s="25"/>
      <c r="F4165" s="26"/>
    </row>
    <row r="4166" spans="1:6" ht="16.8" customHeight="1" x14ac:dyDescent="0.3">
      <c r="A4166" s="20">
        <v>45763</v>
      </c>
      <c r="B4166" s="31"/>
      <c r="C4166" s="31"/>
      <c r="D4166" s="31"/>
      <c r="E4166" s="25"/>
      <c r="F4166" s="26"/>
    </row>
    <row r="4167" spans="1:6" ht="16.8" customHeight="1" x14ac:dyDescent="0.3">
      <c r="A4167" s="20">
        <v>45764</v>
      </c>
      <c r="B4167" s="31"/>
      <c r="C4167" s="31"/>
      <c r="D4167" s="31"/>
      <c r="E4167" s="25"/>
      <c r="F4167" s="26"/>
    </row>
    <row r="4168" spans="1:6" ht="16.8" customHeight="1" x14ac:dyDescent="0.3">
      <c r="A4168" s="20">
        <v>45765</v>
      </c>
      <c r="B4168" s="31"/>
      <c r="C4168" s="31"/>
      <c r="D4168" s="31"/>
      <c r="E4168" s="25"/>
      <c r="F4168" s="26"/>
    </row>
    <row r="4169" spans="1:6" ht="16.8" customHeight="1" x14ac:dyDescent="0.3">
      <c r="A4169" s="20">
        <v>45766</v>
      </c>
      <c r="B4169" s="31"/>
      <c r="C4169" s="31"/>
      <c r="D4169" s="31"/>
      <c r="E4169" s="25"/>
      <c r="F4169" s="26"/>
    </row>
    <row r="4170" spans="1:6" ht="16.8" customHeight="1" x14ac:dyDescent="0.3">
      <c r="A4170" s="20">
        <v>45767</v>
      </c>
      <c r="B4170" s="31"/>
      <c r="C4170" s="31"/>
      <c r="D4170" s="31"/>
      <c r="E4170" s="25"/>
      <c r="F4170" s="26"/>
    </row>
    <row r="4171" spans="1:6" ht="16.8" customHeight="1" x14ac:dyDescent="0.3">
      <c r="A4171" s="20">
        <v>45768</v>
      </c>
      <c r="B4171" s="31"/>
      <c r="C4171" s="31"/>
      <c r="D4171" s="31"/>
      <c r="E4171" s="25"/>
      <c r="F4171" s="26"/>
    </row>
    <row r="4172" spans="1:6" ht="16.8" customHeight="1" x14ac:dyDescent="0.3">
      <c r="A4172" s="20">
        <v>45769</v>
      </c>
      <c r="B4172" s="31"/>
      <c r="C4172" s="31"/>
      <c r="D4172" s="31"/>
      <c r="E4172" s="25"/>
      <c r="F4172" s="26"/>
    </row>
    <row r="4173" spans="1:6" ht="16.8" customHeight="1" x14ac:dyDescent="0.3">
      <c r="A4173" s="20">
        <v>45770</v>
      </c>
      <c r="B4173" s="31"/>
      <c r="C4173" s="31"/>
      <c r="D4173" s="31"/>
      <c r="E4173" s="25"/>
      <c r="F4173" s="26"/>
    </row>
    <row r="4174" spans="1:6" ht="16.8" customHeight="1" x14ac:dyDescent="0.3">
      <c r="A4174" s="20">
        <v>45771</v>
      </c>
      <c r="B4174" s="31"/>
      <c r="C4174" s="31"/>
      <c r="D4174" s="31"/>
      <c r="E4174" s="25"/>
      <c r="F4174" s="26"/>
    </row>
    <row r="4175" spans="1:6" ht="16.8" customHeight="1" x14ac:dyDescent="0.3">
      <c r="A4175" s="20">
        <v>45772</v>
      </c>
      <c r="B4175" s="31"/>
      <c r="C4175" s="31"/>
      <c r="D4175" s="31"/>
      <c r="E4175" s="25"/>
      <c r="F4175" s="26"/>
    </row>
    <row r="4176" spans="1:6" ht="16.8" customHeight="1" x14ac:dyDescent="0.3">
      <c r="A4176" s="20">
        <v>45773</v>
      </c>
      <c r="B4176" s="31"/>
      <c r="C4176" s="31"/>
      <c r="D4176" s="31"/>
      <c r="E4176" s="25"/>
      <c r="F4176" s="26"/>
    </row>
    <row r="4177" spans="1:6" ht="16.8" customHeight="1" x14ac:dyDescent="0.3">
      <c r="A4177" s="20">
        <v>45774</v>
      </c>
      <c r="B4177" s="31"/>
      <c r="C4177" s="31"/>
      <c r="D4177" s="31"/>
      <c r="E4177" s="25"/>
      <c r="F4177" s="26"/>
    </row>
    <row r="4178" spans="1:6" ht="16.8" customHeight="1" x14ac:dyDescent="0.3">
      <c r="A4178" s="20">
        <v>45775</v>
      </c>
      <c r="B4178" s="31"/>
      <c r="C4178" s="31"/>
      <c r="D4178" s="31"/>
      <c r="E4178" s="25"/>
      <c r="F4178" s="26"/>
    </row>
    <row r="4179" spans="1:6" ht="16.8" customHeight="1" x14ac:dyDescent="0.3">
      <c r="A4179" s="20">
        <v>45776</v>
      </c>
      <c r="B4179" s="31"/>
      <c r="C4179" s="31"/>
      <c r="D4179" s="31"/>
      <c r="E4179" s="25"/>
      <c r="F4179" s="26"/>
    </row>
    <row r="4180" spans="1:6" ht="16.8" customHeight="1" x14ac:dyDescent="0.3">
      <c r="A4180" s="20">
        <v>45777</v>
      </c>
      <c r="B4180" s="31"/>
      <c r="C4180" s="31"/>
      <c r="D4180" s="31"/>
      <c r="E4180" s="25"/>
      <c r="F4180" s="26"/>
    </row>
    <row r="4181" spans="1:6" ht="16.8" customHeight="1" x14ac:dyDescent="0.3">
      <c r="A4181" s="20">
        <v>45778</v>
      </c>
      <c r="B4181" s="31"/>
      <c r="C4181" s="31"/>
      <c r="D4181" s="31"/>
      <c r="E4181" s="25"/>
      <c r="F4181" s="26"/>
    </row>
    <row r="4182" spans="1:6" ht="16.8" customHeight="1" x14ac:dyDescent="0.3">
      <c r="A4182" s="20">
        <v>45779</v>
      </c>
      <c r="B4182" s="31"/>
      <c r="C4182" s="31"/>
      <c r="D4182" s="31"/>
      <c r="E4182" s="25"/>
      <c r="F4182" s="26"/>
    </row>
    <row r="4183" spans="1:6" ht="16.8" customHeight="1" x14ac:dyDescent="0.3">
      <c r="A4183" s="20">
        <v>45780</v>
      </c>
      <c r="B4183" s="31"/>
      <c r="C4183" s="31"/>
      <c r="D4183" s="31"/>
      <c r="E4183" s="25"/>
      <c r="F4183" s="26"/>
    </row>
    <row r="4184" spans="1:6" ht="16.8" customHeight="1" x14ac:dyDescent="0.3">
      <c r="A4184" s="20">
        <v>45781</v>
      </c>
      <c r="B4184" s="31"/>
      <c r="C4184" s="31"/>
      <c r="D4184" s="31"/>
      <c r="E4184" s="25"/>
      <c r="F4184" s="26"/>
    </row>
    <row r="4185" spans="1:6" ht="16.8" customHeight="1" x14ac:dyDescent="0.3">
      <c r="A4185" s="20">
        <v>45782</v>
      </c>
      <c r="B4185" s="31"/>
      <c r="C4185" s="31"/>
      <c r="D4185" s="31"/>
      <c r="E4185" s="25"/>
      <c r="F4185" s="26"/>
    </row>
    <row r="4186" spans="1:6" ht="16.8" customHeight="1" x14ac:dyDescent="0.3">
      <c r="A4186" s="20">
        <v>45783</v>
      </c>
      <c r="B4186" s="31"/>
      <c r="C4186" s="31"/>
      <c r="D4186" s="31"/>
      <c r="E4186" s="25"/>
      <c r="F4186" s="26"/>
    </row>
    <row r="4187" spans="1:6" ht="16.8" customHeight="1" x14ac:dyDescent="0.3">
      <c r="A4187" s="20">
        <v>45784</v>
      </c>
      <c r="B4187" s="31"/>
      <c r="C4187" s="31"/>
      <c r="D4187" s="31"/>
      <c r="E4187" s="25"/>
      <c r="F4187" s="26"/>
    </row>
    <row r="4188" spans="1:6" ht="16.8" customHeight="1" x14ac:dyDescent="0.3">
      <c r="A4188" s="20">
        <v>45785</v>
      </c>
      <c r="B4188" s="31"/>
      <c r="C4188" s="31"/>
      <c r="D4188" s="31"/>
      <c r="E4188" s="25"/>
      <c r="F4188" s="26"/>
    </row>
    <row r="4189" spans="1:6" ht="16.8" customHeight="1" x14ac:dyDescent="0.3">
      <c r="A4189" s="20">
        <v>45786</v>
      </c>
      <c r="B4189" s="31"/>
      <c r="C4189" s="31"/>
      <c r="D4189" s="31"/>
      <c r="E4189" s="25"/>
      <c r="F4189" s="26"/>
    </row>
    <row r="4190" spans="1:6" ht="16.8" customHeight="1" x14ac:dyDescent="0.3">
      <c r="A4190" s="20">
        <v>45787</v>
      </c>
      <c r="B4190" s="31"/>
      <c r="C4190" s="31"/>
      <c r="D4190" s="31"/>
      <c r="E4190" s="25"/>
      <c r="F4190" s="26"/>
    </row>
    <row r="4191" spans="1:6" ht="16.8" customHeight="1" x14ac:dyDescent="0.3">
      <c r="A4191" s="20">
        <v>45788</v>
      </c>
      <c r="B4191" s="31"/>
      <c r="C4191" s="31"/>
      <c r="D4191" s="31"/>
      <c r="E4191" s="25"/>
      <c r="F4191" s="26"/>
    </row>
    <row r="4192" spans="1:6" ht="16.8" customHeight="1" x14ac:dyDescent="0.3">
      <c r="A4192" s="20">
        <v>45789</v>
      </c>
      <c r="B4192" s="31"/>
      <c r="C4192" s="31"/>
      <c r="D4192" s="31"/>
      <c r="E4192" s="25"/>
      <c r="F4192" s="26"/>
    </row>
    <row r="4193" spans="1:6" ht="16.8" customHeight="1" x14ac:dyDescent="0.3">
      <c r="A4193" s="20">
        <v>45790</v>
      </c>
      <c r="B4193" s="31"/>
      <c r="C4193" s="31"/>
      <c r="D4193" s="31"/>
      <c r="E4193" s="25"/>
      <c r="F4193" s="26"/>
    </row>
    <row r="4194" spans="1:6" ht="16.8" customHeight="1" x14ac:dyDescent="0.3">
      <c r="A4194" s="20">
        <v>45791</v>
      </c>
      <c r="B4194" s="31"/>
      <c r="C4194" s="31"/>
      <c r="D4194" s="31"/>
      <c r="E4194" s="25"/>
      <c r="F4194" s="26"/>
    </row>
    <row r="4195" spans="1:6" ht="16.8" customHeight="1" x14ac:dyDescent="0.3">
      <c r="A4195" s="20">
        <v>45792</v>
      </c>
      <c r="B4195" s="31"/>
      <c r="C4195" s="31"/>
      <c r="D4195" s="31"/>
      <c r="E4195" s="25"/>
      <c r="F4195" s="26"/>
    </row>
    <row r="4196" spans="1:6" ht="16.8" customHeight="1" x14ac:dyDescent="0.3">
      <c r="A4196" s="20">
        <v>45793</v>
      </c>
      <c r="B4196" s="31"/>
      <c r="C4196" s="31"/>
      <c r="D4196" s="31"/>
      <c r="E4196" s="25"/>
      <c r="F4196" s="26"/>
    </row>
    <row r="4197" spans="1:6" ht="16.8" customHeight="1" x14ac:dyDescent="0.3">
      <c r="A4197" s="20">
        <v>45794</v>
      </c>
      <c r="B4197" s="31"/>
      <c r="C4197" s="31"/>
      <c r="D4197" s="31"/>
      <c r="E4197" s="25"/>
      <c r="F4197" s="26"/>
    </row>
    <row r="4198" spans="1:6" ht="16.8" customHeight="1" x14ac:dyDescent="0.3">
      <c r="A4198" s="20">
        <v>45795</v>
      </c>
      <c r="B4198" s="31"/>
      <c r="C4198" s="31"/>
      <c r="D4198" s="31"/>
      <c r="E4198" s="25"/>
      <c r="F4198" s="26"/>
    </row>
    <row r="4199" spans="1:6" ht="16.8" customHeight="1" x14ac:dyDescent="0.3">
      <c r="A4199" s="20">
        <v>45796</v>
      </c>
      <c r="B4199" s="31"/>
      <c r="C4199" s="31"/>
      <c r="D4199" s="31"/>
      <c r="E4199" s="25"/>
      <c r="F4199" s="26"/>
    </row>
    <row r="4200" spans="1:6" ht="16.8" customHeight="1" x14ac:dyDescent="0.3">
      <c r="A4200" s="20">
        <v>45797</v>
      </c>
      <c r="B4200" s="31"/>
      <c r="C4200" s="31"/>
      <c r="D4200" s="31"/>
      <c r="E4200" s="25"/>
      <c r="F4200" s="26"/>
    </row>
    <row r="4201" spans="1:6" ht="16.8" customHeight="1" x14ac:dyDescent="0.3">
      <c r="A4201" s="20">
        <v>45798</v>
      </c>
      <c r="B4201" s="31"/>
      <c r="C4201" s="31"/>
      <c r="D4201" s="31"/>
      <c r="E4201" s="25"/>
      <c r="F4201" s="26"/>
    </row>
    <row r="4202" spans="1:6" ht="16.8" customHeight="1" x14ac:dyDescent="0.3">
      <c r="A4202" s="20">
        <v>45799</v>
      </c>
      <c r="B4202" s="31"/>
      <c r="C4202" s="31"/>
      <c r="D4202" s="31"/>
      <c r="E4202" s="25"/>
      <c r="F4202" s="26"/>
    </row>
    <row r="4203" spans="1:6" ht="16.8" customHeight="1" x14ac:dyDescent="0.3">
      <c r="A4203" s="20">
        <v>45800</v>
      </c>
      <c r="B4203" s="31"/>
      <c r="C4203" s="31"/>
      <c r="D4203" s="31"/>
      <c r="E4203" s="25"/>
      <c r="F4203" s="26"/>
    </row>
    <row r="4204" spans="1:6" ht="16.8" customHeight="1" x14ac:dyDescent="0.3">
      <c r="A4204" s="20">
        <v>45801</v>
      </c>
      <c r="B4204" s="31"/>
      <c r="C4204" s="31"/>
      <c r="D4204" s="31"/>
      <c r="E4204" s="25"/>
      <c r="F4204" s="26"/>
    </row>
    <row r="4205" spans="1:6" ht="16.8" customHeight="1" x14ac:dyDescent="0.3">
      <c r="A4205" s="20">
        <v>45802</v>
      </c>
      <c r="B4205" s="31"/>
      <c r="C4205" s="31"/>
      <c r="D4205" s="31"/>
      <c r="E4205" s="25"/>
      <c r="F4205" s="26"/>
    </row>
    <row r="4206" spans="1:6" ht="16.8" customHeight="1" x14ac:dyDescent="0.3">
      <c r="A4206" s="20">
        <v>45803</v>
      </c>
      <c r="B4206" s="31"/>
      <c r="C4206" s="31"/>
      <c r="D4206" s="31"/>
      <c r="E4206" s="25"/>
      <c r="F4206" s="26"/>
    </row>
    <row r="4207" spans="1:6" ht="16.8" customHeight="1" x14ac:dyDescent="0.3">
      <c r="A4207" s="20">
        <v>45804</v>
      </c>
      <c r="B4207" s="31"/>
      <c r="C4207" s="31"/>
      <c r="D4207" s="31"/>
      <c r="E4207" s="25"/>
      <c r="F4207" s="26"/>
    </row>
    <row r="4208" spans="1:6" ht="16.8" customHeight="1" x14ac:dyDescent="0.3">
      <c r="A4208" s="20">
        <v>45805</v>
      </c>
      <c r="B4208" s="31"/>
      <c r="C4208" s="31"/>
      <c r="D4208" s="31"/>
      <c r="E4208" s="25"/>
      <c r="F4208" s="26"/>
    </row>
    <row r="4209" spans="1:6" ht="16.8" customHeight="1" x14ac:dyDescent="0.3">
      <c r="A4209" s="20">
        <v>45806</v>
      </c>
      <c r="B4209" s="31"/>
      <c r="C4209" s="31"/>
      <c r="D4209" s="31"/>
      <c r="E4209" s="25"/>
      <c r="F4209" s="26"/>
    </row>
    <row r="4210" spans="1:6" ht="16.8" customHeight="1" x14ac:dyDescent="0.3">
      <c r="A4210" s="20">
        <v>45807</v>
      </c>
      <c r="B4210" s="31"/>
      <c r="C4210" s="31"/>
      <c r="D4210" s="31"/>
      <c r="E4210" s="25"/>
      <c r="F4210" s="26"/>
    </row>
    <row r="4211" spans="1:6" ht="16.8" customHeight="1" x14ac:dyDescent="0.3">
      <c r="A4211" s="20">
        <v>45808</v>
      </c>
      <c r="B4211" s="31"/>
      <c r="C4211" s="31"/>
      <c r="D4211" s="31"/>
      <c r="E4211" s="25"/>
      <c r="F4211" s="26"/>
    </row>
    <row r="4212" spans="1:6" ht="16.8" customHeight="1" x14ac:dyDescent="0.3">
      <c r="A4212" s="20">
        <v>45809</v>
      </c>
      <c r="B4212" s="31"/>
      <c r="C4212" s="31"/>
      <c r="D4212" s="31"/>
      <c r="E4212" s="25"/>
      <c r="F4212" s="26"/>
    </row>
    <row r="4213" spans="1:6" ht="16.8" customHeight="1" x14ac:dyDescent="0.3">
      <c r="A4213" s="20">
        <v>45810</v>
      </c>
      <c r="B4213" s="31"/>
      <c r="C4213" s="31"/>
      <c r="D4213" s="31"/>
      <c r="E4213" s="25"/>
      <c r="F4213" s="26"/>
    </row>
    <row r="4214" spans="1:6" ht="16.8" customHeight="1" x14ac:dyDescent="0.3">
      <c r="A4214" s="20">
        <v>45811</v>
      </c>
      <c r="B4214" s="31"/>
      <c r="C4214" s="31"/>
      <c r="D4214" s="31"/>
      <c r="E4214" s="25"/>
      <c r="F4214" s="26"/>
    </row>
    <row r="4215" spans="1:6" ht="16.8" customHeight="1" x14ac:dyDescent="0.3">
      <c r="A4215" s="20">
        <v>45812</v>
      </c>
      <c r="B4215" s="31"/>
      <c r="C4215" s="31"/>
      <c r="D4215" s="31"/>
      <c r="E4215" s="25"/>
      <c r="F4215" s="26"/>
    </row>
    <row r="4216" spans="1:6" ht="16.8" customHeight="1" x14ac:dyDescent="0.3">
      <c r="A4216" s="20">
        <v>45813</v>
      </c>
      <c r="B4216" s="31"/>
      <c r="C4216" s="31"/>
      <c r="D4216" s="31"/>
      <c r="E4216" s="25"/>
      <c r="F4216" s="26"/>
    </row>
    <row r="4217" spans="1:6" ht="16.8" customHeight="1" x14ac:dyDescent="0.3">
      <c r="A4217" s="20">
        <v>45814</v>
      </c>
      <c r="B4217" s="31"/>
      <c r="C4217" s="31"/>
      <c r="D4217" s="31"/>
      <c r="E4217" s="25"/>
      <c r="F4217" s="26"/>
    </row>
    <row r="4218" spans="1:6" ht="16.8" customHeight="1" x14ac:dyDescent="0.3">
      <c r="A4218" s="20">
        <v>45815</v>
      </c>
      <c r="B4218" s="31"/>
      <c r="C4218" s="31"/>
      <c r="D4218" s="31"/>
      <c r="E4218" s="25"/>
      <c r="F4218" s="26"/>
    </row>
    <row r="4219" spans="1:6" ht="16.8" customHeight="1" x14ac:dyDescent="0.3">
      <c r="A4219" s="20">
        <v>45816</v>
      </c>
      <c r="B4219" s="31"/>
      <c r="C4219" s="31"/>
      <c r="D4219" s="31"/>
      <c r="E4219" s="25"/>
      <c r="F4219" s="26"/>
    </row>
    <row r="4220" spans="1:6" ht="16.8" customHeight="1" x14ac:dyDescent="0.3">
      <c r="A4220" s="20">
        <v>45817</v>
      </c>
      <c r="B4220" s="31"/>
      <c r="C4220" s="31"/>
      <c r="D4220" s="31"/>
      <c r="E4220" s="25"/>
      <c r="F4220" s="26"/>
    </row>
    <row r="4221" spans="1:6" ht="16.8" customHeight="1" x14ac:dyDescent="0.3">
      <c r="A4221" s="20">
        <v>45818</v>
      </c>
      <c r="B4221" s="31"/>
      <c r="C4221" s="31"/>
      <c r="D4221" s="31"/>
      <c r="E4221" s="25"/>
      <c r="F4221" s="26"/>
    </row>
    <row r="4222" spans="1:6" ht="16.8" customHeight="1" x14ac:dyDescent="0.3">
      <c r="A4222" s="20">
        <v>45819</v>
      </c>
      <c r="B4222" s="31"/>
      <c r="C4222" s="31"/>
      <c r="D4222" s="31"/>
      <c r="E4222" s="25"/>
      <c r="F4222" s="26"/>
    </row>
    <row r="4223" spans="1:6" ht="16.8" customHeight="1" x14ac:dyDescent="0.3">
      <c r="A4223" s="20">
        <v>45820</v>
      </c>
      <c r="B4223" s="31"/>
      <c r="C4223" s="31"/>
      <c r="D4223" s="31"/>
      <c r="E4223" s="25"/>
      <c r="F4223" s="26"/>
    </row>
    <row r="4224" spans="1:6" ht="16.8" customHeight="1" x14ac:dyDescent="0.3">
      <c r="A4224" s="20">
        <v>45821</v>
      </c>
      <c r="B4224" s="31"/>
      <c r="C4224" s="31"/>
      <c r="D4224" s="31"/>
      <c r="E4224" s="25"/>
      <c r="F4224" s="26"/>
    </row>
    <row r="4225" spans="1:6" ht="16.8" customHeight="1" x14ac:dyDescent="0.3">
      <c r="A4225" s="20">
        <v>45822</v>
      </c>
      <c r="B4225" s="31"/>
      <c r="C4225" s="31"/>
      <c r="D4225" s="31"/>
      <c r="E4225" s="25"/>
      <c r="F4225" s="26"/>
    </row>
    <row r="4226" spans="1:6" ht="16.8" customHeight="1" x14ac:dyDescent="0.3">
      <c r="A4226" s="20">
        <v>45823</v>
      </c>
      <c r="B4226" s="31"/>
      <c r="C4226" s="31"/>
      <c r="D4226" s="31"/>
      <c r="E4226" s="25"/>
      <c r="F4226" s="26"/>
    </row>
    <row r="4227" spans="1:6" ht="16.8" customHeight="1" x14ac:dyDescent="0.3">
      <c r="A4227" s="20">
        <v>45824</v>
      </c>
      <c r="B4227" s="31"/>
      <c r="C4227" s="31"/>
      <c r="D4227" s="31"/>
      <c r="E4227" s="25"/>
      <c r="F4227" s="26"/>
    </row>
    <row r="4228" spans="1:6" ht="16.8" customHeight="1" x14ac:dyDescent="0.3">
      <c r="A4228" s="20">
        <v>45825</v>
      </c>
      <c r="B4228" s="31"/>
      <c r="C4228" s="31"/>
      <c r="D4228" s="31"/>
      <c r="E4228" s="25"/>
      <c r="F4228" s="26"/>
    </row>
    <row r="4229" spans="1:6" ht="16.8" customHeight="1" x14ac:dyDescent="0.3">
      <c r="A4229" s="20">
        <v>45826</v>
      </c>
      <c r="B4229" s="31"/>
      <c r="C4229" s="31"/>
      <c r="D4229" s="31"/>
      <c r="E4229" s="25"/>
      <c r="F4229" s="26"/>
    </row>
    <row r="4230" spans="1:6" ht="16.8" customHeight="1" x14ac:dyDescent="0.3">
      <c r="A4230" s="20">
        <v>45827</v>
      </c>
      <c r="B4230" s="31"/>
      <c r="C4230" s="31"/>
      <c r="D4230" s="31"/>
      <c r="E4230" s="25"/>
      <c r="F4230" s="26"/>
    </row>
    <row r="4231" spans="1:6" ht="16.8" customHeight="1" x14ac:dyDescent="0.3">
      <c r="A4231" s="20">
        <v>45828</v>
      </c>
      <c r="B4231" s="31"/>
      <c r="C4231" s="31"/>
      <c r="D4231" s="31"/>
      <c r="E4231" s="25"/>
      <c r="F4231" s="26"/>
    </row>
    <row r="4232" spans="1:6" ht="16.8" customHeight="1" x14ac:dyDescent="0.3">
      <c r="A4232" s="20">
        <v>45829</v>
      </c>
      <c r="B4232" s="31"/>
      <c r="C4232" s="31"/>
      <c r="D4232" s="31"/>
      <c r="E4232" s="25"/>
      <c r="F4232" s="26"/>
    </row>
    <row r="4233" spans="1:6" ht="16.8" customHeight="1" x14ac:dyDescent="0.3">
      <c r="A4233" s="20">
        <v>45830</v>
      </c>
      <c r="B4233" s="31"/>
      <c r="C4233" s="31"/>
      <c r="D4233" s="31"/>
      <c r="E4233" s="25"/>
      <c r="F4233" s="26"/>
    </row>
    <row r="4234" spans="1:6" ht="16.8" customHeight="1" x14ac:dyDescent="0.3">
      <c r="A4234" s="20">
        <v>45831</v>
      </c>
      <c r="B4234" s="31"/>
      <c r="C4234" s="31"/>
      <c r="D4234" s="31"/>
      <c r="E4234" s="25"/>
      <c r="F4234" s="26"/>
    </row>
    <row r="4235" spans="1:6" ht="16.8" customHeight="1" x14ac:dyDescent="0.3">
      <c r="A4235" s="20">
        <v>45832</v>
      </c>
      <c r="B4235" s="31"/>
      <c r="C4235" s="31"/>
      <c r="D4235" s="31"/>
      <c r="E4235" s="25"/>
      <c r="F4235" s="26"/>
    </row>
    <row r="4236" spans="1:6" ht="16.8" customHeight="1" x14ac:dyDescent="0.3">
      <c r="A4236" s="20">
        <v>45833</v>
      </c>
      <c r="B4236" s="31"/>
      <c r="C4236" s="31"/>
      <c r="D4236" s="31"/>
      <c r="E4236" s="25"/>
      <c r="F4236" s="26"/>
    </row>
    <row r="4237" spans="1:6" ht="16.8" customHeight="1" x14ac:dyDescent="0.3">
      <c r="A4237" s="20">
        <v>45834</v>
      </c>
      <c r="B4237" s="31"/>
      <c r="C4237" s="31"/>
      <c r="D4237" s="31"/>
      <c r="E4237" s="25"/>
      <c r="F4237" s="26"/>
    </row>
    <row r="4238" spans="1:6" ht="16.8" customHeight="1" x14ac:dyDescent="0.3">
      <c r="A4238" s="20">
        <v>45835</v>
      </c>
      <c r="B4238" s="31"/>
      <c r="C4238" s="31"/>
      <c r="D4238" s="31"/>
      <c r="E4238" s="25"/>
      <c r="F4238" s="26"/>
    </row>
    <row r="4239" spans="1:6" ht="16.8" customHeight="1" x14ac:dyDescent="0.3">
      <c r="A4239" s="20">
        <v>45836</v>
      </c>
      <c r="B4239" s="31"/>
      <c r="C4239" s="31"/>
      <c r="D4239" s="31"/>
      <c r="E4239" s="25"/>
      <c r="F4239" s="26"/>
    </row>
    <row r="4240" spans="1:6" ht="16.8" customHeight="1" x14ac:dyDescent="0.3">
      <c r="A4240" s="20">
        <v>45837</v>
      </c>
      <c r="B4240" s="31"/>
      <c r="C4240" s="31"/>
      <c r="D4240" s="31"/>
      <c r="E4240" s="25"/>
      <c r="F4240" s="26"/>
    </row>
    <row r="4241" spans="1:6" ht="16.8" customHeight="1" x14ac:dyDescent="0.3">
      <c r="A4241" s="20">
        <v>45838</v>
      </c>
      <c r="B4241" s="31"/>
      <c r="C4241" s="31"/>
      <c r="D4241" s="31"/>
      <c r="E4241" s="25"/>
      <c r="F4241" s="26"/>
    </row>
    <row r="4242" spans="1:6" ht="16.8" customHeight="1" x14ac:dyDescent="0.3">
      <c r="A4242" s="20">
        <v>45839</v>
      </c>
      <c r="B4242" s="31"/>
      <c r="C4242" s="31"/>
      <c r="D4242" s="31"/>
      <c r="E4242" s="25"/>
      <c r="F4242" s="26"/>
    </row>
    <row r="4243" spans="1:6" ht="16.8" customHeight="1" x14ac:dyDescent="0.3">
      <c r="A4243" s="20">
        <v>45840</v>
      </c>
      <c r="B4243" s="31"/>
      <c r="C4243" s="31"/>
      <c r="D4243" s="31"/>
      <c r="E4243" s="25"/>
      <c r="F4243" s="26"/>
    </row>
    <row r="4244" spans="1:6" ht="16.8" customHeight="1" x14ac:dyDescent="0.3">
      <c r="A4244" s="20">
        <v>45841</v>
      </c>
      <c r="B4244" s="31"/>
      <c r="C4244" s="31"/>
      <c r="D4244" s="31"/>
      <c r="E4244" s="25"/>
      <c r="F4244" s="26"/>
    </row>
    <row r="4245" spans="1:6" ht="16.8" customHeight="1" x14ac:dyDescent="0.3">
      <c r="A4245" s="20">
        <v>45842</v>
      </c>
      <c r="B4245" s="31"/>
      <c r="C4245" s="31"/>
      <c r="D4245" s="31"/>
      <c r="E4245" s="25"/>
      <c r="F4245" s="26"/>
    </row>
    <row r="4246" spans="1:6" ht="16.8" customHeight="1" x14ac:dyDescent="0.3">
      <c r="A4246" s="20">
        <v>45843</v>
      </c>
      <c r="B4246" s="31"/>
      <c r="C4246" s="31"/>
      <c r="D4246" s="31"/>
      <c r="E4246" s="25"/>
      <c r="F4246" s="26"/>
    </row>
    <row r="4247" spans="1:6" ht="16.8" customHeight="1" x14ac:dyDescent="0.3">
      <c r="A4247" s="20">
        <v>45844</v>
      </c>
      <c r="B4247" s="31"/>
      <c r="C4247" s="31"/>
      <c r="D4247" s="31"/>
      <c r="E4247" s="25"/>
      <c r="F4247" s="26"/>
    </row>
    <row r="4248" spans="1:6" ht="16.8" customHeight="1" x14ac:dyDescent="0.3">
      <c r="A4248" s="20">
        <v>45845</v>
      </c>
      <c r="B4248" s="31"/>
      <c r="C4248" s="31"/>
      <c r="D4248" s="31"/>
      <c r="E4248" s="25"/>
      <c r="F4248" s="26"/>
    </row>
    <row r="4249" spans="1:6" ht="16.8" customHeight="1" x14ac:dyDescent="0.3">
      <c r="A4249" s="20">
        <v>45846</v>
      </c>
      <c r="B4249" s="31"/>
      <c r="C4249" s="31"/>
      <c r="D4249" s="31"/>
      <c r="E4249" s="25"/>
      <c r="F4249" s="26"/>
    </row>
    <row r="4250" spans="1:6" ht="16.8" customHeight="1" x14ac:dyDescent="0.3">
      <c r="A4250" s="20">
        <v>45847</v>
      </c>
      <c r="B4250" s="31"/>
      <c r="C4250" s="31"/>
      <c r="D4250" s="31"/>
      <c r="E4250" s="25"/>
      <c r="F4250" s="26"/>
    </row>
    <row r="4251" spans="1:6" ht="16.8" customHeight="1" x14ac:dyDescent="0.3">
      <c r="A4251" s="20">
        <v>45848</v>
      </c>
      <c r="B4251" s="31"/>
      <c r="C4251" s="31"/>
      <c r="D4251" s="31"/>
      <c r="E4251" s="25"/>
      <c r="F4251" s="26"/>
    </row>
    <row r="4252" spans="1:6" ht="16.8" customHeight="1" x14ac:dyDescent="0.3">
      <c r="A4252" s="20">
        <v>45849</v>
      </c>
      <c r="B4252" s="31"/>
      <c r="C4252" s="31"/>
      <c r="D4252" s="31"/>
      <c r="E4252" s="25"/>
      <c r="F4252" s="26"/>
    </row>
    <row r="4253" spans="1:6" ht="16.8" customHeight="1" x14ac:dyDescent="0.3">
      <c r="A4253" s="20">
        <v>45850</v>
      </c>
      <c r="B4253" s="31"/>
      <c r="C4253" s="31"/>
      <c r="D4253" s="31"/>
      <c r="E4253" s="25"/>
      <c r="F4253" s="26"/>
    </row>
    <row r="4254" spans="1:6" ht="16.8" customHeight="1" x14ac:dyDescent="0.3">
      <c r="A4254" s="20">
        <v>45851</v>
      </c>
      <c r="B4254" s="31"/>
      <c r="C4254" s="31"/>
      <c r="D4254" s="31"/>
      <c r="E4254" s="25"/>
      <c r="F4254" s="26"/>
    </row>
    <row r="4255" spans="1:6" ht="16.8" customHeight="1" x14ac:dyDescent="0.3">
      <c r="A4255" s="20">
        <v>45852</v>
      </c>
      <c r="B4255" s="31"/>
      <c r="C4255" s="31"/>
      <c r="D4255" s="31"/>
      <c r="E4255" s="25"/>
      <c r="F4255" s="26"/>
    </row>
    <row r="4256" spans="1:6" ht="16.8" customHeight="1" x14ac:dyDescent="0.3">
      <c r="A4256" s="20">
        <v>45853</v>
      </c>
      <c r="B4256" s="31"/>
      <c r="C4256" s="31"/>
      <c r="D4256" s="31"/>
      <c r="E4256" s="25"/>
      <c r="F4256" s="26"/>
    </row>
    <row r="4257" spans="1:6" ht="16.8" customHeight="1" x14ac:dyDescent="0.3">
      <c r="A4257" s="20">
        <v>45854</v>
      </c>
      <c r="B4257" s="31"/>
      <c r="C4257" s="31"/>
      <c r="D4257" s="31"/>
      <c r="E4257" s="25"/>
      <c r="F4257" s="26"/>
    </row>
    <row r="4258" spans="1:6" ht="16.8" customHeight="1" x14ac:dyDescent="0.3">
      <c r="A4258" s="20">
        <v>45855</v>
      </c>
      <c r="B4258" s="31"/>
      <c r="C4258" s="31"/>
      <c r="D4258" s="31"/>
      <c r="E4258" s="25"/>
      <c r="F4258" s="26"/>
    </row>
    <row r="4259" spans="1:6" ht="16.8" customHeight="1" x14ac:dyDescent="0.3">
      <c r="A4259" s="20">
        <v>45856</v>
      </c>
      <c r="B4259" s="31"/>
      <c r="C4259" s="31"/>
      <c r="D4259" s="31"/>
      <c r="E4259" s="25"/>
      <c r="F4259" s="26"/>
    </row>
    <row r="4260" spans="1:6" ht="16.8" customHeight="1" x14ac:dyDescent="0.3">
      <c r="A4260" s="20">
        <v>45857</v>
      </c>
      <c r="B4260" s="31"/>
      <c r="C4260" s="31"/>
      <c r="D4260" s="31"/>
      <c r="E4260" s="25"/>
      <c r="F4260" s="26"/>
    </row>
    <row r="4261" spans="1:6" ht="16.8" customHeight="1" x14ac:dyDescent="0.3">
      <c r="A4261" s="20">
        <v>45858</v>
      </c>
      <c r="B4261" s="31"/>
      <c r="C4261" s="31"/>
      <c r="D4261" s="31"/>
      <c r="E4261" s="25"/>
      <c r="F4261" s="26"/>
    </row>
    <row r="4262" spans="1:6" ht="16.8" customHeight="1" x14ac:dyDescent="0.3">
      <c r="A4262" s="20">
        <v>45859</v>
      </c>
      <c r="B4262" s="31"/>
      <c r="C4262" s="31"/>
      <c r="D4262" s="31"/>
      <c r="E4262" s="25"/>
      <c r="F4262" s="26"/>
    </row>
    <row r="4263" spans="1:6" ht="16.8" customHeight="1" x14ac:dyDescent="0.3">
      <c r="A4263" s="20">
        <v>45860</v>
      </c>
      <c r="B4263" s="31"/>
      <c r="C4263" s="31"/>
      <c r="D4263" s="31"/>
      <c r="E4263" s="25"/>
      <c r="F4263" s="26"/>
    </row>
    <row r="4264" spans="1:6" ht="16.8" customHeight="1" x14ac:dyDescent="0.3">
      <c r="A4264" s="20">
        <v>45861</v>
      </c>
      <c r="B4264" s="31"/>
      <c r="C4264" s="31"/>
      <c r="D4264" s="31"/>
      <c r="E4264" s="25"/>
      <c r="F4264" s="26"/>
    </row>
    <row r="4265" spans="1:6" ht="16.8" customHeight="1" x14ac:dyDescent="0.3">
      <c r="A4265" s="20">
        <v>45862</v>
      </c>
      <c r="B4265" s="31"/>
      <c r="C4265" s="31"/>
      <c r="D4265" s="31"/>
      <c r="E4265" s="25"/>
      <c r="F4265" s="26"/>
    </row>
    <row r="4266" spans="1:6" ht="16.8" customHeight="1" x14ac:dyDescent="0.3">
      <c r="A4266" s="20">
        <v>45863</v>
      </c>
      <c r="B4266" s="31"/>
      <c r="C4266" s="31"/>
      <c r="D4266" s="31"/>
      <c r="E4266" s="25"/>
      <c r="F4266" s="26"/>
    </row>
    <row r="4267" spans="1:6" ht="16.8" customHeight="1" x14ac:dyDescent="0.3">
      <c r="A4267" s="20">
        <v>45864</v>
      </c>
      <c r="B4267" s="31"/>
      <c r="C4267" s="31"/>
      <c r="D4267" s="31"/>
      <c r="E4267" s="25"/>
      <c r="F4267" s="26"/>
    </row>
    <row r="4268" spans="1:6" ht="16.8" customHeight="1" x14ac:dyDescent="0.3">
      <c r="A4268" s="20">
        <v>45865</v>
      </c>
      <c r="B4268" s="31"/>
      <c r="C4268" s="31"/>
      <c r="D4268" s="31"/>
      <c r="E4268" s="25"/>
      <c r="F4268" s="26"/>
    </row>
    <row r="4269" spans="1:6" ht="16.8" customHeight="1" x14ac:dyDescent="0.3">
      <c r="A4269" s="20">
        <v>45866</v>
      </c>
      <c r="B4269" s="31"/>
      <c r="C4269" s="31"/>
      <c r="D4269" s="31"/>
      <c r="E4269" s="25"/>
      <c r="F4269" s="26"/>
    </row>
    <row r="4270" spans="1:6" ht="16.8" customHeight="1" x14ac:dyDescent="0.3">
      <c r="A4270" s="20">
        <v>45867</v>
      </c>
      <c r="B4270" s="31"/>
      <c r="C4270" s="31"/>
      <c r="D4270" s="31"/>
      <c r="E4270" s="25"/>
      <c r="F4270" s="26"/>
    </row>
    <row r="4271" spans="1:6" ht="16.8" customHeight="1" x14ac:dyDescent="0.3">
      <c r="A4271" s="20">
        <v>45868</v>
      </c>
      <c r="B4271" s="31"/>
      <c r="C4271" s="31"/>
      <c r="D4271" s="31"/>
      <c r="E4271" s="25"/>
      <c r="F4271" s="26"/>
    </row>
    <row r="4272" spans="1:6" ht="16.8" customHeight="1" x14ac:dyDescent="0.3">
      <c r="A4272" s="20">
        <v>45869</v>
      </c>
      <c r="B4272" s="31"/>
      <c r="C4272" s="31"/>
      <c r="D4272" s="31"/>
      <c r="E4272" s="25"/>
      <c r="F4272" s="26"/>
    </row>
    <row r="4273" spans="1:6" ht="16.8" customHeight="1" x14ac:dyDescent="0.3">
      <c r="A4273" s="20">
        <v>45870</v>
      </c>
      <c r="B4273" s="31"/>
      <c r="C4273" s="31"/>
      <c r="D4273" s="31"/>
      <c r="E4273" s="25"/>
      <c r="F4273" s="26"/>
    </row>
    <row r="4274" spans="1:6" ht="16.8" customHeight="1" x14ac:dyDescent="0.3">
      <c r="A4274" s="20">
        <v>45871</v>
      </c>
      <c r="B4274" s="31"/>
      <c r="C4274" s="31"/>
      <c r="D4274" s="31"/>
      <c r="E4274" s="25"/>
      <c r="F4274" s="26"/>
    </row>
    <row r="4275" spans="1:6" ht="16.8" customHeight="1" x14ac:dyDescent="0.3">
      <c r="A4275" s="20">
        <v>45872</v>
      </c>
      <c r="B4275" s="31"/>
      <c r="C4275" s="31"/>
      <c r="D4275" s="31"/>
      <c r="E4275" s="25"/>
      <c r="F4275" s="26"/>
    </row>
    <row r="4276" spans="1:6" ht="16.8" customHeight="1" x14ac:dyDescent="0.3">
      <c r="A4276" s="20">
        <v>45873</v>
      </c>
      <c r="B4276" s="31"/>
      <c r="C4276" s="31"/>
      <c r="D4276" s="31"/>
      <c r="E4276" s="25"/>
      <c r="F4276" s="26"/>
    </row>
    <row r="4277" spans="1:6" ht="16.8" customHeight="1" x14ac:dyDescent="0.3">
      <c r="A4277" s="20">
        <v>45874</v>
      </c>
      <c r="B4277" s="31"/>
      <c r="C4277" s="31"/>
      <c r="D4277" s="31"/>
      <c r="E4277" s="25"/>
      <c r="F4277" s="26"/>
    </row>
    <row r="4278" spans="1:6" ht="16.8" customHeight="1" x14ac:dyDescent="0.3">
      <c r="A4278" s="20">
        <v>45875</v>
      </c>
      <c r="B4278" s="31"/>
      <c r="C4278" s="31"/>
      <c r="D4278" s="31"/>
      <c r="E4278" s="25"/>
      <c r="F4278" s="26"/>
    </row>
    <row r="4279" spans="1:6" ht="16.8" customHeight="1" x14ac:dyDescent="0.3">
      <c r="A4279" s="20">
        <v>45876</v>
      </c>
      <c r="B4279" s="31"/>
      <c r="C4279" s="31"/>
      <c r="D4279" s="31"/>
      <c r="E4279" s="25"/>
      <c r="F4279" s="26"/>
    </row>
    <row r="4280" spans="1:6" ht="16.8" customHeight="1" x14ac:dyDescent="0.3">
      <c r="A4280" s="20">
        <v>45877</v>
      </c>
      <c r="B4280" s="31"/>
      <c r="C4280" s="31"/>
      <c r="D4280" s="31"/>
      <c r="E4280" s="25"/>
      <c r="F4280" s="26"/>
    </row>
    <row r="4281" spans="1:6" ht="16.8" customHeight="1" x14ac:dyDescent="0.3">
      <c r="A4281" s="20">
        <v>45878</v>
      </c>
      <c r="B4281" s="31"/>
      <c r="C4281" s="31"/>
      <c r="D4281" s="31"/>
      <c r="E4281" s="25"/>
      <c r="F4281" s="26"/>
    </row>
    <row r="4282" spans="1:6" ht="16.8" customHeight="1" x14ac:dyDescent="0.3">
      <c r="A4282" s="20">
        <v>45879</v>
      </c>
      <c r="B4282" s="31"/>
      <c r="C4282" s="31"/>
      <c r="D4282" s="31"/>
      <c r="E4282" s="25"/>
      <c r="F4282" s="26"/>
    </row>
    <row r="4283" spans="1:6" ht="16.8" customHeight="1" x14ac:dyDescent="0.3">
      <c r="A4283" s="20">
        <v>45880</v>
      </c>
      <c r="B4283" s="31"/>
      <c r="C4283" s="31"/>
      <c r="D4283" s="31"/>
      <c r="E4283" s="25"/>
      <c r="F4283" s="26"/>
    </row>
    <row r="4284" spans="1:6" ht="16.8" customHeight="1" x14ac:dyDescent="0.3">
      <c r="A4284" s="20">
        <v>45881</v>
      </c>
      <c r="B4284" s="31"/>
      <c r="C4284" s="31"/>
      <c r="D4284" s="31"/>
      <c r="E4284" s="25"/>
      <c r="F4284" s="26"/>
    </row>
    <row r="4285" spans="1:6" ht="16.8" customHeight="1" x14ac:dyDescent="0.3">
      <c r="A4285" s="20">
        <v>45882</v>
      </c>
      <c r="B4285" s="31"/>
      <c r="C4285" s="31"/>
      <c r="D4285" s="31"/>
      <c r="E4285" s="25"/>
      <c r="F4285" s="26"/>
    </row>
    <row r="4286" spans="1:6" ht="16.8" customHeight="1" x14ac:dyDescent="0.3">
      <c r="A4286" s="20">
        <v>45883</v>
      </c>
      <c r="B4286" s="31"/>
      <c r="C4286" s="31"/>
      <c r="D4286" s="31"/>
      <c r="E4286" s="25"/>
      <c r="F4286" s="26"/>
    </row>
    <row r="4287" spans="1:6" ht="16.8" customHeight="1" x14ac:dyDescent="0.3">
      <c r="A4287" s="20">
        <v>45884</v>
      </c>
      <c r="B4287" s="31"/>
      <c r="C4287" s="31"/>
      <c r="D4287" s="31"/>
      <c r="E4287" s="25"/>
      <c r="F4287" s="26"/>
    </row>
    <row r="4288" spans="1:6" ht="16.8" customHeight="1" x14ac:dyDescent="0.3">
      <c r="A4288" s="20">
        <v>45885</v>
      </c>
      <c r="B4288" s="31"/>
      <c r="C4288" s="31"/>
      <c r="D4288" s="31"/>
      <c r="E4288" s="25"/>
      <c r="F4288" s="26"/>
    </row>
    <row r="4289" spans="1:6" ht="16.8" customHeight="1" x14ac:dyDescent="0.3">
      <c r="A4289" s="20">
        <v>45886</v>
      </c>
      <c r="B4289" s="31"/>
      <c r="C4289" s="31"/>
      <c r="D4289" s="31"/>
      <c r="E4289" s="25"/>
      <c r="F4289" s="26"/>
    </row>
    <row r="4290" spans="1:6" ht="16.8" customHeight="1" x14ac:dyDescent="0.3">
      <c r="A4290" s="20">
        <v>45887</v>
      </c>
      <c r="B4290" s="31"/>
      <c r="C4290" s="31"/>
      <c r="D4290" s="31"/>
      <c r="E4290" s="25"/>
      <c r="F4290" s="26"/>
    </row>
    <row r="4291" spans="1:6" ht="16.8" customHeight="1" x14ac:dyDescent="0.3">
      <c r="A4291" s="20">
        <v>45888</v>
      </c>
      <c r="B4291" s="31"/>
      <c r="C4291" s="31"/>
      <c r="D4291" s="31"/>
      <c r="E4291" s="25"/>
      <c r="F4291" s="26"/>
    </row>
    <row r="4292" spans="1:6" ht="16.8" customHeight="1" x14ac:dyDescent="0.3">
      <c r="A4292" s="20">
        <v>45889</v>
      </c>
      <c r="B4292" s="31"/>
      <c r="C4292" s="31"/>
      <c r="D4292" s="31"/>
      <c r="E4292" s="25"/>
      <c r="F4292" s="26"/>
    </row>
    <row r="4293" spans="1:6" ht="16.8" customHeight="1" x14ac:dyDescent="0.3">
      <c r="A4293" s="20">
        <v>45890</v>
      </c>
      <c r="B4293" s="31"/>
      <c r="C4293" s="31"/>
      <c r="D4293" s="31"/>
      <c r="E4293" s="25"/>
      <c r="F4293" s="26"/>
    </row>
    <row r="4294" spans="1:6" ht="16.8" customHeight="1" x14ac:dyDescent="0.3">
      <c r="A4294" s="20">
        <v>45891</v>
      </c>
      <c r="B4294" s="31"/>
      <c r="C4294" s="31"/>
      <c r="D4294" s="31"/>
      <c r="E4294" s="25"/>
      <c r="F4294" s="26"/>
    </row>
    <row r="4295" spans="1:6" ht="16.8" customHeight="1" x14ac:dyDescent="0.3">
      <c r="A4295" s="20">
        <v>45892</v>
      </c>
      <c r="B4295" s="31"/>
      <c r="C4295" s="31"/>
      <c r="D4295" s="31"/>
      <c r="E4295" s="25"/>
      <c r="F4295" s="26"/>
    </row>
    <row r="4296" spans="1:6" ht="16.8" customHeight="1" x14ac:dyDescent="0.3">
      <c r="A4296" s="20">
        <v>45893</v>
      </c>
      <c r="B4296" s="31"/>
      <c r="C4296" s="31"/>
      <c r="D4296" s="31"/>
      <c r="E4296" s="25"/>
      <c r="F4296" s="26"/>
    </row>
    <row r="4297" spans="1:6" ht="16.8" customHeight="1" x14ac:dyDescent="0.3">
      <c r="A4297" s="20">
        <v>45894</v>
      </c>
      <c r="B4297" s="31"/>
      <c r="C4297" s="31"/>
      <c r="D4297" s="31"/>
      <c r="E4297" s="25"/>
      <c r="F4297" s="26"/>
    </row>
    <row r="4298" spans="1:6" ht="16.8" customHeight="1" x14ac:dyDescent="0.3">
      <c r="A4298" s="20">
        <v>45895</v>
      </c>
      <c r="B4298" s="31"/>
      <c r="C4298" s="31"/>
      <c r="D4298" s="31"/>
      <c r="E4298" s="25"/>
      <c r="F4298" s="26"/>
    </row>
    <row r="4299" spans="1:6" ht="16.8" customHeight="1" x14ac:dyDescent="0.3">
      <c r="A4299" s="20">
        <v>45896</v>
      </c>
      <c r="B4299" s="31"/>
      <c r="C4299" s="31"/>
      <c r="D4299" s="31"/>
      <c r="E4299" s="25"/>
      <c r="F4299" s="26"/>
    </row>
    <row r="4300" spans="1:6" ht="16.8" customHeight="1" x14ac:dyDescent="0.3">
      <c r="A4300" s="20">
        <v>45897</v>
      </c>
      <c r="B4300" s="31"/>
      <c r="C4300" s="31"/>
      <c r="D4300" s="31"/>
      <c r="E4300" s="25"/>
      <c r="F4300" s="26"/>
    </row>
    <row r="4301" spans="1:6" ht="16.8" customHeight="1" x14ac:dyDescent="0.3">
      <c r="A4301" s="20">
        <v>45898</v>
      </c>
      <c r="B4301" s="31"/>
      <c r="C4301" s="31"/>
      <c r="D4301" s="31"/>
      <c r="E4301" s="25"/>
      <c r="F4301" s="26"/>
    </row>
    <row r="4302" spans="1:6" ht="16.8" customHeight="1" x14ac:dyDescent="0.3">
      <c r="A4302" s="20">
        <v>45899</v>
      </c>
      <c r="B4302" s="31"/>
      <c r="C4302" s="31"/>
      <c r="D4302" s="31"/>
      <c r="E4302" s="25"/>
      <c r="F4302" s="26"/>
    </row>
    <row r="4303" spans="1:6" ht="16.8" customHeight="1" x14ac:dyDescent="0.3">
      <c r="A4303" s="20">
        <v>45900</v>
      </c>
      <c r="B4303" s="31"/>
      <c r="C4303" s="31"/>
      <c r="D4303" s="31"/>
      <c r="E4303" s="25"/>
      <c r="F4303" s="26"/>
    </row>
    <row r="4304" spans="1:6" ht="16.8" customHeight="1" x14ac:dyDescent="0.3">
      <c r="A4304" s="20">
        <v>45901</v>
      </c>
      <c r="B4304" s="31"/>
      <c r="C4304" s="31"/>
      <c r="D4304" s="31"/>
      <c r="E4304" s="25"/>
      <c r="F4304" s="26"/>
    </row>
    <row r="4305" spans="1:6" ht="16.8" customHeight="1" x14ac:dyDescent="0.3">
      <c r="A4305" s="20">
        <v>45902</v>
      </c>
      <c r="B4305" s="31"/>
      <c r="C4305" s="31"/>
      <c r="D4305" s="31"/>
      <c r="E4305" s="25"/>
      <c r="F4305" s="26"/>
    </row>
    <row r="4306" spans="1:6" ht="16.8" customHeight="1" x14ac:dyDescent="0.3">
      <c r="A4306" s="20">
        <v>45903</v>
      </c>
      <c r="B4306" s="31"/>
      <c r="C4306" s="31"/>
      <c r="D4306" s="31"/>
      <c r="E4306" s="25"/>
      <c r="F4306" s="26"/>
    </row>
    <row r="4307" spans="1:6" ht="16.8" customHeight="1" x14ac:dyDescent="0.3">
      <c r="A4307" s="20">
        <v>45904</v>
      </c>
      <c r="B4307" s="31"/>
      <c r="C4307" s="31"/>
      <c r="D4307" s="31"/>
      <c r="E4307" s="25"/>
      <c r="F4307" s="26"/>
    </row>
    <row r="4308" spans="1:6" ht="16.8" customHeight="1" x14ac:dyDescent="0.3">
      <c r="A4308" s="20">
        <v>45905</v>
      </c>
      <c r="B4308" s="31"/>
      <c r="C4308" s="31"/>
      <c r="D4308" s="31"/>
      <c r="E4308" s="25"/>
      <c r="F4308" s="26"/>
    </row>
    <row r="4309" spans="1:6" ht="16.8" customHeight="1" x14ac:dyDescent="0.3">
      <c r="A4309" s="20">
        <v>45906</v>
      </c>
      <c r="B4309" s="31"/>
      <c r="C4309" s="31"/>
      <c r="D4309" s="31"/>
      <c r="E4309" s="25"/>
      <c r="F4309" s="26"/>
    </row>
    <row r="4310" spans="1:6" ht="16.8" customHeight="1" x14ac:dyDescent="0.3">
      <c r="A4310" s="20">
        <v>45907</v>
      </c>
      <c r="B4310" s="31"/>
      <c r="C4310" s="31"/>
      <c r="D4310" s="31"/>
      <c r="E4310" s="25"/>
      <c r="F4310" s="26"/>
    </row>
    <row r="4311" spans="1:6" ht="16.8" customHeight="1" x14ac:dyDescent="0.3">
      <c r="A4311" s="20">
        <v>45908</v>
      </c>
      <c r="B4311" s="31"/>
      <c r="C4311" s="31"/>
      <c r="D4311" s="31"/>
      <c r="E4311" s="25"/>
      <c r="F4311" s="26"/>
    </row>
    <row r="4312" spans="1:6" ht="16.8" customHeight="1" x14ac:dyDescent="0.3">
      <c r="A4312" s="20">
        <v>45909</v>
      </c>
      <c r="B4312" s="31"/>
      <c r="C4312" s="31"/>
      <c r="D4312" s="31"/>
      <c r="E4312" s="25"/>
      <c r="F4312" s="26"/>
    </row>
    <row r="4313" spans="1:6" ht="16.8" customHeight="1" x14ac:dyDescent="0.3">
      <c r="A4313" s="20">
        <v>45910</v>
      </c>
      <c r="B4313" s="31"/>
      <c r="C4313" s="31"/>
      <c r="D4313" s="31"/>
      <c r="E4313" s="25"/>
      <c r="F4313" s="26"/>
    </row>
    <row r="4314" spans="1:6" ht="16.8" customHeight="1" x14ac:dyDescent="0.3">
      <c r="A4314" s="20">
        <v>45911</v>
      </c>
      <c r="B4314" s="31"/>
      <c r="C4314" s="31"/>
      <c r="D4314" s="31"/>
      <c r="E4314" s="25"/>
      <c r="F4314" s="26"/>
    </row>
    <row r="4315" spans="1:6" ht="16.8" customHeight="1" x14ac:dyDescent="0.3">
      <c r="A4315" s="20">
        <v>45912</v>
      </c>
      <c r="B4315" s="31"/>
      <c r="C4315" s="31"/>
      <c r="D4315" s="31"/>
      <c r="E4315" s="25"/>
      <c r="F4315" s="26"/>
    </row>
    <row r="4316" spans="1:6" ht="16.8" customHeight="1" x14ac:dyDescent="0.3">
      <c r="A4316" s="20">
        <v>45913</v>
      </c>
      <c r="B4316" s="31"/>
      <c r="C4316" s="31"/>
      <c r="D4316" s="31"/>
      <c r="E4316" s="25"/>
      <c r="F4316" s="26"/>
    </row>
    <row r="4317" spans="1:6" ht="16.8" customHeight="1" x14ac:dyDescent="0.3">
      <c r="A4317" s="20">
        <v>45914</v>
      </c>
      <c r="B4317" s="31"/>
      <c r="C4317" s="31"/>
      <c r="D4317" s="31"/>
      <c r="E4317" s="25"/>
      <c r="F4317" s="26"/>
    </row>
    <row r="4318" spans="1:6" ht="16.8" customHeight="1" x14ac:dyDescent="0.3">
      <c r="A4318" s="20">
        <v>45915</v>
      </c>
      <c r="B4318" s="31"/>
      <c r="C4318" s="31"/>
      <c r="D4318" s="31"/>
      <c r="E4318" s="25"/>
      <c r="F4318" s="26"/>
    </row>
    <row r="4319" spans="1:6" ht="16.8" customHeight="1" x14ac:dyDescent="0.3">
      <c r="A4319" s="20">
        <v>45916</v>
      </c>
      <c r="B4319" s="31"/>
      <c r="C4319" s="31"/>
      <c r="D4319" s="31"/>
      <c r="E4319" s="25"/>
      <c r="F4319" s="26"/>
    </row>
    <row r="4320" spans="1:6" ht="16.8" customHeight="1" x14ac:dyDescent="0.3">
      <c r="A4320" s="20">
        <v>45917</v>
      </c>
      <c r="B4320" s="31"/>
      <c r="C4320" s="31"/>
      <c r="D4320" s="31"/>
      <c r="E4320" s="25"/>
      <c r="F4320" s="26"/>
    </row>
    <row r="4321" spans="1:6" ht="16.8" customHeight="1" x14ac:dyDescent="0.3">
      <c r="A4321" s="20">
        <v>45918</v>
      </c>
      <c r="B4321" s="31"/>
      <c r="C4321" s="31"/>
      <c r="D4321" s="31"/>
      <c r="E4321" s="25"/>
      <c r="F4321" s="26"/>
    </row>
    <row r="4322" spans="1:6" ht="16.8" customHeight="1" x14ac:dyDescent="0.3">
      <c r="A4322" s="20">
        <v>45919</v>
      </c>
      <c r="B4322" s="31"/>
      <c r="C4322" s="31"/>
      <c r="D4322" s="31"/>
      <c r="E4322" s="25"/>
      <c r="F4322" s="26"/>
    </row>
    <row r="4323" spans="1:6" ht="16.8" customHeight="1" x14ac:dyDescent="0.3">
      <c r="A4323" s="20">
        <v>45920</v>
      </c>
      <c r="B4323" s="31"/>
      <c r="C4323" s="31"/>
      <c r="D4323" s="31"/>
      <c r="E4323" s="25"/>
      <c r="F4323" s="26"/>
    </row>
    <row r="4324" spans="1:6" ht="16.8" customHeight="1" x14ac:dyDescent="0.3">
      <c r="A4324" s="20">
        <v>45921</v>
      </c>
      <c r="B4324" s="31"/>
      <c r="C4324" s="31"/>
      <c r="D4324" s="31"/>
      <c r="E4324" s="25"/>
      <c r="F4324" s="26"/>
    </row>
    <row r="4325" spans="1:6" ht="16.8" customHeight="1" x14ac:dyDescent="0.3">
      <c r="A4325" s="20">
        <v>45922</v>
      </c>
      <c r="B4325" s="31"/>
      <c r="C4325" s="31"/>
      <c r="D4325" s="31"/>
      <c r="E4325" s="25"/>
      <c r="F4325" s="26"/>
    </row>
    <row r="4326" spans="1:6" ht="16.8" customHeight="1" x14ac:dyDescent="0.3">
      <c r="A4326" s="20">
        <v>45923</v>
      </c>
      <c r="B4326" s="31"/>
      <c r="C4326" s="31"/>
      <c r="D4326" s="31"/>
      <c r="E4326" s="25"/>
      <c r="F4326" s="26"/>
    </row>
    <row r="4327" spans="1:6" ht="16.8" customHeight="1" x14ac:dyDescent="0.3">
      <c r="A4327" s="20">
        <v>45924</v>
      </c>
      <c r="B4327" s="31"/>
      <c r="C4327" s="31"/>
      <c r="D4327" s="31"/>
      <c r="E4327" s="25"/>
      <c r="F4327" s="26"/>
    </row>
    <row r="4328" spans="1:6" ht="16.8" customHeight="1" x14ac:dyDescent="0.3">
      <c r="A4328" s="20">
        <v>45925</v>
      </c>
      <c r="B4328" s="31"/>
      <c r="C4328" s="31"/>
      <c r="D4328" s="31"/>
      <c r="E4328" s="25"/>
      <c r="F4328" s="26"/>
    </row>
    <row r="4329" spans="1:6" ht="16.8" customHeight="1" x14ac:dyDescent="0.3">
      <c r="A4329" s="20">
        <v>45926</v>
      </c>
      <c r="B4329" s="31"/>
      <c r="C4329" s="31"/>
      <c r="D4329" s="31"/>
      <c r="E4329" s="25"/>
      <c r="F4329" s="26"/>
    </row>
    <row r="4330" spans="1:6" ht="16.8" customHeight="1" x14ac:dyDescent="0.3">
      <c r="A4330" s="20">
        <v>45927</v>
      </c>
      <c r="B4330" s="31"/>
      <c r="C4330" s="31"/>
      <c r="D4330" s="31"/>
      <c r="E4330" s="25"/>
      <c r="F4330" s="26"/>
    </row>
    <row r="4331" spans="1:6" ht="16.8" customHeight="1" x14ac:dyDescent="0.3">
      <c r="A4331" s="20">
        <v>45928</v>
      </c>
      <c r="B4331" s="31"/>
      <c r="C4331" s="31"/>
      <c r="D4331" s="31"/>
      <c r="E4331" s="25"/>
      <c r="F4331" s="26"/>
    </row>
    <row r="4332" spans="1:6" ht="16.8" customHeight="1" x14ac:dyDescent="0.3">
      <c r="A4332" s="20">
        <v>45929</v>
      </c>
      <c r="B4332" s="31"/>
      <c r="C4332" s="31"/>
      <c r="D4332" s="31"/>
      <c r="E4332" s="25"/>
      <c r="F4332" s="26"/>
    </row>
    <row r="4333" spans="1:6" ht="16.8" customHeight="1" x14ac:dyDescent="0.3">
      <c r="A4333" s="20">
        <v>45930</v>
      </c>
      <c r="B4333" s="31"/>
      <c r="C4333" s="31"/>
      <c r="D4333" s="31"/>
      <c r="E4333" s="25"/>
      <c r="F4333" s="26"/>
    </row>
    <row r="4334" spans="1:6" ht="16.8" customHeight="1" x14ac:dyDescent="0.3">
      <c r="A4334" s="20">
        <v>45931</v>
      </c>
      <c r="B4334" s="31"/>
      <c r="C4334" s="31"/>
      <c r="D4334" s="31"/>
      <c r="E4334" s="25"/>
      <c r="F4334" s="26"/>
    </row>
    <row r="4335" spans="1:6" ht="16.8" customHeight="1" x14ac:dyDescent="0.3">
      <c r="A4335" s="20">
        <v>45932</v>
      </c>
      <c r="B4335" s="31"/>
      <c r="C4335" s="31"/>
      <c r="D4335" s="31"/>
      <c r="E4335" s="25"/>
      <c r="F4335" s="26"/>
    </row>
    <row r="4336" spans="1:6" ht="16.8" customHeight="1" x14ac:dyDescent="0.3">
      <c r="A4336" s="20">
        <v>45933</v>
      </c>
      <c r="B4336" s="31"/>
      <c r="C4336" s="31"/>
      <c r="D4336" s="31"/>
      <c r="E4336" s="25"/>
      <c r="F4336" s="26"/>
    </row>
    <row r="4337" spans="1:6" ht="16.8" customHeight="1" x14ac:dyDescent="0.3">
      <c r="A4337" s="20">
        <v>45934</v>
      </c>
      <c r="B4337" s="31"/>
      <c r="C4337" s="31"/>
      <c r="D4337" s="31"/>
      <c r="E4337" s="25"/>
      <c r="F4337" s="26"/>
    </row>
    <row r="4338" spans="1:6" ht="16.8" customHeight="1" x14ac:dyDescent="0.3">
      <c r="A4338" s="20">
        <v>45935</v>
      </c>
      <c r="B4338" s="31"/>
      <c r="C4338" s="31"/>
      <c r="D4338" s="31"/>
      <c r="E4338" s="25"/>
      <c r="F4338" s="26"/>
    </row>
    <row r="4339" spans="1:6" ht="16.8" customHeight="1" x14ac:dyDescent="0.3">
      <c r="A4339" s="20">
        <v>45936</v>
      </c>
      <c r="B4339" s="31"/>
      <c r="C4339" s="31"/>
      <c r="D4339" s="31"/>
      <c r="E4339" s="25"/>
      <c r="F4339" s="26"/>
    </row>
    <row r="4340" spans="1:6" ht="16.8" customHeight="1" x14ac:dyDescent="0.3">
      <c r="A4340" s="20">
        <v>45937</v>
      </c>
      <c r="B4340" s="31"/>
      <c r="C4340" s="31"/>
      <c r="D4340" s="31"/>
      <c r="E4340" s="25"/>
      <c r="F4340" s="26"/>
    </row>
    <row r="4341" spans="1:6" ht="16.8" customHeight="1" x14ac:dyDescent="0.3">
      <c r="A4341" s="20">
        <v>45938</v>
      </c>
      <c r="B4341" s="31"/>
      <c r="C4341" s="31"/>
      <c r="D4341" s="31"/>
      <c r="E4341" s="25"/>
      <c r="F4341" s="26"/>
    </row>
    <row r="4342" spans="1:6" ht="16.8" customHeight="1" x14ac:dyDescent="0.3">
      <c r="A4342" s="20">
        <v>45939</v>
      </c>
      <c r="B4342" s="31"/>
      <c r="C4342" s="31"/>
      <c r="D4342" s="31"/>
      <c r="E4342" s="25"/>
      <c r="F4342" s="26"/>
    </row>
    <row r="4343" spans="1:6" ht="16.8" customHeight="1" x14ac:dyDescent="0.3">
      <c r="A4343" s="20">
        <v>45940</v>
      </c>
      <c r="B4343" s="31"/>
      <c r="C4343" s="31"/>
      <c r="D4343" s="31"/>
      <c r="E4343" s="25"/>
      <c r="F4343" s="26"/>
    </row>
    <row r="4344" spans="1:6" ht="16.8" customHeight="1" x14ac:dyDescent="0.3">
      <c r="A4344" s="20">
        <v>45941</v>
      </c>
      <c r="B4344" s="31"/>
      <c r="C4344" s="31"/>
      <c r="D4344" s="31"/>
      <c r="E4344" s="25"/>
      <c r="F4344" s="26"/>
    </row>
    <row r="4345" spans="1:6" ht="16.8" customHeight="1" x14ac:dyDescent="0.3">
      <c r="A4345" s="20">
        <v>45942</v>
      </c>
      <c r="B4345" s="31"/>
      <c r="C4345" s="31"/>
      <c r="D4345" s="31"/>
      <c r="E4345" s="25"/>
      <c r="F4345" s="26"/>
    </row>
    <row r="4346" spans="1:6" ht="16.8" customHeight="1" x14ac:dyDescent="0.3">
      <c r="A4346" s="20">
        <v>45943</v>
      </c>
      <c r="B4346" s="31"/>
      <c r="C4346" s="31"/>
      <c r="D4346" s="31"/>
      <c r="E4346" s="25"/>
      <c r="F4346" s="26"/>
    </row>
    <row r="4347" spans="1:6" ht="16.8" customHeight="1" x14ac:dyDescent="0.3">
      <c r="A4347" s="20">
        <v>45944</v>
      </c>
      <c r="B4347" s="31"/>
      <c r="C4347" s="31"/>
      <c r="D4347" s="31"/>
      <c r="E4347" s="25"/>
      <c r="F4347" s="26"/>
    </row>
    <row r="4348" spans="1:6" ht="16.8" customHeight="1" x14ac:dyDescent="0.3">
      <c r="A4348" s="20">
        <v>45945</v>
      </c>
      <c r="B4348" s="31"/>
      <c r="C4348" s="31"/>
      <c r="D4348" s="31"/>
      <c r="E4348" s="25"/>
      <c r="F4348" s="26"/>
    </row>
    <row r="4349" spans="1:6" ht="16.8" customHeight="1" x14ac:dyDescent="0.3">
      <c r="A4349" s="20">
        <v>45946</v>
      </c>
      <c r="B4349" s="31"/>
      <c r="C4349" s="31"/>
      <c r="D4349" s="31"/>
      <c r="E4349" s="25"/>
      <c r="F4349" s="26"/>
    </row>
    <row r="4350" spans="1:6" ht="16.8" customHeight="1" x14ac:dyDescent="0.3">
      <c r="A4350" s="20">
        <v>45947</v>
      </c>
      <c r="B4350" s="31"/>
      <c r="C4350" s="31"/>
      <c r="D4350" s="31"/>
      <c r="E4350" s="25"/>
      <c r="F4350" s="26"/>
    </row>
    <row r="4351" spans="1:6" ht="16.8" customHeight="1" x14ac:dyDescent="0.3">
      <c r="A4351" s="20">
        <v>45948</v>
      </c>
      <c r="B4351" s="31"/>
      <c r="C4351" s="31"/>
      <c r="D4351" s="31"/>
      <c r="E4351" s="25"/>
      <c r="F4351" s="26"/>
    </row>
    <row r="4352" spans="1:6" ht="16.8" customHeight="1" x14ac:dyDescent="0.3">
      <c r="A4352" s="20">
        <v>45949</v>
      </c>
      <c r="B4352" s="31"/>
      <c r="C4352" s="31"/>
      <c r="D4352" s="31"/>
      <c r="E4352" s="25"/>
      <c r="F4352" s="26"/>
    </row>
    <row r="4353" spans="1:6" ht="16.8" customHeight="1" x14ac:dyDescent="0.3">
      <c r="A4353" s="20">
        <v>45950</v>
      </c>
      <c r="B4353" s="31"/>
      <c r="C4353" s="31"/>
      <c r="D4353" s="31"/>
      <c r="E4353" s="25"/>
      <c r="F4353" s="26"/>
    </row>
    <row r="4354" spans="1:6" ht="16.8" customHeight="1" x14ac:dyDescent="0.3">
      <c r="A4354" s="20">
        <v>45951</v>
      </c>
      <c r="B4354" s="31"/>
      <c r="C4354" s="31"/>
      <c r="D4354" s="31"/>
      <c r="E4354" s="25"/>
      <c r="F4354" s="26"/>
    </row>
    <row r="4355" spans="1:6" ht="16.8" customHeight="1" x14ac:dyDescent="0.3">
      <c r="A4355" s="20">
        <v>45952</v>
      </c>
      <c r="B4355" s="31"/>
      <c r="C4355" s="31"/>
      <c r="D4355" s="31"/>
      <c r="E4355" s="25"/>
      <c r="F4355" s="26"/>
    </row>
    <row r="4356" spans="1:6" ht="16.8" customHeight="1" x14ac:dyDescent="0.3">
      <c r="A4356" s="20">
        <v>45953</v>
      </c>
      <c r="B4356" s="31"/>
      <c r="C4356" s="31"/>
      <c r="D4356" s="31"/>
      <c r="E4356" s="25"/>
      <c r="F4356" s="26"/>
    </row>
    <row r="4357" spans="1:6" ht="16.8" customHeight="1" x14ac:dyDescent="0.3">
      <c r="A4357" s="20">
        <v>45954</v>
      </c>
      <c r="B4357" s="31"/>
      <c r="C4357" s="31"/>
      <c r="D4357" s="31"/>
      <c r="E4357" s="25"/>
      <c r="F4357" s="26"/>
    </row>
    <row r="4358" spans="1:6" ht="16.8" customHeight="1" x14ac:dyDescent="0.3">
      <c r="A4358" s="20">
        <v>45955</v>
      </c>
      <c r="B4358" s="31"/>
      <c r="C4358" s="31"/>
      <c r="D4358" s="31"/>
      <c r="E4358" s="25"/>
      <c r="F4358" s="26"/>
    </row>
    <row r="4359" spans="1:6" ht="16.8" customHeight="1" x14ac:dyDescent="0.3">
      <c r="A4359" s="20">
        <v>45956</v>
      </c>
      <c r="B4359" s="31"/>
      <c r="C4359" s="31"/>
      <c r="D4359" s="31"/>
      <c r="E4359" s="25"/>
      <c r="F4359" s="26"/>
    </row>
    <row r="4360" spans="1:6" ht="16.8" customHeight="1" x14ac:dyDescent="0.3">
      <c r="A4360" s="20">
        <v>45957</v>
      </c>
      <c r="B4360" s="31"/>
      <c r="C4360" s="31"/>
      <c r="D4360" s="31"/>
      <c r="E4360" s="25"/>
      <c r="F4360" s="26"/>
    </row>
    <row r="4361" spans="1:6" ht="16.8" customHeight="1" x14ac:dyDescent="0.3">
      <c r="A4361" s="20">
        <v>45958</v>
      </c>
      <c r="B4361" s="31"/>
      <c r="C4361" s="31"/>
      <c r="D4361" s="31"/>
      <c r="E4361" s="25"/>
      <c r="F4361" s="26"/>
    </row>
    <row r="4362" spans="1:6" ht="16.8" customHeight="1" x14ac:dyDescent="0.3">
      <c r="A4362" s="20">
        <v>45959</v>
      </c>
      <c r="B4362" s="31"/>
      <c r="C4362" s="31"/>
      <c r="D4362" s="31"/>
      <c r="E4362" s="25"/>
      <c r="F4362" s="26"/>
    </row>
    <row r="4363" spans="1:6" ht="16.8" customHeight="1" x14ac:dyDescent="0.3">
      <c r="A4363" s="20">
        <v>45960</v>
      </c>
      <c r="B4363" s="31"/>
      <c r="C4363" s="31"/>
      <c r="D4363" s="31"/>
      <c r="E4363" s="25"/>
      <c r="F4363" s="26"/>
    </row>
    <row r="4364" spans="1:6" ht="16.8" customHeight="1" x14ac:dyDescent="0.3">
      <c r="A4364" s="20">
        <v>45961</v>
      </c>
      <c r="B4364" s="31"/>
      <c r="C4364" s="31"/>
      <c r="D4364" s="31"/>
      <c r="E4364" s="25"/>
      <c r="F4364" s="26"/>
    </row>
    <row r="4365" spans="1:6" ht="16.8" customHeight="1" x14ac:dyDescent="0.3">
      <c r="A4365" s="20">
        <v>45962</v>
      </c>
      <c r="B4365" s="31"/>
      <c r="C4365" s="31"/>
      <c r="D4365" s="31"/>
      <c r="E4365" s="25"/>
      <c r="F4365" s="26"/>
    </row>
    <row r="4366" spans="1:6" ht="16.8" customHeight="1" x14ac:dyDescent="0.3">
      <c r="A4366" s="20">
        <v>45963</v>
      </c>
      <c r="B4366" s="31"/>
      <c r="C4366" s="31"/>
      <c r="D4366" s="31"/>
      <c r="E4366" s="25"/>
      <c r="F4366" s="26"/>
    </row>
    <row r="4367" spans="1:6" ht="16.8" customHeight="1" x14ac:dyDescent="0.3">
      <c r="A4367" s="20">
        <v>45964</v>
      </c>
      <c r="B4367" s="31"/>
      <c r="C4367" s="31"/>
      <c r="D4367" s="31"/>
      <c r="E4367" s="25"/>
      <c r="F4367" s="26"/>
    </row>
    <row r="4368" spans="1:6" ht="16.8" customHeight="1" x14ac:dyDescent="0.3">
      <c r="A4368" s="20">
        <v>45965</v>
      </c>
      <c r="B4368" s="31"/>
      <c r="C4368" s="31"/>
      <c r="D4368" s="31"/>
      <c r="E4368" s="25"/>
      <c r="F4368" s="26"/>
    </row>
    <row r="4369" spans="1:6" ht="16.8" customHeight="1" x14ac:dyDescent="0.3">
      <c r="A4369" s="20">
        <v>45966</v>
      </c>
      <c r="B4369" s="31"/>
      <c r="C4369" s="31"/>
      <c r="D4369" s="31"/>
      <c r="E4369" s="25"/>
      <c r="F4369" s="26"/>
    </row>
    <row r="4370" spans="1:6" ht="16.8" customHeight="1" x14ac:dyDescent="0.3">
      <c r="A4370" s="20">
        <v>45967</v>
      </c>
      <c r="B4370" s="31"/>
      <c r="C4370" s="31"/>
      <c r="D4370" s="31"/>
      <c r="E4370" s="25"/>
      <c r="F4370" s="26"/>
    </row>
    <row r="4371" spans="1:6" ht="16.8" customHeight="1" x14ac:dyDescent="0.3">
      <c r="A4371" s="20">
        <v>45968</v>
      </c>
      <c r="B4371" s="31"/>
      <c r="C4371" s="31"/>
      <c r="D4371" s="31"/>
      <c r="E4371" s="25"/>
      <c r="F4371" s="26"/>
    </row>
    <row r="4372" spans="1:6" ht="16.8" customHeight="1" x14ac:dyDescent="0.3">
      <c r="A4372" s="20">
        <v>45969</v>
      </c>
      <c r="B4372" s="31"/>
      <c r="C4372" s="31"/>
      <c r="D4372" s="31"/>
      <c r="E4372" s="25"/>
      <c r="F4372" s="26"/>
    </row>
    <row r="4373" spans="1:6" ht="16.8" customHeight="1" x14ac:dyDescent="0.3">
      <c r="A4373" s="20">
        <v>45970</v>
      </c>
      <c r="B4373" s="31"/>
      <c r="C4373" s="31"/>
      <c r="D4373" s="31"/>
      <c r="E4373" s="25"/>
      <c r="F4373" s="26"/>
    </row>
    <row r="4374" spans="1:6" ht="16.8" customHeight="1" x14ac:dyDescent="0.3">
      <c r="A4374" s="20">
        <v>45971</v>
      </c>
      <c r="B4374" s="31"/>
      <c r="C4374" s="31"/>
      <c r="D4374" s="31"/>
      <c r="E4374" s="25"/>
      <c r="F4374" s="26"/>
    </row>
    <row r="4375" spans="1:6" ht="16.8" customHeight="1" x14ac:dyDescent="0.3">
      <c r="A4375" s="20">
        <v>45972</v>
      </c>
      <c r="B4375" s="31"/>
      <c r="C4375" s="31"/>
      <c r="D4375" s="31"/>
      <c r="E4375" s="25"/>
      <c r="F4375" s="26"/>
    </row>
    <row r="4376" spans="1:6" ht="16.8" customHeight="1" x14ac:dyDescent="0.3">
      <c r="A4376" s="20">
        <v>45973</v>
      </c>
      <c r="B4376" s="31"/>
      <c r="C4376" s="31"/>
      <c r="D4376" s="31"/>
      <c r="E4376" s="25"/>
      <c r="F4376" s="26"/>
    </row>
    <row r="4377" spans="1:6" ht="16.8" customHeight="1" x14ac:dyDescent="0.3">
      <c r="A4377" s="20">
        <v>45974</v>
      </c>
      <c r="B4377" s="31"/>
      <c r="C4377" s="31"/>
      <c r="D4377" s="31"/>
      <c r="E4377" s="25"/>
      <c r="F4377" s="26"/>
    </row>
    <row r="4378" spans="1:6" ht="16.8" customHeight="1" x14ac:dyDescent="0.3">
      <c r="A4378" s="20">
        <v>45975</v>
      </c>
      <c r="B4378" s="31"/>
      <c r="C4378" s="31"/>
      <c r="D4378" s="31"/>
      <c r="E4378" s="25"/>
      <c r="F4378" s="26"/>
    </row>
    <row r="4379" spans="1:6" ht="16.8" customHeight="1" x14ac:dyDescent="0.3">
      <c r="A4379" s="20">
        <v>45976</v>
      </c>
      <c r="B4379" s="31"/>
      <c r="C4379" s="31"/>
      <c r="D4379" s="31"/>
      <c r="E4379" s="25"/>
      <c r="F4379" s="26"/>
    </row>
    <row r="4380" spans="1:6" ht="16.8" customHeight="1" x14ac:dyDescent="0.3">
      <c r="A4380" s="20">
        <v>45977</v>
      </c>
      <c r="B4380" s="31"/>
      <c r="C4380" s="31"/>
      <c r="D4380" s="31"/>
      <c r="E4380" s="25"/>
      <c r="F4380" s="26"/>
    </row>
    <row r="4381" spans="1:6" ht="16.8" customHeight="1" x14ac:dyDescent="0.3">
      <c r="A4381" s="20">
        <v>45978</v>
      </c>
      <c r="B4381" s="31"/>
      <c r="C4381" s="31"/>
      <c r="D4381" s="31"/>
      <c r="E4381" s="25"/>
      <c r="F4381" s="26"/>
    </row>
    <row r="4382" spans="1:6" ht="16.8" customHeight="1" x14ac:dyDescent="0.3">
      <c r="A4382" s="20">
        <v>45979</v>
      </c>
      <c r="B4382" s="31"/>
      <c r="C4382" s="31"/>
      <c r="D4382" s="31"/>
      <c r="E4382" s="25"/>
      <c r="F4382" s="26"/>
    </row>
    <row r="4383" spans="1:6" ht="16.8" customHeight="1" x14ac:dyDescent="0.3">
      <c r="A4383" s="20">
        <v>45980</v>
      </c>
      <c r="B4383" s="31"/>
      <c r="C4383" s="31"/>
      <c r="D4383" s="31"/>
      <c r="E4383" s="25"/>
      <c r="F4383" s="26"/>
    </row>
    <row r="4384" spans="1:6" ht="16.8" customHeight="1" x14ac:dyDescent="0.3">
      <c r="A4384" s="20">
        <v>45981</v>
      </c>
      <c r="B4384" s="31"/>
      <c r="C4384" s="31"/>
      <c r="D4384" s="31"/>
      <c r="E4384" s="25"/>
      <c r="F4384" s="26"/>
    </row>
    <row r="4385" spans="1:6" ht="16.8" customHeight="1" x14ac:dyDescent="0.3">
      <c r="A4385" s="20">
        <v>45982</v>
      </c>
      <c r="B4385" s="31"/>
      <c r="C4385" s="31"/>
      <c r="D4385" s="31"/>
      <c r="E4385" s="25"/>
      <c r="F4385" s="26"/>
    </row>
    <row r="4386" spans="1:6" ht="16.8" customHeight="1" x14ac:dyDescent="0.3">
      <c r="A4386" s="20">
        <v>45983</v>
      </c>
      <c r="B4386" s="31"/>
      <c r="C4386" s="31"/>
      <c r="D4386" s="31"/>
      <c r="E4386" s="25"/>
      <c r="F4386" s="26"/>
    </row>
    <row r="4387" spans="1:6" ht="16.8" customHeight="1" x14ac:dyDescent="0.3">
      <c r="A4387" s="20">
        <v>45984</v>
      </c>
      <c r="B4387" s="31"/>
      <c r="C4387" s="31"/>
      <c r="D4387" s="31"/>
      <c r="E4387" s="25"/>
      <c r="F4387" s="26"/>
    </row>
    <row r="4388" spans="1:6" ht="16.8" customHeight="1" x14ac:dyDescent="0.3">
      <c r="A4388" s="20">
        <v>45985</v>
      </c>
      <c r="B4388" s="31"/>
      <c r="C4388" s="31"/>
      <c r="D4388" s="31"/>
      <c r="E4388" s="25"/>
      <c r="F4388" s="26"/>
    </row>
    <row r="4389" spans="1:6" ht="16.8" customHeight="1" x14ac:dyDescent="0.3">
      <c r="A4389" s="20">
        <v>45986</v>
      </c>
      <c r="B4389" s="31"/>
      <c r="C4389" s="31"/>
      <c r="D4389" s="31"/>
      <c r="E4389" s="25"/>
      <c r="F4389" s="26"/>
    </row>
    <row r="4390" spans="1:6" ht="16.8" customHeight="1" x14ac:dyDescent="0.3">
      <c r="A4390" s="20">
        <v>45987</v>
      </c>
      <c r="B4390" s="31"/>
      <c r="C4390" s="31"/>
      <c r="D4390" s="31"/>
      <c r="E4390" s="25"/>
      <c r="F4390" s="26"/>
    </row>
    <row r="4391" spans="1:6" ht="16.8" customHeight="1" x14ac:dyDescent="0.3">
      <c r="A4391" s="20">
        <v>45988</v>
      </c>
      <c r="B4391" s="31"/>
      <c r="C4391" s="31"/>
      <c r="D4391" s="31"/>
      <c r="E4391" s="25"/>
      <c r="F4391" s="26"/>
    </row>
    <row r="4392" spans="1:6" ht="16.8" customHeight="1" x14ac:dyDescent="0.3">
      <c r="A4392" s="20">
        <v>45989</v>
      </c>
      <c r="B4392" s="31"/>
      <c r="C4392" s="31"/>
      <c r="D4392" s="31"/>
      <c r="E4392" s="25"/>
      <c r="F4392" s="26"/>
    </row>
    <row r="4393" spans="1:6" ht="16.8" customHeight="1" x14ac:dyDescent="0.3">
      <c r="A4393" s="20">
        <v>45990</v>
      </c>
      <c r="B4393" s="31"/>
      <c r="C4393" s="31"/>
      <c r="D4393" s="31"/>
      <c r="E4393" s="25"/>
      <c r="F4393" s="26"/>
    </row>
    <row r="4394" spans="1:6" ht="16.8" customHeight="1" x14ac:dyDescent="0.3">
      <c r="A4394" s="20">
        <v>45991</v>
      </c>
      <c r="B4394" s="31"/>
      <c r="C4394" s="31"/>
      <c r="D4394" s="31"/>
      <c r="E4394" s="25"/>
      <c r="F4394" s="26"/>
    </row>
    <row r="4395" spans="1:6" ht="16.8" customHeight="1" x14ac:dyDescent="0.3">
      <c r="A4395" s="20">
        <v>45992</v>
      </c>
      <c r="B4395" s="31"/>
      <c r="C4395" s="31"/>
      <c r="D4395" s="31"/>
      <c r="E4395" s="25"/>
      <c r="F4395" s="26"/>
    </row>
    <row r="4396" spans="1:6" ht="16.8" customHeight="1" x14ac:dyDescent="0.3">
      <c r="A4396" s="20">
        <v>45993</v>
      </c>
      <c r="B4396" s="31"/>
      <c r="C4396" s="31"/>
      <c r="D4396" s="31"/>
      <c r="E4396" s="25"/>
      <c r="F4396" s="26"/>
    </row>
    <row r="4397" spans="1:6" ht="16.8" customHeight="1" x14ac:dyDescent="0.3">
      <c r="A4397" s="20">
        <v>45994</v>
      </c>
      <c r="B4397" s="31"/>
      <c r="C4397" s="31"/>
      <c r="D4397" s="31"/>
      <c r="E4397" s="25"/>
      <c r="F4397" s="26"/>
    </row>
    <row r="4398" spans="1:6" ht="16.8" customHeight="1" x14ac:dyDescent="0.3">
      <c r="A4398" s="20">
        <v>45995</v>
      </c>
      <c r="B4398" s="31"/>
      <c r="C4398" s="31"/>
      <c r="D4398" s="31"/>
      <c r="E4398" s="25"/>
      <c r="F4398" s="26"/>
    </row>
    <row r="4399" spans="1:6" ht="16.8" customHeight="1" x14ac:dyDescent="0.3">
      <c r="A4399" s="20">
        <v>45996</v>
      </c>
      <c r="B4399" s="31"/>
      <c r="C4399" s="31"/>
      <c r="D4399" s="31"/>
      <c r="E4399" s="25"/>
      <c r="F4399" s="26"/>
    </row>
    <row r="4400" spans="1:6" ht="16.8" customHeight="1" x14ac:dyDescent="0.3">
      <c r="A4400" s="20">
        <v>45997</v>
      </c>
      <c r="B4400" s="31"/>
      <c r="C4400" s="31"/>
      <c r="D4400" s="31"/>
      <c r="E4400" s="25"/>
      <c r="F4400" s="26"/>
    </row>
    <row r="4401" spans="1:6" ht="16.8" customHeight="1" x14ac:dyDescent="0.3">
      <c r="A4401" s="20">
        <v>45998</v>
      </c>
      <c r="B4401" s="31"/>
      <c r="C4401" s="31"/>
      <c r="D4401" s="31"/>
      <c r="E4401" s="25"/>
      <c r="F4401" s="26"/>
    </row>
    <row r="4402" spans="1:6" ht="16.8" customHeight="1" x14ac:dyDescent="0.3">
      <c r="A4402" s="20">
        <v>45999</v>
      </c>
      <c r="B4402" s="31"/>
      <c r="C4402" s="31"/>
      <c r="D4402" s="31"/>
      <c r="E4402" s="25"/>
      <c r="F4402" s="26"/>
    </row>
    <row r="4403" spans="1:6" ht="16.8" customHeight="1" x14ac:dyDescent="0.3">
      <c r="A4403" s="20">
        <v>46000</v>
      </c>
      <c r="B4403" s="31"/>
      <c r="C4403" s="31"/>
      <c r="D4403" s="31"/>
      <c r="E4403" s="25"/>
      <c r="F4403" s="26"/>
    </row>
    <row r="4404" spans="1:6" ht="16.8" customHeight="1" x14ac:dyDescent="0.3">
      <c r="A4404" s="20">
        <v>46001</v>
      </c>
      <c r="B4404" s="31"/>
      <c r="C4404" s="31"/>
      <c r="D4404" s="31"/>
      <c r="E4404" s="25"/>
      <c r="F4404" s="26"/>
    </row>
    <row r="4405" spans="1:6" ht="16.8" customHeight="1" x14ac:dyDescent="0.3">
      <c r="A4405" s="20">
        <v>46002</v>
      </c>
      <c r="B4405" s="31"/>
      <c r="C4405" s="31"/>
      <c r="D4405" s="31"/>
      <c r="E4405" s="25"/>
      <c r="F4405" s="26"/>
    </row>
    <row r="4406" spans="1:6" ht="16.8" customHeight="1" x14ac:dyDescent="0.3">
      <c r="A4406" s="20">
        <v>46003</v>
      </c>
      <c r="B4406" s="31"/>
      <c r="C4406" s="31"/>
      <c r="D4406" s="31"/>
      <c r="E4406" s="25"/>
      <c r="F4406" s="26"/>
    </row>
    <row r="4407" spans="1:6" ht="16.8" customHeight="1" x14ac:dyDescent="0.3">
      <c r="A4407" s="20">
        <v>46004</v>
      </c>
      <c r="B4407" s="31"/>
      <c r="C4407" s="31"/>
      <c r="D4407" s="31"/>
      <c r="E4407" s="25"/>
      <c r="F4407" s="26"/>
    </row>
    <row r="4408" spans="1:6" ht="16.8" customHeight="1" x14ac:dyDescent="0.3">
      <c r="A4408" s="20">
        <v>46005</v>
      </c>
      <c r="B4408" s="31"/>
      <c r="C4408" s="31"/>
      <c r="D4408" s="31"/>
      <c r="E4408" s="25"/>
      <c r="F4408" s="26"/>
    </row>
    <row r="4409" spans="1:6" ht="16.8" customHeight="1" x14ac:dyDescent="0.3">
      <c r="A4409" s="20">
        <v>46006</v>
      </c>
      <c r="B4409" s="31"/>
      <c r="C4409" s="31"/>
      <c r="D4409" s="31"/>
      <c r="E4409" s="25"/>
      <c r="F4409" s="26"/>
    </row>
    <row r="4410" spans="1:6" ht="16.8" customHeight="1" x14ac:dyDescent="0.3">
      <c r="A4410" s="20">
        <v>46007</v>
      </c>
      <c r="B4410" s="31"/>
      <c r="C4410" s="31"/>
      <c r="D4410" s="31"/>
      <c r="E4410" s="25"/>
      <c r="F4410" s="26"/>
    </row>
    <row r="4411" spans="1:6" ht="16.8" customHeight="1" x14ac:dyDescent="0.3">
      <c r="A4411" s="20">
        <v>46008</v>
      </c>
      <c r="B4411" s="31"/>
      <c r="C4411" s="31"/>
      <c r="D4411" s="31"/>
      <c r="E4411" s="25"/>
      <c r="F4411" s="26"/>
    </row>
    <row r="4412" spans="1:6" ht="16.8" customHeight="1" x14ac:dyDescent="0.3">
      <c r="A4412" s="20">
        <v>46009</v>
      </c>
      <c r="B4412" s="31"/>
      <c r="C4412" s="31"/>
      <c r="D4412" s="31"/>
      <c r="E4412" s="25"/>
      <c r="F4412" s="26"/>
    </row>
    <row r="4413" spans="1:6" ht="16.8" customHeight="1" x14ac:dyDescent="0.3">
      <c r="A4413" s="20">
        <v>46010</v>
      </c>
      <c r="B4413" s="31"/>
      <c r="C4413" s="31"/>
      <c r="D4413" s="31"/>
      <c r="E4413" s="25"/>
      <c r="F4413" s="26"/>
    </row>
    <row r="4414" spans="1:6" ht="16.8" customHeight="1" x14ac:dyDescent="0.3">
      <c r="A4414" s="20">
        <v>46011</v>
      </c>
      <c r="B4414" s="31"/>
      <c r="C4414" s="31"/>
      <c r="D4414" s="31"/>
      <c r="E4414" s="25"/>
      <c r="F4414" s="26"/>
    </row>
    <row r="4415" spans="1:6" ht="16.8" customHeight="1" x14ac:dyDescent="0.3">
      <c r="A4415" s="20">
        <v>46012</v>
      </c>
      <c r="B4415" s="31"/>
      <c r="C4415" s="31"/>
      <c r="D4415" s="31"/>
      <c r="E4415" s="25"/>
      <c r="F4415" s="26"/>
    </row>
    <row r="4416" spans="1:6" ht="16.8" customHeight="1" x14ac:dyDescent="0.3">
      <c r="A4416" s="20">
        <v>46013</v>
      </c>
      <c r="B4416" s="31"/>
      <c r="C4416" s="31"/>
      <c r="D4416" s="31"/>
      <c r="E4416" s="25"/>
      <c r="F4416" s="26"/>
    </row>
    <row r="4417" spans="1:6" ht="16.8" customHeight="1" x14ac:dyDescent="0.3">
      <c r="A4417" s="20">
        <v>46014</v>
      </c>
      <c r="B4417" s="31"/>
      <c r="C4417" s="31"/>
      <c r="D4417" s="31"/>
      <c r="E4417" s="25"/>
      <c r="F4417" s="26"/>
    </row>
    <row r="4418" spans="1:6" ht="16.8" customHeight="1" x14ac:dyDescent="0.3">
      <c r="A4418" s="20">
        <v>46015</v>
      </c>
      <c r="B4418" s="31"/>
      <c r="C4418" s="31"/>
      <c r="D4418" s="31"/>
      <c r="E4418" s="25"/>
      <c r="F4418" s="26"/>
    </row>
    <row r="4419" spans="1:6" ht="16.8" customHeight="1" x14ac:dyDescent="0.3">
      <c r="A4419" s="20">
        <v>46016</v>
      </c>
      <c r="B4419" s="31"/>
      <c r="C4419" s="31"/>
      <c r="D4419" s="31"/>
      <c r="E4419" s="25"/>
      <c r="F4419" s="26"/>
    </row>
    <row r="4420" spans="1:6" ht="16.8" customHeight="1" x14ac:dyDescent="0.3">
      <c r="A4420" s="20">
        <v>46017</v>
      </c>
      <c r="B4420" s="31"/>
      <c r="C4420" s="31"/>
      <c r="D4420" s="31"/>
      <c r="E4420" s="25"/>
      <c r="F4420" s="26"/>
    </row>
    <row r="4421" spans="1:6" ht="16.8" customHeight="1" x14ac:dyDescent="0.3">
      <c r="A4421" s="20">
        <v>46018</v>
      </c>
      <c r="B4421" s="31"/>
      <c r="C4421" s="31"/>
      <c r="D4421" s="31"/>
      <c r="E4421" s="25"/>
      <c r="F4421" s="26"/>
    </row>
    <row r="4422" spans="1:6" ht="16.8" customHeight="1" x14ac:dyDescent="0.3">
      <c r="A4422" s="20">
        <v>46019</v>
      </c>
      <c r="B4422" s="31"/>
      <c r="C4422" s="31"/>
      <c r="D4422" s="31"/>
      <c r="E4422" s="25"/>
      <c r="F4422" s="26"/>
    </row>
    <row r="4423" spans="1:6" ht="16.8" customHeight="1" x14ac:dyDescent="0.3">
      <c r="A4423" s="20">
        <v>46020</v>
      </c>
      <c r="B4423" s="31"/>
      <c r="C4423" s="31"/>
      <c r="D4423" s="31"/>
      <c r="E4423" s="25"/>
      <c r="F4423" s="26"/>
    </row>
    <row r="4424" spans="1:6" ht="16.8" customHeight="1" x14ac:dyDescent="0.3">
      <c r="A4424" s="20">
        <v>46021</v>
      </c>
      <c r="B4424" s="31"/>
      <c r="C4424" s="31"/>
      <c r="D4424" s="31"/>
      <c r="E4424" s="25"/>
      <c r="F4424" s="26"/>
    </row>
    <row r="4425" spans="1:6" ht="16.8" customHeight="1" x14ac:dyDescent="0.3">
      <c r="A4425" s="20">
        <v>46022</v>
      </c>
      <c r="B4425" s="31"/>
      <c r="C4425" s="31"/>
      <c r="D4425" s="31"/>
      <c r="E4425" s="25"/>
      <c r="F4425" s="26"/>
    </row>
    <row r="4426" spans="1:6" ht="16.8" customHeight="1" x14ac:dyDescent="0.3">
      <c r="A4426" s="20">
        <v>46023</v>
      </c>
      <c r="B4426" s="31"/>
      <c r="C4426" s="31"/>
      <c r="D4426" s="31"/>
      <c r="E4426" s="25"/>
      <c r="F4426" s="26"/>
    </row>
    <row r="4427" spans="1:6" ht="16.8" customHeight="1" x14ac:dyDescent="0.3">
      <c r="A4427" s="20">
        <v>46024</v>
      </c>
      <c r="B4427" s="31"/>
      <c r="C4427" s="31"/>
      <c r="D4427" s="31"/>
      <c r="E4427" s="25"/>
      <c r="F4427" s="26"/>
    </row>
    <row r="4428" spans="1:6" ht="16.8" customHeight="1" x14ac:dyDescent="0.3">
      <c r="A4428" s="20">
        <v>46025</v>
      </c>
      <c r="B4428" s="31"/>
      <c r="C4428" s="31"/>
      <c r="D4428" s="31"/>
      <c r="E4428" s="25"/>
      <c r="F4428" s="26"/>
    </row>
    <row r="4429" spans="1:6" ht="16.8" customHeight="1" x14ac:dyDescent="0.3">
      <c r="A4429" s="20">
        <v>46026</v>
      </c>
      <c r="B4429" s="31"/>
      <c r="C4429" s="31"/>
      <c r="D4429" s="31"/>
      <c r="E4429" s="25"/>
      <c r="F4429" s="26"/>
    </row>
    <row r="4430" spans="1:6" ht="16.8" customHeight="1" x14ac:dyDescent="0.3">
      <c r="A4430" s="20">
        <v>46027</v>
      </c>
      <c r="B4430" s="31"/>
      <c r="C4430" s="31"/>
      <c r="D4430" s="31"/>
      <c r="E4430" s="25"/>
      <c r="F4430" s="26"/>
    </row>
    <row r="4431" spans="1:6" ht="16.8" customHeight="1" x14ac:dyDescent="0.3">
      <c r="A4431" s="20">
        <v>46028</v>
      </c>
      <c r="B4431" s="31"/>
      <c r="C4431" s="31"/>
      <c r="D4431" s="31"/>
      <c r="E4431" s="25"/>
      <c r="F4431" s="26"/>
    </row>
    <row r="4432" spans="1:6" ht="16.8" customHeight="1" x14ac:dyDescent="0.3">
      <c r="A4432" s="20">
        <v>46029</v>
      </c>
      <c r="B4432" s="31"/>
      <c r="C4432" s="31"/>
      <c r="D4432" s="31"/>
      <c r="E4432" s="25"/>
      <c r="F4432" s="26"/>
    </row>
    <row r="4433" spans="1:6" ht="16.8" customHeight="1" x14ac:dyDescent="0.3">
      <c r="A4433" s="20">
        <v>46030</v>
      </c>
      <c r="B4433" s="31"/>
      <c r="C4433" s="31"/>
      <c r="D4433" s="31"/>
      <c r="E4433" s="25"/>
      <c r="F4433" s="26"/>
    </row>
    <row r="4434" spans="1:6" ht="16.8" customHeight="1" x14ac:dyDescent="0.3">
      <c r="A4434" s="20">
        <v>46031</v>
      </c>
      <c r="B4434" s="31"/>
      <c r="C4434" s="31"/>
      <c r="D4434" s="31"/>
      <c r="E4434" s="25"/>
      <c r="F4434" s="26"/>
    </row>
    <row r="4435" spans="1:6" ht="16.8" customHeight="1" x14ac:dyDescent="0.3">
      <c r="A4435" s="20">
        <v>46032</v>
      </c>
      <c r="B4435" s="31"/>
      <c r="C4435" s="31"/>
      <c r="D4435" s="31"/>
      <c r="E4435" s="25"/>
      <c r="F4435" s="26"/>
    </row>
    <row r="4436" spans="1:6" ht="16.8" customHeight="1" x14ac:dyDescent="0.3">
      <c r="A4436" s="20">
        <v>46033</v>
      </c>
      <c r="B4436" s="31"/>
      <c r="C4436" s="31"/>
      <c r="D4436" s="31"/>
      <c r="E4436" s="25"/>
      <c r="F4436" s="26"/>
    </row>
    <row r="4437" spans="1:6" ht="16.8" customHeight="1" x14ac:dyDescent="0.3">
      <c r="A4437" s="20">
        <v>46034</v>
      </c>
      <c r="B4437" s="31"/>
      <c r="C4437" s="31"/>
      <c r="D4437" s="31"/>
      <c r="E4437" s="25"/>
      <c r="F4437" s="26"/>
    </row>
    <row r="4438" spans="1:6" ht="16.8" customHeight="1" x14ac:dyDescent="0.3">
      <c r="A4438" s="20">
        <v>46035</v>
      </c>
      <c r="B4438" s="31"/>
      <c r="C4438" s="31"/>
      <c r="D4438" s="31"/>
      <c r="E4438" s="25"/>
      <c r="F4438" s="26"/>
    </row>
    <row r="4439" spans="1:6" ht="16.8" customHeight="1" x14ac:dyDescent="0.3">
      <c r="A4439" s="20">
        <v>46036</v>
      </c>
      <c r="B4439" s="31"/>
      <c r="C4439" s="31"/>
      <c r="D4439" s="31"/>
      <c r="E4439" s="25"/>
      <c r="F4439" s="26"/>
    </row>
    <row r="4440" spans="1:6" ht="16.8" customHeight="1" x14ac:dyDescent="0.3">
      <c r="A4440" s="20">
        <v>46037</v>
      </c>
      <c r="B4440" s="31"/>
      <c r="C4440" s="31"/>
      <c r="D4440" s="31"/>
      <c r="E4440" s="25"/>
      <c r="F4440" s="26"/>
    </row>
    <row r="4441" spans="1:6" ht="16.8" customHeight="1" x14ac:dyDescent="0.3">
      <c r="A4441" s="20">
        <v>46038</v>
      </c>
      <c r="B4441" s="31"/>
      <c r="C4441" s="31"/>
      <c r="D4441" s="31"/>
      <c r="E4441" s="25"/>
      <c r="F4441" s="26"/>
    </row>
    <row r="4442" spans="1:6" ht="16.8" customHeight="1" x14ac:dyDescent="0.3">
      <c r="A4442" s="20">
        <v>46039</v>
      </c>
      <c r="B4442" s="31"/>
      <c r="C4442" s="31"/>
      <c r="D4442" s="31"/>
      <c r="E4442" s="25"/>
      <c r="F4442" s="26"/>
    </row>
    <row r="4443" spans="1:6" ht="16.8" customHeight="1" x14ac:dyDescent="0.3">
      <c r="A4443" s="20">
        <v>46040</v>
      </c>
      <c r="B4443" s="31"/>
      <c r="C4443" s="31"/>
      <c r="D4443" s="31"/>
      <c r="E4443" s="25"/>
      <c r="F4443" s="26"/>
    </row>
    <row r="4444" spans="1:6" ht="16.8" customHeight="1" x14ac:dyDescent="0.3">
      <c r="A4444" s="20">
        <v>46041</v>
      </c>
      <c r="B4444" s="31"/>
      <c r="C4444" s="31"/>
      <c r="D4444" s="31"/>
      <c r="E4444" s="25"/>
      <c r="F4444" s="26"/>
    </row>
    <row r="4445" spans="1:6" ht="16.8" customHeight="1" x14ac:dyDescent="0.3">
      <c r="A4445" s="20">
        <v>46042</v>
      </c>
      <c r="B4445" s="31"/>
      <c r="C4445" s="31"/>
      <c r="D4445" s="31"/>
      <c r="E4445" s="25"/>
      <c r="F4445" s="26"/>
    </row>
    <row r="4446" spans="1:6" ht="16.8" customHeight="1" x14ac:dyDescent="0.3">
      <c r="A4446" s="20">
        <v>46043</v>
      </c>
      <c r="B4446" s="31"/>
      <c r="C4446" s="31"/>
      <c r="D4446" s="31"/>
      <c r="E4446" s="25"/>
      <c r="F4446" s="26"/>
    </row>
    <row r="4447" spans="1:6" ht="16.8" customHeight="1" x14ac:dyDescent="0.3">
      <c r="A4447" s="20">
        <v>46044</v>
      </c>
      <c r="B4447" s="31"/>
      <c r="C4447" s="31"/>
      <c r="D4447" s="31"/>
      <c r="E4447" s="25"/>
      <c r="F4447" s="26"/>
    </row>
    <row r="4448" spans="1:6" ht="16.8" customHeight="1" x14ac:dyDescent="0.3">
      <c r="A4448" s="20">
        <v>46045</v>
      </c>
      <c r="B4448" s="31"/>
      <c r="C4448" s="31"/>
      <c r="D4448" s="31"/>
      <c r="E4448" s="25"/>
      <c r="F4448" s="26"/>
    </row>
    <row r="4449" spans="1:6" ht="16.8" customHeight="1" x14ac:dyDescent="0.3">
      <c r="A4449" s="20">
        <v>46046</v>
      </c>
      <c r="B4449" s="31"/>
      <c r="C4449" s="31"/>
      <c r="D4449" s="31"/>
      <c r="E4449" s="25"/>
      <c r="F4449" s="26"/>
    </row>
    <row r="4450" spans="1:6" ht="16.8" customHeight="1" x14ac:dyDescent="0.3">
      <c r="A4450" s="20">
        <v>46047</v>
      </c>
      <c r="B4450" s="31"/>
      <c r="C4450" s="31"/>
      <c r="D4450" s="31"/>
      <c r="E4450" s="25"/>
      <c r="F4450" s="26"/>
    </row>
    <row r="4451" spans="1:6" ht="16.8" customHeight="1" x14ac:dyDescent="0.3">
      <c r="A4451" s="20">
        <v>46048</v>
      </c>
      <c r="B4451" s="31"/>
      <c r="C4451" s="31"/>
      <c r="D4451" s="31"/>
      <c r="E4451" s="25"/>
      <c r="F4451" s="26"/>
    </row>
    <row r="4452" spans="1:6" ht="16.8" customHeight="1" x14ac:dyDescent="0.3">
      <c r="A4452" s="20">
        <v>46049</v>
      </c>
      <c r="B4452" s="31"/>
      <c r="C4452" s="31"/>
      <c r="D4452" s="31"/>
      <c r="E4452" s="25"/>
      <c r="F4452" s="26"/>
    </row>
    <row r="4453" spans="1:6" ht="16.8" customHeight="1" x14ac:dyDescent="0.3">
      <c r="A4453" s="20">
        <v>46050</v>
      </c>
      <c r="B4453" s="31"/>
      <c r="C4453" s="31"/>
      <c r="D4453" s="31"/>
      <c r="E4453" s="25"/>
      <c r="F4453" s="26"/>
    </row>
    <row r="4454" spans="1:6" ht="16.8" customHeight="1" x14ac:dyDescent="0.3">
      <c r="A4454" s="20">
        <v>46051</v>
      </c>
      <c r="B4454" s="31"/>
      <c r="C4454" s="31"/>
      <c r="D4454" s="31"/>
      <c r="E4454" s="25"/>
      <c r="F4454" s="26"/>
    </row>
    <row r="4455" spans="1:6" ht="16.8" customHeight="1" x14ac:dyDescent="0.3">
      <c r="A4455" s="20">
        <v>46052</v>
      </c>
      <c r="B4455" s="31"/>
      <c r="C4455" s="31"/>
      <c r="D4455" s="31"/>
      <c r="E4455" s="25"/>
      <c r="F4455" s="26"/>
    </row>
    <row r="4456" spans="1:6" ht="16.8" customHeight="1" x14ac:dyDescent="0.3">
      <c r="A4456" s="20">
        <v>46053</v>
      </c>
      <c r="B4456" s="31"/>
      <c r="C4456" s="31"/>
      <c r="D4456" s="31"/>
      <c r="E4456" s="25"/>
      <c r="F4456" s="26"/>
    </row>
    <row r="4457" spans="1:6" ht="16.8" customHeight="1" x14ac:dyDescent="0.3">
      <c r="A4457" s="20">
        <v>46054</v>
      </c>
      <c r="B4457" s="31"/>
      <c r="C4457" s="31"/>
      <c r="D4457" s="31"/>
      <c r="E4457" s="25"/>
      <c r="F4457" s="26"/>
    </row>
    <row r="4458" spans="1:6" ht="16.8" customHeight="1" x14ac:dyDescent="0.3">
      <c r="A4458" s="20">
        <v>46055</v>
      </c>
      <c r="B4458" s="31"/>
      <c r="C4458" s="31"/>
      <c r="D4458" s="31"/>
      <c r="E4458" s="25"/>
      <c r="F4458" s="26"/>
    </row>
    <row r="4459" spans="1:6" ht="16.8" customHeight="1" x14ac:dyDescent="0.3">
      <c r="A4459" s="20">
        <v>46056</v>
      </c>
      <c r="B4459" s="31"/>
      <c r="C4459" s="31"/>
      <c r="D4459" s="31"/>
      <c r="E4459" s="25"/>
      <c r="F4459" s="26"/>
    </row>
    <row r="4460" spans="1:6" ht="16.8" customHeight="1" x14ac:dyDescent="0.3">
      <c r="A4460" s="20">
        <v>46057</v>
      </c>
      <c r="B4460" s="31"/>
      <c r="C4460" s="31"/>
      <c r="D4460" s="31"/>
      <c r="E4460" s="25"/>
      <c r="F4460" s="26"/>
    </row>
    <row r="4461" spans="1:6" ht="16.8" customHeight="1" x14ac:dyDescent="0.3">
      <c r="A4461" s="20">
        <v>46058</v>
      </c>
      <c r="B4461" s="31"/>
      <c r="C4461" s="31"/>
      <c r="D4461" s="31"/>
      <c r="E4461" s="25"/>
      <c r="F4461" s="26"/>
    </row>
    <row r="4462" spans="1:6" ht="16.8" customHeight="1" x14ac:dyDescent="0.3">
      <c r="A4462" s="20">
        <v>46059</v>
      </c>
      <c r="B4462" s="31"/>
      <c r="C4462" s="31"/>
      <c r="D4462" s="31"/>
      <c r="E4462" s="25"/>
      <c r="F4462" s="26"/>
    </row>
    <row r="4463" spans="1:6" ht="16.8" customHeight="1" x14ac:dyDescent="0.3">
      <c r="A4463" s="20">
        <v>46060</v>
      </c>
      <c r="B4463" s="31"/>
      <c r="C4463" s="31"/>
      <c r="D4463" s="31"/>
      <c r="E4463" s="25"/>
      <c r="F4463" s="26"/>
    </row>
    <row r="4464" spans="1:6" ht="16.8" customHeight="1" x14ac:dyDescent="0.3">
      <c r="A4464" s="20">
        <v>46061</v>
      </c>
      <c r="B4464" s="31"/>
      <c r="C4464" s="31"/>
      <c r="D4464" s="31"/>
      <c r="E4464" s="25"/>
      <c r="F4464" s="26"/>
    </row>
    <row r="4465" spans="1:6" ht="16.8" customHeight="1" x14ac:dyDescent="0.3">
      <c r="A4465" s="20">
        <v>46062</v>
      </c>
      <c r="B4465" s="31"/>
      <c r="C4465" s="31"/>
      <c r="D4465" s="31"/>
      <c r="E4465" s="25"/>
      <c r="F4465" s="26"/>
    </row>
    <row r="4466" spans="1:6" ht="16.8" customHeight="1" x14ac:dyDescent="0.3">
      <c r="A4466" s="20">
        <v>46063</v>
      </c>
      <c r="B4466" s="31"/>
      <c r="C4466" s="31"/>
      <c r="D4466" s="31"/>
      <c r="E4466" s="25"/>
      <c r="F4466" s="26"/>
    </row>
    <row r="4467" spans="1:6" ht="16.8" customHeight="1" x14ac:dyDescent="0.3">
      <c r="A4467" s="20">
        <v>46064</v>
      </c>
      <c r="B4467" s="31"/>
      <c r="C4467" s="31"/>
      <c r="D4467" s="31"/>
      <c r="E4467" s="25"/>
      <c r="F4467" s="26"/>
    </row>
    <row r="4468" spans="1:6" ht="16.8" customHeight="1" x14ac:dyDescent="0.3">
      <c r="A4468" s="20">
        <v>46065</v>
      </c>
      <c r="B4468" s="31"/>
      <c r="C4468" s="31"/>
      <c r="D4468" s="31"/>
      <c r="E4468" s="25"/>
      <c r="F4468" s="26"/>
    </row>
    <row r="4469" spans="1:6" ht="16.8" customHeight="1" x14ac:dyDescent="0.3">
      <c r="A4469" s="20">
        <v>46066</v>
      </c>
      <c r="B4469" s="31"/>
      <c r="C4469" s="31"/>
      <c r="D4469" s="31"/>
      <c r="E4469" s="25"/>
      <c r="F4469" s="26"/>
    </row>
    <row r="4470" spans="1:6" ht="16.8" customHeight="1" x14ac:dyDescent="0.3">
      <c r="A4470" s="20">
        <v>46067</v>
      </c>
      <c r="B4470" s="31"/>
      <c r="C4470" s="31"/>
      <c r="D4470" s="31"/>
      <c r="E4470" s="25"/>
      <c r="F4470" s="26"/>
    </row>
    <row r="4471" spans="1:6" ht="16.8" customHeight="1" x14ac:dyDescent="0.3">
      <c r="A4471" s="20">
        <v>46068</v>
      </c>
      <c r="B4471" s="31"/>
      <c r="C4471" s="31"/>
      <c r="D4471" s="31"/>
      <c r="E4471" s="25"/>
      <c r="F4471" s="26"/>
    </row>
    <row r="4472" spans="1:6" ht="16.8" customHeight="1" x14ac:dyDescent="0.3">
      <c r="A4472" s="20">
        <v>46069</v>
      </c>
      <c r="B4472" s="31"/>
      <c r="C4472" s="31"/>
      <c r="D4472" s="31"/>
      <c r="E4472" s="25"/>
      <c r="F4472" s="26"/>
    </row>
    <row r="4473" spans="1:6" ht="16.8" customHeight="1" x14ac:dyDescent="0.3">
      <c r="A4473" s="20">
        <v>46070</v>
      </c>
      <c r="B4473" s="31"/>
      <c r="C4473" s="31"/>
      <c r="D4473" s="31"/>
      <c r="E4473" s="25"/>
      <c r="F4473" s="26"/>
    </row>
    <row r="4474" spans="1:6" ht="16.8" customHeight="1" x14ac:dyDescent="0.3">
      <c r="A4474" s="20">
        <v>46071</v>
      </c>
      <c r="B4474" s="31"/>
      <c r="C4474" s="31"/>
      <c r="D4474" s="31"/>
      <c r="E4474" s="25"/>
      <c r="F4474" s="26"/>
    </row>
    <row r="4475" spans="1:6" ht="16.8" customHeight="1" x14ac:dyDescent="0.3">
      <c r="A4475" s="20">
        <v>46072</v>
      </c>
      <c r="B4475" s="31"/>
      <c r="C4475" s="31"/>
      <c r="D4475" s="31"/>
      <c r="E4475" s="25"/>
      <c r="F4475" s="26"/>
    </row>
    <row r="4476" spans="1:6" ht="16.8" customHeight="1" x14ac:dyDescent="0.3">
      <c r="A4476" s="20">
        <v>46073</v>
      </c>
      <c r="B4476" s="31"/>
      <c r="C4476" s="31"/>
      <c r="D4476" s="31"/>
      <c r="E4476" s="25"/>
      <c r="F4476" s="26"/>
    </row>
    <row r="4477" spans="1:6" ht="16.8" customHeight="1" x14ac:dyDescent="0.3">
      <c r="A4477" s="20">
        <v>46074</v>
      </c>
      <c r="B4477" s="31"/>
      <c r="C4477" s="31"/>
      <c r="D4477" s="31"/>
      <c r="E4477" s="25"/>
      <c r="F4477" s="26"/>
    </row>
    <row r="4478" spans="1:6" ht="16.8" customHeight="1" x14ac:dyDescent="0.3">
      <c r="A4478" s="20">
        <v>46075</v>
      </c>
      <c r="B4478" s="31"/>
      <c r="C4478" s="31"/>
      <c r="D4478" s="31"/>
      <c r="E4478" s="25"/>
      <c r="F4478" s="26"/>
    </row>
    <row r="4479" spans="1:6" ht="16.8" customHeight="1" x14ac:dyDescent="0.3">
      <c r="A4479" s="20">
        <v>46076</v>
      </c>
      <c r="B4479" s="31"/>
      <c r="C4479" s="31"/>
      <c r="D4479" s="31"/>
      <c r="E4479" s="25"/>
      <c r="F4479" s="26"/>
    </row>
    <row r="4480" spans="1:6" ht="16.8" customHeight="1" x14ac:dyDescent="0.3">
      <c r="A4480" s="20">
        <v>46077</v>
      </c>
      <c r="B4480" s="31"/>
      <c r="C4480" s="31"/>
      <c r="D4480" s="31"/>
      <c r="E4480" s="25"/>
      <c r="F4480" s="26"/>
    </row>
    <row r="4481" spans="1:6" ht="16.8" customHeight="1" x14ac:dyDescent="0.3">
      <c r="A4481" s="20">
        <v>46078</v>
      </c>
      <c r="B4481" s="31"/>
      <c r="C4481" s="31"/>
      <c r="D4481" s="31"/>
      <c r="E4481" s="25"/>
      <c r="F4481" s="26"/>
    </row>
    <row r="4482" spans="1:6" ht="16.8" customHeight="1" x14ac:dyDescent="0.3">
      <c r="A4482" s="20">
        <v>46079</v>
      </c>
      <c r="B4482" s="31"/>
      <c r="C4482" s="31"/>
      <c r="D4482" s="31"/>
      <c r="E4482" s="25"/>
      <c r="F4482" s="26"/>
    </row>
    <row r="4483" spans="1:6" ht="16.8" customHeight="1" x14ac:dyDescent="0.3">
      <c r="A4483" s="20">
        <v>46080</v>
      </c>
      <c r="B4483" s="31"/>
      <c r="C4483" s="31"/>
      <c r="D4483" s="31"/>
      <c r="E4483" s="25"/>
      <c r="F4483" s="26"/>
    </row>
    <row r="4484" spans="1:6" ht="16.8" customHeight="1" x14ac:dyDescent="0.3">
      <c r="A4484" s="20">
        <v>46081</v>
      </c>
      <c r="B4484" s="31"/>
      <c r="C4484" s="31"/>
      <c r="D4484" s="31"/>
      <c r="E4484" s="25"/>
      <c r="F4484" s="26"/>
    </row>
    <row r="4485" spans="1:6" ht="16.8" customHeight="1" x14ac:dyDescent="0.3">
      <c r="A4485" s="20">
        <v>46082</v>
      </c>
      <c r="B4485" s="31"/>
      <c r="C4485" s="31"/>
      <c r="D4485" s="31"/>
      <c r="E4485" s="25"/>
      <c r="F4485" s="26"/>
    </row>
    <row r="4486" spans="1:6" ht="16.8" customHeight="1" x14ac:dyDescent="0.3">
      <c r="A4486" s="20">
        <v>46083</v>
      </c>
      <c r="B4486" s="31"/>
      <c r="C4486" s="31"/>
      <c r="D4486" s="31"/>
      <c r="E4486" s="25"/>
      <c r="F4486" s="26"/>
    </row>
    <row r="4487" spans="1:6" ht="16.8" customHeight="1" x14ac:dyDescent="0.3">
      <c r="A4487" s="20">
        <v>46084</v>
      </c>
      <c r="B4487" s="31"/>
      <c r="C4487" s="31"/>
      <c r="D4487" s="31"/>
      <c r="E4487" s="25"/>
      <c r="F4487" s="26"/>
    </row>
    <row r="4488" spans="1:6" ht="16.8" customHeight="1" x14ac:dyDescent="0.3">
      <c r="A4488" s="20">
        <v>46085</v>
      </c>
      <c r="B4488" s="31"/>
      <c r="C4488" s="31"/>
      <c r="D4488" s="31"/>
      <c r="E4488" s="25"/>
      <c r="F4488" s="26"/>
    </row>
    <row r="4489" spans="1:6" ht="16.8" customHeight="1" x14ac:dyDescent="0.3">
      <c r="A4489" s="20">
        <v>46086</v>
      </c>
      <c r="B4489" s="31"/>
      <c r="C4489" s="31"/>
      <c r="D4489" s="31"/>
      <c r="E4489" s="25"/>
      <c r="F4489" s="26"/>
    </row>
    <row r="4490" spans="1:6" ht="16.8" customHeight="1" x14ac:dyDescent="0.3">
      <c r="A4490" s="20">
        <v>46087</v>
      </c>
      <c r="B4490" s="31"/>
      <c r="C4490" s="31"/>
      <c r="D4490" s="31"/>
      <c r="E4490" s="25"/>
      <c r="F4490" s="26"/>
    </row>
    <row r="4491" spans="1:6" ht="16.8" customHeight="1" x14ac:dyDescent="0.3">
      <c r="A4491" s="20">
        <v>46088</v>
      </c>
      <c r="B4491" s="31"/>
      <c r="C4491" s="31"/>
      <c r="D4491" s="31"/>
      <c r="E4491" s="25"/>
      <c r="F4491" s="26"/>
    </row>
    <row r="4492" spans="1:6" ht="16.8" customHeight="1" x14ac:dyDescent="0.3">
      <c r="A4492" s="20">
        <v>46089</v>
      </c>
      <c r="B4492" s="31"/>
      <c r="C4492" s="31"/>
      <c r="D4492" s="31"/>
      <c r="E4492" s="25"/>
      <c r="F4492" s="26"/>
    </row>
    <row r="4493" spans="1:6" ht="16.8" customHeight="1" x14ac:dyDescent="0.3">
      <c r="A4493" s="20">
        <v>46090</v>
      </c>
      <c r="B4493" s="31"/>
      <c r="C4493" s="31"/>
      <c r="D4493" s="31"/>
      <c r="E4493" s="25"/>
      <c r="F4493" s="26"/>
    </row>
    <row r="4494" spans="1:6" ht="16.8" customHeight="1" x14ac:dyDescent="0.3">
      <c r="A4494" s="20">
        <v>46091</v>
      </c>
      <c r="B4494" s="31"/>
      <c r="C4494" s="31"/>
      <c r="D4494" s="31"/>
      <c r="E4494" s="25"/>
      <c r="F4494" s="26"/>
    </row>
    <row r="4495" spans="1:6" ht="16.8" customHeight="1" x14ac:dyDescent="0.3">
      <c r="A4495" s="20">
        <v>46092</v>
      </c>
      <c r="B4495" s="31"/>
      <c r="C4495" s="31"/>
      <c r="D4495" s="31"/>
      <c r="E4495" s="25"/>
      <c r="F4495" s="26"/>
    </row>
    <row r="4496" spans="1:6" ht="16.8" customHeight="1" x14ac:dyDescent="0.3">
      <c r="A4496" s="20">
        <v>46093</v>
      </c>
      <c r="B4496" s="31"/>
      <c r="C4496" s="31"/>
      <c r="D4496" s="31"/>
      <c r="E4496" s="25"/>
      <c r="F4496" s="26"/>
    </row>
    <row r="4497" spans="1:6" ht="16.8" customHeight="1" x14ac:dyDescent="0.3">
      <c r="A4497" s="20">
        <v>46094</v>
      </c>
      <c r="B4497" s="31"/>
      <c r="C4497" s="31"/>
      <c r="D4497" s="31"/>
      <c r="E4497" s="25"/>
      <c r="F4497" s="26"/>
    </row>
    <row r="4498" spans="1:6" ht="16.8" customHeight="1" x14ac:dyDescent="0.3">
      <c r="A4498" s="20">
        <v>46095</v>
      </c>
      <c r="B4498" s="31"/>
      <c r="C4498" s="31"/>
      <c r="D4498" s="31"/>
      <c r="E4498" s="25"/>
      <c r="F4498" s="26"/>
    </row>
    <row r="4499" spans="1:6" ht="16.8" customHeight="1" x14ac:dyDescent="0.3">
      <c r="A4499" s="20">
        <v>46096</v>
      </c>
      <c r="B4499" s="31"/>
      <c r="C4499" s="31"/>
      <c r="D4499" s="31"/>
      <c r="E4499" s="25"/>
      <c r="F4499" s="26"/>
    </row>
    <row r="4500" spans="1:6" ht="16.8" customHeight="1" x14ac:dyDescent="0.3">
      <c r="A4500" s="20">
        <v>46097</v>
      </c>
      <c r="B4500" s="31"/>
      <c r="C4500" s="31"/>
      <c r="D4500" s="31"/>
      <c r="E4500" s="25"/>
      <c r="F4500" s="26"/>
    </row>
    <row r="4501" spans="1:6" ht="16.8" customHeight="1" x14ac:dyDescent="0.3">
      <c r="A4501" s="20">
        <v>46098</v>
      </c>
      <c r="B4501" s="31"/>
      <c r="C4501" s="31"/>
      <c r="D4501" s="31"/>
      <c r="E4501" s="25"/>
      <c r="F4501" s="26"/>
    </row>
    <row r="4502" spans="1:6" ht="16.8" customHeight="1" x14ac:dyDescent="0.3">
      <c r="A4502" s="20">
        <v>46099</v>
      </c>
      <c r="B4502" s="31"/>
      <c r="C4502" s="31"/>
      <c r="D4502" s="31"/>
      <c r="E4502" s="25"/>
      <c r="F4502" s="26"/>
    </row>
    <row r="4503" spans="1:6" ht="16.8" customHeight="1" x14ac:dyDescent="0.3">
      <c r="A4503" s="20">
        <v>46100</v>
      </c>
      <c r="B4503" s="31"/>
      <c r="C4503" s="31"/>
      <c r="D4503" s="31"/>
      <c r="E4503" s="25"/>
      <c r="F4503" s="26"/>
    </row>
    <row r="4504" spans="1:6" ht="16.8" customHeight="1" x14ac:dyDescent="0.3">
      <c r="A4504" s="20">
        <v>46101</v>
      </c>
      <c r="B4504" s="31"/>
      <c r="C4504" s="31"/>
      <c r="D4504" s="31"/>
      <c r="E4504" s="25"/>
      <c r="F4504" s="26"/>
    </row>
    <row r="4505" spans="1:6" ht="16.8" customHeight="1" x14ac:dyDescent="0.3">
      <c r="A4505" s="20">
        <v>46102</v>
      </c>
      <c r="B4505" s="31"/>
      <c r="C4505" s="31"/>
      <c r="D4505" s="31"/>
      <c r="E4505" s="25"/>
      <c r="F4505" s="26"/>
    </row>
    <row r="4506" spans="1:6" ht="16.8" customHeight="1" x14ac:dyDescent="0.3">
      <c r="A4506" s="20">
        <v>46103</v>
      </c>
      <c r="B4506" s="31"/>
      <c r="C4506" s="31"/>
      <c r="D4506" s="31"/>
      <c r="E4506" s="25"/>
      <c r="F4506" s="26"/>
    </row>
    <row r="4507" spans="1:6" ht="16.8" customHeight="1" x14ac:dyDescent="0.3">
      <c r="A4507" s="20">
        <v>46104</v>
      </c>
      <c r="B4507" s="31"/>
      <c r="C4507" s="31"/>
      <c r="D4507" s="31"/>
      <c r="E4507" s="25"/>
      <c r="F4507" s="26"/>
    </row>
    <row r="4508" spans="1:6" ht="16.8" customHeight="1" x14ac:dyDescent="0.3">
      <c r="A4508" s="20">
        <v>46105</v>
      </c>
      <c r="B4508" s="31"/>
      <c r="C4508" s="31"/>
      <c r="D4508" s="31"/>
      <c r="E4508" s="25"/>
      <c r="F4508" s="26"/>
    </row>
    <row r="4509" spans="1:6" ht="16.8" customHeight="1" x14ac:dyDescent="0.3">
      <c r="A4509" s="20">
        <v>46106</v>
      </c>
      <c r="B4509" s="31"/>
      <c r="C4509" s="31"/>
      <c r="D4509" s="31"/>
      <c r="E4509" s="25"/>
      <c r="F4509" s="26"/>
    </row>
    <row r="4510" spans="1:6" ht="16.8" customHeight="1" x14ac:dyDescent="0.3">
      <c r="A4510" s="20">
        <v>46107</v>
      </c>
      <c r="B4510" s="31"/>
      <c r="C4510" s="31"/>
      <c r="D4510" s="31"/>
      <c r="E4510" s="25"/>
      <c r="F4510" s="26"/>
    </row>
    <row r="4511" spans="1:6" ht="16.8" customHeight="1" x14ac:dyDescent="0.3">
      <c r="A4511" s="20">
        <v>46108</v>
      </c>
      <c r="B4511" s="31"/>
      <c r="C4511" s="31"/>
      <c r="D4511" s="31"/>
      <c r="E4511" s="25"/>
      <c r="F4511" s="26"/>
    </row>
    <row r="4512" spans="1:6" ht="16.8" customHeight="1" x14ac:dyDescent="0.3">
      <c r="A4512" s="20">
        <v>46109</v>
      </c>
      <c r="B4512" s="31"/>
      <c r="C4512" s="31"/>
      <c r="D4512" s="31"/>
      <c r="E4512" s="25"/>
      <c r="F4512" s="26"/>
    </row>
    <row r="4513" spans="1:6" ht="16.8" customHeight="1" x14ac:dyDescent="0.3">
      <c r="A4513" s="20">
        <v>46110</v>
      </c>
      <c r="B4513" s="31"/>
      <c r="C4513" s="31"/>
      <c r="D4513" s="31"/>
      <c r="E4513" s="25"/>
      <c r="F4513" s="26"/>
    </row>
    <row r="4514" spans="1:6" ht="16.8" customHeight="1" x14ac:dyDescent="0.3">
      <c r="A4514" s="20">
        <v>46111</v>
      </c>
      <c r="B4514" s="31"/>
      <c r="C4514" s="31"/>
      <c r="D4514" s="31"/>
      <c r="E4514" s="25"/>
      <c r="F4514" s="26"/>
    </row>
    <row r="4515" spans="1:6" ht="16.8" customHeight="1" x14ac:dyDescent="0.3">
      <c r="A4515" s="20">
        <v>46112</v>
      </c>
      <c r="B4515" s="31"/>
      <c r="C4515" s="31"/>
      <c r="D4515" s="31"/>
      <c r="E4515" s="25"/>
      <c r="F4515" s="26"/>
    </row>
    <row r="4516" spans="1:6" ht="16.8" customHeight="1" x14ac:dyDescent="0.3">
      <c r="A4516" s="20">
        <v>46113</v>
      </c>
      <c r="B4516" s="31"/>
      <c r="C4516" s="31"/>
      <c r="D4516" s="31"/>
      <c r="E4516" s="25"/>
      <c r="F4516" s="26"/>
    </row>
    <row r="4517" spans="1:6" ht="16.8" customHeight="1" x14ac:dyDescent="0.3">
      <c r="A4517" s="20">
        <v>46114</v>
      </c>
      <c r="B4517" s="31"/>
      <c r="C4517" s="31"/>
      <c r="D4517" s="31"/>
      <c r="E4517" s="25"/>
      <c r="F4517" s="26"/>
    </row>
    <row r="4518" spans="1:6" ht="16.8" customHeight="1" x14ac:dyDescent="0.3">
      <c r="A4518" s="20">
        <v>46115</v>
      </c>
      <c r="B4518" s="31"/>
      <c r="C4518" s="31"/>
      <c r="D4518" s="31"/>
      <c r="E4518" s="25"/>
      <c r="F4518" s="26"/>
    </row>
    <row r="4519" spans="1:6" ht="16.8" customHeight="1" x14ac:dyDescent="0.3">
      <c r="A4519" s="20">
        <v>46116</v>
      </c>
      <c r="B4519" s="31"/>
      <c r="C4519" s="31"/>
      <c r="D4519" s="31"/>
      <c r="E4519" s="25"/>
      <c r="F4519" s="26"/>
    </row>
    <row r="4520" spans="1:6" ht="16.8" customHeight="1" x14ac:dyDescent="0.3">
      <c r="A4520" s="20">
        <v>46117</v>
      </c>
      <c r="B4520" s="31"/>
      <c r="C4520" s="31"/>
      <c r="D4520" s="31"/>
      <c r="E4520" s="25"/>
      <c r="F4520" s="26"/>
    </row>
    <row r="4521" spans="1:6" ht="16.8" customHeight="1" x14ac:dyDescent="0.3">
      <c r="A4521" s="20">
        <v>46118</v>
      </c>
      <c r="B4521" s="31"/>
      <c r="C4521" s="31"/>
      <c r="D4521" s="31"/>
      <c r="E4521" s="25"/>
      <c r="F4521" s="26"/>
    </row>
    <row r="4522" spans="1:6" ht="16.8" customHeight="1" x14ac:dyDescent="0.3">
      <c r="A4522" s="20">
        <v>46119</v>
      </c>
      <c r="B4522" s="31"/>
      <c r="C4522" s="31"/>
      <c r="D4522" s="31"/>
      <c r="E4522" s="25"/>
      <c r="F4522" s="26"/>
    </row>
    <row r="4523" spans="1:6" ht="16.8" customHeight="1" x14ac:dyDescent="0.3">
      <c r="A4523" s="20">
        <v>46120</v>
      </c>
      <c r="B4523" s="31"/>
      <c r="C4523" s="31"/>
      <c r="D4523" s="31"/>
      <c r="E4523" s="25"/>
      <c r="F4523" s="26"/>
    </row>
    <row r="4524" spans="1:6" ht="16.8" customHeight="1" x14ac:dyDescent="0.3">
      <c r="A4524" s="20">
        <v>46121</v>
      </c>
      <c r="B4524" s="31"/>
      <c r="C4524" s="31"/>
      <c r="D4524" s="31"/>
      <c r="E4524" s="25"/>
      <c r="F4524" s="26"/>
    </row>
    <row r="4525" spans="1:6" ht="16.8" customHeight="1" x14ac:dyDescent="0.3">
      <c r="A4525" s="20">
        <v>46122</v>
      </c>
      <c r="B4525" s="31"/>
      <c r="C4525" s="31"/>
      <c r="D4525" s="31"/>
      <c r="E4525" s="25"/>
      <c r="F4525" s="26"/>
    </row>
    <row r="4526" spans="1:6" ht="16.8" customHeight="1" x14ac:dyDescent="0.3">
      <c r="A4526" s="20">
        <v>46123</v>
      </c>
      <c r="B4526" s="31"/>
      <c r="C4526" s="31"/>
      <c r="D4526" s="31"/>
      <c r="E4526" s="25"/>
      <c r="F4526" s="26"/>
    </row>
    <row r="4527" spans="1:6" ht="16.8" customHeight="1" x14ac:dyDescent="0.3">
      <c r="A4527" s="20">
        <v>46124</v>
      </c>
      <c r="B4527" s="31"/>
      <c r="C4527" s="31"/>
      <c r="D4527" s="31"/>
      <c r="E4527" s="25"/>
      <c r="F4527" s="26"/>
    </row>
    <row r="4528" spans="1:6" ht="16.8" customHeight="1" x14ac:dyDescent="0.3">
      <c r="A4528" s="20">
        <v>46125</v>
      </c>
      <c r="B4528" s="31"/>
      <c r="C4528" s="31"/>
      <c r="D4528" s="31"/>
      <c r="E4528" s="25"/>
      <c r="F4528" s="26"/>
    </row>
    <row r="4529" spans="1:6" ht="16.8" customHeight="1" x14ac:dyDescent="0.3">
      <c r="A4529" s="20">
        <v>46126</v>
      </c>
      <c r="B4529" s="31"/>
      <c r="C4529" s="31"/>
      <c r="D4529" s="31"/>
      <c r="E4529" s="25"/>
      <c r="F4529" s="26"/>
    </row>
    <row r="4530" spans="1:6" ht="16.8" customHeight="1" x14ac:dyDescent="0.3">
      <c r="A4530" s="20">
        <v>46127</v>
      </c>
      <c r="B4530" s="31"/>
      <c r="C4530" s="31"/>
      <c r="D4530" s="31"/>
      <c r="E4530" s="25"/>
      <c r="F4530" s="26"/>
    </row>
    <row r="4531" spans="1:6" ht="16.8" customHeight="1" x14ac:dyDescent="0.3">
      <c r="A4531" s="20">
        <v>46128</v>
      </c>
      <c r="B4531" s="31"/>
      <c r="C4531" s="31"/>
      <c r="D4531" s="31"/>
      <c r="E4531" s="25"/>
      <c r="F4531" s="26"/>
    </row>
    <row r="4532" spans="1:6" ht="16.8" customHeight="1" x14ac:dyDescent="0.3">
      <c r="A4532" s="20">
        <v>46129</v>
      </c>
      <c r="B4532" s="31"/>
      <c r="C4532" s="31"/>
      <c r="D4532" s="31"/>
      <c r="E4532" s="25"/>
      <c r="F4532" s="26"/>
    </row>
    <row r="4533" spans="1:6" ht="16.8" customHeight="1" x14ac:dyDescent="0.3">
      <c r="A4533" s="20">
        <v>46130</v>
      </c>
      <c r="B4533" s="31"/>
      <c r="C4533" s="31"/>
      <c r="D4533" s="31"/>
      <c r="E4533" s="25"/>
      <c r="F4533" s="26"/>
    </row>
    <row r="4534" spans="1:6" ht="16.8" customHeight="1" x14ac:dyDescent="0.3">
      <c r="A4534" s="20">
        <v>46131</v>
      </c>
      <c r="B4534" s="31"/>
      <c r="C4534" s="31"/>
      <c r="D4534" s="31"/>
      <c r="E4534" s="25"/>
      <c r="F4534" s="26"/>
    </row>
    <row r="4535" spans="1:6" ht="16.8" customHeight="1" x14ac:dyDescent="0.3">
      <c r="A4535" s="20">
        <v>46132</v>
      </c>
      <c r="B4535" s="31"/>
      <c r="C4535" s="31"/>
      <c r="D4535" s="31"/>
      <c r="E4535" s="25"/>
      <c r="F4535" s="26"/>
    </row>
    <row r="4536" spans="1:6" ht="16.8" customHeight="1" x14ac:dyDescent="0.3">
      <c r="A4536" s="20">
        <v>46133</v>
      </c>
      <c r="B4536" s="31"/>
      <c r="C4536" s="31"/>
      <c r="D4536" s="31"/>
      <c r="E4536" s="25"/>
      <c r="F4536" s="26"/>
    </row>
    <row r="4537" spans="1:6" ht="16.8" customHeight="1" x14ac:dyDescent="0.3">
      <c r="A4537" s="20">
        <v>46134</v>
      </c>
      <c r="B4537" s="31"/>
      <c r="C4537" s="31"/>
      <c r="D4537" s="31"/>
      <c r="E4537" s="25"/>
      <c r="F4537" s="26"/>
    </row>
    <row r="4538" spans="1:6" ht="16.8" customHeight="1" x14ac:dyDescent="0.3">
      <c r="A4538" s="20">
        <v>46135</v>
      </c>
      <c r="B4538" s="31"/>
      <c r="C4538" s="31"/>
      <c r="D4538" s="31"/>
      <c r="E4538" s="25"/>
      <c r="F4538" s="26"/>
    </row>
    <row r="4539" spans="1:6" ht="16.8" customHeight="1" x14ac:dyDescent="0.3">
      <c r="A4539" s="20">
        <v>46136</v>
      </c>
      <c r="B4539" s="31"/>
      <c r="C4539" s="31"/>
      <c r="D4539" s="31"/>
      <c r="E4539" s="25"/>
      <c r="F4539" s="26"/>
    </row>
    <row r="4540" spans="1:6" ht="16.8" customHeight="1" x14ac:dyDescent="0.3">
      <c r="A4540" s="20">
        <v>46137</v>
      </c>
      <c r="B4540" s="31"/>
      <c r="C4540" s="31"/>
      <c r="D4540" s="31"/>
      <c r="E4540" s="25"/>
      <c r="F4540" s="26"/>
    </row>
    <row r="4541" spans="1:6" ht="16.8" customHeight="1" x14ac:dyDescent="0.3">
      <c r="A4541" s="20">
        <v>46138</v>
      </c>
      <c r="B4541" s="31"/>
      <c r="C4541" s="31"/>
      <c r="D4541" s="31"/>
      <c r="E4541" s="25"/>
      <c r="F4541" s="26"/>
    </row>
    <row r="4542" spans="1:6" ht="16.8" customHeight="1" x14ac:dyDescent="0.3">
      <c r="A4542" s="20">
        <v>46139</v>
      </c>
      <c r="B4542" s="31"/>
      <c r="C4542" s="31"/>
      <c r="D4542" s="31"/>
      <c r="E4542" s="25"/>
      <c r="F4542" s="26"/>
    </row>
    <row r="4543" spans="1:6" ht="16.8" customHeight="1" x14ac:dyDescent="0.3">
      <c r="A4543" s="20">
        <v>46140</v>
      </c>
      <c r="B4543" s="31"/>
      <c r="C4543" s="31"/>
      <c r="D4543" s="31"/>
      <c r="E4543" s="25"/>
      <c r="F4543" s="26"/>
    </row>
    <row r="4544" spans="1:6" ht="16.8" customHeight="1" x14ac:dyDescent="0.3">
      <c r="A4544" s="20">
        <v>46141</v>
      </c>
      <c r="B4544" s="31"/>
      <c r="C4544" s="31"/>
      <c r="D4544" s="31"/>
      <c r="E4544" s="25"/>
      <c r="F4544" s="26"/>
    </row>
    <row r="4545" spans="1:6" ht="16.8" customHeight="1" x14ac:dyDescent="0.3">
      <c r="A4545" s="20">
        <v>46142</v>
      </c>
      <c r="B4545" s="31"/>
      <c r="C4545" s="31"/>
      <c r="D4545" s="31"/>
      <c r="E4545" s="25"/>
      <c r="F4545" s="26"/>
    </row>
    <row r="4546" spans="1:6" ht="16.8" customHeight="1" x14ac:dyDescent="0.3">
      <c r="A4546" s="20">
        <v>46143</v>
      </c>
      <c r="B4546" s="31"/>
      <c r="C4546" s="31"/>
      <c r="D4546" s="31"/>
      <c r="E4546" s="25"/>
      <c r="F4546" s="26"/>
    </row>
    <row r="4547" spans="1:6" ht="16.8" customHeight="1" x14ac:dyDescent="0.3">
      <c r="A4547" s="20">
        <v>46144</v>
      </c>
      <c r="B4547" s="31"/>
      <c r="C4547" s="31"/>
      <c r="D4547" s="31"/>
      <c r="E4547" s="25"/>
      <c r="F4547" s="26"/>
    </row>
    <row r="4548" spans="1:6" ht="16.8" customHeight="1" x14ac:dyDescent="0.3">
      <c r="A4548" s="20">
        <v>46145</v>
      </c>
      <c r="B4548" s="31"/>
      <c r="C4548" s="31"/>
      <c r="D4548" s="31"/>
      <c r="E4548" s="25"/>
      <c r="F4548" s="26"/>
    </row>
    <row r="4549" spans="1:6" ht="16.8" customHeight="1" x14ac:dyDescent="0.3">
      <c r="A4549" s="20">
        <v>46146</v>
      </c>
      <c r="B4549" s="31"/>
      <c r="C4549" s="31"/>
      <c r="D4549" s="31"/>
      <c r="E4549" s="25"/>
      <c r="F4549" s="26"/>
    </row>
    <row r="4550" spans="1:6" ht="16.8" customHeight="1" x14ac:dyDescent="0.3">
      <c r="A4550" s="20">
        <v>46147</v>
      </c>
      <c r="B4550" s="31"/>
      <c r="C4550" s="31"/>
      <c r="D4550" s="31"/>
      <c r="E4550" s="25"/>
      <c r="F4550" s="26"/>
    </row>
    <row r="4551" spans="1:6" ht="16.8" customHeight="1" x14ac:dyDescent="0.3">
      <c r="A4551" s="20">
        <v>46148</v>
      </c>
      <c r="B4551" s="31"/>
      <c r="C4551" s="31"/>
      <c r="D4551" s="31"/>
      <c r="E4551" s="25"/>
      <c r="F4551" s="26"/>
    </row>
    <row r="4552" spans="1:6" ht="16.8" customHeight="1" x14ac:dyDescent="0.3">
      <c r="A4552" s="20">
        <v>46149</v>
      </c>
      <c r="B4552" s="31"/>
      <c r="C4552" s="31"/>
      <c r="D4552" s="31"/>
      <c r="E4552" s="25"/>
      <c r="F4552" s="26"/>
    </row>
    <row r="4553" spans="1:6" ht="16.8" customHeight="1" x14ac:dyDescent="0.3">
      <c r="A4553" s="20">
        <v>46150</v>
      </c>
      <c r="B4553" s="31"/>
      <c r="C4553" s="31"/>
      <c r="D4553" s="31"/>
      <c r="E4553" s="25"/>
      <c r="F4553" s="26"/>
    </row>
    <row r="4554" spans="1:6" ht="16.8" customHeight="1" x14ac:dyDescent="0.3">
      <c r="A4554" s="20">
        <v>46151</v>
      </c>
      <c r="B4554" s="31"/>
      <c r="C4554" s="31"/>
      <c r="D4554" s="31"/>
      <c r="E4554" s="25"/>
      <c r="F4554" s="26"/>
    </row>
    <row r="4555" spans="1:6" ht="16.8" customHeight="1" x14ac:dyDescent="0.3">
      <c r="A4555" s="20">
        <v>46152</v>
      </c>
      <c r="B4555" s="31"/>
      <c r="C4555" s="31"/>
      <c r="D4555" s="31"/>
      <c r="E4555" s="25"/>
      <c r="F4555" s="26"/>
    </row>
    <row r="4556" spans="1:6" ht="16.8" customHeight="1" x14ac:dyDescent="0.3">
      <c r="A4556" s="20">
        <v>46153</v>
      </c>
      <c r="B4556" s="31"/>
      <c r="C4556" s="31"/>
      <c r="D4556" s="31"/>
      <c r="E4556" s="25"/>
      <c r="F4556" s="26"/>
    </row>
    <row r="4557" spans="1:6" ht="16.8" customHeight="1" x14ac:dyDescent="0.3">
      <c r="A4557" s="20">
        <v>46154</v>
      </c>
      <c r="B4557" s="31"/>
      <c r="C4557" s="31"/>
      <c r="D4557" s="31"/>
      <c r="E4557" s="25"/>
      <c r="F4557" s="26"/>
    </row>
    <row r="4558" spans="1:6" ht="16.8" customHeight="1" x14ac:dyDescent="0.3">
      <c r="A4558" s="20">
        <v>46155</v>
      </c>
      <c r="B4558" s="31"/>
      <c r="C4558" s="31"/>
      <c r="D4558" s="31"/>
      <c r="E4558" s="25"/>
      <c r="F4558" s="26"/>
    </row>
    <row r="4559" spans="1:6" ht="16.8" customHeight="1" x14ac:dyDescent="0.3">
      <c r="A4559" s="20">
        <v>46156</v>
      </c>
      <c r="B4559" s="31"/>
      <c r="C4559" s="31"/>
      <c r="D4559" s="31"/>
      <c r="E4559" s="25"/>
      <c r="F4559" s="26"/>
    </row>
    <row r="4560" spans="1:6" ht="16.8" customHeight="1" x14ac:dyDescent="0.3">
      <c r="A4560" s="20">
        <v>46157</v>
      </c>
      <c r="B4560" s="31"/>
      <c r="C4560" s="31"/>
      <c r="D4560" s="31"/>
      <c r="E4560" s="25"/>
      <c r="F4560" s="26"/>
    </row>
    <row r="4561" spans="1:6" ht="16.8" customHeight="1" x14ac:dyDescent="0.3">
      <c r="A4561" s="20">
        <v>46158</v>
      </c>
      <c r="B4561" s="31"/>
      <c r="C4561" s="31"/>
      <c r="D4561" s="31"/>
      <c r="E4561" s="25"/>
      <c r="F4561" s="26"/>
    </row>
    <row r="4562" spans="1:6" ht="16.8" customHeight="1" x14ac:dyDescent="0.3">
      <c r="A4562" s="20">
        <v>46159</v>
      </c>
      <c r="B4562" s="31"/>
      <c r="C4562" s="31"/>
      <c r="D4562" s="31"/>
      <c r="E4562" s="25"/>
      <c r="F4562" s="26"/>
    </row>
    <row r="4563" spans="1:6" ht="16.8" customHeight="1" x14ac:dyDescent="0.3">
      <c r="A4563" s="20">
        <v>46160</v>
      </c>
      <c r="B4563" s="31"/>
      <c r="C4563" s="31"/>
      <c r="D4563" s="31"/>
      <c r="E4563" s="25"/>
      <c r="F4563" s="26"/>
    </row>
    <row r="4564" spans="1:6" ht="16.8" customHeight="1" x14ac:dyDescent="0.3">
      <c r="A4564" s="20">
        <v>46161</v>
      </c>
      <c r="B4564" s="31"/>
      <c r="C4564" s="31"/>
      <c r="D4564" s="31"/>
      <c r="E4564" s="25"/>
      <c r="F4564" s="26"/>
    </row>
    <row r="4565" spans="1:6" ht="16.8" customHeight="1" x14ac:dyDescent="0.3">
      <c r="A4565" s="20">
        <v>46162</v>
      </c>
      <c r="B4565" s="31"/>
      <c r="C4565" s="31"/>
      <c r="D4565" s="31"/>
      <c r="E4565" s="25"/>
      <c r="F4565" s="26"/>
    </row>
    <row r="4566" spans="1:6" ht="16.8" customHeight="1" x14ac:dyDescent="0.3">
      <c r="A4566" s="20">
        <v>46163</v>
      </c>
      <c r="B4566" s="31"/>
      <c r="C4566" s="31"/>
      <c r="D4566" s="31"/>
      <c r="E4566" s="25"/>
      <c r="F4566" s="26"/>
    </row>
    <row r="4567" spans="1:6" ht="16.8" customHeight="1" x14ac:dyDescent="0.3">
      <c r="A4567" s="20">
        <v>46164</v>
      </c>
      <c r="B4567" s="31"/>
      <c r="C4567" s="31"/>
      <c r="D4567" s="31"/>
      <c r="E4567" s="25"/>
      <c r="F4567" s="26"/>
    </row>
    <row r="4568" spans="1:6" ht="16.8" customHeight="1" x14ac:dyDescent="0.3">
      <c r="A4568" s="20">
        <v>46165</v>
      </c>
      <c r="B4568" s="31"/>
      <c r="C4568" s="31"/>
      <c r="D4568" s="31"/>
      <c r="E4568" s="25"/>
      <c r="F4568" s="26"/>
    </row>
    <row r="4569" spans="1:6" ht="16.8" customHeight="1" x14ac:dyDescent="0.3">
      <c r="A4569" s="20">
        <v>46166</v>
      </c>
      <c r="B4569" s="31"/>
      <c r="C4569" s="31"/>
      <c r="D4569" s="31"/>
      <c r="E4569" s="25"/>
      <c r="F4569" s="26"/>
    </row>
    <row r="4570" spans="1:6" ht="16.8" customHeight="1" x14ac:dyDescent="0.3">
      <c r="A4570" s="20">
        <v>46167</v>
      </c>
      <c r="B4570" s="31"/>
      <c r="C4570" s="31"/>
      <c r="D4570" s="31"/>
      <c r="E4570" s="25"/>
      <c r="F4570" s="26"/>
    </row>
    <row r="4571" spans="1:6" ht="16.8" customHeight="1" x14ac:dyDescent="0.3">
      <c r="A4571" s="20">
        <v>46168</v>
      </c>
      <c r="B4571" s="31"/>
      <c r="C4571" s="31"/>
      <c r="D4571" s="31"/>
      <c r="E4571" s="25"/>
      <c r="F4571" s="26"/>
    </row>
    <row r="4572" spans="1:6" ht="16.8" customHeight="1" x14ac:dyDescent="0.3">
      <c r="A4572" s="20">
        <v>46169</v>
      </c>
      <c r="B4572" s="31"/>
      <c r="C4572" s="31"/>
      <c r="D4572" s="31"/>
      <c r="E4572" s="25"/>
      <c r="F4572" s="26"/>
    </row>
    <row r="4573" spans="1:6" ht="16.8" customHeight="1" x14ac:dyDescent="0.3">
      <c r="A4573" s="20">
        <v>46170</v>
      </c>
      <c r="B4573" s="31"/>
      <c r="C4573" s="31"/>
      <c r="D4573" s="31"/>
      <c r="E4573" s="25"/>
      <c r="F4573" s="26"/>
    </row>
    <row r="4574" spans="1:6" ht="16.8" customHeight="1" x14ac:dyDescent="0.3">
      <c r="A4574" s="20">
        <v>46171</v>
      </c>
      <c r="B4574" s="31"/>
      <c r="C4574" s="31"/>
      <c r="D4574" s="31"/>
      <c r="E4574" s="25"/>
      <c r="F4574" s="26"/>
    </row>
    <row r="4575" spans="1:6" ht="16.8" customHeight="1" x14ac:dyDescent="0.3">
      <c r="A4575" s="20">
        <v>46172</v>
      </c>
      <c r="B4575" s="31"/>
      <c r="C4575" s="31"/>
      <c r="D4575" s="31"/>
      <c r="E4575" s="25"/>
      <c r="F4575" s="26"/>
    </row>
    <row r="4576" spans="1:6" ht="16.8" customHeight="1" x14ac:dyDescent="0.3">
      <c r="A4576" s="20">
        <v>46173</v>
      </c>
      <c r="B4576" s="31"/>
      <c r="C4576" s="31"/>
      <c r="D4576" s="31"/>
      <c r="E4576" s="25"/>
      <c r="F4576" s="26"/>
    </row>
    <row r="4577" spans="1:6" ht="16.8" customHeight="1" x14ac:dyDescent="0.3">
      <c r="A4577" s="20">
        <v>46174</v>
      </c>
      <c r="B4577" s="31"/>
      <c r="C4577" s="31"/>
      <c r="D4577" s="31"/>
      <c r="E4577" s="25"/>
      <c r="F4577" s="26"/>
    </row>
    <row r="4578" spans="1:6" ht="16.8" customHeight="1" x14ac:dyDescent="0.3">
      <c r="A4578" s="20">
        <v>46175</v>
      </c>
      <c r="B4578" s="31"/>
      <c r="C4578" s="31"/>
      <c r="D4578" s="31"/>
      <c r="E4578" s="25"/>
      <c r="F4578" s="26"/>
    </row>
    <row r="4579" spans="1:6" ht="16.8" customHeight="1" x14ac:dyDescent="0.3">
      <c r="A4579" s="20">
        <v>46176</v>
      </c>
      <c r="B4579" s="31"/>
      <c r="C4579" s="31"/>
      <c r="D4579" s="31"/>
      <c r="E4579" s="25"/>
      <c r="F4579" s="26"/>
    </row>
    <row r="4580" spans="1:6" ht="16.8" customHeight="1" x14ac:dyDescent="0.3">
      <c r="A4580" s="20">
        <v>46177</v>
      </c>
      <c r="B4580" s="31"/>
      <c r="C4580" s="31"/>
      <c r="D4580" s="31"/>
      <c r="E4580" s="25"/>
      <c r="F4580" s="26"/>
    </row>
    <row r="4581" spans="1:6" ht="16.8" customHeight="1" x14ac:dyDescent="0.3">
      <c r="A4581" s="20">
        <v>46178</v>
      </c>
      <c r="B4581" s="31"/>
      <c r="C4581" s="31"/>
      <c r="D4581" s="31"/>
      <c r="E4581" s="25"/>
      <c r="F4581" s="26"/>
    </row>
    <row r="4582" spans="1:6" ht="16.8" customHeight="1" x14ac:dyDescent="0.3">
      <c r="A4582" s="20">
        <v>46179</v>
      </c>
      <c r="B4582" s="31"/>
      <c r="C4582" s="31"/>
      <c r="D4582" s="31"/>
      <c r="E4582" s="25"/>
      <c r="F4582" s="26"/>
    </row>
    <row r="4583" spans="1:6" ht="16.8" customHeight="1" x14ac:dyDescent="0.3">
      <c r="A4583" s="20">
        <v>46180</v>
      </c>
      <c r="B4583" s="31"/>
      <c r="C4583" s="31"/>
      <c r="D4583" s="31"/>
      <c r="E4583" s="25"/>
      <c r="F4583" s="26"/>
    </row>
    <row r="4584" spans="1:6" ht="16.8" customHeight="1" x14ac:dyDescent="0.3">
      <c r="A4584" s="20">
        <v>46181</v>
      </c>
      <c r="B4584" s="31"/>
      <c r="C4584" s="31"/>
      <c r="D4584" s="31"/>
      <c r="E4584" s="25"/>
      <c r="F4584" s="26"/>
    </row>
    <row r="4585" spans="1:6" ht="16.8" customHeight="1" x14ac:dyDescent="0.3">
      <c r="A4585" s="20">
        <v>46182</v>
      </c>
      <c r="B4585" s="31"/>
      <c r="C4585" s="31"/>
      <c r="D4585" s="31"/>
      <c r="E4585" s="25"/>
      <c r="F4585" s="26"/>
    </row>
    <row r="4586" spans="1:6" ht="16.8" customHeight="1" x14ac:dyDescent="0.3">
      <c r="A4586" s="20">
        <v>46183</v>
      </c>
      <c r="B4586" s="31"/>
      <c r="C4586" s="31"/>
      <c r="D4586" s="31"/>
      <c r="E4586" s="25"/>
      <c r="F4586" s="26"/>
    </row>
    <row r="4587" spans="1:6" ht="16.8" customHeight="1" x14ac:dyDescent="0.3">
      <c r="A4587" s="20">
        <v>46184</v>
      </c>
      <c r="B4587" s="31"/>
      <c r="C4587" s="31"/>
      <c r="D4587" s="31"/>
      <c r="E4587" s="25"/>
      <c r="F4587" s="26"/>
    </row>
    <row r="4588" spans="1:6" ht="16.8" customHeight="1" x14ac:dyDescent="0.3">
      <c r="A4588" s="20">
        <v>46185</v>
      </c>
      <c r="B4588" s="31"/>
      <c r="C4588" s="31"/>
      <c r="D4588" s="31"/>
      <c r="E4588" s="25"/>
      <c r="F4588" s="26"/>
    </row>
    <row r="4589" spans="1:6" ht="16.8" customHeight="1" x14ac:dyDescent="0.3">
      <c r="A4589" s="20">
        <v>46186</v>
      </c>
      <c r="B4589" s="31"/>
      <c r="C4589" s="31"/>
      <c r="D4589" s="31"/>
      <c r="E4589" s="25"/>
      <c r="F4589" s="26"/>
    </row>
    <row r="4590" spans="1:6" ht="16.8" customHeight="1" x14ac:dyDescent="0.3">
      <c r="A4590" s="20">
        <v>46187</v>
      </c>
      <c r="B4590" s="31"/>
      <c r="C4590" s="31"/>
      <c r="D4590" s="31"/>
      <c r="E4590" s="25"/>
      <c r="F4590" s="26"/>
    </row>
    <row r="4591" spans="1:6" ht="16.8" customHeight="1" x14ac:dyDescent="0.3">
      <c r="A4591" s="20">
        <v>46188</v>
      </c>
      <c r="B4591" s="31"/>
      <c r="C4591" s="31"/>
      <c r="D4591" s="31"/>
      <c r="E4591" s="25"/>
      <c r="F4591" s="26"/>
    </row>
    <row r="4592" spans="1:6" ht="16.8" customHeight="1" x14ac:dyDescent="0.3">
      <c r="A4592" s="20">
        <v>46189</v>
      </c>
      <c r="B4592" s="31"/>
      <c r="C4592" s="31"/>
      <c r="D4592" s="31"/>
      <c r="E4592" s="25"/>
      <c r="F4592" s="26"/>
    </row>
    <row r="4593" spans="1:6" ht="16.8" customHeight="1" x14ac:dyDescent="0.3">
      <c r="A4593" s="20">
        <v>46190</v>
      </c>
      <c r="B4593" s="31"/>
      <c r="C4593" s="31"/>
      <c r="D4593" s="31"/>
      <c r="E4593" s="25"/>
      <c r="F4593" s="26"/>
    </row>
    <row r="4594" spans="1:6" ht="16.8" customHeight="1" x14ac:dyDescent="0.3">
      <c r="A4594" s="20">
        <v>46191</v>
      </c>
      <c r="B4594" s="31"/>
      <c r="C4594" s="31"/>
      <c r="D4594" s="31"/>
      <c r="E4594" s="25"/>
      <c r="F4594" s="26"/>
    </row>
    <row r="4595" spans="1:6" ht="16.8" customHeight="1" x14ac:dyDescent="0.3">
      <c r="A4595" s="20">
        <v>46192</v>
      </c>
      <c r="B4595" s="31"/>
      <c r="C4595" s="31"/>
      <c r="D4595" s="31"/>
      <c r="E4595" s="25"/>
      <c r="F4595" s="26"/>
    </row>
    <row r="4596" spans="1:6" ht="16.8" customHeight="1" x14ac:dyDescent="0.3">
      <c r="A4596" s="20">
        <v>46193</v>
      </c>
      <c r="B4596" s="31"/>
      <c r="C4596" s="31"/>
      <c r="D4596" s="31"/>
      <c r="E4596" s="25"/>
      <c r="F4596" s="26"/>
    </row>
    <row r="4597" spans="1:6" ht="16.8" customHeight="1" x14ac:dyDescent="0.3">
      <c r="A4597" s="20">
        <v>46194</v>
      </c>
      <c r="B4597" s="31"/>
      <c r="C4597" s="31"/>
      <c r="D4597" s="31"/>
      <c r="E4597" s="25"/>
      <c r="F4597" s="26"/>
    </row>
    <row r="4598" spans="1:6" ht="16.8" customHeight="1" x14ac:dyDescent="0.3">
      <c r="A4598" s="20">
        <v>46195</v>
      </c>
      <c r="B4598" s="31"/>
      <c r="C4598" s="31"/>
      <c r="D4598" s="31"/>
      <c r="E4598" s="25"/>
      <c r="F4598" s="26"/>
    </row>
    <row r="4599" spans="1:6" ht="16.8" customHeight="1" x14ac:dyDescent="0.3">
      <c r="A4599" s="20">
        <v>46196</v>
      </c>
      <c r="B4599" s="31"/>
      <c r="C4599" s="31"/>
      <c r="D4599" s="31"/>
      <c r="E4599" s="25"/>
      <c r="F4599" s="26"/>
    </row>
    <row r="4600" spans="1:6" ht="16.8" customHeight="1" x14ac:dyDescent="0.3">
      <c r="A4600" s="20">
        <v>46197</v>
      </c>
      <c r="B4600" s="31"/>
      <c r="C4600" s="31"/>
      <c r="D4600" s="31"/>
      <c r="E4600" s="25"/>
      <c r="F4600" s="26"/>
    </row>
    <row r="4601" spans="1:6" ht="16.8" customHeight="1" x14ac:dyDescent="0.3">
      <c r="A4601" s="20">
        <v>46198</v>
      </c>
      <c r="B4601" s="31"/>
      <c r="C4601" s="31"/>
      <c r="D4601" s="31"/>
      <c r="E4601" s="25"/>
      <c r="F4601" s="26"/>
    </row>
    <row r="4602" spans="1:6" ht="16.8" customHeight="1" x14ac:dyDescent="0.3">
      <c r="A4602" s="20">
        <v>46199</v>
      </c>
      <c r="B4602" s="31"/>
      <c r="C4602" s="31"/>
      <c r="D4602" s="31"/>
      <c r="E4602" s="25"/>
      <c r="F4602" s="26"/>
    </row>
    <row r="4603" spans="1:6" ht="16.8" customHeight="1" x14ac:dyDescent="0.3">
      <c r="A4603" s="20">
        <v>46200</v>
      </c>
      <c r="B4603" s="31"/>
      <c r="C4603" s="31"/>
      <c r="D4603" s="31"/>
      <c r="E4603" s="25"/>
      <c r="F4603" s="26"/>
    </row>
    <row r="4604" spans="1:6" ht="16.8" customHeight="1" x14ac:dyDescent="0.3">
      <c r="A4604" s="20">
        <v>46201</v>
      </c>
      <c r="B4604" s="31"/>
      <c r="C4604" s="31"/>
      <c r="D4604" s="31"/>
      <c r="E4604" s="25"/>
      <c r="F4604" s="26"/>
    </row>
    <row r="4605" spans="1:6" ht="16.8" customHeight="1" x14ac:dyDescent="0.3">
      <c r="A4605" s="20">
        <v>46202</v>
      </c>
      <c r="B4605" s="31"/>
      <c r="C4605" s="31"/>
      <c r="D4605" s="31"/>
      <c r="E4605" s="25"/>
      <c r="F4605" s="26"/>
    </row>
    <row r="4606" spans="1:6" ht="16.8" customHeight="1" x14ac:dyDescent="0.3">
      <c r="A4606" s="20">
        <v>46203</v>
      </c>
      <c r="B4606" s="31"/>
      <c r="C4606" s="31"/>
      <c r="D4606" s="31"/>
      <c r="E4606" s="25"/>
      <c r="F4606" s="26"/>
    </row>
    <row r="4607" spans="1:6" ht="16.8" customHeight="1" x14ac:dyDescent="0.3">
      <c r="A4607" s="20">
        <v>46204</v>
      </c>
      <c r="B4607" s="31"/>
      <c r="C4607" s="31"/>
      <c r="D4607" s="31"/>
      <c r="E4607" s="25"/>
      <c r="F4607" s="26"/>
    </row>
    <row r="4608" spans="1:6" ht="16.8" customHeight="1" x14ac:dyDescent="0.3">
      <c r="A4608" s="20">
        <v>46205</v>
      </c>
      <c r="B4608" s="31"/>
      <c r="C4608" s="31"/>
      <c r="D4608" s="31"/>
      <c r="E4608" s="25"/>
      <c r="F4608" s="26"/>
    </row>
    <row r="4609" spans="1:6" ht="16.8" customHeight="1" x14ac:dyDescent="0.3">
      <c r="A4609" s="20">
        <v>46206</v>
      </c>
      <c r="B4609" s="31"/>
      <c r="C4609" s="31"/>
      <c r="D4609" s="31"/>
      <c r="E4609" s="25"/>
      <c r="F4609" s="26"/>
    </row>
    <row r="4610" spans="1:6" ht="16.8" customHeight="1" x14ac:dyDescent="0.3">
      <c r="A4610" s="20">
        <v>46207</v>
      </c>
      <c r="B4610" s="31"/>
      <c r="C4610" s="31"/>
      <c r="D4610" s="31"/>
      <c r="E4610" s="25"/>
      <c r="F4610" s="26"/>
    </row>
    <row r="4611" spans="1:6" ht="16.8" customHeight="1" x14ac:dyDescent="0.3">
      <c r="A4611" s="20">
        <v>46208</v>
      </c>
      <c r="B4611" s="31"/>
      <c r="C4611" s="31"/>
      <c r="D4611" s="31"/>
      <c r="E4611" s="25"/>
      <c r="F4611" s="26"/>
    </row>
    <row r="4612" spans="1:6" ht="16.8" customHeight="1" x14ac:dyDescent="0.3">
      <c r="A4612" s="20">
        <v>46209</v>
      </c>
      <c r="B4612" s="31"/>
      <c r="C4612" s="31"/>
      <c r="D4612" s="31"/>
      <c r="E4612" s="25"/>
      <c r="F4612" s="26"/>
    </row>
    <row r="4613" spans="1:6" ht="16.8" customHeight="1" x14ac:dyDescent="0.3">
      <c r="A4613" s="20">
        <v>46210</v>
      </c>
      <c r="B4613" s="31"/>
      <c r="C4613" s="31"/>
      <c r="D4613" s="31"/>
      <c r="E4613" s="25"/>
      <c r="F4613" s="26"/>
    </row>
    <row r="4614" spans="1:6" ht="16.8" customHeight="1" x14ac:dyDescent="0.3">
      <c r="A4614" s="20">
        <v>46211</v>
      </c>
      <c r="B4614" s="31"/>
      <c r="C4614" s="31"/>
      <c r="D4614" s="31"/>
      <c r="E4614" s="25"/>
      <c r="F4614" s="26"/>
    </row>
    <row r="4615" spans="1:6" ht="16.8" customHeight="1" x14ac:dyDescent="0.3">
      <c r="A4615" s="20">
        <v>46212</v>
      </c>
      <c r="B4615" s="31"/>
      <c r="C4615" s="31"/>
      <c r="D4615" s="31"/>
      <c r="E4615" s="25"/>
      <c r="F4615" s="26"/>
    </row>
    <row r="4616" spans="1:6" ht="16.8" customHeight="1" x14ac:dyDescent="0.3">
      <c r="A4616" s="20">
        <v>46213</v>
      </c>
      <c r="B4616" s="31"/>
      <c r="C4616" s="31"/>
      <c r="D4616" s="31"/>
      <c r="E4616" s="25"/>
      <c r="F4616" s="26"/>
    </row>
    <row r="4617" spans="1:6" ht="16.8" customHeight="1" x14ac:dyDescent="0.3">
      <c r="A4617" s="20">
        <v>46214</v>
      </c>
      <c r="B4617" s="31"/>
      <c r="C4617" s="31"/>
      <c r="D4617" s="31"/>
      <c r="E4617" s="25"/>
      <c r="F4617" s="26"/>
    </row>
    <row r="4618" spans="1:6" ht="16.8" customHeight="1" x14ac:dyDescent="0.3">
      <c r="A4618" s="20">
        <v>46215</v>
      </c>
      <c r="B4618" s="31"/>
      <c r="C4618" s="31"/>
      <c r="D4618" s="31"/>
      <c r="E4618" s="25"/>
      <c r="F4618" s="26"/>
    </row>
    <row r="4619" spans="1:6" ht="16.8" customHeight="1" x14ac:dyDescent="0.3">
      <c r="A4619" s="20">
        <v>46216</v>
      </c>
      <c r="B4619" s="31"/>
      <c r="C4619" s="31"/>
      <c r="D4619" s="31"/>
      <c r="E4619" s="25"/>
      <c r="F4619" s="26"/>
    </row>
    <row r="4620" spans="1:6" ht="16.8" customHeight="1" x14ac:dyDescent="0.3">
      <c r="A4620" s="20">
        <v>46217</v>
      </c>
      <c r="B4620" s="31"/>
      <c r="C4620" s="31"/>
      <c r="D4620" s="31"/>
      <c r="E4620" s="25"/>
      <c r="F4620" s="26"/>
    </row>
    <row r="4621" spans="1:6" ht="16.8" customHeight="1" x14ac:dyDescent="0.3">
      <c r="A4621" s="20">
        <v>46218</v>
      </c>
      <c r="B4621" s="31"/>
      <c r="C4621" s="31"/>
      <c r="D4621" s="31"/>
      <c r="E4621" s="25"/>
      <c r="F4621" s="26"/>
    </row>
    <row r="4622" spans="1:6" ht="16.8" customHeight="1" x14ac:dyDescent="0.3">
      <c r="A4622" s="20">
        <v>46219</v>
      </c>
      <c r="B4622" s="31"/>
      <c r="C4622" s="31"/>
      <c r="D4622" s="31"/>
      <c r="E4622" s="25"/>
      <c r="F4622" s="26"/>
    </row>
    <row r="4623" spans="1:6" ht="16.8" customHeight="1" x14ac:dyDescent="0.3">
      <c r="A4623" s="20">
        <v>46220</v>
      </c>
      <c r="B4623" s="31"/>
      <c r="C4623" s="31"/>
      <c r="D4623" s="31"/>
      <c r="E4623" s="25"/>
      <c r="F4623" s="26"/>
    </row>
    <row r="4624" spans="1:6" ht="16.8" customHeight="1" x14ac:dyDescent="0.3">
      <c r="A4624" s="20">
        <v>46221</v>
      </c>
      <c r="B4624" s="31"/>
      <c r="C4624" s="31"/>
      <c r="D4624" s="31"/>
      <c r="E4624" s="25"/>
      <c r="F4624" s="26"/>
    </row>
    <row r="4625" spans="1:6" ht="16.8" customHeight="1" x14ac:dyDescent="0.3">
      <c r="A4625" s="20">
        <v>46222</v>
      </c>
      <c r="B4625" s="31"/>
      <c r="C4625" s="31"/>
      <c r="D4625" s="31"/>
      <c r="E4625" s="25"/>
      <c r="F4625" s="26"/>
    </row>
    <row r="4626" spans="1:6" ht="16.8" customHeight="1" x14ac:dyDescent="0.3">
      <c r="A4626" s="20">
        <v>46223</v>
      </c>
      <c r="B4626" s="31"/>
      <c r="C4626" s="31"/>
      <c r="D4626" s="31"/>
      <c r="E4626" s="25"/>
      <c r="F4626" s="26"/>
    </row>
    <row r="4627" spans="1:6" ht="16.8" customHeight="1" x14ac:dyDescent="0.3">
      <c r="A4627" s="20">
        <v>46224</v>
      </c>
      <c r="B4627" s="31"/>
      <c r="C4627" s="31"/>
      <c r="D4627" s="31"/>
      <c r="E4627" s="25"/>
      <c r="F4627" s="26"/>
    </row>
    <row r="4628" spans="1:6" ht="16.8" customHeight="1" x14ac:dyDescent="0.3">
      <c r="A4628" s="20">
        <v>46225</v>
      </c>
      <c r="B4628" s="31"/>
      <c r="C4628" s="31"/>
      <c r="D4628" s="31"/>
      <c r="E4628" s="25"/>
      <c r="F4628" s="26"/>
    </row>
    <row r="4629" spans="1:6" ht="16.8" customHeight="1" x14ac:dyDescent="0.3">
      <c r="A4629" s="20">
        <v>46226</v>
      </c>
      <c r="B4629" s="31"/>
      <c r="C4629" s="31"/>
      <c r="D4629" s="31"/>
      <c r="E4629" s="25"/>
      <c r="F4629" s="26"/>
    </row>
    <row r="4630" spans="1:6" ht="16.8" customHeight="1" x14ac:dyDescent="0.3">
      <c r="A4630" s="20">
        <v>46227</v>
      </c>
      <c r="B4630" s="31"/>
      <c r="C4630" s="31"/>
      <c r="D4630" s="31"/>
      <c r="E4630" s="25"/>
      <c r="F4630" s="26"/>
    </row>
    <row r="4631" spans="1:6" ht="16.8" customHeight="1" x14ac:dyDescent="0.3">
      <c r="A4631" s="20">
        <v>46228</v>
      </c>
      <c r="B4631" s="31"/>
      <c r="C4631" s="31"/>
      <c r="D4631" s="31"/>
      <c r="E4631" s="25"/>
      <c r="F4631" s="26"/>
    </row>
    <row r="4632" spans="1:6" ht="16.8" customHeight="1" x14ac:dyDescent="0.3">
      <c r="A4632" s="20">
        <v>46229</v>
      </c>
      <c r="B4632" s="31"/>
      <c r="C4632" s="31"/>
      <c r="D4632" s="31"/>
      <c r="E4632" s="25"/>
      <c r="F4632" s="26"/>
    </row>
    <row r="4633" spans="1:6" ht="16.8" customHeight="1" x14ac:dyDescent="0.3">
      <c r="A4633" s="20">
        <v>46230</v>
      </c>
      <c r="B4633" s="31"/>
      <c r="C4633" s="31"/>
      <c r="D4633" s="31"/>
      <c r="E4633" s="25"/>
      <c r="F4633" s="26"/>
    </row>
    <row r="4634" spans="1:6" ht="16.8" customHeight="1" x14ac:dyDescent="0.3">
      <c r="A4634" s="20">
        <v>46231</v>
      </c>
      <c r="B4634" s="31"/>
      <c r="C4634" s="31"/>
      <c r="D4634" s="31"/>
      <c r="E4634" s="25"/>
      <c r="F4634" s="26"/>
    </row>
    <row r="4635" spans="1:6" ht="16.8" customHeight="1" x14ac:dyDescent="0.3">
      <c r="A4635" s="20">
        <v>46232</v>
      </c>
      <c r="B4635" s="31"/>
      <c r="C4635" s="31"/>
      <c r="D4635" s="31"/>
      <c r="E4635" s="25"/>
      <c r="F4635" s="26"/>
    </row>
    <row r="4636" spans="1:6" ht="16.8" customHeight="1" x14ac:dyDescent="0.3">
      <c r="A4636" s="20">
        <v>46233</v>
      </c>
      <c r="B4636" s="31"/>
      <c r="C4636" s="31"/>
      <c r="D4636" s="31"/>
      <c r="E4636" s="25"/>
      <c r="F4636" s="26"/>
    </row>
    <row r="4637" spans="1:6" ht="16.8" customHeight="1" x14ac:dyDescent="0.3">
      <c r="A4637" s="20">
        <v>46234</v>
      </c>
      <c r="B4637" s="31"/>
      <c r="C4637" s="31"/>
      <c r="D4637" s="31"/>
      <c r="E4637" s="25"/>
      <c r="F4637" s="26"/>
    </row>
    <row r="4638" spans="1:6" ht="16.8" customHeight="1" x14ac:dyDescent="0.3">
      <c r="A4638" s="20">
        <v>46235</v>
      </c>
      <c r="B4638" s="31"/>
      <c r="C4638" s="31"/>
      <c r="D4638" s="31"/>
      <c r="E4638" s="25"/>
      <c r="F4638" s="26"/>
    </row>
    <row r="4639" spans="1:6" ht="16.8" customHeight="1" x14ac:dyDescent="0.3">
      <c r="A4639" s="20">
        <v>46236</v>
      </c>
      <c r="B4639" s="31"/>
      <c r="C4639" s="31"/>
      <c r="D4639" s="31"/>
      <c r="E4639" s="25"/>
      <c r="F4639" s="26"/>
    </row>
    <row r="4640" spans="1:6" ht="16.8" customHeight="1" x14ac:dyDescent="0.3">
      <c r="A4640" s="20">
        <v>46237</v>
      </c>
      <c r="B4640" s="31"/>
      <c r="C4640" s="31"/>
      <c r="D4640" s="31"/>
      <c r="E4640" s="25"/>
      <c r="F4640" s="26"/>
    </row>
    <row r="4641" spans="1:6" ht="16.8" customHeight="1" x14ac:dyDescent="0.3">
      <c r="A4641" s="20">
        <v>46238</v>
      </c>
      <c r="B4641" s="31"/>
      <c r="C4641" s="31"/>
      <c r="D4641" s="31"/>
      <c r="E4641" s="25"/>
      <c r="F4641" s="26"/>
    </row>
    <row r="4642" spans="1:6" ht="16.8" customHeight="1" x14ac:dyDescent="0.3">
      <c r="A4642" s="20">
        <v>46239</v>
      </c>
      <c r="B4642" s="31"/>
      <c r="C4642" s="31"/>
      <c r="D4642" s="31"/>
      <c r="E4642" s="25"/>
      <c r="F4642" s="26"/>
    </row>
    <row r="4643" spans="1:6" ht="16.8" customHeight="1" x14ac:dyDescent="0.3">
      <c r="A4643" s="20">
        <v>46240</v>
      </c>
      <c r="B4643" s="31"/>
      <c r="C4643" s="31"/>
      <c r="D4643" s="31"/>
      <c r="E4643" s="25"/>
      <c r="F4643" s="26"/>
    </row>
    <row r="4644" spans="1:6" ht="16.8" customHeight="1" x14ac:dyDescent="0.3">
      <c r="A4644" s="20">
        <v>46241</v>
      </c>
      <c r="B4644" s="31"/>
      <c r="C4644" s="31"/>
      <c r="D4644" s="31"/>
      <c r="E4644" s="25"/>
      <c r="F4644" s="26"/>
    </row>
    <row r="4645" spans="1:6" ht="16.8" customHeight="1" x14ac:dyDescent="0.3">
      <c r="A4645" s="20">
        <v>46242</v>
      </c>
      <c r="B4645" s="31"/>
      <c r="C4645" s="31"/>
      <c r="D4645" s="31"/>
      <c r="E4645" s="25"/>
      <c r="F4645" s="26"/>
    </row>
    <row r="4646" spans="1:6" ht="16.8" customHeight="1" x14ac:dyDescent="0.3">
      <c r="A4646" s="20">
        <v>46243</v>
      </c>
      <c r="B4646" s="31"/>
      <c r="C4646" s="31"/>
      <c r="D4646" s="31"/>
      <c r="E4646" s="25"/>
      <c r="F4646" s="26"/>
    </row>
    <row r="4647" spans="1:6" ht="16.8" customHeight="1" x14ac:dyDescent="0.3">
      <c r="A4647" s="20">
        <v>46244</v>
      </c>
      <c r="B4647" s="31"/>
      <c r="C4647" s="31"/>
      <c r="D4647" s="31"/>
      <c r="E4647" s="25"/>
      <c r="F4647" s="26"/>
    </row>
    <row r="4648" spans="1:6" ht="16.8" customHeight="1" x14ac:dyDescent="0.3">
      <c r="A4648" s="20">
        <v>46245</v>
      </c>
      <c r="B4648" s="31"/>
      <c r="C4648" s="31"/>
      <c r="D4648" s="31"/>
      <c r="E4648" s="25"/>
      <c r="F4648" s="26"/>
    </row>
    <row r="4649" spans="1:6" ht="16.8" customHeight="1" x14ac:dyDescent="0.3">
      <c r="A4649" s="20">
        <v>46246</v>
      </c>
      <c r="B4649" s="31"/>
      <c r="C4649" s="31"/>
      <c r="D4649" s="31"/>
      <c r="E4649" s="25"/>
      <c r="F4649" s="26"/>
    </row>
    <row r="4650" spans="1:6" ht="16.8" customHeight="1" x14ac:dyDescent="0.3">
      <c r="A4650" s="20">
        <v>46247</v>
      </c>
      <c r="B4650" s="31"/>
      <c r="C4650" s="31"/>
      <c r="D4650" s="31"/>
      <c r="E4650" s="25"/>
      <c r="F4650" s="26"/>
    </row>
    <row r="4651" spans="1:6" ht="16.8" customHeight="1" x14ac:dyDescent="0.3">
      <c r="A4651" s="20">
        <v>46248</v>
      </c>
      <c r="B4651" s="31"/>
      <c r="C4651" s="31"/>
      <c r="D4651" s="31"/>
      <c r="E4651" s="25"/>
      <c r="F4651" s="26"/>
    </row>
    <row r="4652" spans="1:6" ht="16.8" customHeight="1" x14ac:dyDescent="0.3">
      <c r="A4652" s="20">
        <v>46249</v>
      </c>
      <c r="B4652" s="31"/>
      <c r="C4652" s="31"/>
      <c r="D4652" s="31"/>
      <c r="E4652" s="25"/>
      <c r="F4652" s="26"/>
    </row>
    <row r="4653" spans="1:6" ht="16.8" customHeight="1" x14ac:dyDescent="0.3">
      <c r="A4653" s="20">
        <v>46250</v>
      </c>
      <c r="B4653" s="31"/>
      <c r="C4653" s="31"/>
      <c r="D4653" s="31"/>
      <c r="E4653" s="25"/>
      <c r="F4653" s="26"/>
    </row>
    <row r="4654" spans="1:6" ht="16.8" customHeight="1" x14ac:dyDescent="0.3">
      <c r="A4654" s="20">
        <v>46251</v>
      </c>
      <c r="B4654" s="31"/>
      <c r="C4654" s="31"/>
      <c r="D4654" s="31"/>
      <c r="E4654" s="25"/>
      <c r="F4654" s="26"/>
    </row>
    <row r="4655" spans="1:6" ht="16.8" customHeight="1" x14ac:dyDescent="0.3">
      <c r="A4655" s="20">
        <v>46252</v>
      </c>
      <c r="B4655" s="31"/>
      <c r="C4655" s="31"/>
      <c r="D4655" s="31"/>
      <c r="E4655" s="25"/>
      <c r="F4655" s="26"/>
    </row>
    <row r="4656" spans="1:6" ht="16.8" customHeight="1" x14ac:dyDescent="0.3">
      <c r="A4656" s="20">
        <v>46253</v>
      </c>
      <c r="B4656" s="31"/>
      <c r="C4656" s="31"/>
      <c r="D4656" s="31"/>
      <c r="E4656" s="25"/>
      <c r="F4656" s="26"/>
    </row>
    <row r="4657" spans="1:6" ht="16.8" customHeight="1" x14ac:dyDescent="0.3">
      <c r="A4657" s="20">
        <v>46254</v>
      </c>
      <c r="B4657" s="31"/>
      <c r="C4657" s="31"/>
      <c r="D4657" s="31"/>
      <c r="E4657" s="25"/>
      <c r="F4657" s="26"/>
    </row>
    <row r="4658" spans="1:6" ht="16.8" customHeight="1" x14ac:dyDescent="0.3">
      <c r="A4658" s="20">
        <v>46255</v>
      </c>
      <c r="B4658" s="31"/>
      <c r="C4658" s="31"/>
      <c r="D4658" s="31"/>
      <c r="E4658" s="25"/>
      <c r="F4658" s="26"/>
    </row>
    <row r="4659" spans="1:6" ht="16.8" customHeight="1" x14ac:dyDescent="0.3">
      <c r="A4659" s="20">
        <v>46256</v>
      </c>
      <c r="B4659" s="31"/>
      <c r="C4659" s="31"/>
      <c r="D4659" s="31"/>
      <c r="E4659" s="25"/>
      <c r="F4659" s="26"/>
    </row>
    <row r="4660" spans="1:6" ht="16.8" customHeight="1" x14ac:dyDescent="0.3">
      <c r="A4660" s="20">
        <v>46257</v>
      </c>
      <c r="B4660" s="31"/>
      <c r="C4660" s="31"/>
      <c r="D4660" s="31"/>
      <c r="E4660" s="25"/>
      <c r="F4660" s="26"/>
    </row>
    <row r="4661" spans="1:6" ht="16.8" customHeight="1" x14ac:dyDescent="0.3">
      <c r="A4661" s="20">
        <v>46258</v>
      </c>
      <c r="B4661" s="31"/>
      <c r="C4661" s="31"/>
      <c r="D4661" s="31"/>
      <c r="E4661" s="25"/>
      <c r="F4661" s="26"/>
    </row>
    <row r="4662" spans="1:6" ht="16.8" customHeight="1" x14ac:dyDescent="0.3">
      <c r="A4662" s="20">
        <v>46259</v>
      </c>
      <c r="B4662" s="31"/>
      <c r="C4662" s="31"/>
      <c r="D4662" s="31"/>
      <c r="E4662" s="25"/>
      <c r="F4662" s="26"/>
    </row>
    <row r="4663" spans="1:6" ht="16.8" customHeight="1" x14ac:dyDescent="0.3">
      <c r="A4663" s="20">
        <v>46260</v>
      </c>
      <c r="B4663" s="31"/>
      <c r="C4663" s="31"/>
      <c r="D4663" s="31"/>
      <c r="E4663" s="25"/>
      <c r="F4663" s="26"/>
    </row>
    <row r="4664" spans="1:6" ht="16.8" customHeight="1" x14ac:dyDescent="0.3">
      <c r="A4664" s="20">
        <v>46261</v>
      </c>
      <c r="B4664" s="31"/>
      <c r="C4664" s="31"/>
      <c r="D4664" s="31"/>
      <c r="E4664" s="25"/>
      <c r="F4664" s="26"/>
    </row>
    <row r="4665" spans="1:6" ht="16.8" customHeight="1" x14ac:dyDescent="0.3">
      <c r="A4665" s="20">
        <v>46262</v>
      </c>
      <c r="B4665" s="31"/>
      <c r="C4665" s="31"/>
      <c r="D4665" s="31"/>
      <c r="E4665" s="25"/>
      <c r="F4665" s="26"/>
    </row>
    <row r="4666" spans="1:6" ht="16.8" customHeight="1" x14ac:dyDescent="0.3">
      <c r="A4666" s="20">
        <v>46263</v>
      </c>
      <c r="B4666" s="31"/>
      <c r="C4666" s="31"/>
      <c r="D4666" s="31"/>
      <c r="E4666" s="25"/>
      <c r="F4666" s="26"/>
    </row>
    <row r="4667" spans="1:6" ht="16.8" customHeight="1" x14ac:dyDescent="0.3">
      <c r="A4667" s="20">
        <v>46264</v>
      </c>
      <c r="B4667" s="31"/>
      <c r="C4667" s="31"/>
      <c r="D4667" s="31"/>
      <c r="E4667" s="25"/>
      <c r="F4667" s="26"/>
    </row>
    <row r="4668" spans="1:6" ht="16.8" customHeight="1" x14ac:dyDescent="0.3">
      <c r="A4668" s="20">
        <v>46265</v>
      </c>
      <c r="B4668" s="31"/>
      <c r="C4668" s="31"/>
      <c r="D4668" s="31"/>
      <c r="E4668" s="25"/>
      <c r="F4668" s="26"/>
    </row>
    <row r="4669" spans="1:6" ht="16.8" customHeight="1" x14ac:dyDescent="0.3">
      <c r="A4669" s="20">
        <v>46266</v>
      </c>
      <c r="B4669" s="31"/>
      <c r="C4669" s="31"/>
      <c r="D4669" s="31"/>
      <c r="E4669" s="25"/>
      <c r="F4669" s="26"/>
    </row>
    <row r="4670" spans="1:6" ht="16.8" customHeight="1" x14ac:dyDescent="0.3">
      <c r="A4670" s="20">
        <v>46267</v>
      </c>
      <c r="B4670" s="31"/>
      <c r="C4670" s="31"/>
      <c r="D4670" s="31"/>
      <c r="E4670" s="25"/>
      <c r="F4670" s="26"/>
    </row>
    <row r="4671" spans="1:6" ht="16.8" customHeight="1" x14ac:dyDescent="0.3">
      <c r="A4671" s="20">
        <v>46268</v>
      </c>
      <c r="B4671" s="31"/>
      <c r="C4671" s="31"/>
      <c r="D4671" s="31"/>
      <c r="E4671" s="25"/>
      <c r="F4671" s="26"/>
    </row>
    <row r="4672" spans="1:6" ht="16.8" customHeight="1" x14ac:dyDescent="0.3">
      <c r="A4672" s="20">
        <v>46269</v>
      </c>
      <c r="B4672" s="31"/>
      <c r="C4672" s="31"/>
      <c r="D4672" s="31"/>
      <c r="E4672" s="25"/>
      <c r="F4672" s="26"/>
    </row>
    <row r="4673" spans="1:6" ht="16.8" customHeight="1" x14ac:dyDescent="0.3">
      <c r="A4673" s="20">
        <v>46270</v>
      </c>
      <c r="B4673" s="31"/>
      <c r="C4673" s="31"/>
      <c r="D4673" s="31"/>
      <c r="E4673" s="25"/>
      <c r="F4673" s="26"/>
    </row>
    <row r="4674" spans="1:6" ht="16.8" customHeight="1" x14ac:dyDescent="0.3">
      <c r="A4674" s="20">
        <v>46271</v>
      </c>
      <c r="B4674" s="31"/>
      <c r="C4674" s="31"/>
      <c r="D4674" s="31"/>
      <c r="E4674" s="25"/>
      <c r="F4674" s="26"/>
    </row>
    <row r="4675" spans="1:6" ht="16.8" customHeight="1" x14ac:dyDescent="0.3">
      <c r="A4675" s="20">
        <v>46272</v>
      </c>
      <c r="B4675" s="31"/>
      <c r="C4675" s="31"/>
      <c r="D4675" s="31"/>
      <c r="E4675" s="25"/>
      <c r="F4675" s="26"/>
    </row>
    <row r="4676" spans="1:6" ht="16.8" customHeight="1" x14ac:dyDescent="0.3">
      <c r="A4676" s="20">
        <v>46273</v>
      </c>
      <c r="B4676" s="31"/>
      <c r="C4676" s="31"/>
      <c r="D4676" s="31"/>
      <c r="E4676" s="25"/>
      <c r="F4676" s="26"/>
    </row>
    <row r="4677" spans="1:6" ht="16.8" customHeight="1" x14ac:dyDescent="0.3">
      <c r="A4677" s="20">
        <v>46274</v>
      </c>
      <c r="B4677" s="31"/>
      <c r="C4677" s="31"/>
      <c r="D4677" s="31"/>
      <c r="E4677" s="25"/>
      <c r="F4677" s="26"/>
    </row>
    <row r="4678" spans="1:6" ht="16.8" customHeight="1" x14ac:dyDescent="0.3">
      <c r="A4678" s="20">
        <v>46275</v>
      </c>
      <c r="B4678" s="31"/>
      <c r="C4678" s="31"/>
      <c r="D4678" s="31"/>
      <c r="E4678" s="25"/>
      <c r="F4678" s="26"/>
    </row>
    <row r="4679" spans="1:6" ht="16.8" customHeight="1" x14ac:dyDescent="0.3">
      <c r="A4679" s="20">
        <v>46276</v>
      </c>
      <c r="B4679" s="31"/>
      <c r="C4679" s="31"/>
      <c r="D4679" s="31"/>
      <c r="E4679" s="25"/>
      <c r="F4679" s="26"/>
    </row>
    <row r="4680" spans="1:6" ht="16.8" customHeight="1" x14ac:dyDescent="0.3">
      <c r="A4680" s="20">
        <v>46277</v>
      </c>
      <c r="B4680" s="31"/>
      <c r="C4680" s="31"/>
      <c r="D4680" s="31"/>
      <c r="E4680" s="25"/>
      <c r="F4680" s="26"/>
    </row>
    <row r="4681" spans="1:6" ht="16.8" customHeight="1" x14ac:dyDescent="0.3">
      <c r="A4681" s="20">
        <v>46278</v>
      </c>
      <c r="B4681" s="31"/>
      <c r="C4681" s="31"/>
      <c r="D4681" s="31"/>
      <c r="E4681" s="25"/>
      <c r="F4681" s="26"/>
    </row>
    <row r="4682" spans="1:6" ht="16.8" customHeight="1" x14ac:dyDescent="0.3">
      <c r="A4682" s="20">
        <v>46279</v>
      </c>
      <c r="B4682" s="31"/>
      <c r="C4682" s="31"/>
      <c r="D4682" s="31"/>
      <c r="E4682" s="25"/>
      <c r="F4682" s="26"/>
    </row>
    <row r="4683" spans="1:6" ht="16.8" customHeight="1" x14ac:dyDescent="0.3">
      <c r="A4683" s="20">
        <v>46280</v>
      </c>
      <c r="B4683" s="31"/>
      <c r="C4683" s="31"/>
      <c r="D4683" s="31"/>
      <c r="E4683" s="25"/>
      <c r="F4683" s="26"/>
    </row>
    <row r="4684" spans="1:6" ht="16.8" customHeight="1" x14ac:dyDescent="0.3">
      <c r="A4684" s="20">
        <v>46281</v>
      </c>
      <c r="B4684" s="31"/>
      <c r="C4684" s="31"/>
      <c r="D4684" s="31"/>
      <c r="E4684" s="25"/>
      <c r="F4684" s="26"/>
    </row>
    <row r="4685" spans="1:6" ht="16.8" customHeight="1" x14ac:dyDescent="0.3">
      <c r="A4685" s="20">
        <v>46282</v>
      </c>
      <c r="B4685" s="31"/>
      <c r="C4685" s="31"/>
      <c r="D4685" s="31"/>
      <c r="E4685" s="25"/>
      <c r="F4685" s="26"/>
    </row>
    <row r="4686" spans="1:6" ht="16.8" customHeight="1" x14ac:dyDescent="0.3">
      <c r="A4686" s="20">
        <v>46283</v>
      </c>
      <c r="B4686" s="31"/>
      <c r="C4686" s="31"/>
      <c r="D4686" s="31"/>
      <c r="E4686" s="25"/>
      <c r="F4686" s="26"/>
    </row>
    <row r="4687" spans="1:6" ht="16.8" customHeight="1" x14ac:dyDescent="0.3">
      <c r="A4687" s="20">
        <v>46284</v>
      </c>
      <c r="B4687" s="31"/>
      <c r="C4687" s="31"/>
      <c r="D4687" s="31"/>
      <c r="E4687" s="25"/>
      <c r="F4687" s="26"/>
    </row>
    <row r="4688" spans="1:6" ht="16.8" customHeight="1" x14ac:dyDescent="0.3">
      <c r="A4688" s="20">
        <v>46285</v>
      </c>
      <c r="B4688" s="31"/>
      <c r="C4688" s="31"/>
      <c r="D4688" s="31"/>
      <c r="E4688" s="25"/>
      <c r="F4688" s="26"/>
    </row>
    <row r="4689" spans="1:6" ht="16.8" customHeight="1" x14ac:dyDescent="0.3">
      <c r="A4689" s="20">
        <v>46286</v>
      </c>
      <c r="B4689" s="31"/>
      <c r="C4689" s="31"/>
      <c r="D4689" s="31"/>
      <c r="E4689" s="25"/>
      <c r="F4689" s="26"/>
    </row>
    <row r="4690" spans="1:6" ht="16.8" customHeight="1" x14ac:dyDescent="0.3">
      <c r="A4690" s="20">
        <v>46287</v>
      </c>
      <c r="B4690" s="31"/>
      <c r="C4690" s="31"/>
      <c r="D4690" s="31"/>
      <c r="E4690" s="25"/>
      <c r="F4690" s="26"/>
    </row>
    <row r="4691" spans="1:6" ht="16.8" customHeight="1" x14ac:dyDescent="0.3">
      <c r="A4691" s="20">
        <v>46288</v>
      </c>
      <c r="B4691" s="31"/>
      <c r="C4691" s="31"/>
      <c r="D4691" s="31"/>
      <c r="E4691" s="25"/>
      <c r="F4691" s="26"/>
    </row>
    <row r="4692" spans="1:6" ht="16.8" customHeight="1" x14ac:dyDescent="0.3">
      <c r="A4692" s="20">
        <v>46289</v>
      </c>
      <c r="B4692" s="31"/>
      <c r="C4692" s="31"/>
      <c r="D4692" s="31"/>
      <c r="E4692" s="25"/>
      <c r="F4692" s="26"/>
    </row>
    <row r="4693" spans="1:6" ht="16.8" customHeight="1" x14ac:dyDescent="0.3">
      <c r="A4693" s="20">
        <v>46290</v>
      </c>
      <c r="B4693" s="31"/>
      <c r="C4693" s="31"/>
      <c r="D4693" s="31"/>
      <c r="E4693" s="25"/>
      <c r="F4693" s="26"/>
    </row>
    <row r="4694" spans="1:6" ht="16.8" customHeight="1" x14ac:dyDescent="0.3">
      <c r="A4694" s="20">
        <v>46291</v>
      </c>
      <c r="B4694" s="31"/>
      <c r="C4694" s="31"/>
      <c r="D4694" s="31"/>
      <c r="E4694" s="25"/>
      <c r="F4694" s="26"/>
    </row>
    <row r="4695" spans="1:6" ht="16.8" customHeight="1" x14ac:dyDescent="0.3">
      <c r="A4695" s="20">
        <v>46292</v>
      </c>
      <c r="B4695" s="31"/>
      <c r="C4695" s="31"/>
      <c r="D4695" s="31"/>
      <c r="E4695" s="25"/>
      <c r="F4695" s="26"/>
    </row>
    <row r="4696" spans="1:6" ht="16.8" customHeight="1" x14ac:dyDescent="0.3">
      <c r="A4696" s="20">
        <v>46293</v>
      </c>
      <c r="B4696" s="31"/>
      <c r="C4696" s="31"/>
      <c r="D4696" s="31"/>
      <c r="E4696" s="25"/>
      <c r="F4696" s="26"/>
    </row>
    <row r="4697" spans="1:6" ht="16.8" customHeight="1" x14ac:dyDescent="0.3">
      <c r="A4697" s="20">
        <v>46294</v>
      </c>
      <c r="B4697" s="31"/>
      <c r="C4697" s="31"/>
      <c r="D4697" s="31"/>
      <c r="E4697" s="25"/>
      <c r="F4697" s="26"/>
    </row>
    <row r="4698" spans="1:6" ht="16.8" customHeight="1" x14ac:dyDescent="0.3">
      <c r="A4698" s="20">
        <v>46295</v>
      </c>
      <c r="B4698" s="31"/>
      <c r="C4698" s="31"/>
      <c r="D4698" s="31"/>
      <c r="E4698" s="25"/>
      <c r="F4698" s="26"/>
    </row>
    <row r="4699" spans="1:6" ht="16.8" customHeight="1" x14ac:dyDescent="0.3">
      <c r="A4699" s="20">
        <v>46296</v>
      </c>
      <c r="B4699" s="31"/>
      <c r="C4699" s="31"/>
      <c r="D4699" s="31"/>
      <c r="E4699" s="25"/>
      <c r="F4699" s="26"/>
    </row>
    <row r="4700" spans="1:6" ht="16.8" customHeight="1" x14ac:dyDescent="0.3">
      <c r="A4700" s="20">
        <v>46297</v>
      </c>
      <c r="B4700" s="31"/>
      <c r="C4700" s="31"/>
      <c r="D4700" s="31"/>
      <c r="E4700" s="25"/>
      <c r="F4700" s="26"/>
    </row>
    <row r="4701" spans="1:6" ht="16.8" customHeight="1" x14ac:dyDescent="0.3">
      <c r="A4701" s="20">
        <v>46298</v>
      </c>
      <c r="B4701" s="31"/>
      <c r="C4701" s="31"/>
      <c r="D4701" s="31"/>
      <c r="E4701" s="25"/>
      <c r="F4701" s="26"/>
    </row>
    <row r="4702" spans="1:6" ht="16.8" customHeight="1" x14ac:dyDescent="0.3">
      <c r="A4702" s="20">
        <v>46299</v>
      </c>
      <c r="B4702" s="31"/>
      <c r="C4702" s="31"/>
      <c r="D4702" s="31"/>
      <c r="E4702" s="25"/>
      <c r="F4702" s="26"/>
    </row>
    <row r="4703" spans="1:6" ht="16.8" customHeight="1" x14ac:dyDescent="0.3">
      <c r="A4703" s="20">
        <v>46300</v>
      </c>
      <c r="B4703" s="31"/>
      <c r="C4703" s="31"/>
      <c r="D4703" s="31"/>
      <c r="E4703" s="25"/>
      <c r="F4703" s="26"/>
    </row>
    <row r="4704" spans="1:6" ht="16.8" customHeight="1" x14ac:dyDescent="0.3">
      <c r="A4704" s="20">
        <v>46301</v>
      </c>
      <c r="B4704" s="31"/>
      <c r="C4704" s="31"/>
      <c r="D4704" s="31"/>
      <c r="E4704" s="25"/>
      <c r="F4704" s="26"/>
    </row>
    <row r="4705" spans="1:6" ht="16.8" customHeight="1" x14ac:dyDescent="0.3">
      <c r="A4705" s="20">
        <v>46302</v>
      </c>
      <c r="B4705" s="31"/>
      <c r="C4705" s="31"/>
      <c r="D4705" s="31"/>
      <c r="E4705" s="25"/>
      <c r="F4705" s="26"/>
    </row>
    <row r="4706" spans="1:6" ht="16.8" customHeight="1" x14ac:dyDescent="0.3">
      <c r="A4706" s="20">
        <v>46303</v>
      </c>
      <c r="B4706" s="31"/>
      <c r="C4706" s="31"/>
      <c r="D4706" s="31"/>
      <c r="E4706" s="25"/>
      <c r="F4706" s="26"/>
    </row>
    <row r="4707" spans="1:6" ht="16.8" customHeight="1" x14ac:dyDescent="0.3">
      <c r="A4707" s="20">
        <v>46304</v>
      </c>
      <c r="B4707" s="31"/>
      <c r="C4707" s="31"/>
      <c r="D4707" s="31"/>
      <c r="E4707" s="25"/>
      <c r="F4707" s="26"/>
    </row>
    <row r="4708" spans="1:6" ht="16.8" customHeight="1" x14ac:dyDescent="0.3">
      <c r="A4708" s="20">
        <v>46305</v>
      </c>
      <c r="B4708" s="31"/>
      <c r="C4708" s="31"/>
      <c r="D4708" s="31"/>
      <c r="E4708" s="25"/>
      <c r="F4708" s="26"/>
    </row>
    <row r="4709" spans="1:6" ht="16.8" customHeight="1" x14ac:dyDescent="0.3">
      <c r="A4709" s="20">
        <v>46306</v>
      </c>
      <c r="B4709" s="31"/>
      <c r="C4709" s="31"/>
      <c r="D4709" s="31"/>
      <c r="E4709" s="25"/>
      <c r="F4709" s="26"/>
    </row>
    <row r="4710" spans="1:6" ht="16.8" customHeight="1" x14ac:dyDescent="0.3">
      <c r="A4710" s="20">
        <v>46307</v>
      </c>
      <c r="B4710" s="31"/>
      <c r="C4710" s="31"/>
      <c r="D4710" s="31"/>
      <c r="E4710" s="25"/>
      <c r="F4710" s="26"/>
    </row>
    <row r="4711" spans="1:6" ht="16.8" customHeight="1" x14ac:dyDescent="0.3">
      <c r="A4711" s="20">
        <v>46308</v>
      </c>
      <c r="B4711" s="31"/>
      <c r="C4711" s="31"/>
      <c r="D4711" s="31"/>
      <c r="E4711" s="25"/>
      <c r="F4711" s="26"/>
    </row>
    <row r="4712" spans="1:6" ht="16.8" customHeight="1" x14ac:dyDescent="0.3">
      <c r="A4712" s="20">
        <v>46309</v>
      </c>
      <c r="B4712" s="31"/>
      <c r="C4712" s="31"/>
      <c r="D4712" s="31"/>
      <c r="E4712" s="25"/>
      <c r="F4712" s="26"/>
    </row>
    <row r="4713" spans="1:6" ht="16.8" customHeight="1" x14ac:dyDescent="0.3">
      <c r="A4713" s="20">
        <v>46310</v>
      </c>
      <c r="B4713" s="31"/>
      <c r="C4713" s="31"/>
      <c r="D4713" s="31"/>
      <c r="E4713" s="25"/>
      <c r="F4713" s="26"/>
    </row>
    <row r="4714" spans="1:6" ht="16.8" customHeight="1" x14ac:dyDescent="0.3">
      <c r="A4714" s="20">
        <v>46311</v>
      </c>
      <c r="B4714" s="31"/>
      <c r="C4714" s="31"/>
      <c r="D4714" s="31"/>
      <c r="E4714" s="25"/>
      <c r="F4714" s="26"/>
    </row>
    <row r="4715" spans="1:6" ht="16.8" customHeight="1" x14ac:dyDescent="0.3">
      <c r="A4715" s="20">
        <v>46312</v>
      </c>
      <c r="B4715" s="31"/>
      <c r="C4715" s="31"/>
      <c r="D4715" s="31"/>
      <c r="E4715" s="25"/>
      <c r="F4715" s="26"/>
    </row>
    <row r="4716" spans="1:6" ht="16.8" customHeight="1" x14ac:dyDescent="0.3">
      <c r="A4716" s="20">
        <v>46313</v>
      </c>
      <c r="B4716" s="31"/>
      <c r="C4716" s="31"/>
      <c r="D4716" s="31"/>
      <c r="E4716" s="25"/>
      <c r="F4716" s="26"/>
    </row>
    <row r="4717" spans="1:6" ht="16.8" customHeight="1" x14ac:dyDescent="0.3">
      <c r="A4717" s="20">
        <v>46314</v>
      </c>
      <c r="B4717" s="31"/>
      <c r="C4717" s="31"/>
      <c r="D4717" s="31"/>
      <c r="E4717" s="25"/>
      <c r="F4717" s="26"/>
    </row>
    <row r="4718" spans="1:6" ht="16.8" customHeight="1" x14ac:dyDescent="0.3">
      <c r="A4718" s="20">
        <v>46315</v>
      </c>
      <c r="B4718" s="31"/>
      <c r="C4718" s="31"/>
      <c r="D4718" s="31"/>
      <c r="E4718" s="25"/>
      <c r="F4718" s="26"/>
    </row>
    <row r="4719" spans="1:6" ht="16.8" customHeight="1" x14ac:dyDescent="0.3">
      <c r="A4719" s="20">
        <v>46316</v>
      </c>
      <c r="B4719" s="31"/>
      <c r="C4719" s="31"/>
      <c r="D4719" s="31"/>
      <c r="E4719" s="25"/>
      <c r="F4719" s="26"/>
    </row>
    <row r="4720" spans="1:6" ht="16.8" customHeight="1" x14ac:dyDescent="0.3">
      <c r="A4720" s="20">
        <v>46317</v>
      </c>
      <c r="B4720" s="31"/>
      <c r="C4720" s="31"/>
      <c r="D4720" s="31"/>
      <c r="E4720" s="25"/>
      <c r="F4720" s="26"/>
    </row>
    <row r="4721" spans="1:6" ht="16.8" customHeight="1" x14ac:dyDescent="0.3">
      <c r="A4721" s="20">
        <v>46318</v>
      </c>
      <c r="B4721" s="31"/>
      <c r="C4721" s="31"/>
      <c r="D4721" s="31"/>
      <c r="E4721" s="25"/>
      <c r="F4721" s="26"/>
    </row>
    <row r="4722" spans="1:6" ht="16.8" customHeight="1" x14ac:dyDescent="0.3">
      <c r="A4722" s="20">
        <v>46319</v>
      </c>
      <c r="B4722" s="31"/>
      <c r="C4722" s="31"/>
      <c r="D4722" s="31"/>
      <c r="E4722" s="25"/>
      <c r="F4722" s="26"/>
    </row>
    <row r="4723" spans="1:6" ht="16.8" customHeight="1" x14ac:dyDescent="0.3">
      <c r="A4723" s="20">
        <v>46320</v>
      </c>
      <c r="B4723" s="31"/>
      <c r="C4723" s="31"/>
      <c r="D4723" s="31"/>
      <c r="E4723" s="25"/>
      <c r="F4723" s="26"/>
    </row>
    <row r="4724" spans="1:6" ht="16.8" customHeight="1" x14ac:dyDescent="0.3">
      <c r="A4724" s="20">
        <v>46321</v>
      </c>
      <c r="B4724" s="31"/>
      <c r="C4724" s="31"/>
      <c r="D4724" s="31"/>
      <c r="E4724" s="25"/>
      <c r="F4724" s="26"/>
    </row>
    <row r="4725" spans="1:6" ht="16.8" customHeight="1" x14ac:dyDescent="0.3">
      <c r="A4725" s="20">
        <v>46322</v>
      </c>
      <c r="B4725" s="31"/>
      <c r="C4725" s="31"/>
      <c r="D4725" s="31"/>
      <c r="E4725" s="25"/>
      <c r="F4725" s="26"/>
    </row>
    <row r="4726" spans="1:6" ht="16.8" customHeight="1" x14ac:dyDescent="0.3">
      <c r="A4726" s="20">
        <v>46323</v>
      </c>
      <c r="B4726" s="31"/>
      <c r="C4726" s="31"/>
      <c r="D4726" s="31"/>
      <c r="E4726" s="25"/>
      <c r="F4726" s="26"/>
    </row>
    <row r="4727" spans="1:6" ht="16.8" customHeight="1" x14ac:dyDescent="0.3">
      <c r="A4727" s="20">
        <v>46324</v>
      </c>
      <c r="B4727" s="31"/>
      <c r="C4727" s="31"/>
      <c r="D4727" s="31"/>
      <c r="E4727" s="25"/>
      <c r="F4727" s="26"/>
    </row>
    <row r="4728" spans="1:6" ht="16.8" customHeight="1" x14ac:dyDescent="0.3">
      <c r="A4728" s="20">
        <v>46325</v>
      </c>
      <c r="B4728" s="31"/>
      <c r="C4728" s="31"/>
      <c r="D4728" s="31"/>
      <c r="E4728" s="25"/>
      <c r="F4728" s="26"/>
    </row>
    <row r="4729" spans="1:6" ht="16.8" customHeight="1" x14ac:dyDescent="0.3">
      <c r="A4729" s="20">
        <v>46326</v>
      </c>
      <c r="B4729" s="31"/>
      <c r="C4729" s="31"/>
      <c r="D4729" s="31"/>
      <c r="E4729" s="25"/>
      <c r="F4729" s="26"/>
    </row>
    <row r="4730" spans="1:6" ht="16.8" customHeight="1" x14ac:dyDescent="0.3">
      <c r="A4730" s="20">
        <v>46327</v>
      </c>
      <c r="B4730" s="31"/>
      <c r="C4730" s="31"/>
      <c r="D4730" s="31"/>
      <c r="E4730" s="25"/>
      <c r="F4730" s="26"/>
    </row>
    <row r="4731" spans="1:6" ht="16.8" customHeight="1" x14ac:dyDescent="0.3">
      <c r="A4731" s="20">
        <v>46328</v>
      </c>
      <c r="B4731" s="31"/>
      <c r="C4731" s="31"/>
      <c r="D4731" s="31"/>
      <c r="E4731" s="25"/>
      <c r="F4731" s="26"/>
    </row>
    <row r="4732" spans="1:6" ht="16.8" customHeight="1" x14ac:dyDescent="0.3">
      <c r="A4732" s="20">
        <v>46329</v>
      </c>
      <c r="B4732" s="31"/>
      <c r="C4732" s="31"/>
      <c r="D4732" s="31"/>
      <c r="E4732" s="25"/>
      <c r="F4732" s="26"/>
    </row>
    <row r="4733" spans="1:6" ht="16.8" customHeight="1" x14ac:dyDescent="0.3">
      <c r="A4733" s="20">
        <v>46330</v>
      </c>
      <c r="B4733" s="31"/>
      <c r="C4733" s="31"/>
      <c r="D4733" s="31"/>
      <c r="E4733" s="25"/>
      <c r="F4733" s="26"/>
    </row>
    <row r="4734" spans="1:6" ht="16.8" customHeight="1" x14ac:dyDescent="0.3">
      <c r="A4734" s="20">
        <v>46331</v>
      </c>
      <c r="B4734" s="31"/>
      <c r="C4734" s="31"/>
      <c r="D4734" s="31"/>
      <c r="E4734" s="25"/>
      <c r="F4734" s="26"/>
    </row>
    <row r="4735" spans="1:6" ht="16.8" customHeight="1" x14ac:dyDescent="0.3">
      <c r="A4735" s="20">
        <v>46332</v>
      </c>
      <c r="B4735" s="31"/>
      <c r="C4735" s="31"/>
      <c r="D4735" s="31"/>
      <c r="E4735" s="25"/>
      <c r="F4735" s="26"/>
    </row>
    <row r="4736" spans="1:6" ht="16.8" customHeight="1" x14ac:dyDescent="0.3">
      <c r="A4736" s="20">
        <v>46333</v>
      </c>
      <c r="B4736" s="31"/>
      <c r="C4736" s="31"/>
      <c r="D4736" s="31"/>
      <c r="E4736" s="25"/>
      <c r="F4736" s="26"/>
    </row>
    <row r="4737" spans="1:6" ht="16.8" customHeight="1" x14ac:dyDescent="0.3">
      <c r="A4737" s="20">
        <v>46334</v>
      </c>
      <c r="B4737" s="31"/>
      <c r="C4737" s="31"/>
      <c r="D4737" s="31"/>
      <c r="E4737" s="25"/>
      <c r="F4737" s="26"/>
    </row>
    <row r="4738" spans="1:6" ht="16.8" customHeight="1" x14ac:dyDescent="0.3">
      <c r="A4738" s="20">
        <v>46335</v>
      </c>
      <c r="B4738" s="31"/>
      <c r="C4738" s="31"/>
      <c r="D4738" s="31"/>
      <c r="E4738" s="25"/>
      <c r="F4738" s="26"/>
    </row>
    <row r="4739" spans="1:6" ht="16.8" customHeight="1" x14ac:dyDescent="0.3">
      <c r="A4739" s="20">
        <v>46336</v>
      </c>
      <c r="B4739" s="31"/>
      <c r="C4739" s="31"/>
      <c r="D4739" s="31"/>
      <c r="E4739" s="25"/>
      <c r="F4739" s="26"/>
    </row>
    <row r="4740" spans="1:6" ht="16.8" customHeight="1" x14ac:dyDescent="0.3">
      <c r="A4740" s="20">
        <v>46337</v>
      </c>
      <c r="B4740" s="31"/>
      <c r="C4740" s="31"/>
      <c r="D4740" s="31"/>
      <c r="E4740" s="25"/>
      <c r="F4740" s="26"/>
    </row>
    <row r="4741" spans="1:6" ht="16.8" customHeight="1" x14ac:dyDescent="0.3">
      <c r="A4741" s="20">
        <v>46338</v>
      </c>
      <c r="B4741" s="31"/>
      <c r="C4741" s="31"/>
      <c r="D4741" s="31"/>
      <c r="E4741" s="25"/>
      <c r="F4741" s="26"/>
    </row>
    <row r="4742" spans="1:6" ht="16.8" customHeight="1" x14ac:dyDescent="0.3">
      <c r="A4742" s="20">
        <v>46339</v>
      </c>
      <c r="B4742" s="31"/>
      <c r="C4742" s="31"/>
      <c r="D4742" s="31"/>
      <c r="E4742" s="25"/>
      <c r="F4742" s="26"/>
    </row>
    <row r="4743" spans="1:6" ht="16.8" customHeight="1" x14ac:dyDescent="0.3">
      <c r="A4743" s="20">
        <v>46340</v>
      </c>
      <c r="B4743" s="31"/>
      <c r="C4743" s="31"/>
      <c r="D4743" s="31"/>
      <c r="E4743" s="25"/>
      <c r="F4743" s="26"/>
    </row>
    <row r="4744" spans="1:6" ht="16.8" customHeight="1" x14ac:dyDescent="0.3">
      <c r="A4744" s="20">
        <v>46341</v>
      </c>
      <c r="B4744" s="31"/>
      <c r="C4744" s="31"/>
      <c r="D4744" s="31"/>
      <c r="E4744" s="25"/>
      <c r="F4744" s="26"/>
    </row>
    <row r="4745" spans="1:6" ht="16.8" customHeight="1" x14ac:dyDescent="0.3">
      <c r="A4745" s="20">
        <v>46342</v>
      </c>
      <c r="B4745" s="31"/>
      <c r="C4745" s="31"/>
      <c r="D4745" s="31"/>
      <c r="E4745" s="25"/>
      <c r="F4745" s="26"/>
    </row>
    <row r="4746" spans="1:6" ht="16.8" customHeight="1" x14ac:dyDescent="0.3">
      <c r="A4746" s="20">
        <v>46343</v>
      </c>
      <c r="B4746" s="31"/>
      <c r="C4746" s="31"/>
      <c r="D4746" s="31"/>
      <c r="E4746" s="25"/>
      <c r="F4746" s="26"/>
    </row>
    <row r="4747" spans="1:6" ht="16.8" customHeight="1" x14ac:dyDescent="0.3">
      <c r="A4747" s="20">
        <v>46344</v>
      </c>
      <c r="B4747" s="31"/>
      <c r="C4747" s="31"/>
      <c r="D4747" s="31"/>
      <c r="E4747" s="25"/>
      <c r="F4747" s="26"/>
    </row>
    <row r="4748" spans="1:6" ht="16.8" customHeight="1" x14ac:dyDescent="0.3">
      <c r="A4748" s="20">
        <v>46345</v>
      </c>
      <c r="B4748" s="31"/>
      <c r="C4748" s="31"/>
      <c r="D4748" s="31"/>
      <c r="E4748" s="25"/>
      <c r="F4748" s="26"/>
    </row>
    <row r="4749" spans="1:6" ht="16.8" customHeight="1" x14ac:dyDescent="0.3">
      <c r="A4749" s="20">
        <v>46346</v>
      </c>
      <c r="B4749" s="31"/>
      <c r="C4749" s="31"/>
      <c r="D4749" s="31"/>
      <c r="E4749" s="25"/>
      <c r="F4749" s="26"/>
    </row>
    <row r="4750" spans="1:6" ht="16.8" customHeight="1" x14ac:dyDescent="0.3">
      <c r="A4750" s="20">
        <v>46347</v>
      </c>
      <c r="B4750" s="31"/>
      <c r="C4750" s="31"/>
      <c r="D4750" s="31"/>
      <c r="E4750" s="25"/>
      <c r="F4750" s="26"/>
    </row>
    <row r="4751" spans="1:6" ht="16.8" customHeight="1" x14ac:dyDescent="0.3">
      <c r="A4751" s="20">
        <v>46348</v>
      </c>
      <c r="B4751" s="31"/>
      <c r="C4751" s="31"/>
      <c r="D4751" s="31"/>
      <c r="E4751" s="25"/>
      <c r="F4751" s="26"/>
    </row>
    <row r="4752" spans="1:6" ht="16.8" customHeight="1" x14ac:dyDescent="0.3">
      <c r="A4752" s="20">
        <v>46349</v>
      </c>
      <c r="B4752" s="31"/>
      <c r="C4752" s="31"/>
      <c r="D4752" s="31"/>
      <c r="E4752" s="25"/>
      <c r="F4752" s="26"/>
    </row>
    <row r="4753" spans="1:6" ht="16.8" customHeight="1" x14ac:dyDescent="0.3">
      <c r="A4753" s="20">
        <v>46350</v>
      </c>
      <c r="B4753" s="31"/>
      <c r="C4753" s="31"/>
      <c r="D4753" s="31"/>
      <c r="E4753" s="25"/>
      <c r="F4753" s="26"/>
    </row>
    <row r="4754" spans="1:6" ht="16.8" customHeight="1" x14ac:dyDescent="0.3">
      <c r="A4754" s="20">
        <v>46351</v>
      </c>
      <c r="B4754" s="31"/>
      <c r="C4754" s="31"/>
      <c r="D4754" s="31"/>
      <c r="E4754" s="25"/>
      <c r="F4754" s="26"/>
    </row>
    <row r="4755" spans="1:6" ht="16.8" customHeight="1" x14ac:dyDescent="0.3">
      <c r="A4755" s="20">
        <v>46352</v>
      </c>
      <c r="B4755" s="31"/>
      <c r="C4755" s="31"/>
      <c r="D4755" s="31"/>
      <c r="E4755" s="25"/>
      <c r="F4755" s="26"/>
    </row>
    <row r="4756" spans="1:6" ht="16.8" customHeight="1" x14ac:dyDescent="0.3">
      <c r="A4756" s="20">
        <v>46353</v>
      </c>
      <c r="B4756" s="31"/>
      <c r="C4756" s="31"/>
      <c r="D4756" s="31"/>
      <c r="E4756" s="25"/>
      <c r="F4756" s="26"/>
    </row>
    <row r="4757" spans="1:6" ht="16.8" customHeight="1" x14ac:dyDescent="0.3">
      <c r="A4757" s="20">
        <v>46354</v>
      </c>
      <c r="B4757" s="31"/>
      <c r="C4757" s="31"/>
      <c r="D4757" s="31"/>
      <c r="E4757" s="25"/>
      <c r="F4757" s="26"/>
    </row>
    <row r="4758" spans="1:6" ht="16.8" customHeight="1" x14ac:dyDescent="0.3">
      <c r="A4758" s="20">
        <v>46355</v>
      </c>
      <c r="B4758" s="31"/>
      <c r="C4758" s="31"/>
      <c r="D4758" s="31"/>
      <c r="E4758" s="25"/>
      <c r="F4758" s="26"/>
    </row>
    <row r="4759" spans="1:6" ht="16.8" customHeight="1" x14ac:dyDescent="0.3">
      <c r="A4759" s="20">
        <v>46356</v>
      </c>
      <c r="B4759" s="31"/>
      <c r="C4759" s="31"/>
      <c r="D4759" s="31"/>
      <c r="E4759" s="25"/>
      <c r="F4759" s="26"/>
    </row>
    <row r="4760" spans="1:6" ht="16.8" customHeight="1" x14ac:dyDescent="0.3">
      <c r="A4760" s="20">
        <v>46357</v>
      </c>
      <c r="B4760" s="31"/>
      <c r="C4760" s="31"/>
      <c r="D4760" s="31"/>
      <c r="E4760" s="25"/>
      <c r="F4760" s="26"/>
    </row>
    <row r="4761" spans="1:6" ht="16.8" customHeight="1" x14ac:dyDescent="0.3">
      <c r="A4761" s="20">
        <v>46358</v>
      </c>
      <c r="B4761" s="31"/>
      <c r="C4761" s="31"/>
      <c r="D4761" s="31"/>
      <c r="E4761" s="25"/>
      <c r="F4761" s="26"/>
    </row>
    <row r="4762" spans="1:6" ht="16.8" customHeight="1" x14ac:dyDescent="0.3">
      <c r="A4762" s="20">
        <v>46359</v>
      </c>
      <c r="B4762" s="31"/>
      <c r="C4762" s="31"/>
      <c r="D4762" s="31"/>
      <c r="E4762" s="25"/>
      <c r="F4762" s="26"/>
    </row>
    <row r="4763" spans="1:6" ht="16.8" customHeight="1" x14ac:dyDescent="0.3">
      <c r="A4763" s="20">
        <v>46360</v>
      </c>
      <c r="B4763" s="31"/>
      <c r="C4763" s="31"/>
      <c r="D4763" s="31"/>
      <c r="E4763" s="25"/>
      <c r="F4763" s="26"/>
    </row>
    <row r="4764" spans="1:6" ht="16.8" customHeight="1" x14ac:dyDescent="0.3">
      <c r="A4764" s="20">
        <v>46361</v>
      </c>
      <c r="B4764" s="31"/>
      <c r="C4764" s="31"/>
      <c r="D4764" s="31"/>
      <c r="E4764" s="25"/>
      <c r="F4764" s="26"/>
    </row>
    <row r="4765" spans="1:6" ht="16.8" customHeight="1" x14ac:dyDescent="0.3">
      <c r="A4765" s="20">
        <v>46362</v>
      </c>
      <c r="B4765" s="31"/>
      <c r="C4765" s="31"/>
      <c r="D4765" s="31"/>
      <c r="E4765" s="25"/>
      <c r="F4765" s="26"/>
    </row>
    <row r="4766" spans="1:6" ht="16.8" customHeight="1" x14ac:dyDescent="0.3">
      <c r="A4766" s="20">
        <v>46363</v>
      </c>
      <c r="B4766" s="31"/>
      <c r="C4766" s="31"/>
      <c r="D4766" s="31"/>
      <c r="E4766" s="25"/>
      <c r="F4766" s="26"/>
    </row>
    <row r="4767" spans="1:6" ht="16.8" customHeight="1" x14ac:dyDescent="0.3">
      <c r="A4767" s="20">
        <v>46364</v>
      </c>
      <c r="B4767" s="31"/>
      <c r="C4767" s="31"/>
      <c r="D4767" s="31"/>
      <c r="E4767" s="25"/>
      <c r="F4767" s="26"/>
    </row>
    <row r="4768" spans="1:6" ht="16.8" customHeight="1" x14ac:dyDescent="0.3">
      <c r="A4768" s="20">
        <v>46365</v>
      </c>
      <c r="B4768" s="31"/>
      <c r="C4768" s="31"/>
      <c r="D4768" s="31"/>
      <c r="E4768" s="25"/>
      <c r="F4768" s="26"/>
    </row>
    <row r="4769" spans="1:6" ht="16.8" customHeight="1" x14ac:dyDescent="0.3">
      <c r="A4769" s="20">
        <v>46366</v>
      </c>
      <c r="B4769" s="31"/>
      <c r="C4769" s="31"/>
      <c r="D4769" s="31"/>
      <c r="E4769" s="25"/>
      <c r="F4769" s="26"/>
    </row>
    <row r="4770" spans="1:6" ht="16.8" customHeight="1" x14ac:dyDescent="0.3">
      <c r="A4770" s="20">
        <v>46367</v>
      </c>
      <c r="B4770" s="31"/>
      <c r="C4770" s="31"/>
      <c r="D4770" s="31"/>
      <c r="E4770" s="25"/>
      <c r="F4770" s="26"/>
    </row>
    <row r="4771" spans="1:6" ht="16.8" customHeight="1" x14ac:dyDescent="0.3">
      <c r="A4771" s="20">
        <v>46368</v>
      </c>
      <c r="B4771" s="31"/>
      <c r="C4771" s="31"/>
      <c r="D4771" s="31"/>
      <c r="E4771" s="25"/>
      <c r="F4771" s="26"/>
    </row>
    <row r="4772" spans="1:6" ht="16.8" customHeight="1" x14ac:dyDescent="0.3">
      <c r="A4772" s="20">
        <v>46369</v>
      </c>
      <c r="B4772" s="31"/>
      <c r="C4772" s="31"/>
      <c r="D4772" s="31"/>
      <c r="E4772" s="25"/>
      <c r="F4772" s="26"/>
    </row>
    <row r="4773" spans="1:6" ht="16.8" customHeight="1" x14ac:dyDescent="0.3">
      <c r="A4773" s="20">
        <v>46370</v>
      </c>
      <c r="B4773" s="31"/>
      <c r="C4773" s="31"/>
      <c r="D4773" s="31"/>
      <c r="E4773" s="25"/>
      <c r="F4773" s="26"/>
    </row>
    <row r="4774" spans="1:6" ht="16.8" customHeight="1" x14ac:dyDescent="0.3">
      <c r="A4774" s="20">
        <v>46371</v>
      </c>
      <c r="B4774" s="31"/>
      <c r="C4774" s="31"/>
      <c r="D4774" s="31"/>
      <c r="E4774" s="25"/>
      <c r="F4774" s="26"/>
    </row>
    <row r="4775" spans="1:6" ht="16.8" customHeight="1" x14ac:dyDescent="0.3">
      <c r="A4775" s="20">
        <v>46372</v>
      </c>
      <c r="B4775" s="31"/>
      <c r="C4775" s="31"/>
      <c r="D4775" s="31"/>
      <c r="E4775" s="25"/>
      <c r="F4775" s="26"/>
    </row>
    <row r="4776" spans="1:6" ht="16.8" customHeight="1" x14ac:dyDescent="0.3">
      <c r="A4776" s="20">
        <v>46373</v>
      </c>
      <c r="B4776" s="31"/>
      <c r="C4776" s="31"/>
      <c r="D4776" s="31"/>
      <c r="E4776" s="25"/>
      <c r="F4776" s="26"/>
    </row>
    <row r="4777" spans="1:6" ht="16.8" customHeight="1" x14ac:dyDescent="0.3">
      <c r="A4777" s="20">
        <v>46374</v>
      </c>
      <c r="B4777" s="31"/>
      <c r="C4777" s="31"/>
      <c r="D4777" s="31"/>
      <c r="E4777" s="25"/>
      <c r="F4777" s="26"/>
    </row>
    <row r="4778" spans="1:6" ht="16.8" customHeight="1" x14ac:dyDescent="0.3">
      <c r="A4778" s="20">
        <v>46375</v>
      </c>
      <c r="B4778" s="31"/>
      <c r="C4778" s="31"/>
      <c r="D4778" s="31"/>
      <c r="E4778" s="25"/>
      <c r="F4778" s="26"/>
    </row>
    <row r="4779" spans="1:6" ht="16.8" customHeight="1" x14ac:dyDescent="0.3">
      <c r="A4779" s="20">
        <v>46376</v>
      </c>
      <c r="B4779" s="31"/>
      <c r="C4779" s="31"/>
      <c r="D4779" s="31"/>
      <c r="E4779" s="25"/>
      <c r="F4779" s="26"/>
    </row>
    <row r="4780" spans="1:6" ht="16.8" customHeight="1" x14ac:dyDescent="0.3">
      <c r="A4780" s="20">
        <v>46377</v>
      </c>
      <c r="B4780" s="31"/>
      <c r="C4780" s="31"/>
      <c r="D4780" s="31"/>
      <c r="E4780" s="25"/>
      <c r="F4780" s="26"/>
    </row>
    <row r="4781" spans="1:6" ht="16.8" customHeight="1" x14ac:dyDescent="0.3">
      <c r="A4781" s="20">
        <v>46378</v>
      </c>
      <c r="B4781" s="31"/>
      <c r="C4781" s="31"/>
      <c r="D4781" s="31"/>
      <c r="E4781" s="25"/>
      <c r="F4781" s="26"/>
    </row>
    <row r="4782" spans="1:6" ht="16.8" customHeight="1" x14ac:dyDescent="0.3">
      <c r="A4782" s="20">
        <v>46379</v>
      </c>
      <c r="B4782" s="31"/>
      <c r="C4782" s="31"/>
      <c r="D4782" s="31"/>
      <c r="E4782" s="25"/>
      <c r="F4782" s="26"/>
    </row>
    <row r="4783" spans="1:6" ht="16.8" customHeight="1" x14ac:dyDescent="0.3">
      <c r="A4783" s="20">
        <v>46380</v>
      </c>
      <c r="B4783" s="31"/>
      <c r="C4783" s="31"/>
      <c r="D4783" s="31"/>
      <c r="E4783" s="25"/>
      <c r="F4783" s="26"/>
    </row>
    <row r="4784" spans="1:6" ht="16.8" customHeight="1" x14ac:dyDescent="0.3">
      <c r="A4784" s="20">
        <v>46381</v>
      </c>
      <c r="B4784" s="31"/>
      <c r="C4784" s="31"/>
      <c r="D4784" s="31"/>
      <c r="E4784" s="25"/>
      <c r="F4784" s="26"/>
    </row>
    <row r="4785" spans="1:6" ht="16.8" customHeight="1" x14ac:dyDescent="0.3">
      <c r="A4785" s="20">
        <v>46382</v>
      </c>
      <c r="B4785" s="31"/>
      <c r="C4785" s="31"/>
      <c r="D4785" s="31"/>
      <c r="E4785" s="25"/>
      <c r="F4785" s="26"/>
    </row>
    <row r="4786" spans="1:6" ht="16.8" customHeight="1" x14ac:dyDescent="0.3">
      <c r="A4786" s="20">
        <v>46383</v>
      </c>
      <c r="B4786" s="31"/>
      <c r="C4786" s="31"/>
      <c r="D4786" s="31"/>
      <c r="E4786" s="25"/>
      <c r="F4786" s="26"/>
    </row>
    <row r="4787" spans="1:6" ht="16.8" customHeight="1" x14ac:dyDescent="0.3">
      <c r="A4787" s="20">
        <v>46384</v>
      </c>
      <c r="B4787" s="31"/>
      <c r="C4787" s="31"/>
      <c r="D4787" s="31"/>
      <c r="E4787" s="25"/>
      <c r="F4787" s="26"/>
    </row>
    <row r="4788" spans="1:6" ht="16.8" customHeight="1" x14ac:dyDescent="0.3">
      <c r="A4788" s="20">
        <v>46385</v>
      </c>
      <c r="B4788" s="31"/>
      <c r="C4788" s="31"/>
      <c r="D4788" s="31"/>
      <c r="E4788" s="25"/>
      <c r="F4788" s="26"/>
    </row>
    <row r="4789" spans="1:6" ht="16.8" customHeight="1" x14ac:dyDescent="0.3">
      <c r="A4789" s="20">
        <v>46386</v>
      </c>
      <c r="B4789" s="31"/>
      <c r="C4789" s="31"/>
      <c r="D4789" s="31"/>
      <c r="E4789" s="25"/>
      <c r="F4789" s="26"/>
    </row>
    <row r="4790" spans="1:6" ht="16.8" customHeight="1" x14ac:dyDescent="0.3">
      <c r="A4790" s="20">
        <v>46387</v>
      </c>
      <c r="B4790" s="31"/>
      <c r="C4790" s="31"/>
      <c r="D4790" s="31"/>
      <c r="E4790" s="25"/>
      <c r="F4790" s="26"/>
    </row>
    <row r="4791" spans="1:6" ht="16.8" customHeight="1" x14ac:dyDescent="0.3">
      <c r="A4791" s="20">
        <v>46388</v>
      </c>
      <c r="B4791" s="31"/>
      <c r="C4791" s="31"/>
      <c r="D4791" s="31"/>
      <c r="E4791" s="25"/>
      <c r="F4791" s="26"/>
    </row>
    <row r="4792" spans="1:6" ht="16.8" customHeight="1" x14ac:dyDescent="0.3">
      <c r="A4792" s="20">
        <v>46389</v>
      </c>
      <c r="B4792" s="31"/>
      <c r="C4792" s="31"/>
      <c r="D4792" s="31"/>
      <c r="E4792" s="25"/>
      <c r="F4792" s="26"/>
    </row>
    <row r="4793" spans="1:6" ht="16.8" customHeight="1" x14ac:dyDescent="0.3">
      <c r="A4793" s="20">
        <v>46390</v>
      </c>
      <c r="B4793" s="31"/>
      <c r="C4793" s="31"/>
      <c r="D4793" s="31"/>
      <c r="E4793" s="25"/>
      <c r="F4793" s="26"/>
    </row>
    <row r="4794" spans="1:6" ht="16.8" customHeight="1" x14ac:dyDescent="0.3">
      <c r="A4794" s="20">
        <v>46391</v>
      </c>
      <c r="B4794" s="31"/>
      <c r="C4794" s="31"/>
      <c r="D4794" s="31"/>
      <c r="E4794" s="25"/>
      <c r="F4794" s="26"/>
    </row>
    <row r="4795" spans="1:6" ht="16.8" customHeight="1" x14ac:dyDescent="0.3">
      <c r="A4795" s="20">
        <v>46392</v>
      </c>
      <c r="B4795" s="31"/>
      <c r="C4795" s="31"/>
      <c r="D4795" s="31"/>
      <c r="E4795" s="25"/>
      <c r="F4795" s="26"/>
    </row>
    <row r="4796" spans="1:6" ht="16.8" customHeight="1" x14ac:dyDescent="0.3">
      <c r="A4796" s="20">
        <v>46393</v>
      </c>
      <c r="B4796" s="31"/>
      <c r="C4796" s="31"/>
      <c r="D4796" s="31"/>
      <c r="E4796" s="25"/>
      <c r="F4796" s="26"/>
    </row>
    <row r="4797" spans="1:6" ht="16.8" customHeight="1" x14ac:dyDescent="0.3">
      <c r="A4797" s="20">
        <v>46394</v>
      </c>
      <c r="B4797" s="31"/>
      <c r="C4797" s="31"/>
      <c r="D4797" s="31"/>
      <c r="E4797" s="25"/>
      <c r="F4797" s="26"/>
    </row>
    <row r="4798" spans="1:6" ht="16.8" customHeight="1" x14ac:dyDescent="0.3">
      <c r="A4798" s="20">
        <v>46395</v>
      </c>
      <c r="B4798" s="31"/>
      <c r="C4798" s="31"/>
      <c r="D4798" s="31"/>
      <c r="E4798" s="25"/>
      <c r="F4798" s="26"/>
    </row>
    <row r="4799" spans="1:6" ht="16.8" customHeight="1" x14ac:dyDescent="0.3">
      <c r="A4799" s="20">
        <v>46396</v>
      </c>
      <c r="B4799" s="31"/>
      <c r="C4799" s="31"/>
      <c r="D4799" s="31"/>
      <c r="E4799" s="25"/>
      <c r="F4799" s="26"/>
    </row>
    <row r="4800" spans="1:6" ht="16.8" customHeight="1" x14ac:dyDescent="0.3">
      <c r="A4800" s="20">
        <v>46397</v>
      </c>
      <c r="B4800" s="31"/>
      <c r="C4800" s="31"/>
      <c r="D4800" s="31"/>
      <c r="E4800" s="25"/>
      <c r="F4800" s="26"/>
    </row>
    <row r="4801" spans="1:6" ht="16.8" customHeight="1" x14ac:dyDescent="0.3">
      <c r="A4801" s="20">
        <v>46398</v>
      </c>
      <c r="B4801" s="31"/>
      <c r="C4801" s="31"/>
      <c r="D4801" s="31"/>
      <c r="E4801" s="25"/>
      <c r="F4801" s="26"/>
    </row>
    <row r="4802" spans="1:6" ht="16.8" customHeight="1" x14ac:dyDescent="0.3">
      <c r="A4802" s="20">
        <v>46399</v>
      </c>
      <c r="B4802" s="31"/>
      <c r="C4802" s="31"/>
      <c r="D4802" s="31"/>
      <c r="E4802" s="25"/>
      <c r="F4802" s="26"/>
    </row>
    <row r="4803" spans="1:6" ht="16.8" customHeight="1" x14ac:dyDescent="0.3">
      <c r="A4803" s="20">
        <v>46400</v>
      </c>
      <c r="B4803" s="31"/>
      <c r="C4803" s="31"/>
      <c r="D4803" s="31"/>
      <c r="E4803" s="25"/>
      <c r="F4803" s="26"/>
    </row>
    <row r="4804" spans="1:6" ht="16.8" customHeight="1" x14ac:dyDescent="0.3">
      <c r="A4804" s="20">
        <v>46401</v>
      </c>
      <c r="B4804" s="31"/>
      <c r="C4804" s="31"/>
      <c r="D4804" s="31"/>
      <c r="E4804" s="25"/>
      <c r="F4804" s="26"/>
    </row>
    <row r="4805" spans="1:6" ht="16.8" customHeight="1" x14ac:dyDescent="0.3">
      <c r="A4805" s="20">
        <v>46402</v>
      </c>
      <c r="B4805" s="31"/>
      <c r="C4805" s="31"/>
      <c r="D4805" s="31"/>
      <c r="E4805" s="25"/>
      <c r="F4805" s="26"/>
    </row>
    <row r="4806" spans="1:6" ht="16.8" customHeight="1" x14ac:dyDescent="0.3">
      <c r="A4806" s="20">
        <v>46403</v>
      </c>
      <c r="B4806" s="31"/>
      <c r="C4806" s="31"/>
      <c r="D4806" s="31"/>
      <c r="E4806" s="25"/>
      <c r="F4806" s="26"/>
    </row>
    <row r="4807" spans="1:6" ht="16.8" customHeight="1" x14ac:dyDescent="0.3">
      <c r="A4807" s="20">
        <v>46404</v>
      </c>
      <c r="B4807" s="31"/>
      <c r="C4807" s="31"/>
      <c r="D4807" s="31"/>
      <c r="E4807" s="25"/>
      <c r="F4807" s="26"/>
    </row>
    <row r="4808" spans="1:6" ht="16.8" customHeight="1" x14ac:dyDescent="0.3">
      <c r="A4808" s="20">
        <v>46405</v>
      </c>
      <c r="B4808" s="31"/>
      <c r="C4808" s="31"/>
      <c r="D4808" s="31"/>
      <c r="E4808" s="25"/>
      <c r="F4808" s="26"/>
    </row>
    <row r="4809" spans="1:6" ht="16.8" customHeight="1" x14ac:dyDescent="0.3">
      <c r="A4809" s="20">
        <v>46406</v>
      </c>
      <c r="B4809" s="31"/>
      <c r="C4809" s="31"/>
      <c r="D4809" s="31"/>
      <c r="E4809" s="25"/>
      <c r="F4809" s="26"/>
    </row>
    <row r="4810" spans="1:6" ht="16.8" customHeight="1" x14ac:dyDescent="0.3">
      <c r="A4810" s="20">
        <v>46407</v>
      </c>
      <c r="B4810" s="31"/>
      <c r="C4810" s="31"/>
      <c r="D4810" s="31"/>
      <c r="E4810" s="25"/>
      <c r="F4810" s="26"/>
    </row>
    <row r="4811" spans="1:6" ht="16.8" customHeight="1" x14ac:dyDescent="0.3">
      <c r="A4811" s="20">
        <v>46408</v>
      </c>
      <c r="B4811" s="31"/>
      <c r="C4811" s="31"/>
      <c r="D4811" s="31"/>
      <c r="E4811" s="25"/>
      <c r="F4811" s="26"/>
    </row>
    <row r="4812" spans="1:6" ht="16.8" customHeight="1" x14ac:dyDescent="0.3">
      <c r="A4812" s="20">
        <v>46409</v>
      </c>
      <c r="B4812" s="31"/>
      <c r="C4812" s="31"/>
      <c r="D4812" s="31"/>
      <c r="E4812" s="25"/>
      <c r="F4812" s="26"/>
    </row>
    <row r="4813" spans="1:6" ht="16.8" customHeight="1" x14ac:dyDescent="0.3">
      <c r="A4813" s="20">
        <v>46410</v>
      </c>
      <c r="B4813" s="31"/>
      <c r="C4813" s="31"/>
      <c r="D4813" s="31"/>
      <c r="E4813" s="25"/>
      <c r="F4813" s="26"/>
    </row>
    <row r="4814" spans="1:6" ht="16.8" customHeight="1" x14ac:dyDescent="0.3">
      <c r="A4814" s="20">
        <v>46411</v>
      </c>
      <c r="B4814" s="31"/>
      <c r="C4814" s="31"/>
      <c r="D4814" s="31"/>
      <c r="E4814" s="25"/>
      <c r="F4814" s="26"/>
    </row>
    <row r="4815" spans="1:6" ht="16.8" customHeight="1" x14ac:dyDescent="0.3">
      <c r="A4815" s="20">
        <v>46412</v>
      </c>
      <c r="B4815" s="31"/>
      <c r="C4815" s="31"/>
      <c r="D4815" s="31"/>
      <c r="E4815" s="25"/>
      <c r="F4815" s="26"/>
    </row>
    <row r="4816" spans="1:6" ht="16.8" customHeight="1" x14ac:dyDescent="0.3">
      <c r="A4816" s="20">
        <v>46413</v>
      </c>
      <c r="B4816" s="31"/>
      <c r="C4816" s="31"/>
      <c r="D4816" s="31"/>
      <c r="E4816" s="25"/>
      <c r="F4816" s="26"/>
    </row>
    <row r="4817" spans="1:6" ht="16.8" customHeight="1" x14ac:dyDescent="0.3">
      <c r="A4817" s="20">
        <v>46414</v>
      </c>
      <c r="B4817" s="31"/>
      <c r="C4817" s="31"/>
      <c r="D4817" s="31"/>
      <c r="E4817" s="25"/>
      <c r="F4817" s="26"/>
    </row>
    <row r="4818" spans="1:6" ht="16.8" customHeight="1" x14ac:dyDescent="0.3">
      <c r="A4818" s="20">
        <v>46415</v>
      </c>
      <c r="B4818" s="31"/>
      <c r="C4818" s="31"/>
      <c r="D4818" s="31"/>
      <c r="E4818" s="25"/>
      <c r="F4818" s="26"/>
    </row>
    <row r="4819" spans="1:6" ht="16.8" customHeight="1" x14ac:dyDescent="0.3">
      <c r="A4819" s="20">
        <v>46416</v>
      </c>
      <c r="B4819" s="31"/>
      <c r="C4819" s="31"/>
      <c r="D4819" s="31"/>
      <c r="E4819" s="25"/>
      <c r="F4819" s="26"/>
    </row>
    <row r="4820" spans="1:6" ht="16.8" customHeight="1" x14ac:dyDescent="0.3">
      <c r="A4820" s="20">
        <v>46417</v>
      </c>
      <c r="B4820" s="31"/>
      <c r="C4820" s="31"/>
      <c r="D4820" s="31"/>
      <c r="E4820" s="25"/>
      <c r="F4820" s="26"/>
    </row>
    <row r="4821" spans="1:6" ht="16.8" customHeight="1" x14ac:dyDescent="0.3">
      <c r="A4821" s="20">
        <v>46418</v>
      </c>
      <c r="B4821" s="31"/>
      <c r="C4821" s="31"/>
      <c r="D4821" s="31"/>
      <c r="E4821" s="25"/>
      <c r="F4821" s="26"/>
    </row>
    <row r="4822" spans="1:6" ht="16.8" customHeight="1" x14ac:dyDescent="0.3">
      <c r="A4822" s="20">
        <v>46419</v>
      </c>
      <c r="B4822" s="31"/>
      <c r="C4822" s="31"/>
      <c r="D4822" s="31"/>
      <c r="E4822" s="25"/>
      <c r="F4822" s="26"/>
    </row>
    <row r="4823" spans="1:6" ht="16.8" customHeight="1" x14ac:dyDescent="0.3">
      <c r="A4823" s="20">
        <v>46420</v>
      </c>
      <c r="B4823" s="31"/>
      <c r="C4823" s="31"/>
      <c r="D4823" s="31"/>
      <c r="E4823" s="25"/>
      <c r="F4823" s="26"/>
    </row>
    <row r="4824" spans="1:6" ht="16.8" customHeight="1" x14ac:dyDescent="0.3">
      <c r="A4824" s="20">
        <v>46421</v>
      </c>
      <c r="B4824" s="31"/>
      <c r="C4824" s="31"/>
      <c r="D4824" s="31"/>
      <c r="E4824" s="25"/>
      <c r="F4824" s="26"/>
    </row>
    <row r="4825" spans="1:6" ht="16.8" customHeight="1" x14ac:dyDescent="0.3">
      <c r="A4825" s="20">
        <v>46422</v>
      </c>
      <c r="B4825" s="31"/>
      <c r="C4825" s="31"/>
      <c r="D4825" s="31"/>
      <c r="E4825" s="25"/>
      <c r="F4825" s="26"/>
    </row>
    <row r="4826" spans="1:6" ht="16.8" customHeight="1" x14ac:dyDescent="0.3">
      <c r="A4826" s="20">
        <v>46423</v>
      </c>
      <c r="B4826" s="31"/>
      <c r="C4826" s="31"/>
      <c r="D4826" s="31"/>
      <c r="E4826" s="25"/>
      <c r="F4826" s="26"/>
    </row>
    <row r="4827" spans="1:6" ht="16.8" customHeight="1" x14ac:dyDescent="0.3">
      <c r="A4827" s="20">
        <v>46424</v>
      </c>
      <c r="B4827" s="31"/>
      <c r="C4827" s="31"/>
      <c r="D4827" s="31"/>
      <c r="E4827" s="25"/>
      <c r="F4827" s="26"/>
    </row>
    <row r="4828" spans="1:6" ht="16.8" customHeight="1" x14ac:dyDescent="0.3">
      <c r="A4828" s="20">
        <v>46425</v>
      </c>
      <c r="B4828" s="31"/>
      <c r="C4828" s="31"/>
      <c r="D4828" s="31"/>
      <c r="E4828" s="25"/>
      <c r="F4828" s="26"/>
    </row>
    <row r="4829" spans="1:6" ht="16.8" customHeight="1" x14ac:dyDescent="0.3">
      <c r="A4829" s="20">
        <v>46426</v>
      </c>
      <c r="B4829" s="31"/>
      <c r="C4829" s="31"/>
      <c r="D4829" s="31"/>
      <c r="E4829" s="25"/>
      <c r="F4829" s="26"/>
    </row>
    <row r="4830" spans="1:6" ht="16.8" customHeight="1" x14ac:dyDescent="0.3">
      <c r="A4830" s="20">
        <v>46427</v>
      </c>
      <c r="B4830" s="31"/>
      <c r="C4830" s="31"/>
      <c r="D4830" s="31"/>
      <c r="E4830" s="25"/>
      <c r="F4830" s="26"/>
    </row>
    <row r="4831" spans="1:6" ht="16.8" customHeight="1" x14ac:dyDescent="0.3">
      <c r="A4831" s="20">
        <v>46428</v>
      </c>
      <c r="B4831" s="31"/>
      <c r="C4831" s="31"/>
      <c r="D4831" s="31"/>
      <c r="E4831" s="25"/>
      <c r="F4831" s="26"/>
    </row>
    <row r="4832" spans="1:6" ht="16.8" customHeight="1" x14ac:dyDescent="0.3">
      <c r="A4832" s="20">
        <v>46429</v>
      </c>
      <c r="B4832" s="31"/>
      <c r="C4832" s="31"/>
      <c r="D4832" s="31"/>
      <c r="E4832" s="25"/>
      <c r="F4832" s="26"/>
    </row>
    <row r="4833" spans="1:6" ht="16.8" customHeight="1" x14ac:dyDescent="0.3">
      <c r="A4833" s="20">
        <v>46430</v>
      </c>
      <c r="B4833" s="31"/>
      <c r="C4833" s="31"/>
      <c r="D4833" s="31"/>
      <c r="E4833" s="25"/>
      <c r="F4833" s="26"/>
    </row>
    <row r="4834" spans="1:6" ht="16.8" customHeight="1" x14ac:dyDescent="0.3">
      <c r="A4834" s="20">
        <v>46431</v>
      </c>
      <c r="B4834" s="31"/>
      <c r="C4834" s="31"/>
      <c r="D4834" s="31"/>
      <c r="E4834" s="25"/>
      <c r="F4834" s="26"/>
    </row>
    <row r="4835" spans="1:6" ht="16.8" customHeight="1" x14ac:dyDescent="0.3">
      <c r="A4835" s="20">
        <v>46432</v>
      </c>
      <c r="B4835" s="31"/>
      <c r="C4835" s="31"/>
      <c r="D4835" s="31"/>
      <c r="E4835" s="25"/>
      <c r="F4835" s="26"/>
    </row>
    <row r="4836" spans="1:6" ht="16.8" customHeight="1" x14ac:dyDescent="0.3">
      <c r="A4836" s="20">
        <v>46433</v>
      </c>
      <c r="B4836" s="31"/>
      <c r="C4836" s="31"/>
      <c r="D4836" s="31"/>
      <c r="E4836" s="25"/>
      <c r="F4836" s="26"/>
    </row>
    <row r="4837" spans="1:6" ht="16.8" customHeight="1" x14ac:dyDescent="0.3">
      <c r="A4837" s="20">
        <v>46434</v>
      </c>
      <c r="B4837" s="31"/>
      <c r="C4837" s="31"/>
      <c r="D4837" s="31"/>
      <c r="E4837" s="25"/>
      <c r="F4837" s="26"/>
    </row>
    <row r="4838" spans="1:6" ht="16.8" customHeight="1" x14ac:dyDescent="0.3">
      <c r="A4838" s="20">
        <v>46435</v>
      </c>
      <c r="B4838" s="31"/>
      <c r="C4838" s="31"/>
      <c r="D4838" s="31"/>
      <c r="E4838" s="25"/>
      <c r="F4838" s="26"/>
    </row>
    <row r="4839" spans="1:6" ht="16.8" customHeight="1" x14ac:dyDescent="0.3">
      <c r="A4839" s="20">
        <v>46436</v>
      </c>
      <c r="B4839" s="31"/>
      <c r="C4839" s="31"/>
      <c r="D4839" s="31"/>
      <c r="E4839" s="25"/>
      <c r="F4839" s="26"/>
    </row>
    <row r="4840" spans="1:6" ht="16.8" customHeight="1" x14ac:dyDescent="0.3">
      <c r="A4840" s="20">
        <v>46437</v>
      </c>
      <c r="B4840" s="31"/>
      <c r="C4840" s="31"/>
      <c r="D4840" s="31"/>
      <c r="E4840" s="25"/>
      <c r="F4840" s="26"/>
    </row>
    <row r="4841" spans="1:6" ht="16.8" customHeight="1" x14ac:dyDescent="0.3">
      <c r="A4841" s="20">
        <v>46438</v>
      </c>
      <c r="B4841" s="31"/>
      <c r="C4841" s="31"/>
      <c r="D4841" s="31"/>
      <c r="E4841" s="25"/>
      <c r="F4841" s="26"/>
    </row>
    <row r="4842" spans="1:6" ht="16.8" customHeight="1" x14ac:dyDescent="0.3">
      <c r="A4842" s="20">
        <v>46439</v>
      </c>
      <c r="B4842" s="31"/>
      <c r="C4842" s="31"/>
      <c r="D4842" s="31"/>
      <c r="E4842" s="25"/>
      <c r="F4842" s="26"/>
    </row>
    <row r="4843" spans="1:6" ht="16.8" customHeight="1" x14ac:dyDescent="0.3">
      <c r="A4843" s="20">
        <v>46440</v>
      </c>
      <c r="B4843" s="31"/>
      <c r="C4843" s="31"/>
      <c r="D4843" s="31"/>
      <c r="E4843" s="25"/>
      <c r="F4843" s="26"/>
    </row>
    <row r="4844" spans="1:6" ht="16.8" customHeight="1" x14ac:dyDescent="0.3">
      <c r="A4844" s="20">
        <v>46441</v>
      </c>
      <c r="B4844" s="31"/>
      <c r="C4844" s="31"/>
      <c r="D4844" s="31"/>
      <c r="E4844" s="25"/>
      <c r="F4844" s="26"/>
    </row>
    <row r="4845" spans="1:6" ht="16.8" customHeight="1" x14ac:dyDescent="0.3">
      <c r="A4845" s="20">
        <v>46442</v>
      </c>
      <c r="B4845" s="31"/>
      <c r="C4845" s="31"/>
      <c r="D4845" s="31"/>
      <c r="E4845" s="25"/>
      <c r="F4845" s="26"/>
    </row>
    <row r="4846" spans="1:6" ht="16.8" customHeight="1" x14ac:dyDescent="0.3">
      <c r="A4846" s="20">
        <v>46443</v>
      </c>
      <c r="B4846" s="31"/>
      <c r="C4846" s="31"/>
      <c r="D4846" s="31"/>
      <c r="E4846" s="25"/>
      <c r="F4846" s="26"/>
    </row>
    <row r="4847" spans="1:6" ht="16.8" customHeight="1" x14ac:dyDescent="0.3">
      <c r="A4847" s="20">
        <v>46444</v>
      </c>
      <c r="B4847" s="31"/>
      <c r="C4847" s="31"/>
      <c r="D4847" s="31"/>
      <c r="E4847" s="25"/>
      <c r="F4847" s="26"/>
    </row>
    <row r="4848" spans="1:6" ht="16.8" customHeight="1" x14ac:dyDescent="0.3">
      <c r="A4848" s="20">
        <v>46445</v>
      </c>
      <c r="B4848" s="31"/>
      <c r="C4848" s="31"/>
      <c r="D4848" s="31"/>
      <c r="E4848" s="25"/>
      <c r="F4848" s="26"/>
    </row>
    <row r="4849" spans="1:6" ht="16.8" customHeight="1" x14ac:dyDescent="0.3">
      <c r="A4849" s="20">
        <v>46446</v>
      </c>
      <c r="B4849" s="31"/>
      <c r="C4849" s="31"/>
      <c r="D4849" s="31"/>
      <c r="E4849" s="25"/>
      <c r="F4849" s="26"/>
    </row>
    <row r="4850" spans="1:6" ht="16.8" customHeight="1" x14ac:dyDescent="0.3">
      <c r="A4850" s="20">
        <v>46447</v>
      </c>
      <c r="B4850" s="31"/>
      <c r="C4850" s="31"/>
      <c r="D4850" s="31"/>
      <c r="E4850" s="25"/>
      <c r="F4850" s="26"/>
    </row>
    <row r="4851" spans="1:6" ht="16.8" customHeight="1" x14ac:dyDescent="0.3">
      <c r="A4851" s="20">
        <v>46448</v>
      </c>
      <c r="B4851" s="31"/>
      <c r="C4851" s="31"/>
      <c r="D4851" s="31"/>
      <c r="E4851" s="25"/>
      <c r="F4851" s="26"/>
    </row>
    <row r="4852" spans="1:6" ht="16.8" customHeight="1" x14ac:dyDescent="0.3">
      <c r="A4852" s="20">
        <v>46449</v>
      </c>
      <c r="B4852" s="31"/>
      <c r="C4852" s="31"/>
      <c r="D4852" s="31"/>
      <c r="E4852" s="25"/>
      <c r="F4852" s="26"/>
    </row>
    <row r="4853" spans="1:6" ht="16.8" customHeight="1" x14ac:dyDescent="0.3">
      <c r="A4853" s="20">
        <v>46450</v>
      </c>
      <c r="B4853" s="31"/>
      <c r="C4853" s="31"/>
      <c r="D4853" s="31"/>
      <c r="E4853" s="25"/>
      <c r="F4853" s="26"/>
    </row>
    <row r="4854" spans="1:6" ht="16.8" customHeight="1" x14ac:dyDescent="0.3">
      <c r="A4854" s="20">
        <v>46451</v>
      </c>
      <c r="B4854" s="31"/>
      <c r="C4854" s="31"/>
      <c r="D4854" s="31"/>
      <c r="E4854" s="25"/>
      <c r="F4854" s="26"/>
    </row>
    <row r="4855" spans="1:6" ht="16.8" customHeight="1" x14ac:dyDescent="0.3">
      <c r="A4855" s="20">
        <v>46452</v>
      </c>
      <c r="B4855" s="31"/>
      <c r="C4855" s="31"/>
      <c r="D4855" s="31"/>
      <c r="E4855" s="25"/>
      <c r="F4855" s="26"/>
    </row>
    <row r="4856" spans="1:6" ht="16.8" customHeight="1" x14ac:dyDescent="0.3">
      <c r="A4856" s="20">
        <v>46453</v>
      </c>
      <c r="B4856" s="31"/>
      <c r="C4856" s="31"/>
      <c r="D4856" s="31"/>
      <c r="E4856" s="25"/>
      <c r="F4856" s="26"/>
    </row>
    <row r="4857" spans="1:6" ht="16.8" customHeight="1" x14ac:dyDescent="0.3">
      <c r="A4857" s="20">
        <v>46454</v>
      </c>
      <c r="B4857" s="31"/>
      <c r="C4857" s="31"/>
      <c r="D4857" s="31"/>
      <c r="E4857" s="25"/>
      <c r="F4857" s="26"/>
    </row>
    <row r="4858" spans="1:6" ht="16.8" customHeight="1" x14ac:dyDescent="0.3">
      <c r="A4858" s="20">
        <v>46455</v>
      </c>
      <c r="B4858" s="31"/>
      <c r="C4858" s="31"/>
      <c r="D4858" s="31"/>
      <c r="E4858" s="25"/>
      <c r="F4858" s="26"/>
    </row>
    <row r="4859" spans="1:6" ht="16.8" customHeight="1" x14ac:dyDescent="0.3">
      <c r="A4859" s="20">
        <v>46456</v>
      </c>
      <c r="B4859" s="31"/>
      <c r="C4859" s="31"/>
      <c r="D4859" s="31"/>
      <c r="E4859" s="25"/>
      <c r="F4859" s="26"/>
    </row>
    <row r="4860" spans="1:6" ht="16.8" customHeight="1" x14ac:dyDescent="0.3">
      <c r="A4860" s="20">
        <v>46457</v>
      </c>
      <c r="B4860" s="31"/>
      <c r="C4860" s="31"/>
      <c r="D4860" s="31"/>
      <c r="E4860" s="25"/>
      <c r="F4860" s="26"/>
    </row>
    <row r="4861" spans="1:6" ht="16.8" customHeight="1" x14ac:dyDescent="0.3">
      <c r="A4861" s="20">
        <v>46458</v>
      </c>
      <c r="B4861" s="31"/>
      <c r="C4861" s="31"/>
      <c r="D4861" s="31"/>
      <c r="E4861" s="25"/>
      <c r="F4861" s="26"/>
    </row>
    <row r="4862" spans="1:6" ht="16.8" customHeight="1" x14ac:dyDescent="0.3">
      <c r="A4862" s="20">
        <v>46459</v>
      </c>
      <c r="B4862" s="31"/>
      <c r="C4862" s="31"/>
      <c r="D4862" s="31"/>
      <c r="E4862" s="25"/>
      <c r="F4862" s="26"/>
    </row>
    <row r="4863" spans="1:6" ht="16.8" customHeight="1" x14ac:dyDescent="0.3">
      <c r="A4863" s="20">
        <v>46460</v>
      </c>
      <c r="B4863" s="31"/>
      <c r="C4863" s="31"/>
      <c r="D4863" s="31"/>
      <c r="E4863" s="25"/>
      <c r="F4863" s="26"/>
    </row>
    <row r="4864" spans="1:6" ht="16.8" customHeight="1" x14ac:dyDescent="0.3">
      <c r="A4864" s="20">
        <v>46461</v>
      </c>
      <c r="B4864" s="31"/>
      <c r="C4864" s="31"/>
      <c r="D4864" s="31"/>
      <c r="E4864" s="25"/>
      <c r="F4864" s="26"/>
    </row>
    <row r="4865" spans="1:6" ht="16.8" customHeight="1" x14ac:dyDescent="0.3">
      <c r="A4865" s="20">
        <v>46462</v>
      </c>
      <c r="B4865" s="31"/>
      <c r="C4865" s="31"/>
      <c r="D4865" s="31"/>
      <c r="E4865" s="25"/>
      <c r="F4865" s="26"/>
    </row>
    <row r="4866" spans="1:6" ht="16.8" customHeight="1" x14ac:dyDescent="0.3">
      <c r="A4866" s="20">
        <v>46463</v>
      </c>
      <c r="B4866" s="31"/>
      <c r="C4866" s="31"/>
      <c r="D4866" s="31"/>
      <c r="E4866" s="25"/>
      <c r="F4866" s="26"/>
    </row>
    <row r="4867" spans="1:6" ht="16.8" customHeight="1" x14ac:dyDescent="0.3">
      <c r="A4867" s="20">
        <v>46464</v>
      </c>
      <c r="B4867" s="31"/>
      <c r="C4867" s="31"/>
      <c r="D4867" s="31"/>
      <c r="E4867" s="25"/>
      <c r="F4867" s="26"/>
    </row>
    <row r="4868" spans="1:6" ht="16.8" customHeight="1" x14ac:dyDescent="0.3">
      <c r="A4868" s="20">
        <v>46465</v>
      </c>
      <c r="B4868" s="31"/>
      <c r="C4868" s="31"/>
      <c r="D4868" s="31"/>
      <c r="E4868" s="25"/>
      <c r="F4868" s="26"/>
    </row>
    <row r="4869" spans="1:6" ht="16.8" customHeight="1" x14ac:dyDescent="0.3">
      <c r="A4869" s="20">
        <v>46466</v>
      </c>
      <c r="B4869" s="31"/>
      <c r="C4869" s="31"/>
      <c r="D4869" s="31"/>
      <c r="E4869" s="25"/>
      <c r="F4869" s="26"/>
    </row>
    <row r="4870" spans="1:6" ht="16.8" customHeight="1" x14ac:dyDescent="0.3">
      <c r="A4870" s="20">
        <v>46467</v>
      </c>
      <c r="B4870" s="31"/>
      <c r="C4870" s="31"/>
      <c r="D4870" s="31"/>
      <c r="E4870" s="25"/>
      <c r="F4870" s="26"/>
    </row>
    <row r="4871" spans="1:6" ht="16.8" customHeight="1" x14ac:dyDescent="0.3">
      <c r="A4871" s="20">
        <v>46468</v>
      </c>
      <c r="B4871" s="31"/>
      <c r="C4871" s="31"/>
      <c r="D4871" s="31"/>
      <c r="E4871" s="25"/>
      <c r="F4871" s="26"/>
    </row>
    <row r="4872" spans="1:6" ht="16.8" customHeight="1" x14ac:dyDescent="0.3">
      <c r="A4872" s="20">
        <v>46469</v>
      </c>
      <c r="B4872" s="31"/>
      <c r="C4872" s="31"/>
      <c r="D4872" s="31"/>
      <c r="E4872" s="25"/>
      <c r="F4872" s="26"/>
    </row>
    <row r="4873" spans="1:6" ht="16.8" customHeight="1" x14ac:dyDescent="0.3">
      <c r="A4873" s="20">
        <v>46470</v>
      </c>
      <c r="B4873" s="31"/>
      <c r="C4873" s="31"/>
      <c r="D4873" s="31"/>
      <c r="E4873" s="25"/>
      <c r="F4873" s="26"/>
    </row>
    <row r="4874" spans="1:6" ht="16.8" customHeight="1" x14ac:dyDescent="0.3">
      <c r="A4874" s="20">
        <v>46471</v>
      </c>
      <c r="B4874" s="31"/>
      <c r="C4874" s="31"/>
      <c r="D4874" s="31"/>
      <c r="E4874" s="25"/>
      <c r="F4874" s="26"/>
    </row>
    <row r="4875" spans="1:6" ht="16.8" customHeight="1" x14ac:dyDescent="0.3">
      <c r="A4875" s="20">
        <v>46472</v>
      </c>
      <c r="B4875" s="31"/>
      <c r="C4875" s="31"/>
      <c r="D4875" s="31"/>
      <c r="E4875" s="25"/>
      <c r="F4875" s="26"/>
    </row>
    <row r="4876" spans="1:6" ht="16.8" customHeight="1" x14ac:dyDescent="0.3">
      <c r="A4876" s="20">
        <v>46473</v>
      </c>
      <c r="B4876" s="31"/>
      <c r="C4876" s="31"/>
      <c r="D4876" s="31"/>
      <c r="E4876" s="25"/>
      <c r="F4876" s="26"/>
    </row>
    <row r="4877" spans="1:6" ht="16.8" customHeight="1" x14ac:dyDescent="0.3">
      <c r="A4877" s="20">
        <v>46474</v>
      </c>
      <c r="B4877" s="31"/>
      <c r="C4877" s="31"/>
      <c r="D4877" s="31"/>
      <c r="E4877" s="25"/>
      <c r="F4877" s="26"/>
    </row>
    <row r="4878" spans="1:6" ht="16.8" customHeight="1" x14ac:dyDescent="0.3">
      <c r="A4878" s="20">
        <v>46475</v>
      </c>
      <c r="B4878" s="31"/>
      <c r="C4878" s="31"/>
      <c r="D4878" s="31"/>
      <c r="E4878" s="25"/>
      <c r="F4878" s="26"/>
    </row>
    <row r="4879" spans="1:6" ht="16.8" customHeight="1" x14ac:dyDescent="0.3">
      <c r="A4879" s="20">
        <v>46476</v>
      </c>
      <c r="B4879" s="31"/>
      <c r="C4879" s="31"/>
      <c r="D4879" s="31"/>
      <c r="E4879" s="25"/>
      <c r="F4879" s="26"/>
    </row>
    <row r="4880" spans="1:6" ht="16.8" customHeight="1" x14ac:dyDescent="0.3">
      <c r="A4880" s="20">
        <v>46477</v>
      </c>
      <c r="B4880" s="31"/>
      <c r="C4880" s="31"/>
      <c r="D4880" s="31"/>
      <c r="E4880" s="25"/>
      <c r="F4880" s="26"/>
    </row>
    <row r="4881" spans="1:6" ht="16.8" customHeight="1" x14ac:dyDescent="0.3">
      <c r="A4881" s="20">
        <v>46478</v>
      </c>
      <c r="B4881" s="31"/>
      <c r="C4881" s="31"/>
      <c r="D4881" s="31"/>
      <c r="E4881" s="25"/>
      <c r="F4881" s="26"/>
    </row>
    <row r="4882" spans="1:6" ht="16.8" customHeight="1" x14ac:dyDescent="0.3">
      <c r="A4882" s="20">
        <v>46479</v>
      </c>
      <c r="B4882" s="31"/>
      <c r="C4882" s="31"/>
      <c r="D4882" s="31"/>
      <c r="E4882" s="25"/>
      <c r="F4882" s="26"/>
    </row>
    <row r="4883" spans="1:6" ht="16.8" customHeight="1" x14ac:dyDescent="0.3">
      <c r="A4883" s="20">
        <v>46480</v>
      </c>
      <c r="B4883" s="31"/>
      <c r="C4883" s="31"/>
      <c r="D4883" s="31"/>
      <c r="E4883" s="25"/>
      <c r="F4883" s="26"/>
    </row>
    <row r="4884" spans="1:6" ht="16.8" customHeight="1" x14ac:dyDescent="0.3">
      <c r="A4884" s="20">
        <v>46481</v>
      </c>
      <c r="B4884" s="31"/>
      <c r="C4884" s="31"/>
      <c r="D4884" s="31"/>
      <c r="E4884" s="25"/>
      <c r="F4884" s="26"/>
    </row>
    <row r="4885" spans="1:6" ht="16.8" customHeight="1" x14ac:dyDescent="0.3">
      <c r="A4885" s="20">
        <v>46482</v>
      </c>
      <c r="B4885" s="31"/>
      <c r="C4885" s="31"/>
      <c r="D4885" s="31"/>
      <c r="E4885" s="25"/>
      <c r="F4885" s="26"/>
    </row>
    <row r="4886" spans="1:6" ht="16.8" customHeight="1" x14ac:dyDescent="0.3">
      <c r="A4886" s="20">
        <v>46483</v>
      </c>
      <c r="B4886" s="31"/>
      <c r="C4886" s="31"/>
      <c r="D4886" s="31"/>
      <c r="E4886" s="25"/>
      <c r="F4886" s="26"/>
    </row>
    <row r="4887" spans="1:6" ht="16.8" customHeight="1" x14ac:dyDescent="0.3">
      <c r="A4887" s="20">
        <v>46484</v>
      </c>
      <c r="B4887" s="31"/>
      <c r="C4887" s="31"/>
      <c r="D4887" s="31"/>
      <c r="E4887" s="25"/>
      <c r="F4887" s="26"/>
    </row>
    <row r="4888" spans="1:6" ht="16.8" customHeight="1" x14ac:dyDescent="0.3">
      <c r="A4888" s="20">
        <v>46485</v>
      </c>
      <c r="B4888" s="31"/>
      <c r="C4888" s="31"/>
      <c r="D4888" s="31"/>
      <c r="E4888" s="25"/>
      <c r="F4888" s="26"/>
    </row>
    <row r="4889" spans="1:6" ht="16.8" customHeight="1" x14ac:dyDescent="0.3">
      <c r="A4889" s="20">
        <v>46486</v>
      </c>
      <c r="B4889" s="31"/>
      <c r="C4889" s="31"/>
      <c r="D4889" s="31"/>
      <c r="E4889" s="25"/>
      <c r="F4889" s="26"/>
    </row>
    <row r="4890" spans="1:6" ht="16.8" customHeight="1" x14ac:dyDescent="0.3">
      <c r="A4890" s="20">
        <v>46487</v>
      </c>
      <c r="B4890" s="31"/>
      <c r="C4890" s="31"/>
      <c r="D4890" s="31"/>
      <c r="E4890" s="25"/>
      <c r="F4890" s="26"/>
    </row>
    <row r="4891" spans="1:6" ht="16.8" customHeight="1" x14ac:dyDescent="0.3">
      <c r="A4891" s="20">
        <v>46488</v>
      </c>
      <c r="B4891" s="31"/>
      <c r="C4891" s="31"/>
      <c r="D4891" s="31"/>
      <c r="E4891" s="25"/>
      <c r="F4891" s="26"/>
    </row>
    <row r="4892" spans="1:6" ht="16.8" customHeight="1" x14ac:dyDescent="0.3">
      <c r="A4892" s="20">
        <v>46489</v>
      </c>
      <c r="B4892" s="31"/>
      <c r="C4892" s="31"/>
      <c r="D4892" s="31"/>
      <c r="E4892" s="25"/>
      <c r="F4892" s="26"/>
    </row>
    <row r="4893" spans="1:6" ht="16.8" customHeight="1" x14ac:dyDescent="0.3">
      <c r="A4893" s="20">
        <v>46490</v>
      </c>
      <c r="B4893" s="31"/>
      <c r="C4893" s="31"/>
      <c r="D4893" s="31"/>
      <c r="E4893" s="25"/>
      <c r="F4893" s="26"/>
    </row>
    <row r="4894" spans="1:6" ht="16.8" customHeight="1" x14ac:dyDescent="0.3">
      <c r="A4894" s="20">
        <v>46491</v>
      </c>
      <c r="B4894" s="31"/>
      <c r="C4894" s="31"/>
      <c r="D4894" s="31"/>
      <c r="E4894" s="25"/>
      <c r="F4894" s="26"/>
    </row>
    <row r="4895" spans="1:6" ht="16.8" customHeight="1" x14ac:dyDescent="0.3">
      <c r="A4895" s="20">
        <v>46492</v>
      </c>
      <c r="B4895" s="31"/>
      <c r="C4895" s="31"/>
      <c r="D4895" s="31"/>
      <c r="E4895" s="25"/>
      <c r="F4895" s="26"/>
    </row>
    <row r="4896" spans="1:6" ht="16.8" customHeight="1" x14ac:dyDescent="0.3">
      <c r="A4896" s="20">
        <v>46493</v>
      </c>
      <c r="B4896" s="31"/>
      <c r="C4896" s="31"/>
      <c r="D4896" s="31"/>
      <c r="E4896" s="25"/>
      <c r="F4896" s="26"/>
    </row>
    <row r="4897" spans="1:6" ht="16.8" customHeight="1" x14ac:dyDescent="0.3">
      <c r="A4897" s="20">
        <v>46494</v>
      </c>
      <c r="B4897" s="31"/>
      <c r="C4897" s="31"/>
      <c r="D4897" s="31"/>
      <c r="E4897" s="25"/>
      <c r="F4897" s="26"/>
    </row>
    <row r="4898" spans="1:6" ht="16.8" customHeight="1" x14ac:dyDescent="0.3">
      <c r="A4898" s="20">
        <v>46495</v>
      </c>
      <c r="B4898" s="31"/>
      <c r="C4898" s="31"/>
      <c r="D4898" s="31"/>
      <c r="E4898" s="25"/>
      <c r="F4898" s="26"/>
    </row>
    <row r="4899" spans="1:6" ht="16.8" customHeight="1" x14ac:dyDescent="0.3">
      <c r="A4899" s="20">
        <v>46496</v>
      </c>
      <c r="B4899" s="31"/>
      <c r="C4899" s="31"/>
      <c r="D4899" s="31"/>
      <c r="E4899" s="25"/>
      <c r="F4899" s="26"/>
    </row>
    <row r="4900" spans="1:6" ht="16.8" customHeight="1" x14ac:dyDescent="0.3">
      <c r="A4900" s="20">
        <v>46497</v>
      </c>
      <c r="B4900" s="31"/>
      <c r="C4900" s="31"/>
      <c r="D4900" s="31"/>
      <c r="E4900" s="25"/>
      <c r="F4900" s="26"/>
    </row>
    <row r="4901" spans="1:6" ht="16.8" customHeight="1" x14ac:dyDescent="0.3">
      <c r="A4901" s="20">
        <v>46498</v>
      </c>
      <c r="B4901" s="31"/>
      <c r="C4901" s="31"/>
      <c r="D4901" s="31"/>
      <c r="E4901" s="25"/>
      <c r="F4901" s="26"/>
    </row>
    <row r="4902" spans="1:6" ht="16.8" customHeight="1" x14ac:dyDescent="0.3">
      <c r="A4902" s="20">
        <v>46499</v>
      </c>
      <c r="B4902" s="31"/>
      <c r="C4902" s="31"/>
      <c r="D4902" s="31"/>
      <c r="E4902" s="25"/>
      <c r="F4902" s="26"/>
    </row>
    <row r="4903" spans="1:6" ht="16.8" customHeight="1" x14ac:dyDescent="0.3">
      <c r="A4903" s="20">
        <v>46500</v>
      </c>
      <c r="B4903" s="31"/>
      <c r="C4903" s="31"/>
      <c r="D4903" s="31"/>
      <c r="E4903" s="25"/>
      <c r="F4903" s="26"/>
    </row>
    <row r="4904" spans="1:6" ht="16.8" customHeight="1" x14ac:dyDescent="0.3">
      <c r="A4904" s="20">
        <v>46501</v>
      </c>
      <c r="B4904" s="31"/>
      <c r="C4904" s="31"/>
      <c r="D4904" s="31"/>
      <c r="E4904" s="25"/>
      <c r="F4904" s="26"/>
    </row>
    <row r="4905" spans="1:6" ht="16.8" customHeight="1" x14ac:dyDescent="0.3">
      <c r="A4905" s="20">
        <v>46502</v>
      </c>
      <c r="B4905" s="31"/>
      <c r="C4905" s="31"/>
      <c r="D4905" s="31"/>
      <c r="E4905" s="25"/>
      <c r="F4905" s="26"/>
    </row>
    <row r="4906" spans="1:6" ht="16.8" customHeight="1" x14ac:dyDescent="0.3">
      <c r="A4906" s="20">
        <v>46503</v>
      </c>
      <c r="B4906" s="31"/>
      <c r="C4906" s="31"/>
      <c r="D4906" s="31"/>
      <c r="E4906" s="25"/>
      <c r="F4906" s="26"/>
    </row>
    <row r="4907" spans="1:6" ht="16.8" customHeight="1" x14ac:dyDescent="0.3">
      <c r="A4907" s="20">
        <v>46504</v>
      </c>
      <c r="B4907" s="31"/>
      <c r="C4907" s="31"/>
      <c r="D4907" s="31"/>
      <c r="E4907" s="25"/>
      <c r="F4907" s="26"/>
    </row>
    <row r="4908" spans="1:6" ht="16.8" customHeight="1" x14ac:dyDescent="0.3">
      <c r="A4908" s="20">
        <v>46505</v>
      </c>
      <c r="B4908" s="31"/>
      <c r="C4908" s="31"/>
      <c r="D4908" s="31"/>
      <c r="E4908" s="25"/>
      <c r="F4908" s="26"/>
    </row>
    <row r="4909" spans="1:6" ht="16.8" customHeight="1" x14ac:dyDescent="0.3">
      <c r="A4909" s="20">
        <v>46506</v>
      </c>
      <c r="B4909" s="31"/>
      <c r="C4909" s="31"/>
      <c r="D4909" s="31"/>
      <c r="E4909" s="25"/>
      <c r="F4909" s="26"/>
    </row>
    <row r="4910" spans="1:6" ht="16.8" customHeight="1" x14ac:dyDescent="0.3">
      <c r="A4910" s="20">
        <v>46507</v>
      </c>
      <c r="B4910" s="31"/>
      <c r="C4910" s="31"/>
      <c r="D4910" s="31"/>
      <c r="E4910" s="25"/>
      <c r="F4910" s="26"/>
    </row>
    <row r="4911" spans="1:6" ht="16.8" customHeight="1" x14ac:dyDescent="0.3">
      <c r="A4911" s="20">
        <v>46508</v>
      </c>
      <c r="B4911" s="31"/>
      <c r="C4911" s="31"/>
      <c r="D4911" s="31"/>
      <c r="E4911" s="25"/>
      <c r="F4911" s="26"/>
    </row>
    <row r="4912" spans="1:6" ht="16.8" customHeight="1" x14ac:dyDescent="0.3">
      <c r="A4912" s="20">
        <v>46509</v>
      </c>
      <c r="B4912" s="31"/>
      <c r="C4912" s="31"/>
      <c r="D4912" s="31"/>
      <c r="E4912" s="25"/>
      <c r="F4912" s="26"/>
    </row>
    <row r="4913" spans="1:6" ht="16.8" customHeight="1" x14ac:dyDescent="0.3">
      <c r="A4913" s="20">
        <v>46510</v>
      </c>
      <c r="B4913" s="31"/>
      <c r="C4913" s="31"/>
      <c r="D4913" s="31"/>
      <c r="E4913" s="25"/>
      <c r="F4913" s="26"/>
    </row>
    <row r="4914" spans="1:6" ht="16.8" customHeight="1" x14ac:dyDescent="0.3">
      <c r="A4914" s="20">
        <v>46511</v>
      </c>
      <c r="B4914" s="31"/>
      <c r="C4914" s="31"/>
      <c r="D4914" s="31"/>
      <c r="E4914" s="25"/>
      <c r="F4914" s="26"/>
    </row>
    <row r="4915" spans="1:6" ht="16.8" customHeight="1" x14ac:dyDescent="0.3">
      <c r="A4915" s="20">
        <v>46512</v>
      </c>
      <c r="B4915" s="31"/>
      <c r="C4915" s="31"/>
      <c r="D4915" s="31"/>
      <c r="E4915" s="25"/>
      <c r="F4915" s="26"/>
    </row>
    <row r="4916" spans="1:6" ht="16.8" customHeight="1" x14ac:dyDescent="0.3">
      <c r="A4916" s="20">
        <v>46513</v>
      </c>
      <c r="B4916" s="31"/>
      <c r="C4916" s="31"/>
      <c r="D4916" s="31"/>
      <c r="E4916" s="25"/>
      <c r="F4916" s="26"/>
    </row>
    <row r="4917" spans="1:6" ht="16.8" customHeight="1" x14ac:dyDescent="0.3">
      <c r="A4917" s="20">
        <v>46514</v>
      </c>
      <c r="B4917" s="31"/>
      <c r="C4917" s="31"/>
      <c r="D4917" s="31"/>
      <c r="E4917" s="25"/>
      <c r="F4917" s="26"/>
    </row>
    <row r="4918" spans="1:6" ht="16.8" customHeight="1" x14ac:dyDescent="0.3">
      <c r="A4918" s="20">
        <v>46515</v>
      </c>
      <c r="B4918" s="31"/>
      <c r="C4918" s="31"/>
      <c r="D4918" s="31"/>
      <c r="E4918" s="25"/>
      <c r="F4918" s="26"/>
    </row>
    <row r="4919" spans="1:6" ht="16.8" customHeight="1" x14ac:dyDescent="0.3">
      <c r="A4919" s="20">
        <v>46516</v>
      </c>
      <c r="B4919" s="31"/>
      <c r="C4919" s="31"/>
      <c r="D4919" s="31"/>
      <c r="E4919" s="25"/>
      <c r="F4919" s="26"/>
    </row>
    <row r="4920" spans="1:6" ht="16.8" customHeight="1" x14ac:dyDescent="0.3">
      <c r="A4920" s="20">
        <v>46517</v>
      </c>
      <c r="B4920" s="31"/>
      <c r="C4920" s="31"/>
      <c r="D4920" s="31"/>
      <c r="E4920" s="25"/>
      <c r="F4920" s="26"/>
    </row>
    <row r="4921" spans="1:6" ht="16.8" customHeight="1" x14ac:dyDescent="0.3">
      <c r="A4921" s="20">
        <v>46518</v>
      </c>
      <c r="B4921" s="31"/>
      <c r="C4921" s="31"/>
      <c r="D4921" s="31"/>
      <c r="E4921" s="25"/>
      <c r="F4921" s="26"/>
    </row>
    <row r="4922" spans="1:6" ht="16.8" customHeight="1" x14ac:dyDescent="0.3">
      <c r="A4922" s="20">
        <v>46519</v>
      </c>
      <c r="B4922" s="31"/>
      <c r="C4922" s="31"/>
      <c r="D4922" s="31"/>
      <c r="E4922" s="25"/>
      <c r="F4922" s="26"/>
    </row>
    <row r="4923" spans="1:6" ht="16.8" customHeight="1" x14ac:dyDescent="0.3">
      <c r="A4923" s="20">
        <v>46520</v>
      </c>
      <c r="B4923" s="31"/>
      <c r="C4923" s="31"/>
      <c r="D4923" s="31"/>
      <c r="E4923" s="25"/>
      <c r="F4923" s="26"/>
    </row>
    <row r="4924" spans="1:6" ht="16.8" customHeight="1" x14ac:dyDescent="0.3">
      <c r="A4924" s="20">
        <v>46521</v>
      </c>
      <c r="B4924" s="31"/>
      <c r="C4924" s="31"/>
      <c r="D4924" s="31"/>
      <c r="E4924" s="25"/>
      <c r="F4924" s="26"/>
    </row>
    <row r="4925" spans="1:6" ht="16.8" customHeight="1" x14ac:dyDescent="0.3">
      <c r="A4925" s="20">
        <v>46522</v>
      </c>
      <c r="B4925" s="31"/>
      <c r="C4925" s="31"/>
      <c r="D4925" s="31"/>
      <c r="E4925" s="25"/>
      <c r="F4925" s="26"/>
    </row>
    <row r="4926" spans="1:6" ht="16.8" customHeight="1" x14ac:dyDescent="0.3">
      <c r="A4926" s="20">
        <v>46523</v>
      </c>
      <c r="B4926" s="31"/>
      <c r="C4926" s="31"/>
      <c r="D4926" s="31"/>
      <c r="E4926" s="25"/>
      <c r="F4926" s="26"/>
    </row>
    <row r="4927" spans="1:6" ht="16.8" customHeight="1" x14ac:dyDescent="0.3">
      <c r="A4927" s="20">
        <v>46524</v>
      </c>
      <c r="B4927" s="31"/>
      <c r="C4927" s="31"/>
      <c r="D4927" s="31"/>
      <c r="E4927" s="25"/>
      <c r="F4927" s="26"/>
    </row>
    <row r="4928" spans="1:6" ht="16.8" customHeight="1" x14ac:dyDescent="0.3">
      <c r="A4928" s="20">
        <v>46525</v>
      </c>
      <c r="B4928" s="31"/>
      <c r="C4928" s="31"/>
      <c r="D4928" s="31"/>
      <c r="E4928" s="25"/>
      <c r="F4928" s="26"/>
    </row>
    <row r="4929" spans="1:6" ht="16.8" customHeight="1" x14ac:dyDescent="0.3">
      <c r="A4929" s="20">
        <v>46526</v>
      </c>
      <c r="B4929" s="31"/>
      <c r="C4929" s="31"/>
      <c r="D4929" s="31"/>
      <c r="E4929" s="25"/>
      <c r="F4929" s="26"/>
    </row>
    <row r="4930" spans="1:6" ht="16.8" customHeight="1" x14ac:dyDescent="0.3">
      <c r="A4930" s="20">
        <v>46527</v>
      </c>
      <c r="B4930" s="31"/>
      <c r="C4930" s="31"/>
      <c r="D4930" s="31"/>
      <c r="E4930" s="25"/>
      <c r="F4930" s="26"/>
    </row>
    <row r="4931" spans="1:6" ht="16.8" customHeight="1" x14ac:dyDescent="0.3">
      <c r="A4931" s="20">
        <v>46528</v>
      </c>
      <c r="B4931" s="31"/>
      <c r="C4931" s="31"/>
      <c r="D4931" s="31"/>
      <c r="E4931" s="25"/>
      <c r="F4931" s="26"/>
    </row>
    <row r="4932" spans="1:6" ht="16.8" customHeight="1" x14ac:dyDescent="0.3">
      <c r="A4932" s="20">
        <v>46529</v>
      </c>
      <c r="B4932" s="31"/>
      <c r="C4932" s="31"/>
      <c r="D4932" s="31"/>
      <c r="E4932" s="25"/>
      <c r="F4932" s="26"/>
    </row>
    <row r="4933" spans="1:6" ht="16.8" customHeight="1" x14ac:dyDescent="0.3">
      <c r="A4933" s="20">
        <v>46530</v>
      </c>
      <c r="B4933" s="31"/>
      <c r="C4933" s="31"/>
      <c r="D4933" s="31"/>
      <c r="E4933" s="25"/>
      <c r="F4933" s="26"/>
    </row>
    <row r="4934" spans="1:6" ht="16.8" customHeight="1" x14ac:dyDescent="0.3">
      <c r="A4934" s="20">
        <v>46531</v>
      </c>
      <c r="B4934" s="31"/>
      <c r="C4934" s="31"/>
      <c r="D4934" s="31"/>
      <c r="E4934" s="25"/>
      <c r="F4934" s="26"/>
    </row>
    <row r="4935" spans="1:6" ht="16.8" customHeight="1" x14ac:dyDescent="0.3">
      <c r="A4935" s="20">
        <v>46532</v>
      </c>
      <c r="B4935" s="31"/>
      <c r="C4935" s="31"/>
      <c r="D4935" s="31"/>
      <c r="E4935" s="25"/>
      <c r="F4935" s="26"/>
    </row>
    <row r="4936" spans="1:6" ht="16.8" customHeight="1" x14ac:dyDescent="0.3">
      <c r="A4936" s="20">
        <v>46533</v>
      </c>
      <c r="B4936" s="31"/>
      <c r="C4936" s="31"/>
      <c r="D4936" s="31"/>
      <c r="E4936" s="25"/>
      <c r="F4936" s="26"/>
    </row>
    <row r="4937" spans="1:6" ht="16.8" customHeight="1" x14ac:dyDescent="0.3">
      <c r="A4937" s="20">
        <v>46534</v>
      </c>
      <c r="B4937" s="31"/>
      <c r="C4937" s="31"/>
      <c r="D4937" s="31"/>
      <c r="E4937" s="25"/>
      <c r="F4937" s="26"/>
    </row>
    <row r="4938" spans="1:6" ht="16.8" customHeight="1" x14ac:dyDescent="0.3">
      <c r="A4938" s="20">
        <v>46535</v>
      </c>
      <c r="B4938" s="31"/>
      <c r="C4938" s="31"/>
      <c r="D4938" s="31"/>
      <c r="E4938" s="25"/>
      <c r="F4938" s="26"/>
    </row>
    <row r="4939" spans="1:6" ht="16.8" customHeight="1" x14ac:dyDescent="0.3">
      <c r="A4939" s="20">
        <v>46536</v>
      </c>
      <c r="B4939" s="31"/>
      <c r="C4939" s="31"/>
      <c r="D4939" s="31"/>
      <c r="E4939" s="25"/>
      <c r="F4939" s="26"/>
    </row>
    <row r="4940" spans="1:6" ht="16.8" customHeight="1" x14ac:dyDescent="0.3">
      <c r="A4940" s="20">
        <v>46537</v>
      </c>
      <c r="B4940" s="31"/>
      <c r="C4940" s="31"/>
      <c r="D4940" s="31"/>
      <c r="E4940" s="25"/>
      <c r="F4940" s="26"/>
    </row>
    <row r="4941" spans="1:6" ht="16.8" customHeight="1" x14ac:dyDescent="0.3">
      <c r="A4941" s="20">
        <v>46538</v>
      </c>
      <c r="B4941" s="31"/>
      <c r="C4941" s="31"/>
      <c r="D4941" s="31"/>
      <c r="E4941" s="25"/>
      <c r="F4941" s="26"/>
    </row>
    <row r="4942" spans="1:6" ht="16.8" customHeight="1" x14ac:dyDescent="0.3">
      <c r="A4942" s="20">
        <v>46539</v>
      </c>
      <c r="B4942" s="31"/>
      <c r="C4942" s="31"/>
      <c r="D4942" s="31"/>
      <c r="E4942" s="25"/>
      <c r="F4942" s="26"/>
    </row>
    <row r="4943" spans="1:6" ht="16.8" customHeight="1" x14ac:dyDescent="0.3">
      <c r="A4943" s="20">
        <v>46540</v>
      </c>
      <c r="B4943" s="31"/>
      <c r="C4943" s="31"/>
      <c r="D4943" s="31"/>
      <c r="E4943" s="25"/>
      <c r="F4943" s="26"/>
    </row>
    <row r="4944" spans="1:6" ht="16.8" customHeight="1" x14ac:dyDescent="0.3">
      <c r="A4944" s="20">
        <v>46541</v>
      </c>
      <c r="B4944" s="31"/>
      <c r="C4944" s="31"/>
      <c r="D4944" s="31"/>
      <c r="E4944" s="25"/>
      <c r="F4944" s="26"/>
    </row>
    <row r="4945" spans="1:6" ht="16.8" customHeight="1" x14ac:dyDescent="0.3">
      <c r="A4945" s="20">
        <v>46542</v>
      </c>
      <c r="B4945" s="31"/>
      <c r="C4945" s="31"/>
      <c r="D4945" s="31"/>
      <c r="E4945" s="25"/>
      <c r="F4945" s="26"/>
    </row>
    <row r="4946" spans="1:6" ht="16.8" customHeight="1" x14ac:dyDescent="0.3">
      <c r="A4946" s="20">
        <v>46543</v>
      </c>
      <c r="B4946" s="31"/>
      <c r="C4946" s="31"/>
      <c r="D4946" s="31"/>
      <c r="E4946" s="25"/>
      <c r="F4946" s="26"/>
    </row>
    <row r="4947" spans="1:6" ht="16.8" customHeight="1" x14ac:dyDescent="0.3">
      <c r="A4947" s="20">
        <v>46544</v>
      </c>
      <c r="B4947" s="31"/>
      <c r="C4947" s="31"/>
      <c r="D4947" s="31"/>
      <c r="E4947" s="25"/>
      <c r="F4947" s="26"/>
    </row>
    <row r="4948" spans="1:6" ht="16.8" customHeight="1" x14ac:dyDescent="0.3">
      <c r="A4948" s="20">
        <v>46545</v>
      </c>
      <c r="B4948" s="31"/>
      <c r="C4948" s="31"/>
      <c r="D4948" s="31"/>
      <c r="E4948" s="25"/>
      <c r="F4948" s="26"/>
    </row>
    <row r="4949" spans="1:6" ht="16.8" customHeight="1" x14ac:dyDescent="0.3">
      <c r="A4949" s="20">
        <v>46546</v>
      </c>
      <c r="B4949" s="31"/>
      <c r="C4949" s="31"/>
      <c r="D4949" s="31"/>
      <c r="E4949" s="25"/>
      <c r="F4949" s="26"/>
    </row>
    <row r="4950" spans="1:6" ht="16.8" customHeight="1" x14ac:dyDescent="0.3">
      <c r="A4950" s="20">
        <v>46547</v>
      </c>
      <c r="B4950" s="31"/>
      <c r="C4950" s="31"/>
      <c r="D4950" s="31"/>
      <c r="E4950" s="25"/>
      <c r="F4950" s="26"/>
    </row>
    <row r="4951" spans="1:6" ht="16.8" customHeight="1" x14ac:dyDescent="0.3">
      <c r="A4951" s="20">
        <v>46548</v>
      </c>
      <c r="B4951" s="31"/>
      <c r="C4951" s="31"/>
      <c r="D4951" s="31"/>
      <c r="E4951" s="25"/>
      <c r="F4951" s="26"/>
    </row>
    <row r="4952" spans="1:6" ht="16.8" customHeight="1" x14ac:dyDescent="0.3">
      <c r="A4952" s="20">
        <v>46549</v>
      </c>
      <c r="B4952" s="31"/>
      <c r="C4952" s="31"/>
      <c r="D4952" s="31"/>
      <c r="E4952" s="25"/>
      <c r="F4952" s="26"/>
    </row>
    <row r="4953" spans="1:6" ht="16.8" customHeight="1" x14ac:dyDescent="0.3">
      <c r="A4953" s="20">
        <v>46550</v>
      </c>
      <c r="B4953" s="31"/>
      <c r="C4953" s="31"/>
      <c r="D4953" s="31"/>
      <c r="E4953" s="25"/>
      <c r="F4953" s="26"/>
    </row>
    <row r="4954" spans="1:6" ht="16.8" customHeight="1" x14ac:dyDescent="0.3">
      <c r="A4954" s="20">
        <v>46551</v>
      </c>
      <c r="B4954" s="31"/>
      <c r="C4954" s="31"/>
      <c r="D4954" s="31"/>
      <c r="E4954" s="25"/>
      <c r="F4954" s="26"/>
    </row>
    <row r="4955" spans="1:6" ht="16.8" customHeight="1" x14ac:dyDescent="0.3">
      <c r="A4955" s="20">
        <v>46552</v>
      </c>
      <c r="B4955" s="31"/>
      <c r="C4955" s="31"/>
      <c r="D4955" s="31"/>
      <c r="E4955" s="25"/>
      <c r="F4955" s="26"/>
    </row>
    <row r="4956" spans="1:6" ht="16.8" customHeight="1" x14ac:dyDescent="0.3">
      <c r="A4956" s="20">
        <v>46553</v>
      </c>
      <c r="B4956" s="31"/>
      <c r="C4956" s="31"/>
      <c r="D4956" s="31"/>
      <c r="E4956" s="25"/>
      <c r="F4956" s="26"/>
    </row>
    <row r="4957" spans="1:6" ht="16.8" customHeight="1" x14ac:dyDescent="0.3">
      <c r="A4957" s="20">
        <v>46554</v>
      </c>
      <c r="B4957" s="31"/>
      <c r="C4957" s="31"/>
      <c r="D4957" s="31"/>
      <c r="E4957" s="25"/>
      <c r="F4957" s="26"/>
    </row>
    <row r="4958" spans="1:6" ht="16.8" customHeight="1" x14ac:dyDescent="0.3">
      <c r="A4958" s="20">
        <v>46555</v>
      </c>
      <c r="B4958" s="31"/>
      <c r="C4958" s="31"/>
      <c r="D4958" s="31"/>
      <c r="E4958" s="25"/>
      <c r="F4958" s="26"/>
    </row>
    <row r="4959" spans="1:6" ht="16.8" customHeight="1" x14ac:dyDescent="0.3">
      <c r="A4959" s="20">
        <v>46556</v>
      </c>
      <c r="B4959" s="31"/>
      <c r="C4959" s="31"/>
      <c r="D4959" s="31"/>
      <c r="E4959" s="25"/>
      <c r="F4959" s="26"/>
    </row>
    <row r="4960" spans="1:6" ht="16.8" customHeight="1" x14ac:dyDescent="0.3">
      <c r="A4960" s="20">
        <v>46557</v>
      </c>
      <c r="B4960" s="31"/>
      <c r="C4960" s="31"/>
      <c r="D4960" s="31"/>
      <c r="E4960" s="25"/>
      <c r="F4960" s="26"/>
    </row>
    <row r="4961" spans="1:6" ht="16.8" customHeight="1" x14ac:dyDescent="0.3">
      <c r="A4961" s="20">
        <v>46558</v>
      </c>
      <c r="B4961" s="31"/>
      <c r="C4961" s="31"/>
      <c r="D4961" s="31"/>
      <c r="E4961" s="25"/>
      <c r="F4961" s="26"/>
    </row>
    <row r="4962" spans="1:6" ht="16.8" customHeight="1" x14ac:dyDescent="0.3">
      <c r="A4962" s="20">
        <v>46559</v>
      </c>
      <c r="B4962" s="31"/>
      <c r="C4962" s="31"/>
      <c r="D4962" s="31"/>
      <c r="E4962" s="25"/>
      <c r="F4962" s="26"/>
    </row>
    <row r="4963" spans="1:6" ht="16.8" customHeight="1" x14ac:dyDescent="0.3">
      <c r="A4963" s="20">
        <v>46560</v>
      </c>
      <c r="B4963" s="31"/>
      <c r="C4963" s="31"/>
      <c r="D4963" s="31"/>
      <c r="E4963" s="25"/>
      <c r="F4963" s="26"/>
    </row>
    <row r="4964" spans="1:6" ht="16.8" customHeight="1" x14ac:dyDescent="0.3">
      <c r="A4964" s="20">
        <v>46561</v>
      </c>
      <c r="B4964" s="31"/>
      <c r="C4964" s="31"/>
      <c r="D4964" s="31"/>
      <c r="E4964" s="25"/>
      <c r="F4964" s="26"/>
    </row>
    <row r="4965" spans="1:6" ht="16.8" customHeight="1" x14ac:dyDescent="0.3">
      <c r="A4965" s="20">
        <v>46562</v>
      </c>
      <c r="B4965" s="31"/>
      <c r="C4965" s="31"/>
      <c r="D4965" s="31"/>
      <c r="E4965" s="25"/>
      <c r="F4965" s="26"/>
    </row>
    <row r="4966" spans="1:6" ht="16.8" customHeight="1" x14ac:dyDescent="0.3">
      <c r="A4966" s="20">
        <v>46563</v>
      </c>
      <c r="B4966" s="31"/>
      <c r="C4966" s="31"/>
      <c r="D4966" s="31"/>
      <c r="E4966" s="25"/>
      <c r="F4966" s="26"/>
    </row>
    <row r="4967" spans="1:6" ht="16.8" customHeight="1" x14ac:dyDescent="0.3">
      <c r="A4967" s="20">
        <v>46564</v>
      </c>
      <c r="B4967" s="31"/>
      <c r="C4967" s="31"/>
      <c r="D4967" s="31"/>
      <c r="E4967" s="25"/>
      <c r="F4967" s="26"/>
    </row>
    <row r="4968" spans="1:6" ht="16.8" customHeight="1" x14ac:dyDescent="0.3">
      <c r="A4968" s="20">
        <v>46565</v>
      </c>
      <c r="B4968" s="31"/>
      <c r="C4968" s="31"/>
      <c r="D4968" s="31"/>
      <c r="E4968" s="25"/>
      <c r="F4968" s="26"/>
    </row>
    <row r="4969" spans="1:6" ht="16.8" customHeight="1" x14ac:dyDescent="0.3">
      <c r="A4969" s="20">
        <v>46566</v>
      </c>
      <c r="B4969" s="31"/>
      <c r="C4969" s="31"/>
      <c r="D4969" s="31"/>
      <c r="E4969" s="25"/>
      <c r="F4969" s="26"/>
    </row>
    <row r="4970" spans="1:6" ht="16.8" customHeight="1" x14ac:dyDescent="0.3">
      <c r="A4970" s="20">
        <v>46567</v>
      </c>
      <c r="B4970" s="31"/>
      <c r="C4970" s="31"/>
      <c r="D4970" s="31"/>
      <c r="E4970" s="25"/>
      <c r="F4970" s="26"/>
    </row>
    <row r="4971" spans="1:6" ht="16.8" customHeight="1" x14ac:dyDescent="0.3">
      <c r="A4971" s="20">
        <v>46568</v>
      </c>
      <c r="B4971" s="31"/>
      <c r="C4971" s="31"/>
      <c r="D4971" s="31"/>
      <c r="E4971" s="25"/>
      <c r="F4971" s="26"/>
    </row>
    <row r="4972" spans="1:6" ht="16.8" customHeight="1" x14ac:dyDescent="0.3">
      <c r="A4972" s="20">
        <v>46569</v>
      </c>
      <c r="B4972" s="31"/>
      <c r="C4972" s="31"/>
      <c r="D4972" s="31"/>
      <c r="E4972" s="25"/>
      <c r="F4972" s="26"/>
    </row>
    <row r="4973" spans="1:6" ht="16.8" customHeight="1" x14ac:dyDescent="0.3">
      <c r="A4973" s="20">
        <v>46570</v>
      </c>
      <c r="B4973" s="31"/>
      <c r="C4973" s="31"/>
      <c r="D4973" s="31"/>
      <c r="E4973" s="25"/>
      <c r="F4973" s="26"/>
    </row>
    <row r="4974" spans="1:6" ht="16.8" customHeight="1" x14ac:dyDescent="0.3">
      <c r="A4974" s="20">
        <v>46571</v>
      </c>
      <c r="B4974" s="31"/>
      <c r="C4974" s="31"/>
      <c r="D4974" s="31"/>
      <c r="E4974" s="25"/>
      <c r="F4974" s="26"/>
    </row>
    <row r="4975" spans="1:6" ht="16.8" customHeight="1" x14ac:dyDescent="0.3">
      <c r="A4975" s="20">
        <v>46572</v>
      </c>
      <c r="B4975" s="31"/>
      <c r="C4975" s="31"/>
      <c r="D4975" s="31"/>
      <c r="E4975" s="25"/>
      <c r="F4975" s="26"/>
    </row>
    <row r="4976" spans="1:6" ht="16.8" customHeight="1" x14ac:dyDescent="0.3">
      <c r="A4976" s="20">
        <v>46573</v>
      </c>
      <c r="B4976" s="31"/>
      <c r="C4976" s="31"/>
      <c r="D4976" s="31"/>
      <c r="E4976" s="25"/>
      <c r="F4976" s="26"/>
    </row>
    <row r="4977" spans="1:6" ht="16.8" customHeight="1" x14ac:dyDescent="0.3">
      <c r="A4977" s="20">
        <v>46574</v>
      </c>
      <c r="B4977" s="31"/>
      <c r="C4977" s="31"/>
      <c r="D4977" s="31"/>
      <c r="E4977" s="25"/>
      <c r="F4977" s="26"/>
    </row>
    <row r="4978" spans="1:6" ht="16.8" customHeight="1" x14ac:dyDescent="0.3">
      <c r="A4978" s="20">
        <v>46575</v>
      </c>
      <c r="B4978" s="31"/>
      <c r="C4978" s="31"/>
      <c r="D4978" s="31"/>
      <c r="E4978" s="25"/>
      <c r="F4978" s="26"/>
    </row>
    <row r="4979" spans="1:6" ht="16.8" customHeight="1" x14ac:dyDescent="0.3">
      <c r="A4979" s="20">
        <v>46576</v>
      </c>
      <c r="B4979" s="31"/>
      <c r="C4979" s="31"/>
      <c r="D4979" s="31"/>
      <c r="E4979" s="25"/>
      <c r="F4979" s="26"/>
    </row>
    <row r="4980" spans="1:6" ht="16.8" customHeight="1" x14ac:dyDescent="0.3">
      <c r="A4980" s="20">
        <v>46577</v>
      </c>
      <c r="B4980" s="31"/>
      <c r="C4980" s="31"/>
      <c r="D4980" s="31"/>
      <c r="E4980" s="25"/>
      <c r="F4980" s="26"/>
    </row>
    <row r="4981" spans="1:6" ht="16.8" customHeight="1" x14ac:dyDescent="0.3">
      <c r="A4981" s="20">
        <v>46578</v>
      </c>
      <c r="B4981" s="31"/>
      <c r="C4981" s="31"/>
      <c r="D4981" s="31"/>
      <c r="E4981" s="25"/>
      <c r="F4981" s="26"/>
    </row>
    <row r="4982" spans="1:6" ht="16.8" customHeight="1" x14ac:dyDescent="0.3">
      <c r="A4982" s="20">
        <v>46579</v>
      </c>
      <c r="B4982" s="31"/>
      <c r="C4982" s="31"/>
      <c r="D4982" s="31"/>
      <c r="E4982" s="25"/>
      <c r="F4982" s="26"/>
    </row>
    <row r="4983" spans="1:6" ht="16.8" customHeight="1" x14ac:dyDescent="0.3">
      <c r="A4983" s="20">
        <v>46580</v>
      </c>
      <c r="B4983" s="31"/>
      <c r="C4983" s="31"/>
      <c r="D4983" s="31"/>
      <c r="E4983" s="25"/>
      <c r="F4983" s="26"/>
    </row>
    <row r="4984" spans="1:6" ht="16.8" customHeight="1" x14ac:dyDescent="0.3">
      <c r="A4984" s="20">
        <v>46581</v>
      </c>
      <c r="B4984" s="31"/>
      <c r="C4984" s="31"/>
      <c r="D4984" s="31"/>
      <c r="E4984" s="25"/>
      <c r="F4984" s="26"/>
    </row>
    <row r="4985" spans="1:6" ht="16.8" customHeight="1" x14ac:dyDescent="0.3">
      <c r="A4985" s="20">
        <v>46582</v>
      </c>
      <c r="B4985" s="31"/>
      <c r="C4985" s="31"/>
      <c r="D4985" s="31"/>
      <c r="E4985" s="25"/>
      <c r="F4985" s="26"/>
    </row>
    <row r="4986" spans="1:6" ht="16.8" customHeight="1" x14ac:dyDescent="0.3">
      <c r="A4986" s="20">
        <v>46583</v>
      </c>
      <c r="B4986" s="31"/>
      <c r="C4986" s="31"/>
      <c r="D4986" s="31"/>
      <c r="E4986" s="25"/>
      <c r="F4986" s="26"/>
    </row>
    <row r="4987" spans="1:6" ht="16.8" customHeight="1" x14ac:dyDescent="0.3">
      <c r="A4987" s="20">
        <v>46584</v>
      </c>
      <c r="B4987" s="31"/>
      <c r="C4987" s="31"/>
      <c r="D4987" s="31"/>
      <c r="E4987" s="25"/>
      <c r="F4987" s="26"/>
    </row>
    <row r="4988" spans="1:6" ht="16.8" customHeight="1" x14ac:dyDescent="0.3">
      <c r="A4988" s="20">
        <v>46585</v>
      </c>
      <c r="B4988" s="31"/>
      <c r="C4988" s="31"/>
      <c r="D4988" s="31"/>
      <c r="E4988" s="25"/>
      <c r="F4988" s="26"/>
    </row>
    <row r="4989" spans="1:6" ht="16.8" customHeight="1" x14ac:dyDescent="0.3">
      <c r="A4989" s="20">
        <v>46586</v>
      </c>
      <c r="B4989" s="31"/>
      <c r="C4989" s="31"/>
      <c r="D4989" s="31"/>
      <c r="E4989" s="25"/>
      <c r="F4989" s="26"/>
    </row>
    <row r="4990" spans="1:6" ht="16.8" customHeight="1" x14ac:dyDescent="0.3">
      <c r="A4990" s="20">
        <v>46587</v>
      </c>
      <c r="B4990" s="31"/>
      <c r="C4990" s="31"/>
      <c r="D4990" s="31"/>
      <c r="E4990" s="25"/>
      <c r="F4990" s="26"/>
    </row>
    <row r="4991" spans="1:6" ht="16.8" customHeight="1" x14ac:dyDescent="0.3">
      <c r="A4991" s="20">
        <v>46588</v>
      </c>
      <c r="B4991" s="31"/>
      <c r="C4991" s="31"/>
      <c r="D4991" s="31"/>
      <c r="E4991" s="25"/>
      <c r="F4991" s="26"/>
    </row>
    <row r="4992" spans="1:6" ht="16.8" customHeight="1" x14ac:dyDescent="0.3">
      <c r="A4992" s="20">
        <v>46589</v>
      </c>
      <c r="B4992" s="31"/>
      <c r="C4992" s="31"/>
      <c r="D4992" s="31"/>
      <c r="E4992" s="25"/>
      <c r="F4992" s="26"/>
    </row>
    <row r="4993" spans="1:6" ht="16.8" customHeight="1" x14ac:dyDescent="0.3">
      <c r="A4993" s="20">
        <v>46590</v>
      </c>
      <c r="B4993" s="31"/>
      <c r="C4993" s="31"/>
      <c r="D4993" s="31"/>
      <c r="E4993" s="25"/>
      <c r="F4993" s="26"/>
    </row>
    <row r="4994" spans="1:6" ht="16.8" customHeight="1" x14ac:dyDescent="0.3">
      <c r="A4994" s="20">
        <v>46591</v>
      </c>
      <c r="B4994" s="31"/>
      <c r="C4994" s="31"/>
      <c r="D4994" s="31"/>
      <c r="E4994" s="25"/>
      <c r="F4994" s="26"/>
    </row>
    <row r="4995" spans="1:6" ht="16.8" customHeight="1" x14ac:dyDescent="0.3">
      <c r="A4995" s="20">
        <v>46592</v>
      </c>
      <c r="B4995" s="31"/>
      <c r="C4995" s="31"/>
      <c r="D4995" s="31"/>
      <c r="E4995" s="25"/>
      <c r="F4995" s="26"/>
    </row>
    <row r="4996" spans="1:6" ht="16.8" customHeight="1" x14ac:dyDescent="0.3">
      <c r="A4996" s="20">
        <v>46593</v>
      </c>
      <c r="B4996" s="31"/>
      <c r="C4996" s="31"/>
      <c r="D4996" s="31"/>
      <c r="E4996" s="25"/>
      <c r="F4996" s="26"/>
    </row>
    <row r="4997" spans="1:6" ht="16.8" customHeight="1" x14ac:dyDescent="0.3">
      <c r="A4997" s="20">
        <v>46594</v>
      </c>
      <c r="B4997" s="31"/>
      <c r="C4997" s="31"/>
      <c r="D4997" s="31"/>
      <c r="E4997" s="25"/>
      <c r="F4997" s="26"/>
    </row>
    <row r="4998" spans="1:6" ht="16.8" customHeight="1" x14ac:dyDescent="0.3">
      <c r="A4998" s="20">
        <v>46595</v>
      </c>
      <c r="B4998" s="31"/>
      <c r="C4998" s="31"/>
      <c r="D4998" s="31"/>
      <c r="E4998" s="25"/>
      <c r="F4998" s="26"/>
    </row>
    <row r="4999" spans="1:6" ht="16.8" customHeight="1" x14ac:dyDescent="0.3">
      <c r="A4999" s="20">
        <v>46596</v>
      </c>
      <c r="B4999" s="31"/>
      <c r="C4999" s="31"/>
      <c r="D4999" s="31"/>
      <c r="E4999" s="25"/>
      <c r="F4999" s="26"/>
    </row>
    <row r="5000" spans="1:6" ht="16.8" customHeight="1" x14ac:dyDescent="0.3">
      <c r="A5000" s="20">
        <v>46597</v>
      </c>
      <c r="B5000" s="31"/>
      <c r="C5000" s="31"/>
      <c r="D5000" s="31"/>
      <c r="E5000" s="25"/>
      <c r="F5000" s="26"/>
    </row>
    <row r="5001" spans="1:6" ht="16.8" customHeight="1" x14ac:dyDescent="0.3">
      <c r="A5001" s="20">
        <v>46598</v>
      </c>
      <c r="B5001" s="31"/>
      <c r="C5001" s="31"/>
      <c r="D5001" s="31"/>
      <c r="E5001" s="25"/>
      <c r="F5001" s="26"/>
    </row>
    <row r="5002" spans="1:6" ht="16.8" customHeight="1" x14ac:dyDescent="0.3">
      <c r="A5002" s="20">
        <v>46599</v>
      </c>
      <c r="B5002" s="31"/>
      <c r="C5002" s="31"/>
      <c r="D5002" s="31"/>
      <c r="E5002" s="25"/>
      <c r="F5002" s="26"/>
    </row>
    <row r="5003" spans="1:6" ht="16.8" customHeight="1" x14ac:dyDescent="0.3">
      <c r="A5003" s="20">
        <v>46600</v>
      </c>
      <c r="B5003" s="31"/>
      <c r="C5003" s="31"/>
      <c r="D5003" s="31"/>
      <c r="E5003" s="25"/>
      <c r="F5003" s="26"/>
    </row>
    <row r="5004" spans="1:6" ht="16.8" customHeight="1" x14ac:dyDescent="0.3">
      <c r="A5004" s="20">
        <v>46601</v>
      </c>
      <c r="B5004" s="31"/>
      <c r="C5004" s="31"/>
      <c r="D5004" s="31"/>
      <c r="E5004" s="25"/>
      <c r="F5004" s="26"/>
    </row>
    <row r="5005" spans="1:6" ht="16.8" customHeight="1" x14ac:dyDescent="0.3">
      <c r="A5005" s="20">
        <v>46602</v>
      </c>
      <c r="B5005" s="31"/>
      <c r="C5005" s="31"/>
      <c r="D5005" s="31"/>
      <c r="E5005" s="25"/>
      <c r="F5005" s="26"/>
    </row>
    <row r="5006" spans="1:6" ht="16.8" customHeight="1" x14ac:dyDescent="0.3">
      <c r="A5006" s="20">
        <v>46603</v>
      </c>
      <c r="B5006" s="31"/>
      <c r="C5006" s="31"/>
      <c r="D5006" s="31"/>
      <c r="E5006" s="25"/>
      <c r="F5006" s="26"/>
    </row>
    <row r="5007" spans="1:6" ht="16.8" customHeight="1" x14ac:dyDescent="0.3">
      <c r="A5007" s="20">
        <v>46604</v>
      </c>
      <c r="B5007" s="31"/>
      <c r="C5007" s="31"/>
      <c r="D5007" s="31"/>
      <c r="E5007" s="25"/>
      <c r="F5007" s="26"/>
    </row>
    <row r="5008" spans="1:6" ht="16.8" customHeight="1" x14ac:dyDescent="0.3">
      <c r="A5008" s="20">
        <v>46605</v>
      </c>
      <c r="B5008" s="31"/>
      <c r="C5008" s="31"/>
      <c r="D5008" s="31"/>
      <c r="E5008" s="25"/>
      <c r="F5008" s="26"/>
    </row>
    <row r="5009" spans="1:6" ht="16.8" customHeight="1" x14ac:dyDescent="0.3">
      <c r="A5009" s="20">
        <v>46606</v>
      </c>
      <c r="B5009" s="31"/>
      <c r="C5009" s="31"/>
      <c r="D5009" s="31"/>
      <c r="E5009" s="25"/>
      <c r="F5009" s="26"/>
    </row>
    <row r="5010" spans="1:6" ht="16.8" customHeight="1" x14ac:dyDescent="0.3">
      <c r="A5010" s="20">
        <v>46607</v>
      </c>
      <c r="B5010" s="31"/>
      <c r="C5010" s="31"/>
      <c r="D5010" s="31"/>
      <c r="E5010" s="25"/>
      <c r="F5010" s="26"/>
    </row>
    <row r="5011" spans="1:6" ht="16.8" customHeight="1" x14ac:dyDescent="0.3">
      <c r="A5011" s="20">
        <v>46608</v>
      </c>
      <c r="B5011" s="31"/>
      <c r="C5011" s="31"/>
      <c r="D5011" s="31"/>
      <c r="E5011" s="25"/>
      <c r="F5011" s="26"/>
    </row>
    <row r="5012" spans="1:6" ht="16.8" customHeight="1" x14ac:dyDescent="0.3">
      <c r="A5012" s="20">
        <v>46609</v>
      </c>
      <c r="B5012" s="31"/>
      <c r="C5012" s="31"/>
      <c r="D5012" s="31"/>
      <c r="E5012" s="25"/>
      <c r="F5012" s="26"/>
    </row>
    <row r="5013" spans="1:6" ht="16.8" customHeight="1" x14ac:dyDescent="0.3">
      <c r="A5013" s="20">
        <v>46610</v>
      </c>
      <c r="B5013" s="31"/>
      <c r="C5013" s="31"/>
      <c r="D5013" s="31"/>
      <c r="E5013" s="25"/>
      <c r="F5013" s="26"/>
    </row>
    <row r="5014" spans="1:6" ht="16.8" customHeight="1" x14ac:dyDescent="0.3">
      <c r="A5014" s="20">
        <v>46611</v>
      </c>
      <c r="B5014" s="31"/>
      <c r="C5014" s="31"/>
      <c r="D5014" s="31"/>
      <c r="E5014" s="25"/>
      <c r="F5014" s="26"/>
    </row>
    <row r="5015" spans="1:6" ht="16.8" customHeight="1" x14ac:dyDescent="0.3">
      <c r="A5015" s="20">
        <v>46612</v>
      </c>
      <c r="B5015" s="31"/>
      <c r="C5015" s="31"/>
      <c r="D5015" s="31"/>
      <c r="E5015" s="25"/>
      <c r="F5015" s="26"/>
    </row>
    <row r="5016" spans="1:6" ht="16.8" customHeight="1" x14ac:dyDescent="0.3">
      <c r="A5016" s="20">
        <v>46613</v>
      </c>
      <c r="B5016" s="31"/>
      <c r="C5016" s="31"/>
      <c r="D5016" s="31"/>
      <c r="E5016" s="25"/>
      <c r="F5016" s="26"/>
    </row>
    <row r="5017" spans="1:6" ht="16.8" customHeight="1" x14ac:dyDescent="0.3">
      <c r="A5017" s="20">
        <v>46614</v>
      </c>
      <c r="B5017" s="31"/>
      <c r="C5017" s="31"/>
      <c r="D5017" s="31"/>
      <c r="E5017" s="25"/>
      <c r="F5017" s="26"/>
    </row>
    <row r="5018" spans="1:6" ht="16.8" customHeight="1" x14ac:dyDescent="0.3">
      <c r="A5018" s="20">
        <v>46615</v>
      </c>
      <c r="B5018" s="31"/>
      <c r="C5018" s="31"/>
      <c r="D5018" s="31"/>
      <c r="E5018" s="25"/>
      <c r="F5018" s="26"/>
    </row>
    <row r="5019" spans="1:6" ht="16.8" customHeight="1" x14ac:dyDescent="0.3">
      <c r="A5019" s="20">
        <v>46616</v>
      </c>
      <c r="B5019" s="31"/>
      <c r="C5019" s="31"/>
      <c r="D5019" s="31"/>
      <c r="E5019" s="25"/>
      <c r="F5019" s="26"/>
    </row>
    <row r="5020" spans="1:6" ht="16.8" customHeight="1" x14ac:dyDescent="0.3">
      <c r="A5020" s="20">
        <v>46617</v>
      </c>
      <c r="B5020" s="31"/>
      <c r="C5020" s="31"/>
      <c r="D5020" s="31"/>
      <c r="E5020" s="25"/>
      <c r="F5020" s="26"/>
    </row>
    <row r="5021" spans="1:6" ht="16.8" customHeight="1" x14ac:dyDescent="0.3">
      <c r="A5021" s="20">
        <v>46618</v>
      </c>
      <c r="B5021" s="31"/>
      <c r="C5021" s="31"/>
      <c r="D5021" s="31"/>
      <c r="E5021" s="25"/>
      <c r="F5021" s="26"/>
    </row>
    <row r="5022" spans="1:6" ht="16.8" customHeight="1" x14ac:dyDescent="0.3">
      <c r="A5022" s="20">
        <v>46619</v>
      </c>
      <c r="B5022" s="31"/>
      <c r="C5022" s="31"/>
      <c r="D5022" s="31"/>
      <c r="E5022" s="25"/>
      <c r="F5022" s="26"/>
    </row>
    <row r="5023" spans="1:6" ht="16.8" customHeight="1" x14ac:dyDescent="0.3">
      <c r="A5023" s="20">
        <v>46620</v>
      </c>
      <c r="B5023" s="31"/>
      <c r="C5023" s="31"/>
      <c r="D5023" s="31"/>
      <c r="E5023" s="25"/>
      <c r="F5023" s="26"/>
    </row>
    <row r="5024" spans="1:6" ht="16.8" customHeight="1" x14ac:dyDescent="0.3">
      <c r="A5024" s="20">
        <v>46621</v>
      </c>
      <c r="B5024" s="31"/>
      <c r="C5024" s="31"/>
      <c r="D5024" s="31"/>
      <c r="E5024" s="25"/>
      <c r="F5024" s="26"/>
    </row>
    <row r="5025" spans="1:6" ht="16.8" customHeight="1" x14ac:dyDescent="0.3">
      <c r="A5025" s="20">
        <v>46622</v>
      </c>
      <c r="B5025" s="31"/>
      <c r="C5025" s="31"/>
      <c r="D5025" s="31"/>
      <c r="E5025" s="25"/>
      <c r="F5025" s="26"/>
    </row>
    <row r="5026" spans="1:6" ht="16.8" customHeight="1" x14ac:dyDescent="0.3">
      <c r="A5026" s="20">
        <v>46623</v>
      </c>
      <c r="B5026" s="31"/>
      <c r="C5026" s="31"/>
      <c r="D5026" s="31"/>
      <c r="E5026" s="25"/>
      <c r="F5026" s="26"/>
    </row>
    <row r="5027" spans="1:6" ht="16.8" customHeight="1" x14ac:dyDescent="0.3">
      <c r="A5027" s="20">
        <v>46624</v>
      </c>
      <c r="B5027" s="31"/>
      <c r="C5027" s="31"/>
      <c r="D5027" s="31"/>
      <c r="E5027" s="25"/>
      <c r="F5027" s="26"/>
    </row>
    <row r="5028" spans="1:6" ht="16.8" customHeight="1" x14ac:dyDescent="0.3">
      <c r="A5028" s="20">
        <v>46625</v>
      </c>
      <c r="B5028" s="31"/>
      <c r="C5028" s="31"/>
      <c r="D5028" s="31"/>
      <c r="E5028" s="25"/>
      <c r="F5028" s="26"/>
    </row>
    <row r="5029" spans="1:6" ht="16.8" customHeight="1" x14ac:dyDescent="0.3">
      <c r="A5029" s="20">
        <v>46626</v>
      </c>
      <c r="B5029" s="31"/>
      <c r="C5029" s="31"/>
      <c r="D5029" s="31"/>
      <c r="E5029" s="25"/>
      <c r="F5029" s="26"/>
    </row>
    <row r="5030" spans="1:6" ht="16.8" customHeight="1" x14ac:dyDescent="0.3">
      <c r="A5030" s="20">
        <v>46627</v>
      </c>
      <c r="B5030" s="31"/>
      <c r="C5030" s="31"/>
      <c r="D5030" s="31"/>
      <c r="E5030" s="25"/>
      <c r="F5030" s="26"/>
    </row>
    <row r="5031" spans="1:6" ht="16.8" customHeight="1" x14ac:dyDescent="0.3">
      <c r="A5031" s="20">
        <v>46628</v>
      </c>
      <c r="B5031" s="31"/>
      <c r="C5031" s="31"/>
      <c r="D5031" s="31"/>
      <c r="E5031" s="25"/>
      <c r="F5031" s="26"/>
    </row>
    <row r="5032" spans="1:6" ht="16.8" customHeight="1" x14ac:dyDescent="0.3">
      <c r="A5032" s="20">
        <v>46629</v>
      </c>
      <c r="B5032" s="31"/>
      <c r="C5032" s="31"/>
      <c r="D5032" s="31"/>
      <c r="E5032" s="25"/>
      <c r="F5032" s="26"/>
    </row>
    <row r="5033" spans="1:6" ht="16.8" customHeight="1" x14ac:dyDescent="0.3">
      <c r="A5033" s="20">
        <v>46630</v>
      </c>
      <c r="B5033" s="31"/>
      <c r="C5033" s="31"/>
      <c r="D5033" s="31"/>
      <c r="E5033" s="25"/>
      <c r="F5033" s="26"/>
    </row>
    <row r="5034" spans="1:6" ht="16.8" customHeight="1" x14ac:dyDescent="0.3">
      <c r="A5034" s="20">
        <v>46631</v>
      </c>
      <c r="B5034" s="31"/>
      <c r="C5034" s="31"/>
      <c r="D5034" s="31"/>
      <c r="E5034" s="25"/>
      <c r="F5034" s="26"/>
    </row>
    <row r="5035" spans="1:6" ht="16.8" customHeight="1" x14ac:dyDescent="0.3">
      <c r="A5035" s="20">
        <v>46632</v>
      </c>
      <c r="B5035" s="31"/>
      <c r="C5035" s="31"/>
      <c r="D5035" s="31"/>
      <c r="E5035" s="25"/>
      <c r="F5035" s="26"/>
    </row>
    <row r="5036" spans="1:6" ht="16.8" customHeight="1" x14ac:dyDescent="0.3">
      <c r="A5036" s="20">
        <v>46633</v>
      </c>
      <c r="B5036" s="31"/>
      <c r="C5036" s="31"/>
      <c r="D5036" s="31"/>
      <c r="E5036" s="25"/>
      <c r="F5036" s="26"/>
    </row>
    <row r="5037" spans="1:6" ht="16.8" customHeight="1" x14ac:dyDescent="0.3">
      <c r="A5037" s="20">
        <v>46634</v>
      </c>
      <c r="B5037" s="31"/>
      <c r="C5037" s="31"/>
      <c r="D5037" s="31"/>
      <c r="E5037" s="25"/>
      <c r="F5037" s="26"/>
    </row>
    <row r="5038" spans="1:6" ht="16.8" customHeight="1" x14ac:dyDescent="0.3">
      <c r="A5038" s="20">
        <v>46635</v>
      </c>
      <c r="B5038" s="31"/>
      <c r="C5038" s="31"/>
      <c r="D5038" s="31"/>
      <c r="E5038" s="25"/>
      <c r="F5038" s="26"/>
    </row>
    <row r="5039" spans="1:6" ht="16.8" customHeight="1" x14ac:dyDescent="0.3">
      <c r="A5039" s="20">
        <v>46636</v>
      </c>
      <c r="B5039" s="31"/>
      <c r="C5039" s="31"/>
      <c r="D5039" s="31"/>
      <c r="E5039" s="25"/>
      <c r="F5039" s="26"/>
    </row>
    <row r="5040" spans="1:6" ht="16.8" customHeight="1" x14ac:dyDescent="0.3">
      <c r="A5040" s="20">
        <v>46637</v>
      </c>
      <c r="B5040" s="31"/>
      <c r="C5040" s="31"/>
      <c r="D5040" s="31"/>
      <c r="E5040" s="25"/>
      <c r="F5040" s="26"/>
    </row>
    <row r="5041" spans="1:6" ht="16.8" customHeight="1" x14ac:dyDescent="0.3">
      <c r="A5041" s="20">
        <v>46638</v>
      </c>
      <c r="B5041" s="31"/>
      <c r="C5041" s="31"/>
      <c r="D5041" s="31"/>
      <c r="E5041" s="25"/>
      <c r="F5041" s="26"/>
    </row>
    <row r="5042" spans="1:6" ht="16.8" customHeight="1" x14ac:dyDescent="0.3">
      <c r="A5042" s="20">
        <v>46639</v>
      </c>
      <c r="B5042" s="31"/>
      <c r="C5042" s="31"/>
      <c r="D5042" s="31"/>
      <c r="E5042" s="25"/>
      <c r="F5042" s="26"/>
    </row>
    <row r="5043" spans="1:6" ht="16.8" customHeight="1" x14ac:dyDescent="0.3">
      <c r="A5043" s="20">
        <v>46640</v>
      </c>
      <c r="B5043" s="31"/>
      <c r="C5043" s="31"/>
      <c r="D5043" s="31"/>
      <c r="E5043" s="25"/>
      <c r="F5043" s="26"/>
    </row>
    <row r="5044" spans="1:6" ht="16.8" customHeight="1" x14ac:dyDescent="0.3">
      <c r="A5044" s="20">
        <v>46641</v>
      </c>
      <c r="B5044" s="31"/>
      <c r="C5044" s="31"/>
      <c r="D5044" s="31"/>
      <c r="E5044" s="25"/>
      <c r="F5044" s="26"/>
    </row>
    <row r="5045" spans="1:6" ht="16.8" customHeight="1" x14ac:dyDescent="0.3">
      <c r="A5045" s="20">
        <v>46642</v>
      </c>
      <c r="B5045" s="31"/>
      <c r="C5045" s="31"/>
      <c r="D5045" s="31"/>
      <c r="E5045" s="25"/>
      <c r="F5045" s="26"/>
    </row>
    <row r="5046" spans="1:6" ht="16.8" customHeight="1" x14ac:dyDescent="0.3">
      <c r="A5046" s="20">
        <v>46643</v>
      </c>
      <c r="B5046" s="31"/>
      <c r="C5046" s="31"/>
      <c r="D5046" s="31"/>
      <c r="E5046" s="25"/>
      <c r="F5046" s="26"/>
    </row>
    <row r="5047" spans="1:6" ht="16.8" customHeight="1" x14ac:dyDescent="0.3">
      <c r="A5047" s="20">
        <v>46644</v>
      </c>
      <c r="B5047" s="31"/>
      <c r="C5047" s="31"/>
      <c r="D5047" s="31"/>
      <c r="E5047" s="25"/>
      <c r="F5047" s="26"/>
    </row>
    <row r="5048" spans="1:6" ht="16.8" customHeight="1" x14ac:dyDescent="0.3">
      <c r="A5048" s="20">
        <v>46645</v>
      </c>
      <c r="B5048" s="31"/>
      <c r="C5048" s="31"/>
      <c r="D5048" s="31"/>
      <c r="E5048" s="25"/>
      <c r="F5048" s="26"/>
    </row>
    <row r="5049" spans="1:6" ht="16.8" customHeight="1" x14ac:dyDescent="0.3">
      <c r="A5049" s="20">
        <v>46646</v>
      </c>
      <c r="B5049" s="31"/>
      <c r="C5049" s="31"/>
      <c r="D5049" s="31"/>
      <c r="E5049" s="25"/>
      <c r="F5049" s="26"/>
    </row>
    <row r="5050" spans="1:6" ht="16.8" customHeight="1" x14ac:dyDescent="0.3">
      <c r="A5050" s="20">
        <v>46647</v>
      </c>
      <c r="B5050" s="31"/>
      <c r="C5050" s="31"/>
      <c r="D5050" s="31"/>
      <c r="E5050" s="25"/>
      <c r="F5050" s="26"/>
    </row>
    <row r="5051" spans="1:6" ht="16.8" customHeight="1" x14ac:dyDescent="0.3">
      <c r="A5051" s="20">
        <v>46648</v>
      </c>
      <c r="B5051" s="31"/>
      <c r="C5051" s="31"/>
      <c r="D5051" s="31"/>
      <c r="E5051" s="25"/>
      <c r="F5051" s="26"/>
    </row>
    <row r="5052" spans="1:6" ht="16.8" customHeight="1" x14ac:dyDescent="0.3">
      <c r="A5052" s="20">
        <v>46649</v>
      </c>
      <c r="B5052" s="31"/>
      <c r="C5052" s="31"/>
      <c r="D5052" s="31"/>
      <c r="E5052" s="25"/>
      <c r="F5052" s="26"/>
    </row>
    <row r="5053" spans="1:6" ht="16.8" customHeight="1" x14ac:dyDescent="0.3">
      <c r="A5053" s="20">
        <v>46650</v>
      </c>
      <c r="B5053" s="31"/>
      <c r="C5053" s="31"/>
      <c r="D5053" s="31"/>
      <c r="E5053" s="25"/>
      <c r="F5053" s="26"/>
    </row>
    <row r="5054" spans="1:6" ht="16.8" customHeight="1" x14ac:dyDescent="0.3">
      <c r="A5054" s="20">
        <v>46651</v>
      </c>
      <c r="B5054" s="31"/>
      <c r="C5054" s="31"/>
      <c r="D5054" s="31"/>
      <c r="E5054" s="25"/>
      <c r="F5054" s="26"/>
    </row>
    <row r="5055" spans="1:6" ht="16.8" customHeight="1" x14ac:dyDescent="0.3">
      <c r="A5055" s="20">
        <v>46652</v>
      </c>
      <c r="B5055" s="31"/>
      <c r="C5055" s="31"/>
      <c r="D5055" s="31"/>
      <c r="E5055" s="25"/>
      <c r="F5055" s="26"/>
    </row>
    <row r="5056" spans="1:6" ht="16.8" customHeight="1" x14ac:dyDescent="0.3">
      <c r="A5056" s="20">
        <v>46653</v>
      </c>
      <c r="B5056" s="31"/>
      <c r="C5056" s="31"/>
      <c r="D5056" s="31"/>
      <c r="E5056" s="25"/>
      <c r="F5056" s="26"/>
    </row>
    <row r="5057" spans="1:6" ht="16.8" customHeight="1" x14ac:dyDescent="0.3">
      <c r="A5057" s="20">
        <v>46654</v>
      </c>
      <c r="B5057" s="31"/>
      <c r="C5057" s="31"/>
      <c r="D5057" s="31"/>
      <c r="E5057" s="25"/>
      <c r="F5057" s="26"/>
    </row>
    <row r="5058" spans="1:6" ht="16.8" customHeight="1" x14ac:dyDescent="0.3">
      <c r="A5058" s="20">
        <v>46655</v>
      </c>
      <c r="B5058" s="31"/>
      <c r="C5058" s="31"/>
      <c r="D5058" s="31"/>
      <c r="E5058" s="25"/>
      <c r="F5058" s="26"/>
    </row>
    <row r="5059" spans="1:6" ht="16.8" customHeight="1" x14ac:dyDescent="0.3">
      <c r="A5059" s="20">
        <v>46656</v>
      </c>
      <c r="B5059" s="31"/>
      <c r="C5059" s="31"/>
      <c r="D5059" s="31"/>
      <c r="E5059" s="25"/>
      <c r="F5059" s="26"/>
    </row>
    <row r="5060" spans="1:6" ht="16.8" customHeight="1" x14ac:dyDescent="0.3">
      <c r="A5060" s="20">
        <v>46657</v>
      </c>
      <c r="B5060" s="31"/>
      <c r="C5060" s="31"/>
      <c r="D5060" s="31"/>
      <c r="E5060" s="25"/>
      <c r="F5060" s="26"/>
    </row>
    <row r="5061" spans="1:6" ht="16.8" customHeight="1" x14ac:dyDescent="0.3">
      <c r="A5061" s="20">
        <v>46658</v>
      </c>
      <c r="B5061" s="31"/>
      <c r="C5061" s="31"/>
      <c r="D5061" s="31"/>
      <c r="E5061" s="25"/>
      <c r="F5061" s="26"/>
    </row>
    <row r="5062" spans="1:6" ht="16.8" customHeight="1" x14ac:dyDescent="0.3">
      <c r="A5062" s="20">
        <v>46659</v>
      </c>
      <c r="B5062" s="31"/>
      <c r="C5062" s="31"/>
      <c r="D5062" s="31"/>
      <c r="E5062" s="25"/>
      <c r="F5062" s="26"/>
    </row>
    <row r="5063" spans="1:6" ht="16.8" customHeight="1" x14ac:dyDescent="0.3">
      <c r="A5063" s="20">
        <v>46660</v>
      </c>
      <c r="B5063" s="31"/>
      <c r="C5063" s="31"/>
      <c r="D5063" s="31"/>
      <c r="E5063" s="25"/>
      <c r="F5063" s="26"/>
    </row>
    <row r="5064" spans="1:6" ht="16.8" customHeight="1" x14ac:dyDescent="0.3">
      <c r="A5064" s="20">
        <v>46661</v>
      </c>
      <c r="B5064" s="31"/>
      <c r="C5064" s="31"/>
      <c r="D5064" s="31"/>
      <c r="E5064" s="25"/>
      <c r="F5064" s="26"/>
    </row>
    <row r="5065" spans="1:6" ht="16.8" customHeight="1" x14ac:dyDescent="0.3">
      <c r="A5065" s="20">
        <v>46662</v>
      </c>
      <c r="B5065" s="31"/>
      <c r="C5065" s="31"/>
      <c r="D5065" s="31"/>
      <c r="E5065" s="25"/>
      <c r="F5065" s="26"/>
    </row>
    <row r="5066" spans="1:6" ht="16.8" customHeight="1" x14ac:dyDescent="0.3">
      <c r="A5066" s="20">
        <v>46663</v>
      </c>
      <c r="B5066" s="31"/>
      <c r="C5066" s="31"/>
      <c r="D5066" s="31"/>
      <c r="E5066" s="25"/>
      <c r="F5066" s="26"/>
    </row>
    <row r="5067" spans="1:6" ht="16.8" customHeight="1" x14ac:dyDescent="0.3">
      <c r="A5067" s="20">
        <v>46664</v>
      </c>
      <c r="B5067" s="31"/>
      <c r="C5067" s="31"/>
      <c r="D5067" s="31"/>
      <c r="E5067" s="25"/>
      <c r="F5067" s="26"/>
    </row>
    <row r="5068" spans="1:6" ht="16.8" customHeight="1" x14ac:dyDescent="0.3">
      <c r="A5068" s="20">
        <v>46665</v>
      </c>
      <c r="B5068" s="31"/>
      <c r="C5068" s="31"/>
      <c r="D5068" s="31"/>
      <c r="E5068" s="25"/>
      <c r="F5068" s="26"/>
    </row>
    <row r="5069" spans="1:6" ht="16.8" customHeight="1" x14ac:dyDescent="0.3">
      <c r="A5069" s="20">
        <v>46666</v>
      </c>
      <c r="B5069" s="31"/>
      <c r="C5069" s="31"/>
      <c r="D5069" s="31"/>
      <c r="E5069" s="25"/>
      <c r="F5069" s="26"/>
    </row>
    <row r="5070" spans="1:6" ht="16.8" customHeight="1" x14ac:dyDescent="0.3">
      <c r="A5070" s="20">
        <v>46667</v>
      </c>
      <c r="B5070" s="31"/>
      <c r="C5070" s="31"/>
      <c r="D5070" s="31"/>
      <c r="E5070" s="25"/>
      <c r="F5070" s="26"/>
    </row>
    <row r="5071" spans="1:6" ht="16.8" customHeight="1" x14ac:dyDescent="0.3">
      <c r="A5071" s="20">
        <v>46668</v>
      </c>
      <c r="B5071" s="31"/>
      <c r="C5071" s="31"/>
      <c r="D5071" s="31"/>
      <c r="E5071" s="25"/>
      <c r="F5071" s="26"/>
    </row>
    <row r="5072" spans="1:6" ht="16.8" customHeight="1" x14ac:dyDescent="0.3">
      <c r="A5072" s="20">
        <v>46669</v>
      </c>
      <c r="B5072" s="31"/>
      <c r="C5072" s="31"/>
      <c r="D5072" s="31"/>
      <c r="E5072" s="25"/>
      <c r="F5072" s="26"/>
    </row>
    <row r="5073" spans="1:6" ht="16.8" customHeight="1" x14ac:dyDescent="0.3">
      <c r="A5073" s="20">
        <v>46670</v>
      </c>
      <c r="B5073" s="31"/>
      <c r="C5073" s="31"/>
      <c r="D5073" s="31"/>
      <c r="E5073" s="25"/>
      <c r="F5073" s="26"/>
    </row>
    <row r="5074" spans="1:6" ht="16.8" customHeight="1" x14ac:dyDescent="0.3">
      <c r="A5074" s="20">
        <v>46671</v>
      </c>
      <c r="B5074" s="31"/>
      <c r="C5074" s="31"/>
      <c r="D5074" s="31"/>
      <c r="E5074" s="25"/>
      <c r="F5074" s="26"/>
    </row>
    <row r="5075" spans="1:6" ht="16.8" customHeight="1" x14ac:dyDescent="0.3">
      <c r="A5075" s="20">
        <v>46672</v>
      </c>
      <c r="B5075" s="31"/>
      <c r="C5075" s="31"/>
      <c r="D5075" s="31"/>
      <c r="E5075" s="25"/>
      <c r="F5075" s="26"/>
    </row>
    <row r="5076" spans="1:6" ht="16.8" customHeight="1" x14ac:dyDescent="0.3">
      <c r="A5076" s="20">
        <v>46673</v>
      </c>
      <c r="B5076" s="31"/>
      <c r="C5076" s="31"/>
      <c r="D5076" s="31"/>
      <c r="E5076" s="25"/>
      <c r="F5076" s="26"/>
    </row>
    <row r="5077" spans="1:6" ht="16.8" customHeight="1" x14ac:dyDescent="0.3">
      <c r="A5077" s="20">
        <v>46674</v>
      </c>
      <c r="B5077" s="31"/>
      <c r="C5077" s="31"/>
      <c r="D5077" s="31"/>
      <c r="E5077" s="25"/>
      <c r="F5077" s="26"/>
    </row>
    <row r="5078" spans="1:6" ht="16.8" customHeight="1" x14ac:dyDescent="0.3">
      <c r="A5078" s="20">
        <v>46675</v>
      </c>
      <c r="B5078" s="31"/>
      <c r="C5078" s="31"/>
      <c r="D5078" s="31"/>
      <c r="E5078" s="25"/>
      <c r="F5078" s="26"/>
    </row>
    <row r="5079" spans="1:6" ht="16.8" customHeight="1" x14ac:dyDescent="0.3">
      <c r="A5079" s="20">
        <v>46676</v>
      </c>
      <c r="B5079" s="31"/>
      <c r="C5079" s="31"/>
      <c r="D5079" s="31"/>
      <c r="E5079" s="25"/>
      <c r="F5079" s="26"/>
    </row>
    <row r="5080" spans="1:6" ht="16.8" customHeight="1" x14ac:dyDescent="0.3">
      <c r="A5080" s="20">
        <v>46677</v>
      </c>
      <c r="B5080" s="31"/>
      <c r="C5080" s="31"/>
      <c r="D5080" s="31"/>
      <c r="E5080" s="25"/>
      <c r="F5080" s="26"/>
    </row>
    <row r="5081" spans="1:6" ht="16.8" customHeight="1" x14ac:dyDescent="0.3">
      <c r="A5081" s="20">
        <v>46678</v>
      </c>
      <c r="B5081" s="31"/>
      <c r="C5081" s="31"/>
      <c r="D5081" s="31"/>
      <c r="E5081" s="25"/>
      <c r="F5081" s="26"/>
    </row>
    <row r="5082" spans="1:6" ht="16.8" customHeight="1" x14ac:dyDescent="0.3">
      <c r="A5082" s="20">
        <v>46679</v>
      </c>
      <c r="B5082" s="31"/>
      <c r="C5082" s="31"/>
      <c r="D5082" s="31"/>
      <c r="E5082" s="25"/>
      <c r="F5082" s="26"/>
    </row>
    <row r="5083" spans="1:6" ht="16.8" customHeight="1" x14ac:dyDescent="0.3">
      <c r="A5083" s="20">
        <v>46680</v>
      </c>
      <c r="B5083" s="31"/>
      <c r="C5083" s="31"/>
      <c r="D5083" s="31"/>
      <c r="E5083" s="25"/>
      <c r="F5083" s="26"/>
    </row>
    <row r="5084" spans="1:6" ht="16.8" customHeight="1" x14ac:dyDescent="0.3">
      <c r="A5084" s="20">
        <v>46681</v>
      </c>
      <c r="B5084" s="31"/>
      <c r="C5084" s="31"/>
      <c r="D5084" s="31"/>
      <c r="E5084" s="25"/>
      <c r="F5084" s="26"/>
    </row>
    <row r="5085" spans="1:6" ht="16.8" customHeight="1" x14ac:dyDescent="0.3">
      <c r="A5085" s="20">
        <v>46682</v>
      </c>
      <c r="B5085" s="31"/>
      <c r="C5085" s="31"/>
      <c r="D5085" s="31"/>
      <c r="E5085" s="25"/>
      <c r="F5085" s="26"/>
    </row>
    <row r="5086" spans="1:6" ht="16.8" customHeight="1" x14ac:dyDescent="0.3">
      <c r="A5086" s="20">
        <v>46683</v>
      </c>
      <c r="B5086" s="31"/>
      <c r="C5086" s="31"/>
      <c r="D5086" s="31"/>
      <c r="E5086" s="25"/>
      <c r="F5086" s="26"/>
    </row>
    <row r="5087" spans="1:6" ht="16.8" customHeight="1" x14ac:dyDescent="0.3">
      <c r="A5087" s="20">
        <v>46684</v>
      </c>
      <c r="B5087" s="31"/>
      <c r="C5087" s="31"/>
      <c r="D5087" s="31"/>
      <c r="E5087" s="25"/>
      <c r="F5087" s="26"/>
    </row>
    <row r="5088" spans="1:6" ht="16.8" customHeight="1" x14ac:dyDescent="0.3">
      <c r="A5088" s="20">
        <v>46685</v>
      </c>
      <c r="B5088" s="31"/>
      <c r="C5088" s="31"/>
      <c r="D5088" s="31"/>
      <c r="E5088" s="25"/>
      <c r="F5088" s="26"/>
    </row>
    <row r="5089" spans="1:6" ht="16.8" customHeight="1" x14ac:dyDescent="0.3">
      <c r="A5089" s="20">
        <v>46686</v>
      </c>
      <c r="B5089" s="31"/>
      <c r="C5089" s="31"/>
      <c r="D5089" s="31"/>
      <c r="E5089" s="25"/>
      <c r="F5089" s="26"/>
    </row>
    <row r="5090" spans="1:6" ht="16.8" customHeight="1" x14ac:dyDescent="0.3">
      <c r="A5090" s="20">
        <v>46687</v>
      </c>
      <c r="B5090" s="31"/>
      <c r="C5090" s="31"/>
      <c r="D5090" s="31"/>
      <c r="E5090" s="25"/>
      <c r="F5090" s="26"/>
    </row>
    <row r="5091" spans="1:6" ht="16.8" customHeight="1" x14ac:dyDescent="0.3">
      <c r="A5091" s="20">
        <v>46688</v>
      </c>
      <c r="B5091" s="31"/>
      <c r="C5091" s="31"/>
      <c r="D5091" s="31"/>
      <c r="E5091" s="25"/>
      <c r="F5091" s="26"/>
    </row>
    <row r="5092" spans="1:6" ht="16.8" customHeight="1" x14ac:dyDescent="0.3">
      <c r="A5092" s="20">
        <v>46689</v>
      </c>
      <c r="B5092" s="31"/>
      <c r="C5092" s="31"/>
      <c r="D5092" s="31"/>
      <c r="E5092" s="25"/>
      <c r="F5092" s="26"/>
    </row>
    <row r="5093" spans="1:6" ht="16.8" customHeight="1" x14ac:dyDescent="0.3">
      <c r="A5093" s="20">
        <v>46690</v>
      </c>
      <c r="B5093" s="31"/>
      <c r="C5093" s="31"/>
      <c r="D5093" s="31"/>
      <c r="E5093" s="25"/>
      <c r="F5093" s="26"/>
    </row>
    <row r="5094" spans="1:6" ht="16.8" customHeight="1" x14ac:dyDescent="0.3">
      <c r="A5094" s="20">
        <v>46691</v>
      </c>
      <c r="B5094" s="31"/>
      <c r="C5094" s="31"/>
      <c r="D5094" s="31"/>
      <c r="E5094" s="25"/>
      <c r="F5094" s="26"/>
    </row>
    <row r="5095" spans="1:6" ht="16.8" customHeight="1" x14ac:dyDescent="0.3">
      <c r="A5095" s="20">
        <v>46692</v>
      </c>
      <c r="B5095" s="31"/>
      <c r="C5095" s="31"/>
      <c r="D5095" s="31"/>
      <c r="E5095" s="25"/>
      <c r="F5095" s="26"/>
    </row>
    <row r="5096" spans="1:6" ht="16.8" customHeight="1" x14ac:dyDescent="0.3">
      <c r="A5096" s="20">
        <v>46693</v>
      </c>
      <c r="B5096" s="31"/>
      <c r="C5096" s="31"/>
      <c r="D5096" s="31"/>
      <c r="E5096" s="25"/>
      <c r="F5096" s="26"/>
    </row>
    <row r="5097" spans="1:6" ht="16.8" customHeight="1" x14ac:dyDescent="0.3">
      <c r="A5097" s="20">
        <v>46694</v>
      </c>
      <c r="B5097" s="31"/>
      <c r="C5097" s="31"/>
      <c r="D5097" s="31"/>
      <c r="E5097" s="25"/>
      <c r="F5097" s="26"/>
    </row>
    <row r="5098" spans="1:6" ht="16.8" customHeight="1" x14ac:dyDescent="0.3">
      <c r="A5098" s="20">
        <v>46695</v>
      </c>
      <c r="B5098" s="31"/>
      <c r="C5098" s="31"/>
      <c r="D5098" s="31"/>
      <c r="E5098" s="25"/>
      <c r="F5098" s="26"/>
    </row>
    <row r="5099" spans="1:6" ht="16.8" customHeight="1" x14ac:dyDescent="0.3">
      <c r="A5099" s="20">
        <v>46696</v>
      </c>
      <c r="B5099" s="31"/>
      <c r="C5099" s="31"/>
      <c r="D5099" s="31"/>
      <c r="E5099" s="25"/>
      <c r="F5099" s="26"/>
    </row>
    <row r="5100" spans="1:6" ht="16.8" customHeight="1" x14ac:dyDescent="0.3">
      <c r="A5100" s="20">
        <v>46697</v>
      </c>
      <c r="B5100" s="31"/>
      <c r="C5100" s="31"/>
      <c r="D5100" s="31"/>
      <c r="E5100" s="25"/>
      <c r="F5100" s="26"/>
    </row>
    <row r="5101" spans="1:6" ht="16.8" customHeight="1" x14ac:dyDescent="0.3">
      <c r="A5101" s="20">
        <v>46698</v>
      </c>
      <c r="B5101" s="31"/>
      <c r="C5101" s="31"/>
      <c r="D5101" s="31"/>
      <c r="E5101" s="25"/>
      <c r="F5101" s="26"/>
    </row>
    <row r="5102" spans="1:6" ht="16.8" customHeight="1" x14ac:dyDescent="0.3">
      <c r="A5102" s="20">
        <v>46699</v>
      </c>
      <c r="B5102" s="31"/>
      <c r="C5102" s="31"/>
      <c r="D5102" s="31"/>
      <c r="E5102" s="25"/>
      <c r="F5102" s="26"/>
    </row>
    <row r="5103" spans="1:6" ht="16.8" customHeight="1" x14ac:dyDescent="0.3">
      <c r="A5103" s="20">
        <v>46700</v>
      </c>
      <c r="B5103" s="31"/>
      <c r="C5103" s="31"/>
      <c r="D5103" s="31"/>
      <c r="E5103" s="25"/>
      <c r="F5103" s="26"/>
    </row>
    <row r="5104" spans="1:6" ht="16.8" customHeight="1" x14ac:dyDescent="0.3">
      <c r="A5104" s="20">
        <v>46701</v>
      </c>
      <c r="B5104" s="31"/>
      <c r="C5104" s="31"/>
      <c r="D5104" s="31"/>
      <c r="E5104" s="25"/>
      <c r="F5104" s="26"/>
    </row>
    <row r="5105" spans="1:6" ht="16.8" customHeight="1" x14ac:dyDescent="0.3">
      <c r="A5105" s="20">
        <v>46702</v>
      </c>
      <c r="B5105" s="31"/>
      <c r="C5105" s="31"/>
      <c r="D5105" s="31"/>
      <c r="E5105" s="25"/>
      <c r="F5105" s="26"/>
    </row>
    <row r="5106" spans="1:6" ht="16.8" customHeight="1" x14ac:dyDescent="0.3">
      <c r="A5106" s="20">
        <v>46703</v>
      </c>
      <c r="B5106" s="31"/>
      <c r="C5106" s="31"/>
      <c r="D5106" s="31"/>
      <c r="E5106" s="25"/>
      <c r="F5106" s="26"/>
    </row>
    <row r="5107" spans="1:6" ht="16.8" customHeight="1" x14ac:dyDescent="0.3">
      <c r="A5107" s="20">
        <v>46704</v>
      </c>
      <c r="B5107" s="31"/>
      <c r="C5107" s="31"/>
      <c r="D5107" s="31"/>
      <c r="E5107" s="25"/>
      <c r="F5107" s="26"/>
    </row>
    <row r="5108" spans="1:6" ht="16.8" customHeight="1" x14ac:dyDescent="0.3">
      <c r="A5108" s="20">
        <v>46705</v>
      </c>
      <c r="B5108" s="31"/>
      <c r="C5108" s="31"/>
      <c r="D5108" s="31"/>
      <c r="E5108" s="25"/>
      <c r="F5108" s="26"/>
    </row>
    <row r="5109" spans="1:6" ht="16.8" customHeight="1" x14ac:dyDescent="0.3">
      <c r="A5109" s="20">
        <v>46706</v>
      </c>
      <c r="B5109" s="31"/>
      <c r="C5109" s="31"/>
      <c r="D5109" s="31"/>
      <c r="E5109" s="25"/>
      <c r="F5109" s="26"/>
    </row>
    <row r="5110" spans="1:6" ht="16.8" customHeight="1" x14ac:dyDescent="0.3">
      <c r="A5110" s="20">
        <v>46707</v>
      </c>
      <c r="B5110" s="31"/>
      <c r="C5110" s="31"/>
      <c r="D5110" s="31"/>
      <c r="E5110" s="25"/>
      <c r="F5110" s="26"/>
    </row>
    <row r="5111" spans="1:6" ht="16.8" customHeight="1" x14ac:dyDescent="0.3">
      <c r="A5111" s="20">
        <v>46708</v>
      </c>
      <c r="B5111" s="31"/>
      <c r="C5111" s="31"/>
      <c r="D5111" s="31"/>
      <c r="E5111" s="25"/>
      <c r="F5111" s="26"/>
    </row>
    <row r="5112" spans="1:6" ht="16.8" customHeight="1" x14ac:dyDescent="0.3">
      <c r="A5112" s="20">
        <v>46709</v>
      </c>
      <c r="B5112" s="31"/>
      <c r="C5112" s="31"/>
      <c r="D5112" s="31"/>
      <c r="E5112" s="25"/>
      <c r="F5112" s="26"/>
    </row>
    <row r="5113" spans="1:6" ht="16.8" customHeight="1" x14ac:dyDescent="0.3">
      <c r="A5113" s="20">
        <v>46710</v>
      </c>
      <c r="B5113" s="31"/>
      <c r="C5113" s="31"/>
      <c r="D5113" s="31"/>
      <c r="E5113" s="25"/>
      <c r="F5113" s="26"/>
    </row>
    <row r="5114" spans="1:6" ht="16.8" customHeight="1" x14ac:dyDescent="0.3">
      <c r="A5114" s="20">
        <v>46711</v>
      </c>
      <c r="B5114" s="31"/>
      <c r="C5114" s="31"/>
      <c r="D5114" s="31"/>
      <c r="E5114" s="25"/>
      <c r="F5114" s="26"/>
    </row>
    <row r="5115" spans="1:6" ht="16.8" customHeight="1" x14ac:dyDescent="0.3">
      <c r="A5115" s="20">
        <v>46712</v>
      </c>
      <c r="B5115" s="31"/>
      <c r="C5115" s="31"/>
      <c r="D5115" s="31"/>
      <c r="E5115" s="25"/>
      <c r="F5115" s="26"/>
    </row>
    <row r="5116" spans="1:6" ht="16.8" customHeight="1" x14ac:dyDescent="0.3">
      <c r="A5116" s="20">
        <v>46713</v>
      </c>
      <c r="B5116" s="31"/>
      <c r="C5116" s="31"/>
      <c r="D5116" s="31"/>
      <c r="E5116" s="25"/>
      <c r="F5116" s="26"/>
    </row>
    <row r="5117" spans="1:6" ht="16.8" customHeight="1" x14ac:dyDescent="0.3">
      <c r="A5117" s="20">
        <v>46714</v>
      </c>
      <c r="B5117" s="31"/>
      <c r="C5117" s="31"/>
      <c r="D5117" s="31"/>
      <c r="E5117" s="25"/>
      <c r="F5117" s="26"/>
    </row>
    <row r="5118" spans="1:6" ht="16.8" customHeight="1" x14ac:dyDescent="0.3">
      <c r="A5118" s="20">
        <v>46715</v>
      </c>
      <c r="B5118" s="31"/>
      <c r="C5118" s="31"/>
      <c r="D5118" s="31"/>
      <c r="E5118" s="25"/>
      <c r="F5118" s="26"/>
    </row>
    <row r="5119" spans="1:6" ht="16.8" customHeight="1" x14ac:dyDescent="0.3">
      <c r="A5119" s="20">
        <v>46716</v>
      </c>
      <c r="B5119" s="31"/>
      <c r="C5119" s="31"/>
      <c r="D5119" s="31"/>
      <c r="E5119" s="25"/>
      <c r="F5119" s="26"/>
    </row>
    <row r="5120" spans="1:6" ht="16.8" customHeight="1" x14ac:dyDescent="0.3">
      <c r="A5120" s="20">
        <v>46717</v>
      </c>
      <c r="B5120" s="31"/>
      <c r="C5120" s="31"/>
      <c r="D5120" s="31"/>
      <c r="E5120" s="25"/>
      <c r="F5120" s="26"/>
    </row>
    <row r="5121" spans="1:6" ht="16.8" customHeight="1" x14ac:dyDescent="0.3">
      <c r="A5121" s="20">
        <v>46718</v>
      </c>
      <c r="B5121" s="31"/>
      <c r="C5121" s="31"/>
      <c r="D5121" s="31"/>
      <c r="E5121" s="25"/>
      <c r="F5121" s="26"/>
    </row>
    <row r="5122" spans="1:6" ht="16.8" customHeight="1" x14ac:dyDescent="0.3">
      <c r="A5122" s="20">
        <v>46719</v>
      </c>
      <c r="B5122" s="31"/>
      <c r="C5122" s="31"/>
      <c r="D5122" s="31"/>
      <c r="E5122" s="25"/>
      <c r="F5122" s="26"/>
    </row>
    <row r="5123" spans="1:6" ht="16.8" customHeight="1" x14ac:dyDescent="0.3">
      <c r="A5123" s="20">
        <v>46720</v>
      </c>
      <c r="B5123" s="31"/>
      <c r="C5123" s="31"/>
      <c r="D5123" s="31"/>
      <c r="E5123" s="25"/>
      <c r="F5123" s="26"/>
    </row>
    <row r="5124" spans="1:6" ht="16.8" customHeight="1" x14ac:dyDescent="0.3">
      <c r="A5124" s="20">
        <v>46721</v>
      </c>
      <c r="B5124" s="31"/>
      <c r="C5124" s="31"/>
      <c r="D5124" s="31"/>
      <c r="E5124" s="25"/>
      <c r="F5124" s="26"/>
    </row>
    <row r="5125" spans="1:6" ht="16.8" customHeight="1" x14ac:dyDescent="0.3">
      <c r="A5125" s="20">
        <v>46722</v>
      </c>
      <c r="B5125" s="31"/>
      <c r="C5125" s="31"/>
      <c r="D5125" s="31"/>
      <c r="E5125" s="25"/>
      <c r="F5125" s="26"/>
    </row>
    <row r="5126" spans="1:6" ht="16.8" customHeight="1" x14ac:dyDescent="0.3">
      <c r="A5126" s="20">
        <v>46723</v>
      </c>
      <c r="B5126" s="31"/>
      <c r="C5126" s="31"/>
      <c r="D5126" s="31"/>
      <c r="E5126" s="25"/>
      <c r="F5126" s="26"/>
    </row>
    <row r="5127" spans="1:6" ht="16.8" customHeight="1" x14ac:dyDescent="0.3">
      <c r="A5127" s="20">
        <v>46724</v>
      </c>
      <c r="B5127" s="31"/>
      <c r="C5127" s="31"/>
      <c r="D5127" s="31"/>
      <c r="E5127" s="25"/>
      <c r="F5127" s="26"/>
    </row>
    <row r="5128" spans="1:6" ht="16.8" customHeight="1" x14ac:dyDescent="0.3">
      <c r="A5128" s="20">
        <v>46725</v>
      </c>
      <c r="B5128" s="31"/>
      <c r="C5128" s="31"/>
      <c r="D5128" s="31"/>
      <c r="E5128" s="25"/>
      <c r="F5128" s="26"/>
    </row>
    <row r="5129" spans="1:6" ht="16.8" customHeight="1" x14ac:dyDescent="0.3">
      <c r="A5129" s="20">
        <v>46726</v>
      </c>
      <c r="B5129" s="31"/>
      <c r="C5129" s="31"/>
      <c r="D5129" s="31"/>
      <c r="E5129" s="25"/>
      <c r="F5129" s="26"/>
    </row>
    <row r="5130" spans="1:6" ht="16.8" customHeight="1" x14ac:dyDescent="0.3">
      <c r="A5130" s="20">
        <v>46727</v>
      </c>
      <c r="B5130" s="31"/>
      <c r="C5130" s="31"/>
      <c r="D5130" s="31"/>
      <c r="E5130" s="25"/>
      <c r="F5130" s="26"/>
    </row>
    <row r="5131" spans="1:6" ht="16.8" customHeight="1" x14ac:dyDescent="0.3">
      <c r="A5131" s="20">
        <v>46728</v>
      </c>
      <c r="B5131" s="31"/>
      <c r="C5131" s="31"/>
      <c r="D5131" s="31"/>
      <c r="E5131" s="25"/>
      <c r="F5131" s="26"/>
    </row>
    <row r="5132" spans="1:6" ht="16.8" customHeight="1" x14ac:dyDescent="0.3">
      <c r="A5132" s="20">
        <v>46729</v>
      </c>
      <c r="B5132" s="31"/>
      <c r="C5132" s="31"/>
      <c r="D5132" s="31"/>
      <c r="E5132" s="25"/>
      <c r="F5132" s="26"/>
    </row>
    <row r="5133" spans="1:6" ht="16.8" customHeight="1" x14ac:dyDescent="0.3">
      <c r="A5133" s="20">
        <v>46730</v>
      </c>
      <c r="B5133" s="31"/>
      <c r="C5133" s="31"/>
      <c r="D5133" s="31"/>
      <c r="E5133" s="25"/>
      <c r="F5133" s="26"/>
    </row>
    <row r="5134" spans="1:6" ht="16.8" customHeight="1" x14ac:dyDescent="0.3">
      <c r="A5134" s="20">
        <v>46731</v>
      </c>
      <c r="B5134" s="31"/>
      <c r="C5134" s="31"/>
      <c r="D5134" s="31"/>
      <c r="E5134" s="25"/>
      <c r="F5134" s="26"/>
    </row>
    <row r="5135" spans="1:6" ht="16.8" customHeight="1" x14ac:dyDescent="0.3">
      <c r="A5135" s="20">
        <v>46732</v>
      </c>
      <c r="B5135" s="31"/>
      <c r="C5135" s="31"/>
      <c r="D5135" s="31"/>
      <c r="E5135" s="25"/>
      <c r="F5135" s="26"/>
    </row>
    <row r="5136" spans="1:6" ht="16.8" customHeight="1" x14ac:dyDescent="0.3">
      <c r="A5136" s="20">
        <v>46733</v>
      </c>
      <c r="B5136" s="31"/>
      <c r="C5136" s="31"/>
      <c r="D5136" s="31"/>
      <c r="E5136" s="25"/>
      <c r="F5136" s="26"/>
    </row>
    <row r="5137" spans="1:6" ht="16.8" customHeight="1" x14ac:dyDescent="0.3">
      <c r="A5137" s="20">
        <v>46734</v>
      </c>
      <c r="B5137" s="31"/>
      <c r="C5137" s="31"/>
      <c r="D5137" s="31"/>
      <c r="E5137" s="25"/>
      <c r="F5137" s="26"/>
    </row>
    <row r="5138" spans="1:6" ht="16.8" customHeight="1" x14ac:dyDescent="0.3">
      <c r="A5138" s="20">
        <v>46735</v>
      </c>
      <c r="B5138" s="31"/>
      <c r="C5138" s="31"/>
      <c r="D5138" s="31"/>
      <c r="E5138" s="25"/>
      <c r="F5138" s="26"/>
    </row>
    <row r="5139" spans="1:6" ht="16.8" customHeight="1" x14ac:dyDescent="0.3">
      <c r="A5139" s="20">
        <v>46736</v>
      </c>
      <c r="B5139" s="31"/>
      <c r="C5139" s="31"/>
      <c r="D5139" s="31"/>
      <c r="E5139" s="25"/>
      <c r="F5139" s="26"/>
    </row>
    <row r="5140" spans="1:6" ht="16.8" customHeight="1" x14ac:dyDescent="0.3">
      <c r="A5140" s="20">
        <v>46737</v>
      </c>
      <c r="B5140" s="31"/>
      <c r="C5140" s="31"/>
      <c r="D5140" s="31"/>
      <c r="E5140" s="25"/>
      <c r="F5140" s="26"/>
    </row>
    <row r="5141" spans="1:6" ht="16.8" customHeight="1" x14ac:dyDescent="0.3">
      <c r="A5141" s="20">
        <v>46738</v>
      </c>
      <c r="B5141" s="31"/>
      <c r="C5141" s="31"/>
      <c r="D5141" s="31"/>
      <c r="E5141" s="25"/>
      <c r="F5141" s="26"/>
    </row>
    <row r="5142" spans="1:6" ht="16.8" customHeight="1" x14ac:dyDescent="0.3">
      <c r="A5142" s="20">
        <v>46739</v>
      </c>
      <c r="B5142" s="31"/>
      <c r="C5142" s="31"/>
      <c r="D5142" s="31"/>
      <c r="E5142" s="25"/>
      <c r="F5142" s="26"/>
    </row>
    <row r="5143" spans="1:6" ht="16.8" customHeight="1" x14ac:dyDescent="0.3">
      <c r="A5143" s="20">
        <v>46740</v>
      </c>
      <c r="B5143" s="31"/>
      <c r="C5143" s="31"/>
      <c r="D5143" s="31"/>
      <c r="E5143" s="25"/>
      <c r="F5143" s="26"/>
    </row>
    <row r="5144" spans="1:6" ht="16.8" customHeight="1" x14ac:dyDescent="0.3">
      <c r="A5144" s="20">
        <v>46741</v>
      </c>
      <c r="B5144" s="31"/>
      <c r="C5144" s="31"/>
      <c r="D5144" s="31"/>
      <c r="E5144" s="25"/>
      <c r="F5144" s="26"/>
    </row>
    <row r="5145" spans="1:6" ht="16.8" customHeight="1" x14ac:dyDescent="0.3">
      <c r="A5145" s="20">
        <v>46742</v>
      </c>
      <c r="B5145" s="31"/>
      <c r="C5145" s="31"/>
      <c r="D5145" s="31"/>
      <c r="E5145" s="25"/>
      <c r="F5145" s="26"/>
    </row>
    <row r="5146" spans="1:6" ht="16.8" customHeight="1" x14ac:dyDescent="0.3">
      <c r="A5146" s="20">
        <v>46743</v>
      </c>
      <c r="B5146" s="31"/>
      <c r="C5146" s="31"/>
      <c r="D5146" s="31"/>
      <c r="E5146" s="25"/>
      <c r="F5146" s="26"/>
    </row>
    <row r="5147" spans="1:6" ht="16.8" customHeight="1" x14ac:dyDescent="0.3">
      <c r="A5147" s="20">
        <v>46744</v>
      </c>
      <c r="B5147" s="31"/>
      <c r="C5147" s="31"/>
      <c r="D5147" s="31"/>
      <c r="E5147" s="25"/>
      <c r="F5147" s="26"/>
    </row>
    <row r="5148" spans="1:6" ht="16.8" customHeight="1" x14ac:dyDescent="0.3">
      <c r="A5148" s="20">
        <v>46745</v>
      </c>
      <c r="B5148" s="31"/>
      <c r="C5148" s="31"/>
      <c r="D5148" s="31"/>
      <c r="E5148" s="25"/>
      <c r="F5148" s="26"/>
    </row>
    <row r="5149" spans="1:6" ht="16.8" customHeight="1" x14ac:dyDescent="0.3">
      <c r="A5149" s="20">
        <v>46746</v>
      </c>
      <c r="B5149" s="31"/>
      <c r="C5149" s="31"/>
      <c r="D5149" s="31"/>
      <c r="E5149" s="25"/>
      <c r="F5149" s="26"/>
    </row>
    <row r="5150" spans="1:6" ht="16.8" customHeight="1" x14ac:dyDescent="0.3">
      <c r="A5150" s="20">
        <v>46747</v>
      </c>
      <c r="B5150" s="31"/>
      <c r="C5150" s="31"/>
      <c r="D5150" s="31"/>
      <c r="E5150" s="25"/>
      <c r="F5150" s="26"/>
    </row>
    <row r="5151" spans="1:6" ht="16.8" customHeight="1" x14ac:dyDescent="0.3">
      <c r="A5151" s="20">
        <v>46748</v>
      </c>
      <c r="B5151" s="31"/>
      <c r="C5151" s="31"/>
      <c r="D5151" s="31"/>
      <c r="E5151" s="25"/>
      <c r="F5151" s="26"/>
    </row>
    <row r="5152" spans="1:6" ht="16.8" customHeight="1" x14ac:dyDescent="0.3">
      <c r="A5152" s="20">
        <v>46749</v>
      </c>
      <c r="B5152" s="31"/>
      <c r="C5152" s="31"/>
      <c r="D5152" s="31"/>
      <c r="E5152" s="25"/>
      <c r="F5152" s="26"/>
    </row>
    <row r="5153" spans="1:6" ht="16.8" customHeight="1" x14ac:dyDescent="0.3">
      <c r="A5153" s="20">
        <v>46750</v>
      </c>
      <c r="B5153" s="31"/>
      <c r="C5153" s="31"/>
      <c r="D5153" s="31"/>
      <c r="E5153" s="25"/>
      <c r="F5153" s="26"/>
    </row>
    <row r="5154" spans="1:6" ht="16.8" customHeight="1" x14ac:dyDescent="0.3">
      <c r="A5154" s="20">
        <v>46751</v>
      </c>
      <c r="B5154" s="31"/>
      <c r="C5154" s="31"/>
      <c r="D5154" s="31"/>
      <c r="E5154" s="25"/>
      <c r="F5154" s="26"/>
    </row>
    <row r="5155" spans="1:6" ht="16.8" customHeight="1" x14ac:dyDescent="0.3">
      <c r="A5155" s="20">
        <v>46752</v>
      </c>
      <c r="B5155" s="31"/>
      <c r="C5155" s="31"/>
      <c r="D5155" s="31"/>
      <c r="E5155" s="25"/>
      <c r="F5155" s="26"/>
    </row>
    <row r="5156" spans="1:6" ht="16.8" customHeight="1" x14ac:dyDescent="0.3">
      <c r="A5156" s="20">
        <v>46753</v>
      </c>
      <c r="B5156" s="31"/>
      <c r="C5156" s="31"/>
      <c r="D5156" s="31"/>
      <c r="E5156" s="25"/>
      <c r="F5156" s="26"/>
    </row>
    <row r="5157" spans="1:6" ht="16.8" customHeight="1" x14ac:dyDescent="0.3">
      <c r="A5157" s="20">
        <v>46754</v>
      </c>
      <c r="B5157" s="31"/>
      <c r="C5157" s="31"/>
      <c r="D5157" s="31"/>
      <c r="E5157" s="25"/>
      <c r="F5157" s="26"/>
    </row>
    <row r="5158" spans="1:6" ht="16.8" customHeight="1" x14ac:dyDescent="0.3">
      <c r="A5158" s="20">
        <v>46755</v>
      </c>
      <c r="B5158" s="31"/>
      <c r="C5158" s="31"/>
      <c r="D5158" s="31"/>
      <c r="E5158" s="25"/>
      <c r="F5158" s="26"/>
    </row>
    <row r="5159" spans="1:6" ht="16.8" customHeight="1" x14ac:dyDescent="0.3">
      <c r="A5159" s="20">
        <v>46756</v>
      </c>
      <c r="B5159" s="31"/>
      <c r="C5159" s="31"/>
      <c r="D5159" s="31"/>
      <c r="E5159" s="25"/>
      <c r="F5159" s="26"/>
    </row>
    <row r="5160" spans="1:6" ht="16.8" customHeight="1" x14ac:dyDescent="0.3">
      <c r="A5160" s="20">
        <v>46757</v>
      </c>
      <c r="B5160" s="31"/>
      <c r="C5160" s="31"/>
      <c r="D5160" s="31"/>
      <c r="E5160" s="25"/>
      <c r="F5160" s="26"/>
    </row>
    <row r="5161" spans="1:6" ht="16.8" customHeight="1" x14ac:dyDescent="0.3">
      <c r="A5161" s="20">
        <v>46758</v>
      </c>
      <c r="B5161" s="31"/>
      <c r="C5161" s="31"/>
      <c r="D5161" s="31"/>
      <c r="E5161" s="25"/>
      <c r="F5161" s="26"/>
    </row>
    <row r="5162" spans="1:6" ht="16.8" customHeight="1" x14ac:dyDescent="0.3">
      <c r="A5162" s="20">
        <v>46759</v>
      </c>
      <c r="B5162" s="31"/>
      <c r="C5162" s="31"/>
      <c r="D5162" s="31"/>
      <c r="E5162" s="25"/>
      <c r="F5162" s="26"/>
    </row>
    <row r="5163" spans="1:6" ht="16.8" customHeight="1" x14ac:dyDescent="0.3">
      <c r="A5163" s="20">
        <v>46760</v>
      </c>
      <c r="B5163" s="31"/>
      <c r="C5163" s="31"/>
      <c r="D5163" s="31"/>
      <c r="E5163" s="25"/>
      <c r="F5163" s="26"/>
    </row>
    <row r="5164" spans="1:6" ht="16.8" customHeight="1" x14ac:dyDescent="0.3">
      <c r="A5164" s="20">
        <v>46761</v>
      </c>
      <c r="B5164" s="31"/>
      <c r="C5164" s="31"/>
      <c r="D5164" s="31"/>
      <c r="E5164" s="25"/>
      <c r="F5164" s="26"/>
    </row>
    <row r="5165" spans="1:6" ht="16.8" customHeight="1" x14ac:dyDescent="0.3">
      <c r="A5165" s="20">
        <v>46762</v>
      </c>
      <c r="B5165" s="31"/>
      <c r="C5165" s="31"/>
      <c r="D5165" s="31"/>
      <c r="E5165" s="25"/>
      <c r="F5165" s="26"/>
    </row>
    <row r="5166" spans="1:6" ht="16.8" customHeight="1" x14ac:dyDescent="0.3">
      <c r="A5166" s="20">
        <v>46763</v>
      </c>
      <c r="B5166" s="31"/>
      <c r="C5166" s="31"/>
      <c r="D5166" s="31"/>
      <c r="E5166" s="25"/>
      <c r="F5166" s="26"/>
    </row>
    <row r="5167" spans="1:6" ht="16.8" customHeight="1" x14ac:dyDescent="0.3">
      <c r="A5167" s="20">
        <v>46764</v>
      </c>
      <c r="B5167" s="31"/>
      <c r="C5167" s="31"/>
      <c r="D5167" s="31"/>
      <c r="E5167" s="25"/>
      <c r="F5167" s="26"/>
    </row>
    <row r="5168" spans="1:6" ht="16.8" customHeight="1" x14ac:dyDescent="0.3">
      <c r="A5168" s="20">
        <v>46765</v>
      </c>
      <c r="B5168" s="31"/>
      <c r="C5168" s="31"/>
      <c r="D5168" s="31"/>
      <c r="E5168" s="25"/>
      <c r="F5168" s="26"/>
    </row>
    <row r="5169" spans="1:6" ht="16.8" customHeight="1" x14ac:dyDescent="0.3">
      <c r="A5169" s="20">
        <v>46766</v>
      </c>
      <c r="B5169" s="31"/>
      <c r="C5169" s="31"/>
      <c r="D5169" s="31"/>
      <c r="E5169" s="25"/>
      <c r="F5169" s="26"/>
    </row>
    <row r="5170" spans="1:6" ht="16.8" customHeight="1" x14ac:dyDescent="0.3">
      <c r="A5170" s="20">
        <v>46767</v>
      </c>
      <c r="B5170" s="31"/>
      <c r="C5170" s="31"/>
      <c r="D5170" s="31"/>
      <c r="E5170" s="25"/>
      <c r="F5170" s="26"/>
    </row>
    <row r="5171" spans="1:6" ht="16.8" customHeight="1" x14ac:dyDescent="0.3">
      <c r="A5171" s="20">
        <v>46768</v>
      </c>
      <c r="B5171" s="31"/>
      <c r="C5171" s="31"/>
      <c r="D5171" s="31"/>
      <c r="E5171" s="25"/>
      <c r="F5171" s="26"/>
    </row>
    <row r="5172" spans="1:6" ht="16.8" customHeight="1" x14ac:dyDescent="0.3">
      <c r="A5172" s="20">
        <v>46769</v>
      </c>
      <c r="B5172" s="31"/>
      <c r="C5172" s="31"/>
      <c r="D5172" s="31"/>
      <c r="E5172" s="25"/>
      <c r="F5172" s="26"/>
    </row>
    <row r="5173" spans="1:6" ht="16.8" customHeight="1" x14ac:dyDescent="0.3">
      <c r="A5173" s="20">
        <v>46770</v>
      </c>
      <c r="B5173" s="31"/>
      <c r="C5173" s="31"/>
      <c r="D5173" s="31"/>
      <c r="E5173" s="25"/>
      <c r="F5173" s="26"/>
    </row>
    <row r="5174" spans="1:6" ht="16.8" customHeight="1" x14ac:dyDescent="0.3">
      <c r="A5174" s="20">
        <v>46771</v>
      </c>
      <c r="B5174" s="31"/>
      <c r="C5174" s="31"/>
      <c r="D5174" s="31"/>
      <c r="E5174" s="25"/>
      <c r="F5174" s="26"/>
    </row>
    <row r="5175" spans="1:6" ht="16.8" customHeight="1" x14ac:dyDescent="0.3">
      <c r="A5175" s="20">
        <v>46772</v>
      </c>
      <c r="B5175" s="31"/>
      <c r="C5175" s="31"/>
      <c r="D5175" s="31"/>
      <c r="E5175" s="25"/>
      <c r="F5175" s="26"/>
    </row>
    <row r="5176" spans="1:6" ht="16.8" customHeight="1" x14ac:dyDescent="0.3">
      <c r="A5176" s="20">
        <v>46773</v>
      </c>
      <c r="B5176" s="31"/>
      <c r="C5176" s="31"/>
      <c r="D5176" s="31"/>
      <c r="E5176" s="25"/>
      <c r="F5176" s="26"/>
    </row>
    <row r="5177" spans="1:6" ht="16.8" customHeight="1" x14ac:dyDescent="0.3">
      <c r="A5177" s="20">
        <v>46774</v>
      </c>
      <c r="B5177" s="31"/>
      <c r="C5177" s="31"/>
      <c r="D5177" s="31"/>
      <c r="E5177" s="25"/>
      <c r="F5177" s="26"/>
    </row>
    <row r="5178" spans="1:6" ht="16.8" customHeight="1" x14ac:dyDescent="0.3">
      <c r="A5178" s="20">
        <v>46775</v>
      </c>
      <c r="B5178" s="31"/>
      <c r="C5178" s="31"/>
      <c r="D5178" s="31"/>
      <c r="E5178" s="25"/>
      <c r="F5178" s="26"/>
    </row>
    <row r="5179" spans="1:6" ht="16.8" customHeight="1" x14ac:dyDescent="0.3">
      <c r="A5179" s="20">
        <v>46776</v>
      </c>
      <c r="B5179" s="31"/>
      <c r="C5179" s="31"/>
      <c r="D5179" s="31"/>
      <c r="E5179" s="25"/>
      <c r="F5179" s="26"/>
    </row>
    <row r="5180" spans="1:6" ht="16.8" customHeight="1" x14ac:dyDescent="0.3">
      <c r="A5180" s="20">
        <v>46777</v>
      </c>
      <c r="B5180" s="31"/>
      <c r="C5180" s="31"/>
      <c r="D5180" s="31"/>
      <c r="E5180" s="25"/>
      <c r="F5180" s="26"/>
    </row>
    <row r="5181" spans="1:6" ht="16.8" customHeight="1" x14ac:dyDescent="0.3">
      <c r="A5181" s="20">
        <v>46778</v>
      </c>
      <c r="B5181" s="31"/>
      <c r="C5181" s="31"/>
      <c r="D5181" s="31"/>
      <c r="E5181" s="25"/>
      <c r="F5181" s="26"/>
    </row>
    <row r="5182" spans="1:6" ht="16.8" customHeight="1" x14ac:dyDescent="0.3">
      <c r="A5182" s="20">
        <v>46779</v>
      </c>
      <c r="B5182" s="31"/>
      <c r="C5182" s="31"/>
      <c r="D5182" s="31"/>
      <c r="E5182" s="25"/>
      <c r="F5182" s="26"/>
    </row>
    <row r="5183" spans="1:6" ht="16.8" customHeight="1" x14ac:dyDescent="0.3">
      <c r="A5183" s="20">
        <v>46780</v>
      </c>
      <c r="B5183" s="31"/>
      <c r="C5183" s="31"/>
      <c r="D5183" s="31"/>
      <c r="E5183" s="25"/>
      <c r="F5183" s="26"/>
    </row>
    <row r="5184" spans="1:6" ht="16.8" customHeight="1" x14ac:dyDescent="0.3">
      <c r="A5184" s="20">
        <v>46781</v>
      </c>
      <c r="B5184" s="31"/>
      <c r="C5184" s="31"/>
      <c r="D5184" s="31"/>
      <c r="E5184" s="25"/>
      <c r="F5184" s="26"/>
    </row>
    <row r="5185" spans="1:6" ht="16.8" customHeight="1" x14ac:dyDescent="0.3">
      <c r="A5185" s="20">
        <v>46782</v>
      </c>
      <c r="B5185" s="31"/>
      <c r="C5185" s="31"/>
      <c r="D5185" s="31"/>
      <c r="E5185" s="25"/>
      <c r="F5185" s="26"/>
    </row>
    <row r="5186" spans="1:6" ht="16.8" customHeight="1" x14ac:dyDescent="0.3">
      <c r="A5186" s="20">
        <v>46783</v>
      </c>
      <c r="B5186" s="31"/>
      <c r="C5186" s="31"/>
      <c r="D5186" s="31"/>
      <c r="E5186" s="25"/>
      <c r="F5186" s="26"/>
    </row>
    <row r="5187" spans="1:6" ht="16.8" customHeight="1" x14ac:dyDescent="0.3">
      <c r="A5187" s="20">
        <v>46784</v>
      </c>
      <c r="B5187" s="31"/>
      <c r="C5187" s="31"/>
      <c r="D5187" s="31"/>
      <c r="E5187" s="25"/>
      <c r="F5187" s="26"/>
    </row>
    <row r="5188" spans="1:6" ht="16.8" customHeight="1" x14ac:dyDescent="0.3">
      <c r="A5188" s="20">
        <v>46785</v>
      </c>
      <c r="B5188" s="31"/>
      <c r="C5188" s="31"/>
      <c r="D5188" s="31"/>
      <c r="E5188" s="25"/>
      <c r="F5188" s="26"/>
    </row>
    <row r="5189" spans="1:6" ht="16.8" customHeight="1" x14ac:dyDescent="0.3">
      <c r="A5189" s="20">
        <v>46786</v>
      </c>
      <c r="B5189" s="31"/>
      <c r="C5189" s="31"/>
      <c r="D5189" s="31"/>
      <c r="E5189" s="25"/>
      <c r="F5189" s="26"/>
    </row>
    <row r="5190" spans="1:6" ht="16.8" customHeight="1" x14ac:dyDescent="0.3">
      <c r="A5190" s="20">
        <v>46787</v>
      </c>
      <c r="B5190" s="31"/>
      <c r="C5190" s="31"/>
      <c r="D5190" s="31"/>
      <c r="E5190" s="25"/>
      <c r="F5190" s="26"/>
    </row>
    <row r="5191" spans="1:6" ht="16.8" customHeight="1" x14ac:dyDescent="0.3">
      <c r="A5191" s="20">
        <v>46788</v>
      </c>
      <c r="B5191" s="31"/>
      <c r="C5191" s="31"/>
      <c r="D5191" s="31"/>
      <c r="E5191" s="25"/>
      <c r="F5191" s="26"/>
    </row>
    <row r="5192" spans="1:6" ht="16.8" customHeight="1" x14ac:dyDescent="0.3">
      <c r="A5192" s="20">
        <v>46789</v>
      </c>
      <c r="B5192" s="31"/>
      <c r="C5192" s="31"/>
      <c r="D5192" s="31"/>
      <c r="E5192" s="25"/>
      <c r="F5192" s="26"/>
    </row>
    <row r="5193" spans="1:6" ht="16.8" customHeight="1" x14ac:dyDescent="0.3">
      <c r="A5193" s="20">
        <v>46790</v>
      </c>
      <c r="B5193" s="31"/>
      <c r="C5193" s="31"/>
      <c r="D5193" s="31"/>
      <c r="E5193" s="25"/>
      <c r="F5193" s="26"/>
    </row>
    <row r="5194" spans="1:6" ht="16.8" customHeight="1" x14ac:dyDescent="0.3">
      <c r="A5194" s="20">
        <v>46791</v>
      </c>
      <c r="B5194" s="31"/>
      <c r="C5194" s="31"/>
      <c r="D5194" s="31"/>
      <c r="E5194" s="25"/>
      <c r="F5194" s="26"/>
    </row>
    <row r="5195" spans="1:6" ht="16.8" customHeight="1" x14ac:dyDescent="0.3">
      <c r="A5195" s="20">
        <v>46792</v>
      </c>
      <c r="B5195" s="31"/>
      <c r="C5195" s="31"/>
      <c r="D5195" s="31"/>
      <c r="E5195" s="25"/>
      <c r="F5195" s="26"/>
    </row>
    <row r="5196" spans="1:6" ht="16.8" customHeight="1" x14ac:dyDescent="0.3">
      <c r="A5196" s="20">
        <v>46793</v>
      </c>
      <c r="B5196" s="31"/>
      <c r="C5196" s="31"/>
      <c r="D5196" s="31"/>
      <c r="E5196" s="25"/>
      <c r="F5196" s="26"/>
    </row>
    <row r="5197" spans="1:6" ht="16.8" customHeight="1" x14ac:dyDescent="0.3">
      <c r="A5197" s="20">
        <v>46794</v>
      </c>
      <c r="B5197" s="31"/>
      <c r="C5197" s="31"/>
      <c r="D5197" s="31"/>
      <c r="E5197" s="25"/>
      <c r="F5197" s="26"/>
    </row>
    <row r="5198" spans="1:6" ht="16.8" customHeight="1" x14ac:dyDescent="0.3">
      <c r="A5198" s="20">
        <v>46795</v>
      </c>
      <c r="B5198" s="31"/>
      <c r="C5198" s="31"/>
      <c r="D5198" s="31"/>
      <c r="E5198" s="25"/>
      <c r="F5198" s="26"/>
    </row>
    <row r="5199" spans="1:6" ht="16.8" customHeight="1" x14ac:dyDescent="0.3">
      <c r="A5199" s="20">
        <v>46796</v>
      </c>
      <c r="B5199" s="31"/>
      <c r="C5199" s="31"/>
      <c r="D5199" s="31"/>
      <c r="E5199" s="25"/>
      <c r="F5199" s="26"/>
    </row>
    <row r="5200" spans="1:6" ht="16.8" customHeight="1" x14ac:dyDescent="0.3">
      <c r="A5200" s="20">
        <v>46797</v>
      </c>
      <c r="B5200" s="31"/>
      <c r="C5200" s="31"/>
      <c r="D5200" s="31"/>
      <c r="E5200" s="25"/>
      <c r="F5200" s="26"/>
    </row>
    <row r="5201" spans="1:6" ht="16.8" customHeight="1" x14ac:dyDescent="0.3">
      <c r="A5201" s="20">
        <v>46798</v>
      </c>
      <c r="B5201" s="31"/>
      <c r="C5201" s="31"/>
      <c r="D5201" s="31"/>
      <c r="E5201" s="25"/>
      <c r="F5201" s="26"/>
    </row>
    <row r="5202" spans="1:6" ht="16.8" customHeight="1" x14ac:dyDescent="0.3">
      <c r="A5202" s="20">
        <v>46799</v>
      </c>
      <c r="B5202" s="31"/>
      <c r="C5202" s="31"/>
      <c r="D5202" s="31"/>
      <c r="E5202" s="25"/>
      <c r="F5202" s="26"/>
    </row>
    <row r="5203" spans="1:6" ht="16.8" customHeight="1" x14ac:dyDescent="0.3">
      <c r="A5203" s="20">
        <v>46800</v>
      </c>
      <c r="B5203" s="31"/>
      <c r="C5203" s="31"/>
      <c r="D5203" s="31"/>
      <c r="E5203" s="25"/>
      <c r="F5203" s="26"/>
    </row>
    <row r="5204" spans="1:6" ht="16.8" customHeight="1" x14ac:dyDescent="0.3">
      <c r="A5204" s="20">
        <v>46801</v>
      </c>
      <c r="B5204" s="31"/>
      <c r="C5204" s="31"/>
      <c r="D5204" s="31"/>
      <c r="E5204" s="25"/>
      <c r="F5204" s="26"/>
    </row>
    <row r="5205" spans="1:6" ht="16.8" customHeight="1" x14ac:dyDescent="0.3">
      <c r="A5205" s="20">
        <v>46802</v>
      </c>
      <c r="B5205" s="31"/>
      <c r="C5205" s="31"/>
      <c r="D5205" s="31"/>
      <c r="E5205" s="25"/>
      <c r="F5205" s="26"/>
    </row>
    <row r="5206" spans="1:6" ht="16.8" customHeight="1" x14ac:dyDescent="0.3">
      <c r="A5206" s="20">
        <v>46803</v>
      </c>
      <c r="B5206" s="31"/>
      <c r="C5206" s="31"/>
      <c r="D5206" s="31"/>
      <c r="E5206" s="25"/>
      <c r="F5206" s="26"/>
    </row>
    <row r="5207" spans="1:6" ht="16.8" customHeight="1" x14ac:dyDescent="0.3">
      <c r="A5207" s="20">
        <v>46804</v>
      </c>
      <c r="B5207" s="31"/>
      <c r="C5207" s="31"/>
      <c r="D5207" s="31"/>
      <c r="E5207" s="25"/>
      <c r="F5207" s="26"/>
    </row>
    <row r="5208" spans="1:6" ht="16.8" customHeight="1" x14ac:dyDescent="0.3">
      <c r="A5208" s="20">
        <v>46805</v>
      </c>
      <c r="B5208" s="31"/>
      <c r="C5208" s="31"/>
      <c r="D5208" s="31"/>
      <c r="E5208" s="25"/>
      <c r="F5208" s="26"/>
    </row>
    <row r="5209" spans="1:6" ht="16.8" customHeight="1" x14ac:dyDescent="0.3">
      <c r="A5209" s="20">
        <v>46806</v>
      </c>
      <c r="B5209" s="31"/>
      <c r="C5209" s="31"/>
      <c r="D5209" s="31"/>
      <c r="E5209" s="25"/>
      <c r="F5209" s="26"/>
    </row>
    <row r="5210" spans="1:6" ht="16.8" customHeight="1" x14ac:dyDescent="0.3">
      <c r="A5210" s="20">
        <v>46807</v>
      </c>
      <c r="B5210" s="31"/>
      <c r="C5210" s="31"/>
      <c r="D5210" s="31"/>
      <c r="E5210" s="25"/>
      <c r="F5210" s="26"/>
    </row>
    <row r="5211" spans="1:6" ht="16.8" customHeight="1" x14ac:dyDescent="0.3">
      <c r="A5211" s="20">
        <v>46808</v>
      </c>
      <c r="B5211" s="31"/>
      <c r="C5211" s="31"/>
      <c r="D5211" s="31"/>
      <c r="E5211" s="25"/>
      <c r="F5211" s="26"/>
    </row>
    <row r="5212" spans="1:6" ht="16.8" customHeight="1" x14ac:dyDescent="0.3">
      <c r="A5212" s="20">
        <v>46809</v>
      </c>
      <c r="B5212" s="31"/>
      <c r="C5212" s="31"/>
      <c r="D5212" s="31"/>
      <c r="E5212" s="25"/>
      <c r="F5212" s="26"/>
    </row>
    <row r="5213" spans="1:6" ht="16.8" customHeight="1" x14ac:dyDescent="0.3">
      <c r="A5213" s="20">
        <v>46810</v>
      </c>
      <c r="B5213" s="31"/>
      <c r="C5213" s="31"/>
      <c r="D5213" s="31"/>
      <c r="E5213" s="25"/>
      <c r="F5213" s="26"/>
    </row>
    <row r="5214" spans="1:6" ht="16.8" customHeight="1" x14ac:dyDescent="0.3">
      <c r="A5214" s="20">
        <v>46811</v>
      </c>
      <c r="B5214" s="31"/>
      <c r="C5214" s="31"/>
      <c r="D5214" s="31"/>
      <c r="E5214" s="25"/>
      <c r="F5214" s="26"/>
    </row>
    <row r="5215" spans="1:6" ht="16.8" customHeight="1" x14ac:dyDescent="0.3">
      <c r="A5215" s="20">
        <v>46812</v>
      </c>
      <c r="B5215" s="31"/>
      <c r="C5215" s="31"/>
      <c r="D5215" s="31"/>
      <c r="E5215" s="25"/>
      <c r="F5215" s="26"/>
    </row>
    <row r="5216" spans="1:6" ht="16.8" customHeight="1" x14ac:dyDescent="0.3">
      <c r="A5216" s="20">
        <v>46813</v>
      </c>
      <c r="B5216" s="31"/>
      <c r="C5216" s="31"/>
      <c r="D5216" s="31"/>
      <c r="E5216" s="25"/>
      <c r="F5216" s="26"/>
    </row>
    <row r="5217" spans="1:6" ht="16.8" customHeight="1" x14ac:dyDescent="0.3">
      <c r="A5217" s="20">
        <v>46814</v>
      </c>
      <c r="B5217" s="31"/>
      <c r="C5217" s="31"/>
      <c r="D5217" s="31"/>
      <c r="E5217" s="25"/>
      <c r="F5217" s="26"/>
    </row>
    <row r="5218" spans="1:6" ht="16.8" customHeight="1" x14ac:dyDescent="0.3">
      <c r="A5218" s="20">
        <v>46815</v>
      </c>
      <c r="B5218" s="31"/>
      <c r="C5218" s="31"/>
      <c r="D5218" s="31"/>
      <c r="E5218" s="25"/>
      <c r="F5218" s="26"/>
    </row>
    <row r="5219" spans="1:6" ht="16.8" customHeight="1" x14ac:dyDescent="0.3">
      <c r="A5219" s="20">
        <v>46816</v>
      </c>
      <c r="B5219" s="31"/>
      <c r="C5219" s="31"/>
      <c r="D5219" s="31"/>
      <c r="E5219" s="25"/>
      <c r="F5219" s="26"/>
    </row>
    <row r="5220" spans="1:6" ht="16.8" customHeight="1" x14ac:dyDescent="0.3">
      <c r="A5220" s="20">
        <v>46817</v>
      </c>
      <c r="B5220" s="31"/>
      <c r="C5220" s="31"/>
      <c r="D5220" s="31"/>
      <c r="E5220" s="25"/>
      <c r="F5220" s="26"/>
    </row>
    <row r="5221" spans="1:6" ht="16.8" customHeight="1" x14ac:dyDescent="0.3">
      <c r="A5221" s="20">
        <v>46818</v>
      </c>
      <c r="B5221" s="31"/>
      <c r="C5221" s="31"/>
      <c r="D5221" s="31"/>
      <c r="E5221" s="25"/>
      <c r="F5221" s="26"/>
    </row>
    <row r="5222" spans="1:6" ht="16.8" customHeight="1" x14ac:dyDescent="0.3">
      <c r="A5222" s="20">
        <v>46819</v>
      </c>
      <c r="B5222" s="31"/>
      <c r="C5222" s="31"/>
      <c r="D5222" s="31"/>
      <c r="E5222" s="25"/>
      <c r="F5222" s="26"/>
    </row>
    <row r="5223" spans="1:6" ht="16.8" customHeight="1" x14ac:dyDescent="0.3">
      <c r="A5223" s="20">
        <v>46820</v>
      </c>
      <c r="B5223" s="31"/>
      <c r="C5223" s="31"/>
      <c r="D5223" s="31"/>
      <c r="E5223" s="25"/>
      <c r="F5223" s="26"/>
    </row>
    <row r="5224" spans="1:6" ht="16.8" customHeight="1" x14ac:dyDescent="0.3">
      <c r="A5224" s="20">
        <v>46821</v>
      </c>
      <c r="B5224" s="31"/>
      <c r="C5224" s="31"/>
      <c r="D5224" s="31"/>
      <c r="E5224" s="25"/>
      <c r="F5224" s="26"/>
    </row>
    <row r="5225" spans="1:6" ht="16.8" customHeight="1" x14ac:dyDescent="0.3">
      <c r="A5225" s="20">
        <v>46822</v>
      </c>
      <c r="B5225" s="31"/>
      <c r="C5225" s="31"/>
      <c r="D5225" s="31"/>
      <c r="E5225" s="25"/>
      <c r="F5225" s="26"/>
    </row>
    <row r="5226" spans="1:6" ht="16.8" customHeight="1" x14ac:dyDescent="0.3">
      <c r="A5226" s="20">
        <v>46823</v>
      </c>
      <c r="B5226" s="31"/>
      <c r="C5226" s="31"/>
      <c r="D5226" s="31"/>
      <c r="E5226" s="25"/>
      <c r="F5226" s="26"/>
    </row>
    <row r="5227" spans="1:6" ht="16.8" customHeight="1" x14ac:dyDescent="0.3">
      <c r="A5227" s="20">
        <v>46824</v>
      </c>
      <c r="B5227" s="31"/>
      <c r="C5227" s="31"/>
      <c r="D5227" s="31"/>
      <c r="E5227" s="25"/>
      <c r="F5227" s="26"/>
    </row>
    <row r="5228" spans="1:6" ht="16.8" customHeight="1" x14ac:dyDescent="0.3">
      <c r="A5228" s="20">
        <v>46825</v>
      </c>
      <c r="B5228" s="31"/>
      <c r="C5228" s="31"/>
      <c r="D5228" s="31"/>
      <c r="E5228" s="25"/>
      <c r="F5228" s="26"/>
    </row>
    <row r="5229" spans="1:6" ht="16.8" customHeight="1" x14ac:dyDescent="0.3">
      <c r="A5229" s="20">
        <v>46826</v>
      </c>
      <c r="B5229" s="31"/>
      <c r="C5229" s="31"/>
      <c r="D5229" s="31"/>
      <c r="E5229" s="25"/>
      <c r="F5229" s="26"/>
    </row>
    <row r="5230" spans="1:6" ht="16.8" customHeight="1" x14ac:dyDescent="0.3">
      <c r="A5230" s="20">
        <v>46827</v>
      </c>
      <c r="B5230" s="31"/>
      <c r="C5230" s="31"/>
      <c r="D5230" s="31"/>
      <c r="E5230" s="25"/>
      <c r="F5230" s="26"/>
    </row>
    <row r="5231" spans="1:6" ht="16.8" customHeight="1" x14ac:dyDescent="0.3">
      <c r="A5231" s="20">
        <v>46828</v>
      </c>
      <c r="B5231" s="31"/>
      <c r="C5231" s="31"/>
      <c r="D5231" s="31"/>
      <c r="E5231" s="25"/>
      <c r="F5231" s="26"/>
    </row>
    <row r="5232" spans="1:6" ht="16.8" customHeight="1" x14ac:dyDescent="0.3">
      <c r="A5232" s="20">
        <v>46829</v>
      </c>
      <c r="B5232" s="31"/>
      <c r="C5232" s="31"/>
      <c r="D5232" s="31"/>
      <c r="E5232" s="25"/>
      <c r="F5232" s="26"/>
    </row>
    <row r="5233" spans="1:6" ht="16.8" customHeight="1" x14ac:dyDescent="0.3">
      <c r="A5233" s="20">
        <v>46830</v>
      </c>
      <c r="B5233" s="31"/>
      <c r="C5233" s="31"/>
      <c r="D5233" s="31"/>
      <c r="E5233" s="25"/>
      <c r="F5233" s="26"/>
    </row>
    <row r="5234" spans="1:6" ht="16.8" customHeight="1" x14ac:dyDescent="0.3">
      <c r="A5234" s="20">
        <v>46831</v>
      </c>
      <c r="B5234" s="31"/>
      <c r="C5234" s="31"/>
      <c r="D5234" s="31"/>
      <c r="E5234" s="25"/>
      <c r="F5234" s="26"/>
    </row>
    <row r="5235" spans="1:6" ht="16.8" customHeight="1" x14ac:dyDescent="0.3">
      <c r="A5235" s="20">
        <v>46832</v>
      </c>
      <c r="B5235" s="31"/>
      <c r="C5235" s="31"/>
      <c r="D5235" s="31"/>
      <c r="E5235" s="25"/>
      <c r="F5235" s="26"/>
    </row>
    <row r="5236" spans="1:6" ht="16.8" customHeight="1" x14ac:dyDescent="0.3">
      <c r="A5236" s="20">
        <v>46833</v>
      </c>
      <c r="B5236" s="31"/>
      <c r="C5236" s="31"/>
      <c r="D5236" s="31"/>
      <c r="E5236" s="25"/>
      <c r="F5236" s="26"/>
    </row>
    <row r="5237" spans="1:6" ht="16.8" customHeight="1" x14ac:dyDescent="0.3">
      <c r="A5237" s="20">
        <v>46834</v>
      </c>
      <c r="B5237" s="31"/>
      <c r="C5237" s="31"/>
      <c r="D5237" s="31"/>
      <c r="E5237" s="25"/>
      <c r="F5237" s="26"/>
    </row>
    <row r="5238" spans="1:6" ht="16.8" customHeight="1" x14ac:dyDescent="0.3">
      <c r="A5238" s="20">
        <v>46835</v>
      </c>
      <c r="B5238" s="31"/>
      <c r="C5238" s="31"/>
      <c r="D5238" s="31"/>
      <c r="E5238" s="25"/>
      <c r="F5238" s="26"/>
    </row>
    <row r="5239" spans="1:6" ht="16.8" customHeight="1" x14ac:dyDescent="0.3">
      <c r="A5239" s="20">
        <v>46836</v>
      </c>
      <c r="B5239" s="31"/>
      <c r="C5239" s="31"/>
      <c r="D5239" s="31"/>
      <c r="E5239" s="25"/>
      <c r="F5239" s="26"/>
    </row>
    <row r="5240" spans="1:6" ht="16.8" customHeight="1" x14ac:dyDescent="0.3">
      <c r="A5240" s="20">
        <v>46837</v>
      </c>
      <c r="B5240" s="31"/>
      <c r="C5240" s="31"/>
      <c r="D5240" s="31"/>
      <c r="E5240" s="25"/>
      <c r="F5240" s="26"/>
    </row>
    <row r="5241" spans="1:6" ht="16.8" customHeight="1" x14ac:dyDescent="0.3">
      <c r="A5241" s="20">
        <v>46838</v>
      </c>
      <c r="B5241" s="31"/>
      <c r="C5241" s="31"/>
      <c r="D5241" s="31"/>
      <c r="E5241" s="25"/>
      <c r="F5241" s="26"/>
    </row>
    <row r="5242" spans="1:6" ht="16.8" customHeight="1" x14ac:dyDescent="0.3">
      <c r="A5242" s="20">
        <v>46839</v>
      </c>
      <c r="B5242" s="31"/>
      <c r="C5242" s="31"/>
      <c r="D5242" s="31"/>
      <c r="E5242" s="25"/>
      <c r="F5242" s="26"/>
    </row>
    <row r="5243" spans="1:6" ht="16.8" customHeight="1" x14ac:dyDescent="0.3">
      <c r="A5243" s="20">
        <v>46840</v>
      </c>
      <c r="B5243" s="31"/>
      <c r="C5243" s="31"/>
      <c r="D5243" s="31"/>
      <c r="E5243" s="25"/>
      <c r="F5243" s="26"/>
    </row>
    <row r="5244" spans="1:6" ht="16.8" customHeight="1" x14ac:dyDescent="0.3">
      <c r="A5244" s="20">
        <v>46841</v>
      </c>
      <c r="B5244" s="31"/>
      <c r="C5244" s="31"/>
      <c r="D5244" s="31"/>
      <c r="E5244" s="25"/>
      <c r="F5244" s="26"/>
    </row>
    <row r="5245" spans="1:6" ht="16.8" customHeight="1" x14ac:dyDescent="0.3">
      <c r="A5245" s="20">
        <v>46842</v>
      </c>
      <c r="B5245" s="31"/>
      <c r="C5245" s="31"/>
      <c r="D5245" s="31"/>
      <c r="E5245" s="25"/>
      <c r="F5245" s="26"/>
    </row>
    <row r="5246" spans="1:6" ht="16.8" customHeight="1" x14ac:dyDescent="0.3">
      <c r="A5246" s="20">
        <v>46843</v>
      </c>
      <c r="B5246" s="31"/>
      <c r="C5246" s="31"/>
      <c r="D5246" s="31"/>
      <c r="E5246" s="25"/>
      <c r="F5246" s="26"/>
    </row>
    <row r="5247" spans="1:6" ht="16.8" customHeight="1" x14ac:dyDescent="0.3">
      <c r="A5247" s="20">
        <v>46844</v>
      </c>
      <c r="B5247" s="31"/>
      <c r="C5247" s="31"/>
      <c r="D5247" s="31"/>
      <c r="E5247" s="25"/>
      <c r="F5247" s="26"/>
    </row>
    <row r="5248" spans="1:6" ht="16.8" customHeight="1" x14ac:dyDescent="0.3">
      <c r="A5248" s="20">
        <v>46845</v>
      </c>
      <c r="B5248" s="31"/>
      <c r="C5248" s="31"/>
      <c r="D5248" s="31"/>
      <c r="E5248" s="25"/>
      <c r="F5248" s="26"/>
    </row>
    <row r="5249" spans="1:6" ht="16.8" customHeight="1" x14ac:dyDescent="0.3">
      <c r="A5249" s="20">
        <v>46846</v>
      </c>
      <c r="B5249" s="31"/>
      <c r="C5249" s="31"/>
      <c r="D5249" s="31"/>
      <c r="E5249" s="25"/>
      <c r="F5249" s="26"/>
    </row>
    <row r="5250" spans="1:6" ht="16.8" customHeight="1" x14ac:dyDescent="0.3">
      <c r="A5250" s="20">
        <v>46847</v>
      </c>
      <c r="B5250" s="31"/>
      <c r="C5250" s="31"/>
      <c r="D5250" s="31"/>
      <c r="E5250" s="25"/>
      <c r="F5250" s="26"/>
    </row>
    <row r="5251" spans="1:6" ht="16.8" customHeight="1" x14ac:dyDescent="0.3">
      <c r="A5251" s="20">
        <v>46848</v>
      </c>
      <c r="B5251" s="31"/>
      <c r="C5251" s="31"/>
      <c r="D5251" s="31"/>
      <c r="E5251" s="25"/>
      <c r="F5251" s="26"/>
    </row>
    <row r="5252" spans="1:6" ht="16.8" customHeight="1" x14ac:dyDescent="0.3">
      <c r="A5252" s="20">
        <v>46849</v>
      </c>
      <c r="B5252" s="31"/>
      <c r="C5252" s="31"/>
      <c r="D5252" s="31"/>
      <c r="E5252" s="25"/>
      <c r="F5252" s="26"/>
    </row>
    <row r="5253" spans="1:6" ht="16.8" customHeight="1" x14ac:dyDescent="0.3">
      <c r="A5253" s="20">
        <v>46850</v>
      </c>
      <c r="B5253" s="31"/>
      <c r="C5253" s="31"/>
      <c r="D5253" s="31"/>
      <c r="E5253" s="25"/>
      <c r="F5253" s="26"/>
    </row>
    <row r="5254" spans="1:6" ht="16.8" customHeight="1" x14ac:dyDescent="0.3">
      <c r="A5254" s="20">
        <v>46851</v>
      </c>
      <c r="B5254" s="31"/>
      <c r="C5254" s="31"/>
      <c r="D5254" s="31"/>
      <c r="E5254" s="25"/>
      <c r="F5254" s="26"/>
    </row>
    <row r="5255" spans="1:6" ht="16.8" customHeight="1" x14ac:dyDescent="0.3">
      <c r="A5255" s="20">
        <v>46852</v>
      </c>
      <c r="B5255" s="31"/>
      <c r="C5255" s="31"/>
      <c r="D5255" s="31"/>
      <c r="E5255" s="25"/>
      <c r="F5255" s="26"/>
    </row>
    <row r="5256" spans="1:6" ht="16.8" customHeight="1" x14ac:dyDescent="0.3">
      <c r="A5256" s="20">
        <v>46853</v>
      </c>
      <c r="B5256" s="31"/>
      <c r="C5256" s="31"/>
      <c r="D5256" s="31"/>
      <c r="E5256" s="25"/>
      <c r="F5256" s="26"/>
    </row>
    <row r="5257" spans="1:6" ht="16.8" customHeight="1" x14ac:dyDescent="0.3">
      <c r="A5257" s="20">
        <v>46854</v>
      </c>
      <c r="B5257" s="31"/>
      <c r="C5257" s="31"/>
      <c r="D5257" s="31"/>
      <c r="E5257" s="25"/>
      <c r="F5257" s="26"/>
    </row>
    <row r="5258" spans="1:6" ht="16.8" customHeight="1" x14ac:dyDescent="0.3">
      <c r="A5258" s="20">
        <v>46855</v>
      </c>
      <c r="B5258" s="31"/>
      <c r="C5258" s="31"/>
      <c r="D5258" s="31"/>
      <c r="E5258" s="25"/>
      <c r="F5258" s="26"/>
    </row>
    <row r="5259" spans="1:6" ht="16.8" customHeight="1" x14ac:dyDescent="0.3">
      <c r="A5259" s="20">
        <v>46856</v>
      </c>
      <c r="B5259" s="31"/>
      <c r="C5259" s="31"/>
      <c r="D5259" s="31"/>
      <c r="E5259" s="25"/>
      <c r="F5259" s="26"/>
    </row>
    <row r="5260" spans="1:6" ht="16.8" customHeight="1" x14ac:dyDescent="0.3">
      <c r="A5260" s="20">
        <v>46857</v>
      </c>
      <c r="B5260" s="31"/>
      <c r="C5260" s="31"/>
      <c r="D5260" s="31"/>
      <c r="E5260" s="25"/>
      <c r="F5260" s="26"/>
    </row>
    <row r="5261" spans="1:6" ht="16.8" customHeight="1" x14ac:dyDescent="0.3">
      <c r="A5261" s="20">
        <v>46858</v>
      </c>
      <c r="B5261" s="31"/>
      <c r="C5261" s="31"/>
      <c r="D5261" s="31"/>
      <c r="E5261" s="25"/>
      <c r="F5261" s="26"/>
    </row>
    <row r="5262" spans="1:6" ht="16.8" customHeight="1" x14ac:dyDescent="0.3">
      <c r="A5262" s="20">
        <v>46859</v>
      </c>
      <c r="B5262" s="31"/>
      <c r="C5262" s="31"/>
      <c r="D5262" s="31"/>
      <c r="E5262" s="25"/>
      <c r="F5262" s="26"/>
    </row>
    <row r="5263" spans="1:6" ht="16.8" customHeight="1" x14ac:dyDescent="0.3">
      <c r="A5263" s="20">
        <v>46860</v>
      </c>
      <c r="B5263" s="31"/>
      <c r="C5263" s="31"/>
      <c r="D5263" s="31"/>
      <c r="E5263" s="25"/>
      <c r="F5263" s="26"/>
    </row>
    <row r="5264" spans="1:6" ht="16.8" customHeight="1" x14ac:dyDescent="0.3">
      <c r="A5264" s="20">
        <v>46861</v>
      </c>
      <c r="B5264" s="31"/>
      <c r="C5264" s="31"/>
      <c r="D5264" s="31"/>
      <c r="E5264" s="25"/>
      <c r="F5264" s="26"/>
    </row>
    <row r="5265" spans="1:6" ht="16.8" customHeight="1" x14ac:dyDescent="0.3">
      <c r="A5265" s="20">
        <v>46862</v>
      </c>
      <c r="B5265" s="31"/>
      <c r="C5265" s="31"/>
      <c r="D5265" s="31"/>
      <c r="E5265" s="25"/>
      <c r="F5265" s="26"/>
    </row>
    <row r="5266" spans="1:6" ht="16.8" customHeight="1" x14ac:dyDescent="0.3">
      <c r="A5266" s="20">
        <v>46863</v>
      </c>
      <c r="B5266" s="31"/>
      <c r="C5266" s="31"/>
      <c r="D5266" s="31"/>
      <c r="E5266" s="25"/>
      <c r="F5266" s="26"/>
    </row>
    <row r="5267" spans="1:6" ht="16.8" customHeight="1" x14ac:dyDescent="0.3">
      <c r="A5267" s="20">
        <v>46864</v>
      </c>
      <c r="B5267" s="31"/>
      <c r="C5267" s="31"/>
      <c r="D5267" s="31"/>
      <c r="E5267" s="25"/>
      <c r="F5267" s="26"/>
    </row>
    <row r="5268" spans="1:6" ht="16.8" customHeight="1" x14ac:dyDescent="0.3">
      <c r="A5268" s="20">
        <v>46865</v>
      </c>
      <c r="B5268" s="31"/>
      <c r="C5268" s="31"/>
      <c r="D5268" s="31"/>
      <c r="E5268" s="25"/>
      <c r="F5268" s="26"/>
    </row>
    <row r="5269" spans="1:6" ht="16.8" customHeight="1" x14ac:dyDescent="0.3">
      <c r="A5269" s="20">
        <v>46866</v>
      </c>
      <c r="B5269" s="31"/>
      <c r="C5269" s="31"/>
      <c r="D5269" s="31"/>
      <c r="E5269" s="25"/>
      <c r="F5269" s="26"/>
    </row>
    <row r="5270" spans="1:6" ht="16.8" customHeight="1" x14ac:dyDescent="0.3">
      <c r="A5270" s="20">
        <v>46867</v>
      </c>
      <c r="B5270" s="31"/>
      <c r="C5270" s="31"/>
      <c r="D5270" s="31"/>
      <c r="E5270" s="25"/>
      <c r="F5270" s="26"/>
    </row>
    <row r="5271" spans="1:6" ht="16.8" customHeight="1" x14ac:dyDescent="0.3">
      <c r="A5271" s="20">
        <v>46868</v>
      </c>
      <c r="B5271" s="31"/>
      <c r="C5271" s="31"/>
      <c r="D5271" s="31"/>
      <c r="E5271" s="25"/>
      <c r="F5271" s="26"/>
    </row>
    <row r="5272" spans="1:6" ht="16.8" customHeight="1" x14ac:dyDescent="0.3">
      <c r="A5272" s="20">
        <v>46869</v>
      </c>
      <c r="B5272" s="31"/>
      <c r="C5272" s="31"/>
      <c r="D5272" s="31"/>
      <c r="E5272" s="25"/>
      <c r="F5272" s="26"/>
    </row>
    <row r="5273" spans="1:6" ht="16.8" customHeight="1" x14ac:dyDescent="0.3">
      <c r="A5273" s="20">
        <v>46870</v>
      </c>
      <c r="B5273" s="31"/>
      <c r="C5273" s="31"/>
      <c r="D5273" s="31"/>
      <c r="E5273" s="25"/>
      <c r="F5273" s="26"/>
    </row>
    <row r="5274" spans="1:6" ht="16.8" customHeight="1" x14ac:dyDescent="0.3">
      <c r="A5274" s="20">
        <v>46871</v>
      </c>
      <c r="B5274" s="31"/>
      <c r="C5274" s="31"/>
      <c r="D5274" s="31"/>
      <c r="E5274" s="25"/>
      <c r="F5274" s="26"/>
    </row>
    <row r="5275" spans="1:6" ht="16.8" customHeight="1" x14ac:dyDescent="0.3">
      <c r="A5275" s="20">
        <v>46872</v>
      </c>
      <c r="B5275" s="31"/>
      <c r="C5275" s="31"/>
      <c r="D5275" s="31"/>
      <c r="E5275" s="25"/>
      <c r="F5275" s="26"/>
    </row>
    <row r="5276" spans="1:6" ht="16.8" customHeight="1" x14ac:dyDescent="0.3">
      <c r="A5276" s="20">
        <v>46873</v>
      </c>
      <c r="B5276" s="31"/>
      <c r="C5276" s="31"/>
      <c r="D5276" s="31"/>
      <c r="E5276" s="25"/>
      <c r="F5276" s="26"/>
    </row>
    <row r="5277" spans="1:6" ht="16.8" customHeight="1" x14ac:dyDescent="0.3">
      <c r="A5277" s="20">
        <v>46874</v>
      </c>
      <c r="B5277" s="31"/>
      <c r="C5277" s="31"/>
      <c r="D5277" s="31"/>
      <c r="E5277" s="25"/>
      <c r="F5277" s="26"/>
    </row>
    <row r="5278" spans="1:6" ht="16.8" customHeight="1" x14ac:dyDescent="0.3">
      <c r="A5278" s="20">
        <v>46875</v>
      </c>
      <c r="B5278" s="31"/>
      <c r="C5278" s="31"/>
      <c r="D5278" s="31"/>
      <c r="E5278" s="25"/>
      <c r="F5278" s="26"/>
    </row>
    <row r="5279" spans="1:6" ht="16.8" customHeight="1" x14ac:dyDescent="0.3">
      <c r="A5279" s="20">
        <v>46876</v>
      </c>
      <c r="B5279" s="31"/>
      <c r="C5279" s="31"/>
      <c r="D5279" s="31"/>
      <c r="E5279" s="25"/>
      <c r="F5279" s="26"/>
    </row>
    <row r="5280" spans="1:6" ht="16.8" customHeight="1" x14ac:dyDescent="0.3">
      <c r="A5280" s="20">
        <v>46877</v>
      </c>
      <c r="B5280" s="31"/>
      <c r="C5280" s="31"/>
      <c r="D5280" s="31"/>
      <c r="E5280" s="25"/>
      <c r="F5280" s="26"/>
    </row>
    <row r="5281" spans="1:6" ht="16.8" customHeight="1" x14ac:dyDescent="0.3">
      <c r="A5281" s="20">
        <v>46878</v>
      </c>
      <c r="B5281" s="31"/>
      <c r="C5281" s="31"/>
      <c r="D5281" s="31"/>
      <c r="E5281" s="25"/>
      <c r="F5281" s="26"/>
    </row>
    <row r="5282" spans="1:6" ht="16.8" customHeight="1" x14ac:dyDescent="0.3">
      <c r="A5282" s="20">
        <v>46879</v>
      </c>
      <c r="B5282" s="31"/>
      <c r="C5282" s="31"/>
      <c r="D5282" s="31"/>
      <c r="E5282" s="25"/>
      <c r="F5282" s="26"/>
    </row>
    <row r="5283" spans="1:6" ht="16.8" customHeight="1" x14ac:dyDescent="0.3">
      <c r="A5283" s="20">
        <v>46880</v>
      </c>
      <c r="B5283" s="31"/>
      <c r="C5283" s="31"/>
      <c r="D5283" s="31"/>
      <c r="E5283" s="25"/>
      <c r="F5283" s="26"/>
    </row>
    <row r="5284" spans="1:6" ht="16.8" customHeight="1" x14ac:dyDescent="0.3">
      <c r="A5284" s="20">
        <v>46881</v>
      </c>
      <c r="B5284" s="31"/>
      <c r="C5284" s="31"/>
      <c r="D5284" s="31"/>
      <c r="E5284" s="25"/>
      <c r="F5284" s="26"/>
    </row>
    <row r="5285" spans="1:6" ht="16.8" customHeight="1" x14ac:dyDescent="0.3">
      <c r="A5285" s="20">
        <v>46882</v>
      </c>
      <c r="B5285" s="31"/>
      <c r="C5285" s="31"/>
      <c r="D5285" s="31"/>
      <c r="E5285" s="25"/>
      <c r="F5285" s="26"/>
    </row>
    <row r="5286" spans="1:6" ht="16.8" customHeight="1" x14ac:dyDescent="0.3">
      <c r="A5286" s="20">
        <v>46883</v>
      </c>
      <c r="B5286" s="31"/>
      <c r="C5286" s="31"/>
      <c r="D5286" s="31"/>
      <c r="E5286" s="25"/>
      <c r="F5286" s="26"/>
    </row>
    <row r="5287" spans="1:6" ht="16.8" customHeight="1" x14ac:dyDescent="0.3">
      <c r="A5287" s="20">
        <v>46884</v>
      </c>
      <c r="B5287" s="31"/>
      <c r="C5287" s="31"/>
      <c r="D5287" s="31"/>
      <c r="E5287" s="25"/>
      <c r="F5287" s="26"/>
    </row>
    <row r="5288" spans="1:6" ht="16.8" customHeight="1" x14ac:dyDescent="0.3">
      <c r="A5288" s="20">
        <v>46885</v>
      </c>
      <c r="B5288" s="31"/>
      <c r="C5288" s="31"/>
      <c r="D5288" s="31"/>
      <c r="E5288" s="25"/>
      <c r="F5288" s="26"/>
    </row>
    <row r="5289" spans="1:6" ht="16.8" customHeight="1" x14ac:dyDescent="0.3">
      <c r="A5289" s="20">
        <v>46886</v>
      </c>
      <c r="B5289" s="31"/>
      <c r="C5289" s="31"/>
      <c r="D5289" s="31"/>
      <c r="E5289" s="25"/>
      <c r="F5289" s="26"/>
    </row>
    <row r="5290" spans="1:6" ht="16.8" customHeight="1" x14ac:dyDescent="0.3">
      <c r="A5290" s="20">
        <v>46887</v>
      </c>
      <c r="B5290" s="31"/>
      <c r="C5290" s="31"/>
      <c r="D5290" s="31"/>
      <c r="E5290" s="25"/>
      <c r="F5290" s="26"/>
    </row>
    <row r="5291" spans="1:6" ht="16.8" customHeight="1" x14ac:dyDescent="0.3">
      <c r="A5291" s="20">
        <v>46888</v>
      </c>
      <c r="B5291" s="31"/>
      <c r="C5291" s="31"/>
      <c r="D5291" s="31"/>
      <c r="E5291" s="25"/>
      <c r="F5291" s="26"/>
    </row>
    <row r="5292" spans="1:6" ht="16.8" customHeight="1" x14ac:dyDescent="0.3">
      <c r="A5292" s="20">
        <v>46889</v>
      </c>
      <c r="B5292" s="31"/>
      <c r="C5292" s="31"/>
      <c r="D5292" s="31"/>
      <c r="E5292" s="25"/>
      <c r="F5292" s="26"/>
    </row>
    <row r="5293" spans="1:6" ht="16.8" customHeight="1" x14ac:dyDescent="0.3">
      <c r="A5293" s="20">
        <v>46890</v>
      </c>
      <c r="B5293" s="31"/>
      <c r="C5293" s="31"/>
      <c r="D5293" s="31"/>
      <c r="E5293" s="25"/>
      <c r="F5293" s="26"/>
    </row>
    <row r="5294" spans="1:6" ht="16.8" customHeight="1" x14ac:dyDescent="0.3">
      <c r="A5294" s="20">
        <v>46891</v>
      </c>
      <c r="B5294" s="31"/>
      <c r="C5294" s="31"/>
      <c r="D5294" s="31"/>
      <c r="E5294" s="25"/>
      <c r="F5294" s="26"/>
    </row>
    <row r="5295" spans="1:6" ht="16.8" customHeight="1" x14ac:dyDescent="0.3">
      <c r="A5295" s="20">
        <v>46892</v>
      </c>
      <c r="B5295" s="31"/>
      <c r="C5295" s="31"/>
      <c r="D5295" s="31"/>
      <c r="E5295" s="25"/>
      <c r="F5295" s="26"/>
    </row>
    <row r="5296" spans="1:6" ht="16.8" customHeight="1" x14ac:dyDescent="0.3">
      <c r="A5296" s="20">
        <v>46893</v>
      </c>
      <c r="B5296" s="31"/>
      <c r="C5296" s="31"/>
      <c r="D5296" s="31"/>
      <c r="E5296" s="25"/>
      <c r="F5296" s="26"/>
    </row>
    <row r="5297" spans="1:6" ht="16.8" customHeight="1" x14ac:dyDescent="0.3">
      <c r="A5297" s="20">
        <v>46894</v>
      </c>
      <c r="B5297" s="31"/>
      <c r="C5297" s="31"/>
      <c r="D5297" s="31"/>
      <c r="E5297" s="25"/>
      <c r="F5297" s="26"/>
    </row>
    <row r="5298" spans="1:6" ht="16.8" customHeight="1" x14ac:dyDescent="0.3">
      <c r="A5298" s="20">
        <v>46895</v>
      </c>
      <c r="B5298" s="31"/>
      <c r="C5298" s="31"/>
      <c r="D5298" s="31"/>
      <c r="E5298" s="25"/>
      <c r="F5298" s="26"/>
    </row>
    <row r="5299" spans="1:6" ht="16.8" customHeight="1" x14ac:dyDescent="0.3">
      <c r="A5299" s="20">
        <v>46896</v>
      </c>
      <c r="B5299" s="31"/>
      <c r="C5299" s="31"/>
      <c r="D5299" s="31"/>
      <c r="E5299" s="25"/>
      <c r="F5299" s="26"/>
    </row>
    <row r="5300" spans="1:6" ht="16.8" customHeight="1" x14ac:dyDescent="0.3">
      <c r="A5300" s="20">
        <v>46897</v>
      </c>
      <c r="B5300" s="31"/>
      <c r="C5300" s="31"/>
      <c r="D5300" s="31"/>
      <c r="E5300" s="25"/>
      <c r="F5300" s="26"/>
    </row>
    <row r="5301" spans="1:6" ht="16.8" customHeight="1" x14ac:dyDescent="0.3">
      <c r="A5301" s="20">
        <v>46898</v>
      </c>
      <c r="B5301" s="31"/>
      <c r="C5301" s="31"/>
      <c r="D5301" s="31"/>
      <c r="E5301" s="25"/>
      <c r="F5301" s="26"/>
    </row>
    <row r="5302" spans="1:6" ht="16.8" customHeight="1" x14ac:dyDescent="0.3">
      <c r="A5302" s="20">
        <v>46899</v>
      </c>
      <c r="B5302" s="31"/>
      <c r="C5302" s="31"/>
      <c r="D5302" s="31"/>
      <c r="E5302" s="25"/>
      <c r="F5302" s="26"/>
    </row>
    <row r="5303" spans="1:6" ht="16.8" customHeight="1" x14ac:dyDescent="0.3">
      <c r="A5303" s="20">
        <v>46900</v>
      </c>
      <c r="B5303" s="31"/>
      <c r="C5303" s="31"/>
      <c r="D5303" s="31"/>
      <c r="E5303" s="25"/>
      <c r="F5303" s="26"/>
    </row>
    <row r="5304" spans="1:6" ht="16.8" customHeight="1" x14ac:dyDescent="0.3">
      <c r="A5304" s="20">
        <v>46901</v>
      </c>
      <c r="B5304" s="31"/>
      <c r="C5304" s="31"/>
      <c r="D5304" s="31"/>
      <c r="E5304" s="25"/>
      <c r="F5304" s="26"/>
    </row>
    <row r="5305" spans="1:6" ht="16.8" customHeight="1" x14ac:dyDescent="0.3">
      <c r="A5305" s="20">
        <v>46902</v>
      </c>
      <c r="B5305" s="31"/>
      <c r="C5305" s="31"/>
      <c r="D5305" s="31"/>
      <c r="E5305" s="25"/>
      <c r="F5305" s="26"/>
    </row>
    <row r="5306" spans="1:6" ht="16.8" customHeight="1" x14ac:dyDescent="0.3">
      <c r="A5306" s="20">
        <v>46903</v>
      </c>
      <c r="B5306" s="31"/>
      <c r="C5306" s="31"/>
      <c r="D5306" s="31"/>
      <c r="E5306" s="25"/>
      <c r="F5306" s="26"/>
    </row>
    <row r="5307" spans="1:6" ht="16.8" customHeight="1" x14ac:dyDescent="0.3">
      <c r="A5307" s="20">
        <v>46904</v>
      </c>
      <c r="B5307" s="31"/>
      <c r="C5307" s="31"/>
      <c r="D5307" s="31"/>
      <c r="E5307" s="25"/>
      <c r="F5307" s="26"/>
    </row>
    <row r="5308" spans="1:6" ht="16.8" customHeight="1" x14ac:dyDescent="0.3">
      <c r="A5308" s="20">
        <v>46905</v>
      </c>
      <c r="B5308" s="31"/>
      <c r="C5308" s="31"/>
      <c r="D5308" s="31"/>
      <c r="E5308" s="25"/>
      <c r="F5308" s="26"/>
    </row>
    <row r="5309" spans="1:6" ht="16.8" customHeight="1" x14ac:dyDescent="0.3">
      <c r="A5309" s="20">
        <v>46906</v>
      </c>
      <c r="B5309" s="31"/>
      <c r="C5309" s="31"/>
      <c r="D5309" s="31"/>
      <c r="E5309" s="25"/>
      <c r="F5309" s="26"/>
    </row>
    <row r="5310" spans="1:6" ht="16.8" customHeight="1" x14ac:dyDescent="0.3">
      <c r="A5310" s="20">
        <v>46907</v>
      </c>
      <c r="B5310" s="31"/>
      <c r="C5310" s="31"/>
      <c r="D5310" s="31"/>
      <c r="E5310" s="25"/>
      <c r="F5310" s="26"/>
    </row>
    <row r="5311" spans="1:6" ht="16.8" customHeight="1" x14ac:dyDescent="0.3">
      <c r="A5311" s="20">
        <v>46908</v>
      </c>
      <c r="B5311" s="31"/>
      <c r="C5311" s="31"/>
      <c r="D5311" s="31"/>
      <c r="E5311" s="25"/>
      <c r="F5311" s="26"/>
    </row>
    <row r="5312" spans="1:6" ht="16.8" customHeight="1" x14ac:dyDescent="0.3">
      <c r="A5312" s="20">
        <v>46909</v>
      </c>
      <c r="B5312" s="31"/>
      <c r="C5312" s="31"/>
      <c r="D5312" s="31"/>
      <c r="E5312" s="25"/>
      <c r="F5312" s="26"/>
    </row>
    <row r="5313" spans="1:6" ht="16.8" customHeight="1" x14ac:dyDescent="0.3">
      <c r="A5313" s="20">
        <v>46910</v>
      </c>
      <c r="B5313" s="31"/>
      <c r="C5313" s="31"/>
      <c r="D5313" s="31"/>
      <c r="E5313" s="25"/>
      <c r="F5313" s="26"/>
    </row>
    <row r="5314" spans="1:6" ht="16.8" customHeight="1" x14ac:dyDescent="0.3">
      <c r="A5314" s="20">
        <v>46911</v>
      </c>
      <c r="B5314" s="31"/>
      <c r="C5314" s="31"/>
      <c r="D5314" s="31"/>
      <c r="E5314" s="25"/>
      <c r="F5314" s="26"/>
    </row>
    <row r="5315" spans="1:6" ht="16.8" customHeight="1" x14ac:dyDescent="0.3">
      <c r="A5315" s="20">
        <v>46912</v>
      </c>
      <c r="B5315" s="31"/>
      <c r="C5315" s="31"/>
      <c r="D5315" s="31"/>
      <c r="E5315" s="25"/>
      <c r="F5315" s="26"/>
    </row>
    <row r="5316" spans="1:6" ht="16.8" customHeight="1" x14ac:dyDescent="0.3">
      <c r="A5316" s="20">
        <v>46913</v>
      </c>
      <c r="B5316" s="31"/>
      <c r="C5316" s="31"/>
      <c r="D5316" s="31"/>
      <c r="E5316" s="25"/>
      <c r="F5316" s="26"/>
    </row>
    <row r="5317" spans="1:6" ht="16.8" customHeight="1" x14ac:dyDescent="0.3">
      <c r="A5317" s="20">
        <v>46914</v>
      </c>
      <c r="B5317" s="31"/>
      <c r="C5317" s="31"/>
      <c r="D5317" s="31"/>
      <c r="E5317" s="25"/>
      <c r="F5317" s="26"/>
    </row>
    <row r="5318" spans="1:6" ht="16.8" customHeight="1" x14ac:dyDescent="0.3">
      <c r="A5318" s="20">
        <v>46915</v>
      </c>
      <c r="B5318" s="31"/>
      <c r="C5318" s="31"/>
      <c r="D5318" s="31"/>
      <c r="E5318" s="25"/>
      <c r="F5318" s="26"/>
    </row>
    <row r="5319" spans="1:6" ht="16.8" customHeight="1" x14ac:dyDescent="0.3">
      <c r="A5319" s="20">
        <v>46916</v>
      </c>
      <c r="B5319" s="31"/>
      <c r="C5319" s="31"/>
      <c r="D5319" s="31"/>
      <c r="E5319" s="25"/>
      <c r="F5319" s="26"/>
    </row>
    <row r="5320" spans="1:6" ht="16.8" customHeight="1" x14ac:dyDescent="0.3">
      <c r="A5320" s="20">
        <v>46917</v>
      </c>
      <c r="B5320" s="31"/>
      <c r="C5320" s="31"/>
      <c r="D5320" s="31"/>
      <c r="E5320" s="25"/>
      <c r="F5320" s="26"/>
    </row>
    <row r="5321" spans="1:6" ht="16.8" customHeight="1" x14ac:dyDescent="0.3">
      <c r="A5321" s="20">
        <v>46918</v>
      </c>
      <c r="B5321" s="31"/>
      <c r="C5321" s="31"/>
      <c r="D5321" s="31"/>
      <c r="E5321" s="25"/>
      <c r="F5321" s="26"/>
    </row>
    <row r="5322" spans="1:6" ht="16.8" customHeight="1" x14ac:dyDescent="0.3">
      <c r="A5322" s="20">
        <v>46919</v>
      </c>
      <c r="B5322" s="31"/>
      <c r="C5322" s="31"/>
      <c r="D5322" s="31"/>
      <c r="E5322" s="25"/>
      <c r="F5322" s="26"/>
    </row>
    <row r="5323" spans="1:6" ht="16.8" customHeight="1" x14ac:dyDescent="0.3">
      <c r="A5323" s="20">
        <v>46920</v>
      </c>
      <c r="B5323" s="31"/>
      <c r="C5323" s="31"/>
      <c r="D5323" s="31"/>
      <c r="E5323" s="25"/>
      <c r="F5323" s="26"/>
    </row>
    <row r="5324" spans="1:6" ht="16.8" customHeight="1" x14ac:dyDescent="0.3">
      <c r="A5324" s="20">
        <v>46921</v>
      </c>
      <c r="B5324" s="31"/>
      <c r="C5324" s="31"/>
      <c r="D5324" s="31"/>
      <c r="E5324" s="25"/>
      <c r="F5324" s="26"/>
    </row>
    <row r="5325" spans="1:6" ht="16.8" customHeight="1" x14ac:dyDescent="0.3">
      <c r="A5325" s="20">
        <v>46922</v>
      </c>
      <c r="B5325" s="31"/>
      <c r="C5325" s="31"/>
      <c r="D5325" s="31"/>
      <c r="E5325" s="25"/>
      <c r="F5325" s="26"/>
    </row>
    <row r="5326" spans="1:6" ht="16.8" customHeight="1" x14ac:dyDescent="0.3">
      <c r="A5326" s="20">
        <v>46923</v>
      </c>
      <c r="B5326" s="31"/>
      <c r="C5326" s="31"/>
      <c r="D5326" s="31"/>
      <c r="E5326" s="25"/>
      <c r="F5326" s="26"/>
    </row>
    <row r="5327" spans="1:6" ht="16.8" customHeight="1" x14ac:dyDescent="0.3">
      <c r="A5327" s="20">
        <v>46924</v>
      </c>
      <c r="B5327" s="31"/>
      <c r="C5327" s="31"/>
      <c r="D5327" s="31"/>
      <c r="E5327" s="25"/>
      <c r="F5327" s="26"/>
    </row>
    <row r="5328" spans="1:6" ht="16.8" customHeight="1" x14ac:dyDescent="0.3">
      <c r="A5328" s="20">
        <v>46925</v>
      </c>
      <c r="B5328" s="31"/>
      <c r="C5328" s="31"/>
      <c r="D5328" s="31"/>
      <c r="E5328" s="25"/>
      <c r="F5328" s="26"/>
    </row>
    <row r="5329" spans="1:6" ht="16.8" customHeight="1" x14ac:dyDescent="0.3">
      <c r="A5329" s="20">
        <v>46926</v>
      </c>
      <c r="B5329" s="31"/>
      <c r="C5329" s="31"/>
      <c r="D5329" s="31"/>
      <c r="E5329" s="25"/>
      <c r="F5329" s="26"/>
    </row>
    <row r="5330" spans="1:6" ht="16.8" customHeight="1" x14ac:dyDescent="0.3">
      <c r="A5330" s="20">
        <v>46927</v>
      </c>
      <c r="B5330" s="31"/>
      <c r="C5330" s="31"/>
      <c r="D5330" s="31"/>
      <c r="E5330" s="25"/>
      <c r="F5330" s="26"/>
    </row>
    <row r="5331" spans="1:6" ht="16.8" customHeight="1" x14ac:dyDescent="0.3">
      <c r="A5331" s="20">
        <v>46928</v>
      </c>
      <c r="B5331" s="31"/>
      <c r="C5331" s="31"/>
      <c r="D5331" s="31"/>
      <c r="E5331" s="25"/>
      <c r="F5331" s="26"/>
    </row>
    <row r="5332" spans="1:6" ht="16.8" customHeight="1" x14ac:dyDescent="0.3">
      <c r="A5332" s="20">
        <v>46929</v>
      </c>
      <c r="B5332" s="31"/>
      <c r="C5332" s="31"/>
      <c r="D5332" s="31"/>
      <c r="E5332" s="25"/>
      <c r="F5332" s="26"/>
    </row>
    <row r="5333" spans="1:6" ht="16.8" customHeight="1" x14ac:dyDescent="0.3">
      <c r="A5333" s="20">
        <v>46930</v>
      </c>
      <c r="B5333" s="31"/>
      <c r="C5333" s="31"/>
      <c r="D5333" s="31"/>
      <c r="E5333" s="25"/>
      <c r="F5333" s="26"/>
    </row>
    <row r="5334" spans="1:6" ht="16.8" customHeight="1" x14ac:dyDescent="0.3">
      <c r="A5334" s="20">
        <v>46931</v>
      </c>
      <c r="B5334" s="31"/>
      <c r="C5334" s="31"/>
      <c r="D5334" s="31"/>
      <c r="E5334" s="25"/>
      <c r="F5334" s="26"/>
    </row>
    <row r="5335" spans="1:6" ht="16.8" customHeight="1" x14ac:dyDescent="0.3">
      <c r="A5335" s="20">
        <v>46932</v>
      </c>
      <c r="B5335" s="31"/>
      <c r="C5335" s="31"/>
      <c r="D5335" s="31"/>
      <c r="E5335" s="25"/>
      <c r="F5335" s="26"/>
    </row>
    <row r="5336" spans="1:6" ht="16.8" customHeight="1" x14ac:dyDescent="0.3">
      <c r="A5336" s="20">
        <v>46933</v>
      </c>
      <c r="B5336" s="31"/>
      <c r="C5336" s="31"/>
      <c r="D5336" s="31"/>
      <c r="E5336" s="25"/>
      <c r="F5336" s="26"/>
    </row>
    <row r="5337" spans="1:6" ht="16.8" customHeight="1" x14ac:dyDescent="0.3">
      <c r="A5337" s="20">
        <v>46934</v>
      </c>
      <c r="B5337" s="31"/>
      <c r="C5337" s="31"/>
      <c r="D5337" s="31"/>
      <c r="E5337" s="25"/>
      <c r="F5337" s="26"/>
    </row>
    <row r="5338" spans="1:6" ht="16.8" customHeight="1" x14ac:dyDescent="0.3">
      <c r="A5338" s="20">
        <v>46935</v>
      </c>
      <c r="B5338" s="31"/>
      <c r="C5338" s="31"/>
      <c r="D5338" s="31"/>
      <c r="E5338" s="25"/>
      <c r="F5338" s="26"/>
    </row>
    <row r="5339" spans="1:6" ht="16.8" customHeight="1" x14ac:dyDescent="0.3">
      <c r="A5339" s="20">
        <v>46936</v>
      </c>
      <c r="B5339" s="31"/>
      <c r="C5339" s="31"/>
      <c r="D5339" s="31"/>
      <c r="E5339" s="25"/>
      <c r="F5339" s="26"/>
    </row>
    <row r="5340" spans="1:6" ht="16.8" customHeight="1" x14ac:dyDescent="0.3">
      <c r="A5340" s="20">
        <v>46937</v>
      </c>
      <c r="B5340" s="31"/>
      <c r="C5340" s="31"/>
      <c r="D5340" s="31"/>
      <c r="E5340" s="25"/>
      <c r="F5340" s="26"/>
    </row>
    <row r="5341" spans="1:6" ht="16.8" customHeight="1" x14ac:dyDescent="0.3">
      <c r="A5341" s="20">
        <v>46938</v>
      </c>
      <c r="B5341" s="31"/>
      <c r="C5341" s="31"/>
      <c r="D5341" s="31"/>
      <c r="E5341" s="25"/>
      <c r="F5341" s="26"/>
    </row>
    <row r="5342" spans="1:6" ht="16.8" customHeight="1" x14ac:dyDescent="0.3">
      <c r="A5342" s="20">
        <v>46939</v>
      </c>
      <c r="B5342" s="31"/>
      <c r="C5342" s="31"/>
      <c r="D5342" s="31"/>
      <c r="E5342" s="25"/>
      <c r="F5342" s="26"/>
    </row>
    <row r="5343" spans="1:6" ht="16.8" customHeight="1" x14ac:dyDescent="0.3">
      <c r="A5343" s="20">
        <v>46940</v>
      </c>
      <c r="B5343" s="31"/>
      <c r="C5343" s="31"/>
      <c r="D5343" s="31"/>
      <c r="E5343" s="25"/>
      <c r="F5343" s="26"/>
    </row>
    <row r="5344" spans="1:6" ht="16.8" customHeight="1" x14ac:dyDescent="0.3">
      <c r="A5344" s="20">
        <v>46941</v>
      </c>
      <c r="B5344" s="31"/>
      <c r="C5344" s="31"/>
      <c r="D5344" s="31"/>
      <c r="E5344" s="25"/>
      <c r="F5344" s="26"/>
    </row>
    <row r="5345" spans="1:6" ht="16.8" customHeight="1" x14ac:dyDescent="0.3">
      <c r="A5345" s="20">
        <v>46942</v>
      </c>
      <c r="B5345" s="31"/>
      <c r="C5345" s="31"/>
      <c r="D5345" s="31"/>
      <c r="E5345" s="25"/>
      <c r="F5345" s="26"/>
    </row>
    <row r="5346" spans="1:6" ht="16.8" customHeight="1" x14ac:dyDescent="0.3">
      <c r="A5346" s="20">
        <v>46943</v>
      </c>
      <c r="B5346" s="31"/>
      <c r="C5346" s="31"/>
      <c r="D5346" s="31"/>
      <c r="E5346" s="25"/>
      <c r="F5346" s="26"/>
    </row>
    <row r="5347" spans="1:6" ht="16.8" customHeight="1" x14ac:dyDescent="0.3">
      <c r="A5347" s="20">
        <v>46944</v>
      </c>
      <c r="B5347" s="31"/>
      <c r="C5347" s="31"/>
      <c r="D5347" s="31"/>
      <c r="E5347" s="25"/>
      <c r="F5347" s="26"/>
    </row>
    <row r="5348" spans="1:6" ht="16.8" customHeight="1" x14ac:dyDescent="0.3">
      <c r="A5348" s="20">
        <v>46945</v>
      </c>
      <c r="B5348" s="31"/>
      <c r="C5348" s="31"/>
      <c r="D5348" s="31"/>
      <c r="E5348" s="25"/>
      <c r="F5348" s="26"/>
    </row>
    <row r="5349" spans="1:6" ht="16.8" customHeight="1" x14ac:dyDescent="0.3">
      <c r="A5349" s="20">
        <v>46946</v>
      </c>
      <c r="B5349" s="31"/>
      <c r="C5349" s="31"/>
      <c r="D5349" s="31"/>
      <c r="E5349" s="25"/>
      <c r="F5349" s="26"/>
    </row>
    <row r="5350" spans="1:6" ht="16.8" customHeight="1" x14ac:dyDescent="0.3">
      <c r="A5350" s="20">
        <v>46947</v>
      </c>
      <c r="B5350" s="31"/>
      <c r="C5350" s="31"/>
      <c r="D5350" s="31"/>
      <c r="E5350" s="25"/>
      <c r="F5350" s="26"/>
    </row>
    <row r="5351" spans="1:6" ht="16.8" customHeight="1" x14ac:dyDescent="0.3">
      <c r="A5351" s="20">
        <v>46948</v>
      </c>
      <c r="B5351" s="31"/>
      <c r="C5351" s="31"/>
      <c r="D5351" s="31"/>
      <c r="E5351" s="25"/>
      <c r="F5351" s="26"/>
    </row>
    <row r="5352" spans="1:6" ht="16.8" customHeight="1" x14ac:dyDescent="0.3">
      <c r="A5352" s="20">
        <v>46949</v>
      </c>
      <c r="B5352" s="31"/>
      <c r="C5352" s="31"/>
      <c r="D5352" s="31"/>
      <c r="E5352" s="25"/>
      <c r="F5352" s="26"/>
    </row>
    <row r="5353" spans="1:6" ht="16.8" customHeight="1" x14ac:dyDescent="0.3">
      <c r="A5353" s="20">
        <v>46950</v>
      </c>
      <c r="B5353" s="31"/>
      <c r="C5353" s="31"/>
      <c r="D5353" s="31"/>
      <c r="E5353" s="25"/>
      <c r="F5353" s="26"/>
    </row>
    <row r="5354" spans="1:6" ht="16.8" customHeight="1" x14ac:dyDescent="0.3">
      <c r="A5354" s="20">
        <v>46951</v>
      </c>
      <c r="B5354" s="31"/>
      <c r="C5354" s="31"/>
      <c r="D5354" s="31"/>
      <c r="E5354" s="25"/>
      <c r="F5354" s="26"/>
    </row>
    <row r="5355" spans="1:6" ht="16.8" customHeight="1" x14ac:dyDescent="0.3">
      <c r="A5355" s="20">
        <v>46952</v>
      </c>
      <c r="B5355" s="31"/>
      <c r="C5355" s="31"/>
      <c r="D5355" s="31"/>
      <c r="E5355" s="25"/>
      <c r="F5355" s="26"/>
    </row>
    <row r="5356" spans="1:6" ht="16.8" customHeight="1" x14ac:dyDescent="0.3">
      <c r="A5356" s="20">
        <v>46953</v>
      </c>
      <c r="B5356" s="31"/>
      <c r="C5356" s="31"/>
      <c r="D5356" s="31"/>
      <c r="E5356" s="25"/>
      <c r="F5356" s="26"/>
    </row>
    <row r="5357" spans="1:6" ht="16.8" customHeight="1" x14ac:dyDescent="0.3">
      <c r="A5357" s="20">
        <v>46954</v>
      </c>
      <c r="B5357" s="31"/>
      <c r="C5357" s="31"/>
      <c r="D5357" s="31"/>
      <c r="E5357" s="25"/>
      <c r="F5357" s="26"/>
    </row>
    <row r="5358" spans="1:6" ht="16.8" customHeight="1" x14ac:dyDescent="0.3">
      <c r="A5358" s="20">
        <v>46955</v>
      </c>
      <c r="B5358" s="31"/>
      <c r="C5358" s="31"/>
      <c r="D5358" s="31"/>
      <c r="E5358" s="25"/>
      <c r="F5358" s="26"/>
    </row>
    <row r="5359" spans="1:6" ht="16.8" customHeight="1" x14ac:dyDescent="0.3">
      <c r="A5359" s="20">
        <v>46956</v>
      </c>
      <c r="B5359" s="31"/>
      <c r="C5359" s="31"/>
      <c r="D5359" s="31"/>
      <c r="E5359" s="25"/>
      <c r="F5359" s="26"/>
    </row>
    <row r="5360" spans="1:6" ht="16.8" customHeight="1" x14ac:dyDescent="0.3">
      <c r="A5360" s="20">
        <v>46957</v>
      </c>
      <c r="B5360" s="31"/>
      <c r="C5360" s="31"/>
      <c r="D5360" s="31"/>
      <c r="E5360" s="25"/>
      <c r="F5360" s="26"/>
    </row>
    <row r="5361" spans="1:6" ht="16.8" customHeight="1" x14ac:dyDescent="0.3">
      <c r="A5361" s="20">
        <v>46958</v>
      </c>
      <c r="B5361" s="31"/>
      <c r="C5361" s="31"/>
      <c r="D5361" s="31"/>
      <c r="E5361" s="25"/>
      <c r="F5361" s="26"/>
    </row>
    <row r="5362" spans="1:6" ht="16.8" customHeight="1" x14ac:dyDescent="0.3">
      <c r="A5362" s="20">
        <v>46959</v>
      </c>
      <c r="B5362" s="31"/>
      <c r="C5362" s="31"/>
      <c r="D5362" s="31"/>
      <c r="E5362" s="25"/>
      <c r="F5362" s="26"/>
    </row>
    <row r="5363" spans="1:6" ht="16.8" customHeight="1" x14ac:dyDescent="0.3">
      <c r="A5363" s="20">
        <v>46960</v>
      </c>
      <c r="B5363" s="31"/>
      <c r="C5363" s="31"/>
      <c r="D5363" s="31"/>
      <c r="E5363" s="25"/>
      <c r="F5363" s="26"/>
    </row>
    <row r="5364" spans="1:6" ht="16.8" customHeight="1" x14ac:dyDescent="0.3">
      <c r="A5364" s="20">
        <v>46961</v>
      </c>
      <c r="B5364" s="31"/>
      <c r="C5364" s="31"/>
      <c r="D5364" s="31"/>
      <c r="E5364" s="25"/>
      <c r="F5364" s="26"/>
    </row>
    <row r="5365" spans="1:6" ht="16.8" customHeight="1" x14ac:dyDescent="0.3">
      <c r="A5365" s="20">
        <v>46962</v>
      </c>
      <c r="B5365" s="31"/>
      <c r="C5365" s="31"/>
      <c r="D5365" s="31"/>
      <c r="E5365" s="25"/>
      <c r="F5365" s="26"/>
    </row>
    <row r="5366" spans="1:6" ht="16.8" customHeight="1" x14ac:dyDescent="0.3">
      <c r="A5366" s="20">
        <v>46963</v>
      </c>
      <c r="B5366" s="31"/>
      <c r="C5366" s="31"/>
      <c r="D5366" s="31"/>
      <c r="E5366" s="25"/>
      <c r="F5366" s="26"/>
    </row>
    <row r="5367" spans="1:6" ht="16.8" customHeight="1" x14ac:dyDescent="0.3">
      <c r="A5367" s="20">
        <v>46964</v>
      </c>
      <c r="B5367" s="31"/>
      <c r="C5367" s="31"/>
      <c r="D5367" s="31"/>
      <c r="E5367" s="25"/>
      <c r="F5367" s="26"/>
    </row>
    <row r="5368" spans="1:6" ht="16.8" customHeight="1" x14ac:dyDescent="0.3">
      <c r="A5368" s="20">
        <v>46965</v>
      </c>
      <c r="B5368" s="31"/>
      <c r="C5368" s="31"/>
      <c r="D5368" s="31"/>
      <c r="E5368" s="25"/>
      <c r="F5368" s="26"/>
    </row>
    <row r="5369" spans="1:6" ht="16.8" customHeight="1" x14ac:dyDescent="0.3">
      <c r="A5369" s="20">
        <v>46966</v>
      </c>
      <c r="B5369" s="31"/>
      <c r="C5369" s="31"/>
      <c r="D5369" s="31"/>
      <c r="E5369" s="25"/>
      <c r="F5369" s="26"/>
    </row>
    <row r="5370" spans="1:6" ht="16.8" customHeight="1" x14ac:dyDescent="0.3">
      <c r="A5370" s="20">
        <v>46967</v>
      </c>
      <c r="B5370" s="31"/>
      <c r="C5370" s="31"/>
      <c r="D5370" s="31"/>
      <c r="E5370" s="25"/>
      <c r="F5370" s="26"/>
    </row>
    <row r="5371" spans="1:6" ht="16.8" customHeight="1" x14ac:dyDescent="0.3">
      <c r="A5371" s="20">
        <v>46968</v>
      </c>
      <c r="B5371" s="31"/>
      <c r="C5371" s="31"/>
      <c r="D5371" s="31"/>
      <c r="E5371" s="25"/>
      <c r="F5371" s="26"/>
    </row>
    <row r="5372" spans="1:6" ht="16.8" customHeight="1" x14ac:dyDescent="0.3">
      <c r="A5372" s="20">
        <v>46969</v>
      </c>
      <c r="B5372" s="31"/>
      <c r="C5372" s="31"/>
      <c r="D5372" s="31"/>
      <c r="E5372" s="25"/>
      <c r="F5372" s="26"/>
    </row>
    <row r="5373" spans="1:6" ht="16.8" customHeight="1" x14ac:dyDescent="0.3">
      <c r="A5373" s="20">
        <v>46970</v>
      </c>
      <c r="B5373" s="31"/>
      <c r="C5373" s="31"/>
      <c r="D5373" s="31"/>
      <c r="E5373" s="25"/>
      <c r="F5373" s="26"/>
    </row>
    <row r="5374" spans="1:6" ht="16.8" customHeight="1" x14ac:dyDescent="0.3">
      <c r="A5374" s="20">
        <v>46971</v>
      </c>
      <c r="B5374" s="31"/>
      <c r="C5374" s="31"/>
      <c r="D5374" s="31"/>
      <c r="E5374" s="25"/>
      <c r="F5374" s="26"/>
    </row>
    <row r="5375" spans="1:6" ht="16.8" customHeight="1" x14ac:dyDescent="0.3">
      <c r="A5375" s="20">
        <v>46972</v>
      </c>
      <c r="B5375" s="31"/>
      <c r="C5375" s="31"/>
      <c r="D5375" s="31"/>
      <c r="E5375" s="25"/>
      <c r="F5375" s="26"/>
    </row>
    <row r="5376" spans="1:6" ht="16.8" customHeight="1" x14ac:dyDescent="0.3">
      <c r="A5376" s="20">
        <v>46973</v>
      </c>
      <c r="B5376" s="31"/>
      <c r="C5376" s="31"/>
      <c r="D5376" s="31"/>
      <c r="E5376" s="25"/>
      <c r="F5376" s="26"/>
    </row>
    <row r="5377" spans="1:6" ht="16.8" customHeight="1" x14ac:dyDescent="0.3">
      <c r="A5377" s="20">
        <v>46974</v>
      </c>
      <c r="B5377" s="31"/>
      <c r="C5377" s="31"/>
      <c r="D5377" s="31"/>
      <c r="E5377" s="25"/>
      <c r="F5377" s="26"/>
    </row>
    <row r="5378" spans="1:6" ht="16.8" customHeight="1" x14ac:dyDescent="0.3">
      <c r="A5378" s="20">
        <v>46975</v>
      </c>
      <c r="B5378" s="31"/>
      <c r="C5378" s="31"/>
      <c r="D5378" s="31"/>
      <c r="E5378" s="25"/>
      <c r="F5378" s="26"/>
    </row>
    <row r="5379" spans="1:6" ht="16.8" customHeight="1" x14ac:dyDescent="0.3">
      <c r="A5379" s="20">
        <v>46976</v>
      </c>
      <c r="B5379" s="31"/>
      <c r="C5379" s="31"/>
      <c r="D5379" s="31"/>
      <c r="E5379" s="25"/>
      <c r="F5379" s="26"/>
    </row>
    <row r="5380" spans="1:6" ht="16.8" customHeight="1" x14ac:dyDescent="0.3">
      <c r="A5380" s="20">
        <v>46977</v>
      </c>
      <c r="B5380" s="31"/>
      <c r="C5380" s="31"/>
      <c r="D5380" s="31"/>
      <c r="E5380" s="25"/>
      <c r="F5380" s="26"/>
    </row>
    <row r="5381" spans="1:6" ht="16.8" customHeight="1" x14ac:dyDescent="0.3">
      <c r="A5381" s="20">
        <v>46978</v>
      </c>
      <c r="B5381" s="31"/>
      <c r="C5381" s="31"/>
      <c r="D5381" s="31"/>
      <c r="E5381" s="25"/>
      <c r="F5381" s="26"/>
    </row>
    <row r="5382" spans="1:6" ht="16.8" customHeight="1" x14ac:dyDescent="0.3">
      <c r="A5382" s="20">
        <v>46979</v>
      </c>
      <c r="B5382" s="31"/>
      <c r="C5382" s="31"/>
      <c r="D5382" s="31"/>
      <c r="E5382" s="25"/>
      <c r="F5382" s="26"/>
    </row>
    <row r="5383" spans="1:6" ht="16.8" customHeight="1" x14ac:dyDescent="0.3">
      <c r="A5383" s="20">
        <v>46980</v>
      </c>
      <c r="B5383" s="31"/>
      <c r="C5383" s="31"/>
      <c r="D5383" s="31"/>
      <c r="E5383" s="25"/>
      <c r="F5383" s="26"/>
    </row>
    <row r="5384" spans="1:6" ht="16.8" customHeight="1" x14ac:dyDescent="0.3">
      <c r="A5384" s="20">
        <v>46981</v>
      </c>
      <c r="B5384" s="31"/>
      <c r="C5384" s="31"/>
      <c r="D5384" s="31"/>
      <c r="E5384" s="25"/>
      <c r="F5384" s="26"/>
    </row>
    <row r="5385" spans="1:6" ht="16.8" customHeight="1" x14ac:dyDescent="0.3">
      <c r="A5385" s="20">
        <v>46982</v>
      </c>
      <c r="B5385" s="31"/>
      <c r="C5385" s="31"/>
      <c r="D5385" s="31"/>
      <c r="E5385" s="25"/>
      <c r="F5385" s="26"/>
    </row>
    <row r="5386" spans="1:6" ht="16.8" customHeight="1" x14ac:dyDescent="0.3">
      <c r="A5386" s="20">
        <v>46983</v>
      </c>
      <c r="B5386" s="31"/>
      <c r="C5386" s="31"/>
      <c r="D5386" s="31"/>
      <c r="E5386" s="25"/>
      <c r="F5386" s="26"/>
    </row>
    <row r="5387" spans="1:6" ht="16.8" customHeight="1" x14ac:dyDescent="0.3">
      <c r="A5387" s="20">
        <v>46984</v>
      </c>
      <c r="B5387" s="31"/>
      <c r="C5387" s="31"/>
      <c r="D5387" s="31"/>
      <c r="E5387" s="25"/>
      <c r="F5387" s="26"/>
    </row>
    <row r="5388" spans="1:6" ht="16.8" customHeight="1" x14ac:dyDescent="0.3">
      <c r="A5388" s="20">
        <v>46985</v>
      </c>
      <c r="B5388" s="31"/>
      <c r="C5388" s="31"/>
      <c r="D5388" s="31"/>
      <c r="E5388" s="25"/>
      <c r="F5388" s="26"/>
    </row>
    <row r="5389" spans="1:6" ht="16.8" customHeight="1" x14ac:dyDescent="0.3">
      <c r="A5389" s="20">
        <v>46986</v>
      </c>
      <c r="B5389" s="31"/>
      <c r="C5389" s="31"/>
      <c r="D5389" s="31"/>
      <c r="E5389" s="25"/>
      <c r="F5389" s="26"/>
    </row>
    <row r="5390" spans="1:6" ht="16.8" customHeight="1" x14ac:dyDescent="0.3">
      <c r="A5390" s="20">
        <v>46987</v>
      </c>
      <c r="B5390" s="31"/>
      <c r="C5390" s="31"/>
      <c r="D5390" s="31"/>
      <c r="E5390" s="25"/>
      <c r="F5390" s="26"/>
    </row>
    <row r="5391" spans="1:6" ht="16.8" customHeight="1" x14ac:dyDescent="0.3">
      <c r="A5391" s="20">
        <v>46988</v>
      </c>
      <c r="B5391" s="31"/>
      <c r="C5391" s="31"/>
      <c r="D5391" s="31"/>
      <c r="E5391" s="25"/>
      <c r="F5391" s="26"/>
    </row>
    <row r="5392" spans="1:6" ht="16.8" customHeight="1" x14ac:dyDescent="0.3">
      <c r="A5392" s="20">
        <v>46989</v>
      </c>
      <c r="B5392" s="31"/>
      <c r="C5392" s="31"/>
      <c r="D5392" s="31"/>
      <c r="E5392" s="25"/>
      <c r="F5392" s="26"/>
    </row>
    <row r="5393" spans="1:6" ht="16.8" customHeight="1" x14ac:dyDescent="0.3">
      <c r="A5393" s="20">
        <v>46990</v>
      </c>
      <c r="B5393" s="31"/>
      <c r="C5393" s="31"/>
      <c r="D5393" s="31"/>
      <c r="E5393" s="25"/>
      <c r="F5393" s="26"/>
    </row>
    <row r="5394" spans="1:6" ht="16.8" customHeight="1" x14ac:dyDescent="0.3">
      <c r="A5394" s="20">
        <v>46991</v>
      </c>
      <c r="B5394" s="31"/>
      <c r="C5394" s="31"/>
      <c r="D5394" s="31"/>
      <c r="E5394" s="25"/>
      <c r="F5394" s="26"/>
    </row>
    <row r="5395" spans="1:6" ht="16.8" customHeight="1" x14ac:dyDescent="0.3">
      <c r="A5395" s="20">
        <v>46992</v>
      </c>
      <c r="B5395" s="31"/>
      <c r="C5395" s="31"/>
      <c r="D5395" s="31"/>
      <c r="E5395" s="25"/>
      <c r="F5395" s="26"/>
    </row>
    <row r="5396" spans="1:6" ht="16.8" customHeight="1" x14ac:dyDescent="0.3">
      <c r="A5396" s="20">
        <v>46993</v>
      </c>
      <c r="B5396" s="31"/>
      <c r="C5396" s="31"/>
      <c r="D5396" s="31"/>
      <c r="E5396" s="25"/>
      <c r="F5396" s="26"/>
    </row>
    <row r="5397" spans="1:6" ht="16.8" customHeight="1" x14ac:dyDescent="0.3">
      <c r="A5397" s="20">
        <v>46994</v>
      </c>
      <c r="B5397" s="31"/>
      <c r="C5397" s="31"/>
      <c r="D5397" s="31"/>
      <c r="E5397" s="25"/>
      <c r="F5397" s="26"/>
    </row>
    <row r="5398" spans="1:6" ht="16.8" customHeight="1" x14ac:dyDescent="0.3">
      <c r="A5398" s="20">
        <v>46995</v>
      </c>
      <c r="B5398" s="31"/>
      <c r="C5398" s="31"/>
      <c r="D5398" s="31"/>
      <c r="E5398" s="25"/>
      <c r="F5398" s="26"/>
    </row>
    <row r="5399" spans="1:6" ht="16.8" customHeight="1" x14ac:dyDescent="0.3">
      <c r="A5399" s="20">
        <v>46996</v>
      </c>
      <c r="B5399" s="31"/>
      <c r="C5399" s="31"/>
      <c r="D5399" s="31"/>
      <c r="E5399" s="25"/>
      <c r="F5399" s="26"/>
    </row>
    <row r="5400" spans="1:6" ht="16.8" customHeight="1" x14ac:dyDescent="0.3">
      <c r="A5400" s="20">
        <v>46997</v>
      </c>
      <c r="B5400" s="31"/>
      <c r="C5400" s="31"/>
      <c r="D5400" s="31"/>
      <c r="E5400" s="25"/>
      <c r="F5400" s="26"/>
    </row>
    <row r="5401" spans="1:6" ht="16.8" customHeight="1" x14ac:dyDescent="0.3">
      <c r="A5401" s="20">
        <v>46998</v>
      </c>
      <c r="B5401" s="31"/>
      <c r="C5401" s="31"/>
      <c r="D5401" s="31"/>
      <c r="E5401" s="25"/>
      <c r="F5401" s="26"/>
    </row>
    <row r="5402" spans="1:6" ht="16.8" customHeight="1" x14ac:dyDescent="0.3">
      <c r="A5402" s="20">
        <v>46999</v>
      </c>
      <c r="B5402" s="31"/>
      <c r="C5402" s="31"/>
      <c r="D5402" s="31"/>
      <c r="E5402" s="25"/>
      <c r="F5402" s="26"/>
    </row>
    <row r="5403" spans="1:6" ht="16.8" customHeight="1" x14ac:dyDescent="0.3">
      <c r="A5403" s="20">
        <v>47000</v>
      </c>
      <c r="B5403" s="31"/>
      <c r="C5403" s="31"/>
      <c r="D5403" s="31"/>
      <c r="E5403" s="25"/>
      <c r="F5403" s="26"/>
    </row>
    <row r="5404" spans="1:6" ht="16.8" customHeight="1" x14ac:dyDescent="0.3">
      <c r="A5404" s="20">
        <v>47001</v>
      </c>
      <c r="B5404" s="31"/>
      <c r="C5404" s="31"/>
      <c r="D5404" s="31"/>
      <c r="E5404" s="25"/>
      <c r="F5404" s="26"/>
    </row>
    <row r="5405" spans="1:6" ht="16.8" customHeight="1" x14ac:dyDescent="0.3">
      <c r="A5405" s="20">
        <v>47002</v>
      </c>
      <c r="B5405" s="31"/>
      <c r="C5405" s="31"/>
      <c r="D5405" s="31"/>
      <c r="E5405" s="25"/>
      <c r="F5405" s="26"/>
    </row>
    <row r="5406" spans="1:6" ht="16.8" customHeight="1" x14ac:dyDescent="0.3">
      <c r="A5406" s="20">
        <v>47003</v>
      </c>
      <c r="B5406" s="31"/>
      <c r="C5406" s="31"/>
      <c r="D5406" s="31"/>
      <c r="E5406" s="25"/>
      <c r="F5406" s="26"/>
    </row>
    <row r="5407" spans="1:6" ht="16.8" customHeight="1" x14ac:dyDescent="0.3">
      <c r="A5407" s="20">
        <v>47004</v>
      </c>
      <c r="B5407" s="31"/>
      <c r="C5407" s="31"/>
      <c r="D5407" s="31"/>
      <c r="E5407" s="25"/>
      <c r="F5407" s="26"/>
    </row>
    <row r="5408" spans="1:6" ht="16.8" customHeight="1" x14ac:dyDescent="0.3">
      <c r="A5408" s="20">
        <v>47005</v>
      </c>
      <c r="B5408" s="31"/>
      <c r="C5408" s="31"/>
      <c r="D5408" s="31"/>
      <c r="E5408" s="25"/>
      <c r="F5408" s="26"/>
    </row>
    <row r="5409" spans="1:6" ht="16.8" customHeight="1" x14ac:dyDescent="0.3">
      <c r="A5409" s="20">
        <v>47006</v>
      </c>
      <c r="B5409" s="31"/>
      <c r="C5409" s="31"/>
      <c r="D5409" s="31"/>
      <c r="E5409" s="25"/>
      <c r="F5409" s="26"/>
    </row>
    <row r="5410" spans="1:6" ht="16.8" customHeight="1" x14ac:dyDescent="0.3">
      <c r="A5410" s="20">
        <v>47007</v>
      </c>
      <c r="B5410" s="31"/>
      <c r="C5410" s="31"/>
      <c r="D5410" s="31"/>
      <c r="E5410" s="25"/>
      <c r="F5410" s="26"/>
    </row>
    <row r="5411" spans="1:6" ht="16.8" customHeight="1" x14ac:dyDescent="0.3">
      <c r="A5411" s="20">
        <v>47008</v>
      </c>
      <c r="B5411" s="31"/>
      <c r="C5411" s="31"/>
      <c r="D5411" s="31"/>
      <c r="E5411" s="25"/>
      <c r="F5411" s="26"/>
    </row>
    <row r="5412" spans="1:6" ht="16.8" customHeight="1" x14ac:dyDescent="0.3">
      <c r="A5412" s="20">
        <v>47009</v>
      </c>
      <c r="B5412" s="31"/>
      <c r="C5412" s="31"/>
      <c r="D5412" s="31"/>
      <c r="E5412" s="25"/>
      <c r="F5412" s="26"/>
    </row>
    <row r="5413" spans="1:6" ht="16.8" customHeight="1" x14ac:dyDescent="0.3">
      <c r="A5413" s="20">
        <v>47010</v>
      </c>
      <c r="B5413" s="31"/>
      <c r="C5413" s="31"/>
      <c r="D5413" s="31"/>
      <c r="E5413" s="25"/>
      <c r="F5413" s="26"/>
    </row>
    <row r="5414" spans="1:6" ht="16.8" customHeight="1" x14ac:dyDescent="0.3">
      <c r="A5414" s="20">
        <v>47011</v>
      </c>
      <c r="B5414" s="31"/>
      <c r="C5414" s="31"/>
      <c r="D5414" s="31"/>
      <c r="E5414" s="25"/>
      <c r="F5414" s="26"/>
    </row>
    <row r="5415" spans="1:6" ht="16.8" customHeight="1" x14ac:dyDescent="0.3">
      <c r="A5415" s="20">
        <v>47012</v>
      </c>
      <c r="B5415" s="31"/>
      <c r="C5415" s="31"/>
      <c r="D5415" s="31"/>
      <c r="E5415" s="25"/>
      <c r="F5415" s="26"/>
    </row>
    <row r="5416" spans="1:6" ht="16.8" customHeight="1" x14ac:dyDescent="0.3">
      <c r="A5416" s="20">
        <v>47013</v>
      </c>
      <c r="B5416" s="31"/>
      <c r="C5416" s="31"/>
      <c r="D5416" s="31"/>
      <c r="E5416" s="25"/>
      <c r="F5416" s="26"/>
    </row>
    <row r="5417" spans="1:6" ht="16.8" customHeight="1" x14ac:dyDescent="0.3">
      <c r="A5417" s="20">
        <v>47014</v>
      </c>
      <c r="B5417" s="31"/>
      <c r="C5417" s="31"/>
      <c r="D5417" s="31"/>
      <c r="E5417" s="25"/>
      <c r="F5417" s="26"/>
    </row>
    <row r="5418" spans="1:6" ht="16.8" customHeight="1" x14ac:dyDescent="0.3">
      <c r="A5418" s="20">
        <v>47015</v>
      </c>
      <c r="B5418" s="31"/>
      <c r="C5418" s="31"/>
      <c r="D5418" s="31"/>
      <c r="E5418" s="25"/>
      <c r="F5418" s="26"/>
    </row>
    <row r="5419" spans="1:6" ht="16.8" customHeight="1" x14ac:dyDescent="0.3">
      <c r="A5419" s="20">
        <v>47016</v>
      </c>
      <c r="B5419" s="31"/>
      <c r="C5419" s="31"/>
      <c r="D5419" s="31"/>
      <c r="E5419" s="25"/>
      <c r="F5419" s="26"/>
    </row>
    <row r="5420" spans="1:6" ht="16.8" customHeight="1" x14ac:dyDescent="0.3">
      <c r="A5420" s="20">
        <v>47017</v>
      </c>
      <c r="B5420" s="31"/>
      <c r="C5420" s="31"/>
      <c r="D5420" s="31"/>
      <c r="E5420" s="25"/>
      <c r="F5420" s="26"/>
    </row>
    <row r="5421" spans="1:6" ht="16.8" customHeight="1" x14ac:dyDescent="0.3">
      <c r="A5421" s="20">
        <v>47018</v>
      </c>
      <c r="B5421" s="31"/>
      <c r="C5421" s="31"/>
      <c r="D5421" s="31"/>
      <c r="E5421" s="25"/>
      <c r="F5421" s="26"/>
    </row>
    <row r="5422" spans="1:6" ht="16.8" customHeight="1" x14ac:dyDescent="0.3">
      <c r="A5422" s="20">
        <v>47019</v>
      </c>
      <c r="B5422" s="31"/>
      <c r="C5422" s="31"/>
      <c r="D5422" s="31"/>
      <c r="E5422" s="25"/>
      <c r="F5422" s="26"/>
    </row>
    <row r="5423" spans="1:6" ht="16.8" customHeight="1" x14ac:dyDescent="0.3">
      <c r="A5423" s="20">
        <v>47020</v>
      </c>
      <c r="B5423" s="31"/>
      <c r="C5423" s="31"/>
      <c r="D5423" s="31"/>
      <c r="E5423" s="25"/>
      <c r="F5423" s="26"/>
    </row>
    <row r="5424" spans="1:6" ht="16.8" customHeight="1" x14ac:dyDescent="0.3">
      <c r="A5424" s="20">
        <v>47021</v>
      </c>
      <c r="B5424" s="31"/>
      <c r="C5424" s="31"/>
      <c r="D5424" s="31"/>
      <c r="E5424" s="25"/>
      <c r="F5424" s="26"/>
    </row>
    <row r="5425" spans="1:6" ht="16.8" customHeight="1" x14ac:dyDescent="0.3">
      <c r="A5425" s="20">
        <v>47022</v>
      </c>
      <c r="B5425" s="31"/>
      <c r="C5425" s="31"/>
      <c r="D5425" s="31"/>
      <c r="E5425" s="25"/>
      <c r="F5425" s="26"/>
    </row>
    <row r="5426" spans="1:6" ht="16.8" customHeight="1" x14ac:dyDescent="0.3">
      <c r="A5426" s="20">
        <v>47023</v>
      </c>
      <c r="B5426" s="31"/>
      <c r="C5426" s="31"/>
      <c r="D5426" s="31"/>
      <c r="E5426" s="25"/>
      <c r="F5426" s="26"/>
    </row>
    <row r="5427" spans="1:6" ht="16.8" customHeight="1" x14ac:dyDescent="0.3">
      <c r="A5427" s="20">
        <v>47024</v>
      </c>
      <c r="B5427" s="31"/>
      <c r="C5427" s="31"/>
      <c r="D5427" s="31"/>
      <c r="E5427" s="25"/>
      <c r="F5427" s="26"/>
    </row>
    <row r="5428" spans="1:6" ht="16.8" customHeight="1" x14ac:dyDescent="0.3">
      <c r="A5428" s="20">
        <v>47025</v>
      </c>
      <c r="B5428" s="31"/>
      <c r="C5428" s="31"/>
      <c r="D5428" s="31"/>
      <c r="E5428" s="25"/>
      <c r="F5428" s="26"/>
    </row>
    <row r="5429" spans="1:6" ht="16.8" customHeight="1" x14ac:dyDescent="0.3">
      <c r="A5429" s="20">
        <v>47026</v>
      </c>
      <c r="B5429" s="31"/>
      <c r="C5429" s="31"/>
      <c r="D5429" s="31"/>
      <c r="E5429" s="25"/>
      <c r="F5429" s="26"/>
    </row>
    <row r="5430" spans="1:6" ht="16.8" customHeight="1" x14ac:dyDescent="0.3">
      <c r="A5430" s="20">
        <v>47027</v>
      </c>
      <c r="B5430" s="31"/>
      <c r="C5430" s="31"/>
      <c r="D5430" s="31"/>
      <c r="E5430" s="25"/>
      <c r="F5430" s="26"/>
    </row>
    <row r="5431" spans="1:6" ht="16.8" customHeight="1" x14ac:dyDescent="0.3">
      <c r="A5431" s="20">
        <v>47028</v>
      </c>
      <c r="B5431" s="31"/>
      <c r="C5431" s="31"/>
      <c r="D5431" s="31"/>
      <c r="E5431" s="25"/>
      <c r="F5431" s="26"/>
    </row>
    <row r="5432" spans="1:6" ht="16.8" customHeight="1" x14ac:dyDescent="0.3">
      <c r="A5432" s="20">
        <v>47029</v>
      </c>
      <c r="B5432" s="31"/>
      <c r="C5432" s="31"/>
      <c r="D5432" s="31"/>
      <c r="E5432" s="25"/>
      <c r="F5432" s="26"/>
    </row>
    <row r="5433" spans="1:6" ht="16.8" customHeight="1" x14ac:dyDescent="0.3">
      <c r="A5433" s="20">
        <v>47030</v>
      </c>
      <c r="B5433" s="31"/>
      <c r="C5433" s="31"/>
      <c r="D5433" s="31"/>
      <c r="E5433" s="25"/>
      <c r="F5433" s="26"/>
    </row>
    <row r="5434" spans="1:6" ht="16.8" customHeight="1" x14ac:dyDescent="0.3">
      <c r="A5434" s="20">
        <v>47031</v>
      </c>
      <c r="B5434" s="31"/>
      <c r="C5434" s="31"/>
      <c r="D5434" s="31"/>
      <c r="E5434" s="25"/>
      <c r="F5434" s="26"/>
    </row>
    <row r="5435" spans="1:6" ht="16.8" customHeight="1" x14ac:dyDescent="0.3">
      <c r="A5435" s="20">
        <v>47032</v>
      </c>
      <c r="B5435" s="31"/>
      <c r="C5435" s="31"/>
      <c r="D5435" s="31"/>
      <c r="E5435" s="25"/>
      <c r="F5435" s="26"/>
    </row>
    <row r="5436" spans="1:6" ht="16.8" customHeight="1" x14ac:dyDescent="0.3">
      <c r="A5436" s="20">
        <v>47033</v>
      </c>
      <c r="B5436" s="31"/>
      <c r="C5436" s="31"/>
      <c r="D5436" s="31"/>
      <c r="E5436" s="25"/>
      <c r="F5436" s="26"/>
    </row>
    <row r="5437" spans="1:6" ht="16.8" customHeight="1" x14ac:dyDescent="0.3">
      <c r="A5437" s="20">
        <v>47034</v>
      </c>
      <c r="B5437" s="31"/>
      <c r="C5437" s="31"/>
      <c r="D5437" s="31"/>
      <c r="E5437" s="25"/>
      <c r="F5437" s="26"/>
    </row>
    <row r="5438" spans="1:6" ht="16.8" customHeight="1" x14ac:dyDescent="0.3">
      <c r="A5438" s="20">
        <v>47035</v>
      </c>
      <c r="B5438" s="31"/>
      <c r="C5438" s="31"/>
      <c r="D5438" s="31"/>
      <c r="E5438" s="25"/>
      <c r="F5438" s="26"/>
    </row>
    <row r="5439" spans="1:6" ht="16.8" customHeight="1" x14ac:dyDescent="0.3">
      <c r="A5439" s="20">
        <v>47036</v>
      </c>
      <c r="B5439" s="31"/>
      <c r="C5439" s="31"/>
      <c r="D5439" s="31"/>
      <c r="E5439" s="25"/>
      <c r="F5439" s="26"/>
    </row>
    <row r="5440" spans="1:6" ht="16.8" customHeight="1" x14ac:dyDescent="0.3">
      <c r="A5440" s="20">
        <v>47037</v>
      </c>
      <c r="B5440" s="31"/>
      <c r="C5440" s="31"/>
      <c r="D5440" s="31"/>
      <c r="E5440" s="25"/>
      <c r="F5440" s="26"/>
    </row>
    <row r="5441" spans="1:6" ht="16.8" customHeight="1" x14ac:dyDescent="0.3">
      <c r="A5441" s="20">
        <v>47038</v>
      </c>
      <c r="B5441" s="31"/>
      <c r="C5441" s="31"/>
      <c r="D5441" s="31"/>
      <c r="E5441" s="25"/>
      <c r="F5441" s="26"/>
    </row>
    <row r="5442" spans="1:6" ht="16.8" customHeight="1" x14ac:dyDescent="0.3">
      <c r="A5442" s="20">
        <v>47039</v>
      </c>
      <c r="B5442" s="31"/>
      <c r="C5442" s="31"/>
      <c r="D5442" s="31"/>
      <c r="E5442" s="25"/>
      <c r="F5442" s="26"/>
    </row>
    <row r="5443" spans="1:6" ht="16.8" customHeight="1" x14ac:dyDescent="0.3">
      <c r="A5443" s="20">
        <v>47040</v>
      </c>
      <c r="B5443" s="31"/>
      <c r="C5443" s="31"/>
      <c r="D5443" s="31"/>
      <c r="E5443" s="25"/>
      <c r="F5443" s="26"/>
    </row>
    <row r="5444" spans="1:6" ht="16.8" customHeight="1" x14ac:dyDescent="0.3">
      <c r="A5444" s="20">
        <v>47041</v>
      </c>
      <c r="B5444" s="31"/>
      <c r="C5444" s="31"/>
      <c r="D5444" s="31"/>
      <c r="E5444" s="25"/>
      <c r="F5444" s="26"/>
    </row>
    <row r="5445" spans="1:6" ht="16.8" customHeight="1" x14ac:dyDescent="0.3">
      <c r="A5445" s="20">
        <v>47042</v>
      </c>
      <c r="B5445" s="31"/>
      <c r="C5445" s="31"/>
      <c r="D5445" s="31"/>
      <c r="E5445" s="25"/>
      <c r="F5445" s="26"/>
    </row>
    <row r="5446" spans="1:6" ht="16.8" customHeight="1" x14ac:dyDescent="0.3">
      <c r="A5446" s="20">
        <v>47043</v>
      </c>
      <c r="B5446" s="31"/>
      <c r="C5446" s="31"/>
      <c r="D5446" s="31"/>
      <c r="E5446" s="25"/>
      <c r="F5446" s="26"/>
    </row>
    <row r="5447" spans="1:6" ht="16.8" customHeight="1" x14ac:dyDescent="0.3">
      <c r="A5447" s="20">
        <v>47044</v>
      </c>
      <c r="B5447" s="31"/>
      <c r="C5447" s="31"/>
      <c r="D5447" s="31"/>
      <c r="E5447" s="25"/>
      <c r="F5447" s="26"/>
    </row>
    <row r="5448" spans="1:6" ht="16.8" customHeight="1" x14ac:dyDescent="0.3">
      <c r="A5448" s="20">
        <v>47045</v>
      </c>
      <c r="B5448" s="31"/>
      <c r="C5448" s="31"/>
      <c r="D5448" s="31"/>
      <c r="E5448" s="25"/>
      <c r="F5448" s="26"/>
    </row>
    <row r="5449" spans="1:6" ht="16.8" customHeight="1" x14ac:dyDescent="0.3">
      <c r="A5449" s="20">
        <v>47046</v>
      </c>
      <c r="B5449" s="31"/>
      <c r="C5449" s="31"/>
      <c r="D5449" s="31"/>
      <c r="E5449" s="25"/>
      <c r="F5449" s="26"/>
    </row>
    <row r="5450" spans="1:6" ht="16.8" customHeight="1" x14ac:dyDescent="0.3">
      <c r="A5450" s="20">
        <v>47047</v>
      </c>
      <c r="B5450" s="31"/>
      <c r="C5450" s="31"/>
      <c r="D5450" s="31"/>
      <c r="E5450" s="25"/>
      <c r="F5450" s="26"/>
    </row>
    <row r="5451" spans="1:6" ht="16.8" customHeight="1" x14ac:dyDescent="0.3">
      <c r="A5451" s="20">
        <v>47048</v>
      </c>
      <c r="B5451" s="31"/>
      <c r="C5451" s="31"/>
      <c r="D5451" s="31"/>
      <c r="E5451" s="25"/>
      <c r="F5451" s="26"/>
    </row>
    <row r="5452" spans="1:6" ht="16.8" customHeight="1" x14ac:dyDescent="0.3">
      <c r="A5452" s="20">
        <v>47049</v>
      </c>
      <c r="B5452" s="31"/>
      <c r="C5452" s="31"/>
      <c r="D5452" s="31"/>
      <c r="E5452" s="25"/>
      <c r="F5452" s="26"/>
    </row>
    <row r="5453" spans="1:6" ht="16.8" customHeight="1" x14ac:dyDescent="0.3">
      <c r="A5453" s="20">
        <v>47050</v>
      </c>
      <c r="B5453" s="31"/>
      <c r="C5453" s="31"/>
      <c r="D5453" s="31"/>
      <c r="E5453" s="25"/>
      <c r="F5453" s="26"/>
    </row>
    <row r="5454" spans="1:6" ht="16.8" customHeight="1" x14ac:dyDescent="0.3">
      <c r="A5454" s="20">
        <v>47051</v>
      </c>
      <c r="B5454" s="31"/>
      <c r="C5454" s="31"/>
      <c r="D5454" s="31"/>
      <c r="E5454" s="25"/>
      <c r="F5454" s="26"/>
    </row>
    <row r="5455" spans="1:6" ht="16.8" customHeight="1" x14ac:dyDescent="0.3">
      <c r="A5455" s="20">
        <v>47052</v>
      </c>
      <c r="B5455" s="31"/>
      <c r="C5455" s="31"/>
      <c r="D5455" s="31"/>
      <c r="E5455" s="25"/>
      <c r="F5455" s="26"/>
    </row>
    <row r="5456" spans="1:6" ht="16.8" customHeight="1" x14ac:dyDescent="0.3">
      <c r="A5456" s="20">
        <v>47053</v>
      </c>
      <c r="B5456" s="31"/>
      <c r="C5456" s="31"/>
      <c r="D5456" s="31"/>
      <c r="E5456" s="25"/>
      <c r="F5456" s="26"/>
    </row>
    <row r="5457" spans="1:6" ht="16.8" customHeight="1" x14ac:dyDescent="0.3">
      <c r="A5457" s="20">
        <v>47054</v>
      </c>
      <c r="B5457" s="31"/>
      <c r="C5457" s="31"/>
      <c r="D5457" s="31"/>
      <c r="E5457" s="25"/>
      <c r="F5457" s="26"/>
    </row>
    <row r="5458" spans="1:6" ht="16.8" customHeight="1" x14ac:dyDescent="0.3">
      <c r="A5458" s="20">
        <v>47055</v>
      </c>
      <c r="B5458" s="31"/>
      <c r="C5458" s="31"/>
      <c r="D5458" s="31"/>
      <c r="E5458" s="25"/>
      <c r="F5458" s="26"/>
    </row>
    <row r="5459" spans="1:6" ht="16.8" customHeight="1" x14ac:dyDescent="0.3">
      <c r="A5459" s="20">
        <v>47056</v>
      </c>
      <c r="B5459" s="31"/>
      <c r="C5459" s="31"/>
      <c r="D5459" s="31"/>
      <c r="E5459" s="25"/>
      <c r="F5459" s="26"/>
    </row>
    <row r="5460" spans="1:6" ht="16.8" customHeight="1" x14ac:dyDescent="0.3">
      <c r="A5460" s="20">
        <v>47057</v>
      </c>
      <c r="B5460" s="31"/>
      <c r="C5460" s="31"/>
      <c r="D5460" s="31"/>
      <c r="E5460" s="25"/>
      <c r="F5460" s="26"/>
    </row>
    <row r="5461" spans="1:6" ht="16.8" customHeight="1" x14ac:dyDescent="0.3">
      <c r="A5461" s="20">
        <v>47058</v>
      </c>
      <c r="B5461" s="31"/>
      <c r="C5461" s="31"/>
      <c r="D5461" s="31"/>
      <c r="E5461" s="25"/>
      <c r="F5461" s="26"/>
    </row>
    <row r="5462" spans="1:6" ht="16.8" customHeight="1" x14ac:dyDescent="0.3">
      <c r="A5462" s="20">
        <v>47059</v>
      </c>
      <c r="B5462" s="31"/>
      <c r="C5462" s="31"/>
      <c r="D5462" s="31"/>
      <c r="E5462" s="25"/>
      <c r="F5462" s="26"/>
    </row>
    <row r="5463" spans="1:6" ht="16.8" customHeight="1" x14ac:dyDescent="0.3">
      <c r="A5463" s="20">
        <v>47060</v>
      </c>
      <c r="B5463" s="31"/>
      <c r="C5463" s="31"/>
      <c r="D5463" s="31"/>
      <c r="E5463" s="25"/>
      <c r="F5463" s="26"/>
    </row>
    <row r="5464" spans="1:6" ht="16.8" customHeight="1" x14ac:dyDescent="0.3">
      <c r="A5464" s="20">
        <v>47061</v>
      </c>
      <c r="B5464" s="31"/>
      <c r="C5464" s="31"/>
      <c r="D5464" s="31"/>
      <c r="E5464" s="25"/>
      <c r="F5464" s="26"/>
    </row>
    <row r="5465" spans="1:6" ht="16.8" customHeight="1" x14ac:dyDescent="0.3">
      <c r="A5465" s="20">
        <v>47062</v>
      </c>
      <c r="B5465" s="31"/>
      <c r="C5465" s="31"/>
      <c r="D5465" s="31"/>
      <c r="E5465" s="25"/>
      <c r="F5465" s="26"/>
    </row>
    <row r="5466" spans="1:6" ht="16.8" customHeight="1" x14ac:dyDescent="0.3">
      <c r="A5466" s="20">
        <v>47063</v>
      </c>
      <c r="B5466" s="31"/>
      <c r="C5466" s="31"/>
      <c r="D5466" s="31"/>
      <c r="E5466" s="25"/>
      <c r="F5466" s="26"/>
    </row>
    <row r="5467" spans="1:6" ht="16.8" customHeight="1" x14ac:dyDescent="0.3">
      <c r="A5467" s="20">
        <v>47064</v>
      </c>
      <c r="B5467" s="31"/>
      <c r="C5467" s="31"/>
      <c r="D5467" s="31"/>
      <c r="E5467" s="25"/>
      <c r="F5467" s="26"/>
    </row>
    <row r="5468" spans="1:6" ht="16.8" customHeight="1" x14ac:dyDescent="0.3">
      <c r="A5468" s="20">
        <v>47065</v>
      </c>
      <c r="B5468" s="31"/>
      <c r="C5468" s="31"/>
      <c r="D5468" s="31"/>
      <c r="E5468" s="25"/>
      <c r="F5468" s="26"/>
    </row>
    <row r="5469" spans="1:6" ht="16.8" customHeight="1" x14ac:dyDescent="0.3">
      <c r="A5469" s="20">
        <v>47066</v>
      </c>
      <c r="B5469" s="31"/>
      <c r="C5469" s="31"/>
      <c r="D5469" s="31"/>
      <c r="E5469" s="25"/>
      <c r="F5469" s="26"/>
    </row>
    <row r="5470" spans="1:6" ht="16.8" customHeight="1" x14ac:dyDescent="0.3">
      <c r="A5470" s="20">
        <v>47067</v>
      </c>
      <c r="B5470" s="31"/>
      <c r="C5470" s="31"/>
      <c r="D5470" s="31"/>
      <c r="E5470" s="25"/>
      <c r="F5470" s="26"/>
    </row>
    <row r="5471" spans="1:6" ht="16.8" customHeight="1" x14ac:dyDescent="0.3">
      <c r="A5471" s="20">
        <v>47068</v>
      </c>
      <c r="B5471" s="31"/>
      <c r="C5471" s="31"/>
      <c r="D5471" s="31"/>
      <c r="E5471" s="25"/>
      <c r="F5471" s="26"/>
    </row>
    <row r="5472" spans="1:6" ht="16.8" customHeight="1" x14ac:dyDescent="0.3">
      <c r="A5472" s="20">
        <v>47069</v>
      </c>
      <c r="B5472" s="31"/>
      <c r="C5472" s="31"/>
      <c r="D5472" s="31"/>
      <c r="E5472" s="25"/>
      <c r="F5472" s="26"/>
    </row>
    <row r="5473" spans="1:6" ht="16.8" customHeight="1" x14ac:dyDescent="0.3">
      <c r="A5473" s="20">
        <v>47070</v>
      </c>
      <c r="B5473" s="31"/>
      <c r="C5473" s="31"/>
      <c r="D5473" s="31"/>
      <c r="E5473" s="25"/>
      <c r="F5473" s="26"/>
    </row>
    <row r="5474" spans="1:6" ht="16.8" customHeight="1" x14ac:dyDescent="0.3">
      <c r="A5474" s="20">
        <v>47071</v>
      </c>
      <c r="B5474" s="31"/>
      <c r="C5474" s="31"/>
      <c r="D5474" s="31"/>
      <c r="E5474" s="25"/>
      <c r="F5474" s="26"/>
    </row>
    <row r="5475" spans="1:6" ht="16.8" customHeight="1" x14ac:dyDescent="0.3">
      <c r="A5475" s="20">
        <v>47072</v>
      </c>
      <c r="B5475" s="31"/>
      <c r="C5475" s="31"/>
      <c r="D5475" s="31"/>
      <c r="E5475" s="25"/>
      <c r="F5475" s="26"/>
    </row>
    <row r="5476" spans="1:6" ht="16.8" customHeight="1" x14ac:dyDescent="0.3">
      <c r="A5476" s="20">
        <v>47073</v>
      </c>
      <c r="B5476" s="31"/>
      <c r="C5476" s="31"/>
      <c r="D5476" s="31"/>
      <c r="E5476" s="25"/>
      <c r="F5476" s="26"/>
    </row>
    <row r="5477" spans="1:6" ht="16.8" customHeight="1" x14ac:dyDescent="0.3">
      <c r="A5477" s="20">
        <v>47074</v>
      </c>
      <c r="B5477" s="31"/>
      <c r="C5477" s="31"/>
      <c r="D5477" s="31"/>
      <c r="E5477" s="25"/>
      <c r="F5477" s="26"/>
    </row>
    <row r="5478" spans="1:6" ht="16.8" customHeight="1" x14ac:dyDescent="0.3">
      <c r="A5478" s="20">
        <v>47075</v>
      </c>
      <c r="B5478" s="31"/>
      <c r="C5478" s="31"/>
      <c r="D5478" s="31"/>
      <c r="E5478" s="25"/>
      <c r="F5478" s="26"/>
    </row>
    <row r="5479" spans="1:6" ht="16.8" customHeight="1" x14ac:dyDescent="0.3">
      <c r="A5479" s="20">
        <v>47076</v>
      </c>
      <c r="B5479" s="31"/>
      <c r="C5479" s="31"/>
      <c r="D5479" s="31"/>
      <c r="E5479" s="25"/>
      <c r="F5479" s="26"/>
    </row>
    <row r="5480" spans="1:6" ht="16.8" customHeight="1" x14ac:dyDescent="0.3">
      <c r="A5480" s="20">
        <v>47077</v>
      </c>
      <c r="B5480" s="31"/>
      <c r="C5480" s="31"/>
      <c r="D5480" s="31"/>
      <c r="E5480" s="25"/>
      <c r="F5480" s="26"/>
    </row>
    <row r="5481" spans="1:6" ht="16.8" customHeight="1" x14ac:dyDescent="0.3">
      <c r="A5481" s="20">
        <v>47078</v>
      </c>
      <c r="B5481" s="31"/>
      <c r="C5481" s="31"/>
      <c r="D5481" s="31"/>
      <c r="E5481" s="25"/>
      <c r="F5481" s="26"/>
    </row>
    <row r="5482" spans="1:6" ht="16.8" customHeight="1" x14ac:dyDescent="0.3">
      <c r="A5482" s="20">
        <v>47079</v>
      </c>
      <c r="B5482" s="31"/>
      <c r="C5482" s="31"/>
      <c r="D5482" s="31"/>
      <c r="E5482" s="25"/>
      <c r="F5482" s="26"/>
    </row>
    <row r="5483" spans="1:6" ht="16.8" customHeight="1" x14ac:dyDescent="0.3">
      <c r="A5483" s="20">
        <v>47080</v>
      </c>
      <c r="B5483" s="31"/>
      <c r="C5483" s="31"/>
      <c r="D5483" s="31"/>
      <c r="E5483" s="25"/>
      <c r="F5483" s="26"/>
    </row>
    <row r="5484" spans="1:6" ht="16.8" customHeight="1" x14ac:dyDescent="0.3">
      <c r="A5484" s="20">
        <v>47081</v>
      </c>
      <c r="B5484" s="31"/>
      <c r="C5484" s="31"/>
      <c r="D5484" s="31"/>
      <c r="E5484" s="25"/>
      <c r="F5484" s="26"/>
    </row>
    <row r="5485" spans="1:6" ht="16.8" customHeight="1" x14ac:dyDescent="0.3">
      <c r="A5485" s="20">
        <v>47082</v>
      </c>
      <c r="B5485" s="31"/>
      <c r="C5485" s="31"/>
      <c r="D5485" s="31"/>
      <c r="E5485" s="25"/>
      <c r="F5485" s="26"/>
    </row>
    <row r="5486" spans="1:6" ht="16.8" customHeight="1" x14ac:dyDescent="0.3">
      <c r="A5486" s="20">
        <v>47083</v>
      </c>
      <c r="B5486" s="31"/>
      <c r="C5486" s="31"/>
      <c r="D5486" s="31"/>
      <c r="E5486" s="25"/>
      <c r="F5486" s="26"/>
    </row>
    <row r="5487" spans="1:6" ht="16.8" customHeight="1" x14ac:dyDescent="0.3">
      <c r="A5487" s="20">
        <v>47084</v>
      </c>
      <c r="B5487" s="31"/>
      <c r="C5487" s="31"/>
      <c r="D5487" s="31"/>
      <c r="E5487" s="25"/>
      <c r="F5487" s="26"/>
    </row>
    <row r="5488" spans="1:6" ht="16.8" customHeight="1" x14ac:dyDescent="0.3">
      <c r="A5488" s="20">
        <v>47085</v>
      </c>
      <c r="B5488" s="31"/>
      <c r="C5488" s="31"/>
      <c r="D5488" s="31"/>
      <c r="E5488" s="25"/>
      <c r="F5488" s="26"/>
    </row>
    <row r="5489" spans="1:6" ht="16.8" customHeight="1" x14ac:dyDescent="0.3">
      <c r="A5489" s="20">
        <v>47086</v>
      </c>
      <c r="B5489" s="31"/>
      <c r="C5489" s="31"/>
      <c r="D5489" s="31"/>
      <c r="E5489" s="25"/>
      <c r="F5489" s="26"/>
    </row>
    <row r="5490" spans="1:6" ht="16.8" customHeight="1" x14ac:dyDescent="0.3">
      <c r="A5490" s="20">
        <v>47087</v>
      </c>
      <c r="B5490" s="31"/>
      <c r="C5490" s="31"/>
      <c r="D5490" s="31"/>
      <c r="E5490" s="25"/>
      <c r="F5490" s="26"/>
    </row>
    <row r="5491" spans="1:6" ht="16.8" customHeight="1" x14ac:dyDescent="0.3">
      <c r="A5491" s="20">
        <v>47088</v>
      </c>
      <c r="B5491" s="31"/>
      <c r="C5491" s="31"/>
      <c r="D5491" s="31"/>
      <c r="E5491" s="25"/>
      <c r="F5491" s="26"/>
    </row>
    <row r="5492" spans="1:6" ht="16.8" customHeight="1" x14ac:dyDescent="0.3">
      <c r="A5492" s="20">
        <v>47089</v>
      </c>
      <c r="B5492" s="31"/>
      <c r="C5492" s="31"/>
      <c r="D5492" s="31"/>
      <c r="E5492" s="25"/>
      <c r="F5492" s="26"/>
    </row>
    <row r="5493" spans="1:6" ht="16.8" customHeight="1" x14ac:dyDescent="0.3">
      <c r="A5493" s="20">
        <v>47090</v>
      </c>
      <c r="B5493" s="31"/>
      <c r="C5493" s="31"/>
      <c r="D5493" s="31"/>
      <c r="E5493" s="25"/>
      <c r="F5493" s="26"/>
    </row>
    <row r="5494" spans="1:6" ht="16.8" customHeight="1" x14ac:dyDescent="0.3">
      <c r="A5494" s="20">
        <v>47091</v>
      </c>
      <c r="B5494" s="31"/>
      <c r="C5494" s="31"/>
      <c r="D5494" s="31"/>
      <c r="E5494" s="25"/>
      <c r="F5494" s="26"/>
    </row>
    <row r="5495" spans="1:6" ht="16.8" customHeight="1" x14ac:dyDescent="0.3">
      <c r="A5495" s="20">
        <v>47092</v>
      </c>
      <c r="B5495" s="31"/>
      <c r="C5495" s="31"/>
      <c r="D5495" s="31"/>
      <c r="E5495" s="25"/>
      <c r="F5495" s="26"/>
    </row>
    <row r="5496" spans="1:6" ht="16.8" customHeight="1" x14ac:dyDescent="0.3">
      <c r="A5496" s="20">
        <v>47093</v>
      </c>
      <c r="B5496" s="31"/>
      <c r="C5496" s="31"/>
      <c r="D5496" s="31"/>
      <c r="E5496" s="25"/>
      <c r="F5496" s="26"/>
    </row>
    <row r="5497" spans="1:6" ht="16.8" customHeight="1" x14ac:dyDescent="0.3">
      <c r="A5497" s="20">
        <v>47094</v>
      </c>
      <c r="B5497" s="31"/>
      <c r="C5497" s="31"/>
      <c r="D5497" s="31"/>
      <c r="E5497" s="25"/>
      <c r="F5497" s="26"/>
    </row>
    <row r="5498" spans="1:6" ht="16.8" customHeight="1" x14ac:dyDescent="0.3">
      <c r="A5498" s="20">
        <v>47095</v>
      </c>
      <c r="B5498" s="31"/>
      <c r="C5498" s="31"/>
      <c r="D5498" s="31"/>
      <c r="E5498" s="25"/>
      <c r="F5498" s="26"/>
    </row>
    <row r="5499" spans="1:6" ht="16.8" customHeight="1" x14ac:dyDescent="0.3">
      <c r="A5499" s="20">
        <v>47096</v>
      </c>
      <c r="B5499" s="31"/>
      <c r="C5499" s="31"/>
      <c r="D5499" s="31"/>
      <c r="E5499" s="25"/>
      <c r="F5499" s="26"/>
    </row>
    <row r="5500" spans="1:6" ht="16.8" customHeight="1" x14ac:dyDescent="0.3">
      <c r="A5500" s="20">
        <v>47097</v>
      </c>
      <c r="B5500" s="31"/>
      <c r="C5500" s="31"/>
      <c r="D5500" s="31"/>
      <c r="E5500" s="25"/>
      <c r="F5500" s="26"/>
    </row>
    <row r="5501" spans="1:6" ht="16.8" customHeight="1" x14ac:dyDescent="0.3">
      <c r="A5501" s="20">
        <v>47098</v>
      </c>
      <c r="B5501" s="31"/>
      <c r="C5501" s="31"/>
      <c r="D5501" s="31"/>
      <c r="E5501" s="25"/>
      <c r="F5501" s="26"/>
    </row>
    <row r="5502" spans="1:6" ht="16.8" customHeight="1" x14ac:dyDescent="0.3">
      <c r="A5502" s="20">
        <v>47099</v>
      </c>
      <c r="B5502" s="31"/>
      <c r="C5502" s="31"/>
      <c r="D5502" s="31"/>
      <c r="E5502" s="25"/>
      <c r="F5502" s="26"/>
    </row>
    <row r="5503" spans="1:6" ht="16.8" customHeight="1" x14ac:dyDescent="0.3">
      <c r="A5503" s="20">
        <v>47100</v>
      </c>
      <c r="B5503" s="31"/>
      <c r="C5503" s="31"/>
      <c r="D5503" s="31"/>
      <c r="E5503" s="25"/>
      <c r="F5503" s="26"/>
    </row>
    <row r="5504" spans="1:6" ht="16.8" customHeight="1" x14ac:dyDescent="0.3">
      <c r="A5504" s="20">
        <v>47101</v>
      </c>
      <c r="B5504" s="31"/>
      <c r="C5504" s="31"/>
      <c r="D5504" s="31"/>
      <c r="E5504" s="25"/>
      <c r="F5504" s="26"/>
    </row>
    <row r="5505" spans="1:6" ht="16.8" customHeight="1" x14ac:dyDescent="0.3">
      <c r="A5505" s="20">
        <v>47102</v>
      </c>
      <c r="B5505" s="31"/>
      <c r="C5505" s="31"/>
      <c r="D5505" s="31"/>
      <c r="E5505" s="25"/>
      <c r="F5505" s="26"/>
    </row>
    <row r="5506" spans="1:6" ht="16.8" customHeight="1" x14ac:dyDescent="0.3">
      <c r="A5506" s="20">
        <v>47103</v>
      </c>
      <c r="B5506" s="31"/>
      <c r="C5506" s="31"/>
      <c r="D5506" s="31"/>
      <c r="E5506" s="25"/>
      <c r="F5506" s="26"/>
    </row>
    <row r="5507" spans="1:6" ht="16.8" customHeight="1" x14ac:dyDescent="0.3">
      <c r="A5507" s="20">
        <v>47104</v>
      </c>
      <c r="B5507" s="31"/>
      <c r="C5507" s="31"/>
      <c r="D5507" s="31"/>
      <c r="E5507" s="25"/>
      <c r="F5507" s="26"/>
    </row>
    <row r="5508" spans="1:6" ht="16.8" customHeight="1" x14ac:dyDescent="0.3">
      <c r="A5508" s="20">
        <v>47105</v>
      </c>
      <c r="B5508" s="31"/>
      <c r="C5508" s="31"/>
      <c r="D5508" s="31"/>
      <c r="E5508" s="25"/>
      <c r="F5508" s="26"/>
    </row>
    <row r="5509" spans="1:6" ht="16.8" customHeight="1" x14ac:dyDescent="0.3">
      <c r="A5509" s="20">
        <v>47106</v>
      </c>
      <c r="B5509" s="31"/>
      <c r="C5509" s="31"/>
      <c r="D5509" s="31"/>
      <c r="E5509" s="25"/>
      <c r="F5509" s="26"/>
    </row>
    <row r="5510" spans="1:6" ht="16.8" customHeight="1" x14ac:dyDescent="0.3">
      <c r="A5510" s="20">
        <v>47107</v>
      </c>
      <c r="B5510" s="31"/>
      <c r="C5510" s="31"/>
      <c r="D5510" s="31"/>
      <c r="E5510" s="25"/>
      <c r="F5510" s="26"/>
    </row>
    <row r="5511" spans="1:6" ht="16.8" customHeight="1" x14ac:dyDescent="0.3">
      <c r="A5511" s="20">
        <v>47108</v>
      </c>
      <c r="B5511" s="31"/>
      <c r="C5511" s="31"/>
      <c r="D5511" s="31"/>
      <c r="E5511" s="25"/>
      <c r="F5511" s="26"/>
    </row>
    <row r="5512" spans="1:6" ht="16.8" customHeight="1" x14ac:dyDescent="0.3">
      <c r="A5512" s="20">
        <v>47109</v>
      </c>
      <c r="B5512" s="31"/>
      <c r="C5512" s="31"/>
      <c r="D5512" s="31"/>
      <c r="E5512" s="25"/>
      <c r="F5512" s="26"/>
    </row>
    <row r="5513" spans="1:6" ht="16.8" customHeight="1" x14ac:dyDescent="0.3">
      <c r="A5513" s="20">
        <v>47110</v>
      </c>
      <c r="B5513" s="31"/>
      <c r="C5513" s="31"/>
      <c r="D5513" s="31"/>
      <c r="E5513" s="25"/>
      <c r="F5513" s="26"/>
    </row>
    <row r="5514" spans="1:6" ht="16.8" customHeight="1" x14ac:dyDescent="0.3">
      <c r="A5514" s="20">
        <v>47111</v>
      </c>
      <c r="B5514" s="31"/>
      <c r="C5514" s="31"/>
      <c r="D5514" s="31"/>
      <c r="E5514" s="25"/>
      <c r="F5514" s="26"/>
    </row>
    <row r="5515" spans="1:6" ht="16.8" customHeight="1" x14ac:dyDescent="0.3">
      <c r="A5515" s="20">
        <v>47112</v>
      </c>
      <c r="B5515" s="31"/>
      <c r="C5515" s="31"/>
      <c r="D5515" s="31"/>
      <c r="E5515" s="25"/>
      <c r="F5515" s="26"/>
    </row>
    <row r="5516" spans="1:6" ht="16.8" customHeight="1" x14ac:dyDescent="0.3">
      <c r="A5516" s="20">
        <v>47113</v>
      </c>
      <c r="B5516" s="31"/>
      <c r="C5516" s="31"/>
      <c r="D5516" s="31"/>
      <c r="E5516" s="25"/>
      <c r="F5516" s="26"/>
    </row>
    <row r="5517" spans="1:6" ht="16.8" customHeight="1" x14ac:dyDescent="0.3">
      <c r="A5517" s="20">
        <v>47114</v>
      </c>
      <c r="B5517" s="31"/>
      <c r="C5517" s="31"/>
      <c r="D5517" s="31"/>
      <c r="E5517" s="25"/>
      <c r="F5517" s="26"/>
    </row>
    <row r="5518" spans="1:6" ht="16.8" customHeight="1" x14ac:dyDescent="0.3">
      <c r="A5518" s="20">
        <v>47115</v>
      </c>
      <c r="B5518" s="31"/>
      <c r="C5518" s="31"/>
      <c r="D5518" s="31"/>
      <c r="E5518" s="25"/>
      <c r="F5518" s="26"/>
    </row>
    <row r="5519" spans="1:6" ht="16.8" customHeight="1" x14ac:dyDescent="0.3">
      <c r="A5519" s="20">
        <v>47116</v>
      </c>
      <c r="B5519" s="31"/>
      <c r="C5519" s="31"/>
      <c r="D5519" s="31"/>
      <c r="E5519" s="25"/>
      <c r="F5519" s="26"/>
    </row>
    <row r="5520" spans="1:6" ht="16.8" customHeight="1" x14ac:dyDescent="0.3">
      <c r="A5520" s="20">
        <v>47117</v>
      </c>
      <c r="B5520" s="31"/>
      <c r="C5520" s="31"/>
      <c r="D5520" s="31"/>
      <c r="E5520" s="25"/>
      <c r="F5520" s="26"/>
    </row>
    <row r="5521" spans="1:6" ht="16.8" customHeight="1" x14ac:dyDescent="0.3">
      <c r="A5521" s="20">
        <v>47118</v>
      </c>
      <c r="B5521" s="31"/>
      <c r="C5521" s="31"/>
      <c r="D5521" s="31"/>
      <c r="E5521" s="25"/>
      <c r="F5521" s="26"/>
    </row>
    <row r="5522" spans="1:6" ht="16.8" customHeight="1" x14ac:dyDescent="0.3">
      <c r="A5522" s="20">
        <v>47119</v>
      </c>
      <c r="B5522" s="31"/>
      <c r="C5522" s="31"/>
      <c r="D5522" s="31"/>
      <c r="E5522" s="25"/>
      <c r="F5522" s="26"/>
    </row>
    <row r="5523" spans="1:6" ht="16.8" customHeight="1" x14ac:dyDescent="0.3">
      <c r="A5523" s="20">
        <v>47120</v>
      </c>
      <c r="B5523" s="31"/>
      <c r="C5523" s="31"/>
      <c r="D5523" s="31"/>
      <c r="E5523" s="25"/>
      <c r="F5523" s="26"/>
    </row>
    <row r="5524" spans="1:6" ht="16.8" customHeight="1" x14ac:dyDescent="0.3">
      <c r="A5524" s="20">
        <v>47121</v>
      </c>
      <c r="B5524" s="31"/>
      <c r="C5524" s="31"/>
      <c r="D5524" s="31"/>
      <c r="E5524" s="25"/>
      <c r="F5524" s="26"/>
    </row>
    <row r="5525" spans="1:6" ht="16.8" customHeight="1" x14ac:dyDescent="0.3">
      <c r="A5525" s="20">
        <v>47122</v>
      </c>
      <c r="B5525" s="31"/>
      <c r="C5525" s="31"/>
      <c r="D5525" s="31"/>
      <c r="E5525" s="25"/>
      <c r="F5525" s="26"/>
    </row>
    <row r="5526" spans="1:6" ht="16.8" customHeight="1" x14ac:dyDescent="0.3">
      <c r="A5526" s="20">
        <v>47123</v>
      </c>
      <c r="B5526" s="31"/>
      <c r="C5526" s="31"/>
      <c r="D5526" s="31"/>
      <c r="E5526" s="25"/>
      <c r="F5526" s="26"/>
    </row>
    <row r="5527" spans="1:6" ht="16.8" customHeight="1" x14ac:dyDescent="0.3">
      <c r="A5527" s="20">
        <v>47124</v>
      </c>
      <c r="B5527" s="31"/>
      <c r="C5527" s="31"/>
      <c r="D5527" s="31"/>
      <c r="E5527" s="25"/>
      <c r="F5527" s="26"/>
    </row>
    <row r="5528" spans="1:6" ht="16.8" customHeight="1" x14ac:dyDescent="0.3">
      <c r="A5528" s="20">
        <v>47125</v>
      </c>
      <c r="B5528" s="31"/>
      <c r="C5528" s="31"/>
      <c r="D5528" s="31"/>
      <c r="E5528" s="25"/>
      <c r="F5528" s="26"/>
    </row>
    <row r="5529" spans="1:6" ht="16.8" customHeight="1" x14ac:dyDescent="0.3">
      <c r="A5529" s="20">
        <v>47126</v>
      </c>
      <c r="B5529" s="31"/>
      <c r="C5529" s="31"/>
      <c r="D5529" s="31"/>
      <c r="E5529" s="25"/>
      <c r="F5529" s="26"/>
    </row>
    <row r="5530" spans="1:6" ht="16.8" customHeight="1" x14ac:dyDescent="0.3">
      <c r="A5530" s="20">
        <v>47127</v>
      </c>
      <c r="B5530" s="31"/>
      <c r="C5530" s="31"/>
      <c r="D5530" s="31"/>
      <c r="E5530" s="25"/>
      <c r="F5530" s="26"/>
    </row>
    <row r="5531" spans="1:6" ht="16.8" customHeight="1" x14ac:dyDescent="0.3">
      <c r="A5531" s="20">
        <v>47128</v>
      </c>
      <c r="B5531" s="31"/>
      <c r="C5531" s="31"/>
      <c r="D5531" s="31"/>
      <c r="E5531" s="25"/>
      <c r="F5531" s="26"/>
    </row>
    <row r="5532" spans="1:6" ht="16.8" customHeight="1" x14ac:dyDescent="0.3">
      <c r="A5532" s="20">
        <v>47129</v>
      </c>
      <c r="B5532" s="31"/>
      <c r="C5532" s="31"/>
      <c r="D5532" s="31"/>
      <c r="E5532" s="25"/>
      <c r="F5532" s="26"/>
    </row>
    <row r="5533" spans="1:6" ht="16.8" customHeight="1" x14ac:dyDescent="0.3">
      <c r="A5533" s="20">
        <v>47130</v>
      </c>
      <c r="B5533" s="31"/>
      <c r="C5533" s="31"/>
      <c r="D5533" s="31"/>
      <c r="E5533" s="25"/>
      <c r="F5533" s="26"/>
    </row>
    <row r="5534" spans="1:6" ht="16.8" customHeight="1" x14ac:dyDescent="0.3">
      <c r="A5534" s="20">
        <v>47131</v>
      </c>
      <c r="B5534" s="31"/>
      <c r="C5534" s="31"/>
      <c r="D5534" s="31"/>
      <c r="E5534" s="25"/>
      <c r="F5534" s="26"/>
    </row>
    <row r="5535" spans="1:6" ht="16.8" customHeight="1" x14ac:dyDescent="0.3">
      <c r="A5535" s="20">
        <v>47132</v>
      </c>
      <c r="B5535" s="31"/>
      <c r="C5535" s="31"/>
      <c r="D5535" s="31"/>
      <c r="E5535" s="25"/>
      <c r="F5535" s="26"/>
    </row>
    <row r="5536" spans="1:6" ht="16.8" customHeight="1" x14ac:dyDescent="0.3">
      <c r="A5536" s="20">
        <v>47133</v>
      </c>
      <c r="B5536" s="31"/>
      <c r="C5536" s="31"/>
      <c r="D5536" s="31"/>
      <c r="E5536" s="25"/>
      <c r="F5536" s="26"/>
    </row>
    <row r="5537" spans="1:6" ht="16.8" customHeight="1" x14ac:dyDescent="0.3">
      <c r="A5537" s="20">
        <v>47134</v>
      </c>
      <c r="B5537" s="31"/>
      <c r="C5537" s="31"/>
      <c r="D5537" s="31"/>
      <c r="E5537" s="25"/>
      <c r="F5537" s="26"/>
    </row>
    <row r="5538" spans="1:6" ht="16.8" customHeight="1" x14ac:dyDescent="0.3">
      <c r="A5538" s="20">
        <v>47135</v>
      </c>
      <c r="B5538" s="31"/>
      <c r="C5538" s="31"/>
      <c r="D5538" s="31"/>
      <c r="E5538" s="25"/>
      <c r="F5538" s="26"/>
    </row>
    <row r="5539" spans="1:6" ht="16.8" customHeight="1" x14ac:dyDescent="0.3">
      <c r="A5539" s="20">
        <v>47136</v>
      </c>
      <c r="B5539" s="31"/>
      <c r="C5539" s="31"/>
      <c r="D5539" s="31"/>
      <c r="E5539" s="25"/>
      <c r="F5539" s="26"/>
    </row>
    <row r="5540" spans="1:6" ht="16.8" customHeight="1" x14ac:dyDescent="0.3">
      <c r="A5540" s="20">
        <v>47137</v>
      </c>
      <c r="B5540" s="31"/>
      <c r="C5540" s="31"/>
      <c r="D5540" s="31"/>
      <c r="E5540" s="25"/>
      <c r="F5540" s="26"/>
    </row>
    <row r="5541" spans="1:6" ht="16.8" customHeight="1" x14ac:dyDescent="0.3">
      <c r="A5541" s="20">
        <v>47138</v>
      </c>
      <c r="B5541" s="31"/>
      <c r="C5541" s="31"/>
      <c r="D5541" s="31"/>
      <c r="E5541" s="25"/>
      <c r="F5541" s="26"/>
    </row>
    <row r="5542" spans="1:6" ht="16.8" customHeight="1" x14ac:dyDescent="0.3">
      <c r="A5542" s="20">
        <v>47139</v>
      </c>
      <c r="B5542" s="31"/>
      <c r="C5542" s="31"/>
      <c r="D5542" s="31"/>
      <c r="E5542" s="25"/>
      <c r="F5542" s="26"/>
    </row>
    <row r="5543" spans="1:6" ht="16.8" customHeight="1" x14ac:dyDescent="0.3">
      <c r="A5543" s="20">
        <v>47140</v>
      </c>
      <c r="B5543" s="31"/>
      <c r="C5543" s="31"/>
      <c r="D5543" s="31"/>
      <c r="E5543" s="25"/>
      <c r="F5543" s="26"/>
    </row>
    <row r="5544" spans="1:6" ht="16.8" customHeight="1" x14ac:dyDescent="0.3">
      <c r="A5544" s="20">
        <v>47141</v>
      </c>
      <c r="B5544" s="31"/>
      <c r="C5544" s="31"/>
      <c r="D5544" s="31"/>
      <c r="E5544" s="25"/>
      <c r="F5544" s="26"/>
    </row>
    <row r="5545" spans="1:6" ht="16.8" customHeight="1" x14ac:dyDescent="0.3">
      <c r="A5545" s="20">
        <v>47142</v>
      </c>
      <c r="B5545" s="31"/>
      <c r="C5545" s="31"/>
      <c r="D5545" s="31"/>
      <c r="E5545" s="25"/>
      <c r="F5545" s="26"/>
    </row>
    <row r="5546" spans="1:6" ht="16.8" customHeight="1" x14ac:dyDescent="0.3">
      <c r="A5546" s="20">
        <v>47143</v>
      </c>
      <c r="B5546" s="31"/>
      <c r="C5546" s="31"/>
      <c r="D5546" s="31"/>
      <c r="E5546" s="25"/>
      <c r="F5546" s="26"/>
    </row>
    <row r="5547" spans="1:6" ht="16.8" customHeight="1" x14ac:dyDescent="0.3">
      <c r="A5547" s="20">
        <v>47144</v>
      </c>
      <c r="B5547" s="31"/>
      <c r="C5547" s="31"/>
      <c r="D5547" s="31"/>
      <c r="E5547" s="25"/>
      <c r="F5547" s="26"/>
    </row>
    <row r="5548" spans="1:6" ht="16.8" customHeight="1" x14ac:dyDescent="0.3">
      <c r="A5548" s="20">
        <v>47145</v>
      </c>
      <c r="B5548" s="31"/>
      <c r="C5548" s="31"/>
      <c r="D5548" s="31"/>
      <c r="E5548" s="25"/>
      <c r="F5548" s="26"/>
    </row>
    <row r="5549" spans="1:6" ht="16.8" customHeight="1" x14ac:dyDescent="0.3">
      <c r="A5549" s="20">
        <v>47146</v>
      </c>
      <c r="B5549" s="31"/>
      <c r="C5549" s="31"/>
      <c r="D5549" s="31"/>
      <c r="E5549" s="25"/>
      <c r="F5549" s="26"/>
    </row>
    <row r="5550" spans="1:6" ht="16.8" customHeight="1" x14ac:dyDescent="0.3">
      <c r="A5550" s="20">
        <v>47147</v>
      </c>
      <c r="B5550" s="31"/>
      <c r="C5550" s="31"/>
      <c r="D5550" s="31"/>
      <c r="E5550" s="25"/>
      <c r="F5550" s="26"/>
    </row>
    <row r="5551" spans="1:6" ht="16.8" customHeight="1" x14ac:dyDescent="0.3">
      <c r="A5551" s="20">
        <v>47148</v>
      </c>
      <c r="B5551" s="31"/>
      <c r="C5551" s="31"/>
      <c r="D5551" s="31"/>
      <c r="E5551" s="25"/>
      <c r="F5551" s="26"/>
    </row>
    <row r="5552" spans="1:6" ht="16.8" customHeight="1" x14ac:dyDescent="0.3">
      <c r="A5552" s="20">
        <v>47149</v>
      </c>
      <c r="B5552" s="31"/>
      <c r="C5552" s="31"/>
      <c r="D5552" s="31"/>
      <c r="E5552" s="25"/>
      <c r="F5552" s="26"/>
    </row>
    <row r="5553" spans="1:6" ht="16.8" customHeight="1" x14ac:dyDescent="0.3">
      <c r="A5553" s="20">
        <v>47150</v>
      </c>
      <c r="B5553" s="31"/>
      <c r="C5553" s="31"/>
      <c r="D5553" s="31"/>
      <c r="E5553" s="25"/>
      <c r="F5553" s="26"/>
    </row>
    <row r="5554" spans="1:6" ht="16.8" customHeight="1" x14ac:dyDescent="0.3">
      <c r="A5554" s="20">
        <v>47151</v>
      </c>
      <c r="B5554" s="31"/>
      <c r="C5554" s="31"/>
      <c r="D5554" s="31"/>
      <c r="E5554" s="25"/>
      <c r="F5554" s="26"/>
    </row>
    <row r="5555" spans="1:6" ht="16.8" customHeight="1" x14ac:dyDescent="0.3">
      <c r="A5555" s="20">
        <v>47152</v>
      </c>
      <c r="B5555" s="31"/>
      <c r="C5555" s="31"/>
      <c r="D5555" s="31"/>
      <c r="E5555" s="25"/>
      <c r="F5555" s="26"/>
    </row>
    <row r="5556" spans="1:6" ht="16.8" customHeight="1" x14ac:dyDescent="0.3">
      <c r="A5556" s="20">
        <v>47153</v>
      </c>
      <c r="B5556" s="31"/>
      <c r="C5556" s="31"/>
      <c r="D5556" s="31"/>
      <c r="E5556" s="25"/>
      <c r="F5556" s="26"/>
    </row>
    <row r="5557" spans="1:6" ht="16.8" customHeight="1" x14ac:dyDescent="0.3">
      <c r="A5557" s="20">
        <v>47154</v>
      </c>
      <c r="B5557" s="31"/>
      <c r="C5557" s="31"/>
      <c r="D5557" s="31"/>
      <c r="E5557" s="25"/>
      <c r="F5557" s="26"/>
    </row>
    <row r="5558" spans="1:6" ht="16.8" customHeight="1" x14ac:dyDescent="0.3">
      <c r="A5558" s="20">
        <v>47155</v>
      </c>
      <c r="B5558" s="31"/>
      <c r="C5558" s="31"/>
      <c r="D5558" s="31"/>
      <c r="E5558" s="25"/>
      <c r="F5558" s="26"/>
    </row>
    <row r="5559" spans="1:6" ht="16.8" customHeight="1" x14ac:dyDescent="0.3">
      <c r="A5559" s="20">
        <v>47156</v>
      </c>
      <c r="B5559" s="31"/>
      <c r="C5559" s="31"/>
      <c r="D5559" s="31"/>
      <c r="E5559" s="25"/>
      <c r="F5559" s="26"/>
    </row>
    <row r="5560" spans="1:6" ht="16.8" customHeight="1" x14ac:dyDescent="0.3">
      <c r="A5560" s="20">
        <v>47157</v>
      </c>
      <c r="B5560" s="31"/>
      <c r="C5560" s="31"/>
      <c r="D5560" s="31"/>
      <c r="E5560" s="25"/>
      <c r="F5560" s="26"/>
    </row>
    <row r="5561" spans="1:6" ht="16.8" customHeight="1" x14ac:dyDescent="0.3">
      <c r="A5561" s="20">
        <v>47158</v>
      </c>
      <c r="B5561" s="31"/>
      <c r="C5561" s="31"/>
      <c r="D5561" s="31"/>
      <c r="E5561" s="25"/>
      <c r="F5561" s="26"/>
    </row>
    <row r="5562" spans="1:6" ht="16.8" customHeight="1" x14ac:dyDescent="0.3">
      <c r="A5562" s="20">
        <v>47159</v>
      </c>
      <c r="B5562" s="31"/>
      <c r="C5562" s="31"/>
      <c r="D5562" s="31"/>
      <c r="E5562" s="25"/>
      <c r="F5562" s="26"/>
    </row>
    <row r="5563" spans="1:6" ht="16.8" customHeight="1" x14ac:dyDescent="0.3">
      <c r="A5563" s="20">
        <v>47160</v>
      </c>
      <c r="B5563" s="31"/>
      <c r="C5563" s="31"/>
      <c r="D5563" s="31"/>
      <c r="E5563" s="25"/>
      <c r="F5563" s="26"/>
    </row>
    <row r="5564" spans="1:6" ht="16.8" customHeight="1" x14ac:dyDescent="0.3">
      <c r="A5564" s="20">
        <v>47161</v>
      </c>
      <c r="B5564" s="31"/>
      <c r="C5564" s="31"/>
      <c r="D5564" s="31"/>
      <c r="E5564" s="25"/>
      <c r="F5564" s="26"/>
    </row>
    <row r="5565" spans="1:6" ht="16.8" customHeight="1" x14ac:dyDescent="0.3">
      <c r="A5565" s="20">
        <v>47162</v>
      </c>
      <c r="B5565" s="31"/>
      <c r="C5565" s="31"/>
      <c r="D5565" s="31"/>
      <c r="E5565" s="25"/>
      <c r="F5565" s="26"/>
    </row>
    <row r="5566" spans="1:6" ht="16.8" customHeight="1" x14ac:dyDescent="0.3">
      <c r="A5566" s="20">
        <v>47163</v>
      </c>
      <c r="B5566" s="31"/>
      <c r="C5566" s="31"/>
      <c r="D5566" s="31"/>
      <c r="E5566" s="25"/>
      <c r="F5566" s="26"/>
    </row>
    <row r="5567" spans="1:6" ht="16.8" customHeight="1" x14ac:dyDescent="0.3">
      <c r="A5567" s="20">
        <v>47164</v>
      </c>
      <c r="B5567" s="31"/>
      <c r="C5567" s="31"/>
      <c r="D5567" s="31"/>
      <c r="E5567" s="25"/>
      <c r="F5567" s="26"/>
    </row>
    <row r="5568" spans="1:6" ht="16.8" customHeight="1" x14ac:dyDescent="0.3">
      <c r="A5568" s="20">
        <v>47165</v>
      </c>
      <c r="B5568" s="31"/>
      <c r="C5568" s="31"/>
      <c r="D5568" s="31"/>
      <c r="E5568" s="25"/>
      <c r="F5568" s="26"/>
    </row>
    <row r="5569" spans="1:6" ht="16.8" customHeight="1" x14ac:dyDescent="0.3">
      <c r="A5569" s="20">
        <v>47166</v>
      </c>
      <c r="B5569" s="31"/>
      <c r="C5569" s="31"/>
      <c r="D5569" s="31"/>
      <c r="E5569" s="25"/>
      <c r="F5569" s="26"/>
    </row>
    <row r="5570" spans="1:6" ht="16.8" customHeight="1" x14ac:dyDescent="0.3">
      <c r="A5570" s="20">
        <v>47167</v>
      </c>
      <c r="B5570" s="31"/>
      <c r="C5570" s="31"/>
      <c r="D5570" s="31"/>
      <c r="E5570" s="25"/>
      <c r="F5570" s="26"/>
    </row>
    <row r="5571" spans="1:6" ht="16.8" customHeight="1" x14ac:dyDescent="0.3">
      <c r="A5571" s="20">
        <v>47168</v>
      </c>
      <c r="B5571" s="31"/>
      <c r="C5571" s="31"/>
      <c r="D5571" s="31"/>
      <c r="E5571" s="25"/>
      <c r="F5571" s="26"/>
    </row>
    <row r="5572" spans="1:6" ht="16.8" customHeight="1" x14ac:dyDescent="0.3">
      <c r="A5572" s="20">
        <v>47169</v>
      </c>
      <c r="B5572" s="31"/>
      <c r="C5572" s="31"/>
      <c r="D5572" s="31"/>
      <c r="E5572" s="25"/>
      <c r="F5572" s="26"/>
    </row>
    <row r="5573" spans="1:6" ht="16.8" customHeight="1" x14ac:dyDescent="0.3">
      <c r="A5573" s="20">
        <v>47170</v>
      </c>
      <c r="B5573" s="31"/>
      <c r="C5573" s="31"/>
      <c r="D5573" s="31"/>
      <c r="E5573" s="25"/>
      <c r="F5573" s="26"/>
    </row>
    <row r="5574" spans="1:6" ht="16.8" customHeight="1" x14ac:dyDescent="0.3">
      <c r="A5574" s="20">
        <v>47171</v>
      </c>
      <c r="B5574" s="31"/>
      <c r="C5574" s="31"/>
      <c r="D5574" s="31"/>
      <c r="E5574" s="25"/>
      <c r="F5574" s="26"/>
    </row>
    <row r="5575" spans="1:6" ht="16.8" customHeight="1" x14ac:dyDescent="0.3">
      <c r="A5575" s="20">
        <v>47172</v>
      </c>
      <c r="B5575" s="31"/>
      <c r="C5575" s="31"/>
      <c r="D5575" s="31"/>
      <c r="E5575" s="25"/>
      <c r="F5575" s="26"/>
    </row>
    <row r="5576" spans="1:6" ht="16.8" customHeight="1" x14ac:dyDescent="0.3">
      <c r="A5576" s="20">
        <v>47173</v>
      </c>
      <c r="B5576" s="31"/>
      <c r="C5576" s="31"/>
      <c r="D5576" s="31"/>
      <c r="E5576" s="25"/>
      <c r="F5576" s="26"/>
    </row>
    <row r="5577" spans="1:6" ht="16.8" customHeight="1" x14ac:dyDescent="0.3">
      <c r="A5577" s="20">
        <v>47174</v>
      </c>
      <c r="B5577" s="31"/>
      <c r="C5577" s="31"/>
      <c r="D5577" s="31"/>
      <c r="E5577" s="25"/>
      <c r="F5577" s="26"/>
    </row>
    <row r="5578" spans="1:6" ht="16.8" customHeight="1" x14ac:dyDescent="0.3">
      <c r="A5578" s="20">
        <v>47175</v>
      </c>
      <c r="B5578" s="31"/>
      <c r="C5578" s="31"/>
      <c r="D5578" s="31"/>
      <c r="E5578" s="25"/>
      <c r="F5578" s="26"/>
    </row>
    <row r="5579" spans="1:6" ht="16.8" customHeight="1" x14ac:dyDescent="0.3">
      <c r="A5579" s="20">
        <v>47176</v>
      </c>
      <c r="B5579" s="31"/>
      <c r="C5579" s="31"/>
      <c r="D5579" s="31"/>
      <c r="E5579" s="25"/>
      <c r="F5579" s="26"/>
    </row>
    <row r="5580" spans="1:6" ht="16.8" customHeight="1" x14ac:dyDescent="0.3">
      <c r="A5580" s="20">
        <v>47177</v>
      </c>
      <c r="B5580" s="31"/>
      <c r="C5580" s="31"/>
      <c r="D5580" s="31"/>
      <c r="E5580" s="25"/>
      <c r="F5580" s="26"/>
    </row>
    <row r="5581" spans="1:6" ht="16.8" customHeight="1" x14ac:dyDescent="0.3">
      <c r="A5581" s="20">
        <v>47178</v>
      </c>
      <c r="B5581" s="31"/>
      <c r="C5581" s="31"/>
      <c r="D5581" s="31"/>
      <c r="E5581" s="25"/>
      <c r="F5581" s="26"/>
    </row>
    <row r="5582" spans="1:6" ht="16.8" customHeight="1" x14ac:dyDescent="0.3">
      <c r="A5582" s="20">
        <v>47179</v>
      </c>
      <c r="B5582" s="31"/>
      <c r="C5582" s="31"/>
      <c r="D5582" s="31"/>
      <c r="E5582" s="25"/>
      <c r="F5582" s="26"/>
    </row>
    <row r="5583" spans="1:6" ht="16.8" customHeight="1" x14ac:dyDescent="0.3">
      <c r="A5583" s="20">
        <v>47180</v>
      </c>
      <c r="B5583" s="31"/>
      <c r="C5583" s="31"/>
      <c r="D5583" s="31"/>
      <c r="E5583" s="25"/>
      <c r="F5583" s="26"/>
    </row>
    <row r="5584" spans="1:6" ht="16.8" customHeight="1" x14ac:dyDescent="0.3">
      <c r="A5584" s="20">
        <v>47181</v>
      </c>
      <c r="B5584" s="31"/>
      <c r="C5584" s="31"/>
      <c r="D5584" s="31"/>
      <c r="E5584" s="25"/>
      <c r="F5584" s="26"/>
    </row>
    <row r="5585" spans="1:6" ht="16.8" customHeight="1" x14ac:dyDescent="0.3">
      <c r="A5585" s="20">
        <v>47182</v>
      </c>
      <c r="B5585" s="31"/>
      <c r="C5585" s="31"/>
      <c r="D5585" s="31"/>
      <c r="E5585" s="25"/>
      <c r="F5585" s="26"/>
    </row>
    <row r="5586" spans="1:6" ht="16.8" customHeight="1" x14ac:dyDescent="0.3">
      <c r="A5586" s="20">
        <v>47183</v>
      </c>
      <c r="B5586" s="31"/>
      <c r="C5586" s="31"/>
      <c r="D5586" s="31"/>
      <c r="E5586" s="25"/>
      <c r="F5586" s="26"/>
    </row>
    <row r="5587" spans="1:6" ht="16.8" customHeight="1" x14ac:dyDescent="0.3">
      <c r="A5587" s="20">
        <v>47184</v>
      </c>
      <c r="B5587" s="31"/>
      <c r="C5587" s="31"/>
      <c r="D5587" s="31"/>
      <c r="E5587" s="25"/>
      <c r="F5587" s="26"/>
    </row>
    <row r="5588" spans="1:6" ht="16.8" customHeight="1" x14ac:dyDescent="0.3">
      <c r="A5588" s="20">
        <v>47185</v>
      </c>
      <c r="B5588" s="31"/>
      <c r="C5588" s="31"/>
      <c r="D5588" s="31"/>
      <c r="E5588" s="25"/>
      <c r="F5588" s="26"/>
    </row>
    <row r="5589" spans="1:6" ht="16.8" customHeight="1" x14ac:dyDescent="0.3">
      <c r="A5589" s="20">
        <v>47186</v>
      </c>
      <c r="B5589" s="31"/>
      <c r="C5589" s="31"/>
      <c r="D5589" s="31"/>
      <c r="E5589" s="25"/>
      <c r="F5589" s="26"/>
    </row>
    <row r="5590" spans="1:6" ht="16.8" customHeight="1" x14ac:dyDescent="0.3">
      <c r="A5590" s="20">
        <v>47187</v>
      </c>
      <c r="B5590" s="31"/>
      <c r="C5590" s="31"/>
      <c r="D5590" s="31"/>
      <c r="E5590" s="25"/>
      <c r="F5590" s="26"/>
    </row>
    <row r="5591" spans="1:6" ht="16.8" customHeight="1" x14ac:dyDescent="0.3">
      <c r="A5591" s="20">
        <v>47188</v>
      </c>
      <c r="B5591" s="31"/>
      <c r="C5591" s="31"/>
      <c r="D5591" s="31"/>
      <c r="E5591" s="25"/>
      <c r="F5591" s="26"/>
    </row>
    <row r="5592" spans="1:6" ht="16.8" customHeight="1" x14ac:dyDescent="0.3">
      <c r="A5592" s="20">
        <v>47189</v>
      </c>
      <c r="B5592" s="31"/>
      <c r="C5592" s="31"/>
      <c r="D5592" s="31"/>
      <c r="E5592" s="25"/>
      <c r="F5592" s="26"/>
    </row>
    <row r="5593" spans="1:6" ht="16.8" customHeight="1" x14ac:dyDescent="0.3">
      <c r="A5593" s="20">
        <v>47190</v>
      </c>
      <c r="B5593" s="31"/>
      <c r="C5593" s="31"/>
      <c r="D5593" s="31"/>
      <c r="E5593" s="25"/>
      <c r="F5593" s="26"/>
    </row>
    <row r="5594" spans="1:6" ht="16.8" customHeight="1" x14ac:dyDescent="0.3">
      <c r="A5594" s="20">
        <v>47191</v>
      </c>
      <c r="B5594" s="31"/>
      <c r="C5594" s="31"/>
      <c r="D5594" s="31"/>
      <c r="E5594" s="25"/>
      <c r="F5594" s="26"/>
    </row>
    <row r="5595" spans="1:6" ht="16.8" customHeight="1" x14ac:dyDescent="0.3">
      <c r="A5595" s="20">
        <v>47192</v>
      </c>
      <c r="B5595" s="31"/>
      <c r="C5595" s="31"/>
      <c r="D5595" s="31"/>
      <c r="E5595" s="25"/>
      <c r="F5595" s="26"/>
    </row>
    <row r="5596" spans="1:6" ht="16.8" customHeight="1" x14ac:dyDescent="0.3">
      <c r="A5596" s="20">
        <v>47193</v>
      </c>
      <c r="B5596" s="31"/>
      <c r="C5596" s="31"/>
      <c r="D5596" s="31"/>
      <c r="E5596" s="25"/>
      <c r="F5596" s="26"/>
    </row>
    <row r="5597" spans="1:6" ht="16.8" customHeight="1" x14ac:dyDescent="0.3">
      <c r="A5597" s="20">
        <v>47194</v>
      </c>
      <c r="B5597" s="31"/>
      <c r="C5597" s="31"/>
      <c r="D5597" s="31"/>
      <c r="E5597" s="25"/>
      <c r="F5597" s="26"/>
    </row>
    <row r="5598" spans="1:6" ht="16.8" customHeight="1" x14ac:dyDescent="0.3">
      <c r="A5598" s="20">
        <v>47195</v>
      </c>
      <c r="B5598" s="31"/>
      <c r="C5598" s="31"/>
      <c r="D5598" s="31"/>
      <c r="E5598" s="25"/>
      <c r="F5598" s="26"/>
    </row>
    <row r="5599" spans="1:6" ht="16.8" customHeight="1" x14ac:dyDescent="0.3">
      <c r="A5599" s="20">
        <v>47196</v>
      </c>
      <c r="B5599" s="31"/>
      <c r="C5599" s="31"/>
      <c r="D5599" s="31"/>
      <c r="E5599" s="25"/>
      <c r="F5599" s="26"/>
    </row>
    <row r="5600" spans="1:6" ht="16.8" customHeight="1" x14ac:dyDescent="0.3">
      <c r="A5600" s="20">
        <v>47197</v>
      </c>
      <c r="B5600" s="31"/>
      <c r="C5600" s="31"/>
      <c r="D5600" s="31"/>
      <c r="E5600" s="25"/>
      <c r="F5600" s="26"/>
    </row>
    <row r="5601" spans="1:6" ht="16.8" customHeight="1" x14ac:dyDescent="0.3">
      <c r="A5601" s="20">
        <v>47198</v>
      </c>
      <c r="B5601" s="31"/>
      <c r="C5601" s="31"/>
      <c r="D5601" s="31"/>
      <c r="E5601" s="25"/>
      <c r="F5601" s="26"/>
    </row>
    <row r="5602" spans="1:6" ht="16.8" customHeight="1" x14ac:dyDescent="0.3">
      <c r="A5602" s="20">
        <v>47199</v>
      </c>
      <c r="B5602" s="31"/>
      <c r="C5602" s="31"/>
      <c r="D5602" s="31"/>
      <c r="E5602" s="25"/>
      <c r="F5602" s="26"/>
    </row>
    <row r="5603" spans="1:6" ht="16.8" customHeight="1" x14ac:dyDescent="0.3">
      <c r="A5603" s="20">
        <v>47200</v>
      </c>
      <c r="B5603" s="31"/>
      <c r="C5603" s="31"/>
      <c r="D5603" s="31"/>
      <c r="E5603" s="25"/>
      <c r="F5603" s="26"/>
    </row>
    <row r="5604" spans="1:6" ht="16.8" customHeight="1" x14ac:dyDescent="0.3">
      <c r="A5604" s="20">
        <v>47201</v>
      </c>
      <c r="B5604" s="31"/>
      <c r="C5604" s="31"/>
      <c r="D5604" s="31"/>
      <c r="E5604" s="25"/>
      <c r="F5604" s="26"/>
    </row>
    <row r="5605" spans="1:6" ht="16.8" customHeight="1" x14ac:dyDescent="0.3">
      <c r="A5605" s="20">
        <v>47202</v>
      </c>
      <c r="B5605" s="31"/>
      <c r="C5605" s="31"/>
      <c r="D5605" s="31"/>
      <c r="E5605" s="25"/>
      <c r="F5605" s="26"/>
    </row>
    <row r="5606" spans="1:6" ht="16.8" customHeight="1" x14ac:dyDescent="0.3">
      <c r="A5606" s="20">
        <v>47203</v>
      </c>
      <c r="B5606" s="31"/>
      <c r="C5606" s="31"/>
      <c r="D5606" s="31"/>
      <c r="E5606" s="25"/>
      <c r="F5606" s="26"/>
    </row>
    <row r="5607" spans="1:6" ht="16.8" customHeight="1" x14ac:dyDescent="0.3">
      <c r="A5607" s="20">
        <v>47204</v>
      </c>
      <c r="B5607" s="31"/>
      <c r="C5607" s="31"/>
      <c r="D5607" s="31"/>
      <c r="E5607" s="25"/>
      <c r="F5607" s="26"/>
    </row>
    <row r="5608" spans="1:6" ht="16.8" customHeight="1" x14ac:dyDescent="0.3">
      <c r="A5608" s="20">
        <v>47205</v>
      </c>
      <c r="B5608" s="31"/>
      <c r="C5608" s="31"/>
      <c r="D5608" s="31"/>
      <c r="E5608" s="25"/>
      <c r="F5608" s="26"/>
    </row>
    <row r="5609" spans="1:6" ht="16.8" customHeight="1" x14ac:dyDescent="0.3">
      <c r="A5609" s="20">
        <v>47206</v>
      </c>
      <c r="B5609" s="31"/>
      <c r="C5609" s="31"/>
      <c r="D5609" s="31"/>
      <c r="E5609" s="25"/>
      <c r="F5609" s="26"/>
    </row>
    <row r="5610" spans="1:6" ht="16.8" customHeight="1" x14ac:dyDescent="0.3">
      <c r="A5610" s="20">
        <v>47207</v>
      </c>
      <c r="B5610" s="31"/>
      <c r="C5610" s="31"/>
      <c r="D5610" s="31"/>
      <c r="E5610" s="25"/>
      <c r="F5610" s="26"/>
    </row>
    <row r="5611" spans="1:6" ht="16.8" customHeight="1" x14ac:dyDescent="0.3">
      <c r="A5611" s="20">
        <v>47208</v>
      </c>
      <c r="B5611" s="31"/>
      <c r="C5611" s="31"/>
      <c r="D5611" s="31"/>
      <c r="E5611" s="25"/>
      <c r="F5611" s="26"/>
    </row>
    <row r="5612" spans="1:6" ht="16.8" customHeight="1" x14ac:dyDescent="0.3">
      <c r="A5612" s="20">
        <v>47209</v>
      </c>
      <c r="B5612" s="31"/>
      <c r="C5612" s="31"/>
      <c r="D5612" s="31"/>
      <c r="E5612" s="25"/>
      <c r="F5612" s="26"/>
    </row>
    <row r="5613" spans="1:6" ht="16.8" customHeight="1" x14ac:dyDescent="0.3">
      <c r="A5613" s="20">
        <v>47210</v>
      </c>
      <c r="B5613" s="31"/>
      <c r="C5613" s="31"/>
      <c r="D5613" s="31"/>
      <c r="E5613" s="25"/>
      <c r="F5613" s="26"/>
    </row>
    <row r="5614" spans="1:6" ht="16.8" customHeight="1" x14ac:dyDescent="0.3">
      <c r="A5614" s="20">
        <v>47211</v>
      </c>
      <c r="B5614" s="31"/>
      <c r="C5614" s="31"/>
      <c r="D5614" s="31"/>
      <c r="E5614" s="25"/>
      <c r="F5614" s="26"/>
    </row>
    <row r="5615" spans="1:6" ht="16.8" customHeight="1" x14ac:dyDescent="0.3">
      <c r="A5615" s="20">
        <v>47212</v>
      </c>
      <c r="B5615" s="31"/>
      <c r="C5615" s="31"/>
      <c r="D5615" s="31"/>
      <c r="E5615" s="25"/>
      <c r="F5615" s="26"/>
    </row>
    <row r="5616" spans="1:6" ht="16.8" customHeight="1" x14ac:dyDescent="0.3">
      <c r="A5616" s="20">
        <v>47213</v>
      </c>
      <c r="B5616" s="31"/>
      <c r="C5616" s="31"/>
      <c r="D5616" s="31"/>
      <c r="E5616" s="25"/>
      <c r="F5616" s="26"/>
    </row>
    <row r="5617" spans="1:6" ht="16.8" customHeight="1" x14ac:dyDescent="0.3">
      <c r="A5617" s="20">
        <v>47214</v>
      </c>
      <c r="B5617" s="31"/>
      <c r="C5617" s="31"/>
      <c r="D5617" s="31"/>
      <c r="E5617" s="25"/>
      <c r="F5617" s="26"/>
    </row>
    <row r="5618" spans="1:6" ht="16.8" customHeight="1" x14ac:dyDescent="0.3">
      <c r="A5618" s="20">
        <v>47215</v>
      </c>
      <c r="B5618" s="31"/>
      <c r="C5618" s="31"/>
      <c r="D5618" s="31"/>
      <c r="E5618" s="25"/>
      <c r="F5618" s="26"/>
    </row>
    <row r="5619" spans="1:6" ht="16.8" customHeight="1" x14ac:dyDescent="0.3">
      <c r="A5619" s="20">
        <v>47216</v>
      </c>
      <c r="B5619" s="31"/>
      <c r="C5619" s="31"/>
      <c r="D5619" s="31"/>
      <c r="E5619" s="25"/>
      <c r="F5619" s="26"/>
    </row>
    <row r="5620" spans="1:6" ht="16.8" customHeight="1" x14ac:dyDescent="0.3">
      <c r="A5620" s="20">
        <v>47217</v>
      </c>
      <c r="B5620" s="31"/>
      <c r="C5620" s="31"/>
      <c r="D5620" s="31"/>
      <c r="E5620" s="25"/>
      <c r="F5620" s="26"/>
    </row>
    <row r="5621" spans="1:6" ht="16.8" customHeight="1" x14ac:dyDescent="0.3">
      <c r="A5621" s="20">
        <v>47218</v>
      </c>
      <c r="B5621" s="31"/>
      <c r="C5621" s="31"/>
      <c r="D5621" s="31"/>
      <c r="E5621" s="25"/>
      <c r="F5621" s="26"/>
    </row>
    <row r="5622" spans="1:6" ht="16.8" customHeight="1" x14ac:dyDescent="0.3">
      <c r="A5622" s="20">
        <v>47219</v>
      </c>
      <c r="B5622" s="31"/>
      <c r="C5622" s="31"/>
      <c r="D5622" s="31"/>
      <c r="E5622" s="25"/>
      <c r="F5622" s="26"/>
    </row>
    <row r="5623" spans="1:6" ht="16.8" customHeight="1" x14ac:dyDescent="0.3">
      <c r="A5623" s="20">
        <v>47220</v>
      </c>
      <c r="B5623" s="31"/>
      <c r="C5623" s="31"/>
      <c r="D5623" s="31"/>
      <c r="E5623" s="25"/>
      <c r="F5623" s="26"/>
    </row>
    <row r="5624" spans="1:6" ht="16.8" customHeight="1" x14ac:dyDescent="0.3">
      <c r="A5624" s="20">
        <v>47221</v>
      </c>
      <c r="B5624" s="31"/>
      <c r="C5624" s="31"/>
      <c r="D5624" s="31"/>
      <c r="E5624" s="25"/>
      <c r="F5624" s="26"/>
    </row>
    <row r="5625" spans="1:6" ht="16.8" customHeight="1" x14ac:dyDescent="0.3">
      <c r="A5625" s="20">
        <v>47222</v>
      </c>
      <c r="B5625" s="31"/>
      <c r="C5625" s="31"/>
      <c r="D5625" s="31"/>
      <c r="E5625" s="25"/>
      <c r="F5625" s="26"/>
    </row>
    <row r="5626" spans="1:6" ht="16.8" customHeight="1" x14ac:dyDescent="0.3">
      <c r="A5626" s="20">
        <v>47223</v>
      </c>
      <c r="B5626" s="31"/>
      <c r="C5626" s="31"/>
      <c r="D5626" s="31"/>
      <c r="E5626" s="25"/>
      <c r="F5626" s="26"/>
    </row>
    <row r="5627" spans="1:6" ht="16.8" customHeight="1" x14ac:dyDescent="0.3">
      <c r="A5627" s="20">
        <v>47224</v>
      </c>
      <c r="B5627" s="31"/>
      <c r="C5627" s="31"/>
      <c r="D5627" s="31"/>
      <c r="E5627" s="25"/>
      <c r="F5627" s="26"/>
    </row>
    <row r="5628" spans="1:6" ht="16.8" customHeight="1" x14ac:dyDescent="0.3">
      <c r="A5628" s="20">
        <v>47225</v>
      </c>
      <c r="B5628" s="31"/>
      <c r="C5628" s="31"/>
      <c r="D5628" s="31"/>
      <c r="E5628" s="25"/>
      <c r="F5628" s="26"/>
    </row>
    <row r="5629" spans="1:6" ht="16.8" customHeight="1" x14ac:dyDescent="0.3">
      <c r="A5629" s="20">
        <v>47226</v>
      </c>
      <c r="B5629" s="31"/>
      <c r="C5629" s="31"/>
      <c r="D5629" s="31"/>
      <c r="E5629" s="25"/>
      <c r="F5629" s="26"/>
    </row>
    <row r="5630" spans="1:6" ht="16.8" customHeight="1" x14ac:dyDescent="0.3">
      <c r="A5630" s="20">
        <v>47227</v>
      </c>
      <c r="B5630" s="31"/>
      <c r="C5630" s="31"/>
      <c r="D5630" s="31"/>
      <c r="E5630" s="25"/>
      <c r="F5630" s="26"/>
    </row>
    <row r="5631" spans="1:6" ht="16.8" customHeight="1" x14ac:dyDescent="0.3">
      <c r="A5631" s="20">
        <v>47228</v>
      </c>
      <c r="B5631" s="31"/>
      <c r="C5631" s="31"/>
      <c r="D5631" s="31"/>
      <c r="E5631" s="25"/>
      <c r="F5631" s="26"/>
    </row>
    <row r="5632" spans="1:6" ht="16.8" customHeight="1" x14ac:dyDescent="0.3">
      <c r="A5632" s="20">
        <v>47229</v>
      </c>
      <c r="B5632" s="31"/>
      <c r="C5632" s="31"/>
      <c r="D5632" s="31"/>
      <c r="E5632" s="25"/>
      <c r="F5632" s="26"/>
    </row>
    <row r="5633" spans="1:6" ht="16.8" customHeight="1" x14ac:dyDescent="0.3">
      <c r="A5633" s="20">
        <v>47230</v>
      </c>
      <c r="B5633" s="31"/>
      <c r="C5633" s="31"/>
      <c r="D5633" s="31"/>
      <c r="E5633" s="25"/>
      <c r="F5633" s="26"/>
    </row>
    <row r="5634" spans="1:6" ht="16.8" customHeight="1" x14ac:dyDescent="0.3">
      <c r="A5634" s="20">
        <v>47231</v>
      </c>
      <c r="B5634" s="31"/>
      <c r="C5634" s="31"/>
      <c r="D5634" s="31"/>
      <c r="E5634" s="25"/>
      <c r="F5634" s="26"/>
    </row>
    <row r="5635" spans="1:6" ht="16.8" customHeight="1" x14ac:dyDescent="0.3">
      <c r="A5635" s="20">
        <v>47232</v>
      </c>
      <c r="B5635" s="31"/>
      <c r="C5635" s="31"/>
      <c r="D5635" s="31"/>
      <c r="E5635" s="25"/>
      <c r="F5635" s="26"/>
    </row>
    <row r="5636" spans="1:6" ht="16.8" customHeight="1" x14ac:dyDescent="0.3">
      <c r="A5636" s="20">
        <v>47233</v>
      </c>
      <c r="B5636" s="31"/>
      <c r="C5636" s="31"/>
      <c r="D5636" s="31"/>
      <c r="E5636" s="25"/>
      <c r="F5636" s="26"/>
    </row>
    <row r="5637" spans="1:6" ht="16.8" customHeight="1" x14ac:dyDescent="0.3">
      <c r="A5637" s="20">
        <v>47234</v>
      </c>
      <c r="B5637" s="31"/>
      <c r="C5637" s="31"/>
      <c r="D5637" s="31"/>
      <c r="E5637" s="25"/>
      <c r="F5637" s="26"/>
    </row>
    <row r="5638" spans="1:6" ht="16.8" customHeight="1" x14ac:dyDescent="0.3">
      <c r="A5638" s="20">
        <v>47235</v>
      </c>
      <c r="B5638" s="31"/>
      <c r="C5638" s="31"/>
      <c r="D5638" s="31"/>
      <c r="E5638" s="25"/>
      <c r="F5638" s="26"/>
    </row>
    <row r="5639" spans="1:6" ht="16.8" customHeight="1" x14ac:dyDescent="0.3">
      <c r="A5639" s="20">
        <v>47236</v>
      </c>
      <c r="B5639" s="31"/>
      <c r="C5639" s="31"/>
      <c r="D5639" s="31"/>
      <c r="E5639" s="25"/>
      <c r="F5639" s="26"/>
    </row>
    <row r="5640" spans="1:6" ht="16.8" customHeight="1" x14ac:dyDescent="0.3">
      <c r="A5640" s="20">
        <v>47237</v>
      </c>
      <c r="B5640" s="31"/>
      <c r="C5640" s="31"/>
      <c r="D5640" s="31"/>
      <c r="E5640" s="25"/>
      <c r="F5640" s="26"/>
    </row>
    <row r="5641" spans="1:6" ht="16.8" customHeight="1" x14ac:dyDescent="0.3">
      <c r="A5641" s="20">
        <v>47238</v>
      </c>
      <c r="B5641" s="31"/>
      <c r="C5641" s="31"/>
      <c r="D5641" s="31"/>
      <c r="E5641" s="25"/>
      <c r="F5641" s="26"/>
    </row>
    <row r="5642" spans="1:6" ht="16.8" customHeight="1" x14ac:dyDescent="0.3">
      <c r="A5642" s="20">
        <v>47239</v>
      </c>
      <c r="B5642" s="31"/>
      <c r="C5642" s="31"/>
      <c r="D5642" s="31"/>
      <c r="E5642" s="25"/>
      <c r="F5642" s="26"/>
    </row>
    <row r="5643" spans="1:6" ht="16.8" customHeight="1" x14ac:dyDescent="0.3">
      <c r="A5643" s="20">
        <v>47240</v>
      </c>
      <c r="B5643" s="31"/>
      <c r="C5643" s="31"/>
      <c r="D5643" s="31"/>
      <c r="E5643" s="25"/>
      <c r="F5643" s="26"/>
    </row>
    <row r="5644" spans="1:6" ht="16.8" customHeight="1" x14ac:dyDescent="0.3">
      <c r="A5644" s="20">
        <v>47241</v>
      </c>
      <c r="B5644" s="31"/>
      <c r="C5644" s="31"/>
      <c r="D5644" s="31"/>
      <c r="E5644" s="25"/>
      <c r="F5644" s="26"/>
    </row>
    <row r="5645" spans="1:6" ht="16.8" customHeight="1" x14ac:dyDescent="0.3">
      <c r="A5645" s="20">
        <v>47242</v>
      </c>
      <c r="B5645" s="31"/>
      <c r="C5645" s="31"/>
      <c r="D5645" s="31"/>
      <c r="E5645" s="25"/>
      <c r="F5645" s="26"/>
    </row>
    <row r="5646" spans="1:6" ht="16.8" customHeight="1" x14ac:dyDescent="0.3">
      <c r="A5646" s="20">
        <v>47243</v>
      </c>
      <c r="B5646" s="31"/>
      <c r="C5646" s="31"/>
      <c r="D5646" s="31"/>
      <c r="E5646" s="25"/>
      <c r="F5646" s="26"/>
    </row>
    <row r="5647" spans="1:6" ht="16.8" customHeight="1" x14ac:dyDescent="0.3">
      <c r="A5647" s="20">
        <v>47244</v>
      </c>
      <c r="B5647" s="31"/>
      <c r="C5647" s="31"/>
      <c r="D5647" s="31"/>
      <c r="E5647" s="25"/>
      <c r="F5647" s="26"/>
    </row>
    <row r="5648" spans="1:6" ht="16.8" customHeight="1" x14ac:dyDescent="0.3">
      <c r="A5648" s="20">
        <v>47245</v>
      </c>
      <c r="B5648" s="31"/>
      <c r="C5648" s="31"/>
      <c r="D5648" s="31"/>
      <c r="E5648" s="25"/>
      <c r="F5648" s="26"/>
    </row>
    <row r="5649" spans="1:6" ht="16.8" customHeight="1" x14ac:dyDescent="0.3">
      <c r="A5649" s="20">
        <v>47246</v>
      </c>
      <c r="B5649" s="31"/>
      <c r="C5649" s="31"/>
      <c r="D5649" s="31"/>
      <c r="E5649" s="25"/>
      <c r="F5649" s="26"/>
    </row>
    <row r="5650" spans="1:6" ht="16.8" customHeight="1" x14ac:dyDescent="0.3">
      <c r="A5650" s="20">
        <v>47247</v>
      </c>
      <c r="B5650" s="31"/>
      <c r="C5650" s="31"/>
      <c r="D5650" s="31"/>
      <c r="E5650" s="25"/>
      <c r="F5650" s="26"/>
    </row>
    <row r="5651" spans="1:6" ht="16.8" customHeight="1" x14ac:dyDescent="0.3">
      <c r="A5651" s="20">
        <v>47248</v>
      </c>
      <c r="B5651" s="31"/>
      <c r="C5651" s="31"/>
      <c r="D5651" s="31"/>
      <c r="E5651" s="25"/>
      <c r="F5651" s="26"/>
    </row>
    <row r="5652" spans="1:6" ht="16.8" customHeight="1" x14ac:dyDescent="0.3">
      <c r="A5652" s="20">
        <v>47249</v>
      </c>
      <c r="B5652" s="31"/>
      <c r="C5652" s="31"/>
      <c r="D5652" s="31"/>
      <c r="E5652" s="25"/>
      <c r="F5652" s="26"/>
    </row>
    <row r="5653" spans="1:6" ht="16.8" customHeight="1" x14ac:dyDescent="0.3">
      <c r="A5653" s="20">
        <v>47250</v>
      </c>
      <c r="B5653" s="31"/>
      <c r="C5653" s="31"/>
      <c r="D5653" s="31"/>
      <c r="E5653" s="25"/>
      <c r="F5653" s="26"/>
    </row>
    <row r="5654" spans="1:6" ht="16.8" customHeight="1" x14ac:dyDescent="0.3">
      <c r="A5654" s="20">
        <v>47251</v>
      </c>
      <c r="B5654" s="31"/>
      <c r="C5654" s="31"/>
      <c r="D5654" s="31"/>
      <c r="E5654" s="25"/>
      <c r="F5654" s="26"/>
    </row>
    <row r="5655" spans="1:6" ht="16.8" customHeight="1" x14ac:dyDescent="0.3">
      <c r="A5655" s="20">
        <v>47252</v>
      </c>
      <c r="B5655" s="31"/>
      <c r="C5655" s="31"/>
      <c r="D5655" s="31"/>
      <c r="E5655" s="25"/>
      <c r="F5655" s="26"/>
    </row>
    <row r="5656" spans="1:6" ht="16.8" customHeight="1" x14ac:dyDescent="0.3">
      <c r="A5656" s="20">
        <v>47253</v>
      </c>
      <c r="B5656" s="31"/>
      <c r="C5656" s="31"/>
      <c r="D5656" s="31"/>
      <c r="E5656" s="25"/>
      <c r="F5656" s="26"/>
    </row>
    <row r="5657" spans="1:6" ht="16.8" customHeight="1" x14ac:dyDescent="0.3">
      <c r="A5657" s="20">
        <v>47254</v>
      </c>
      <c r="B5657" s="31"/>
      <c r="C5657" s="31"/>
      <c r="D5657" s="31"/>
      <c r="E5657" s="25"/>
      <c r="F5657" s="26"/>
    </row>
    <row r="5658" spans="1:6" ht="16.8" customHeight="1" x14ac:dyDescent="0.3">
      <c r="A5658" s="20">
        <v>47255</v>
      </c>
      <c r="B5658" s="31"/>
      <c r="C5658" s="31"/>
      <c r="D5658" s="31"/>
      <c r="E5658" s="25"/>
      <c r="F5658" s="26"/>
    </row>
    <row r="5659" spans="1:6" ht="16.8" customHeight="1" x14ac:dyDescent="0.3">
      <c r="A5659" s="20">
        <v>47256</v>
      </c>
      <c r="B5659" s="31"/>
      <c r="C5659" s="31"/>
      <c r="D5659" s="31"/>
      <c r="E5659" s="25"/>
      <c r="F5659" s="26"/>
    </row>
    <row r="5660" spans="1:6" ht="16.8" customHeight="1" x14ac:dyDescent="0.3">
      <c r="A5660" s="20">
        <v>47257</v>
      </c>
      <c r="B5660" s="31"/>
      <c r="C5660" s="31"/>
      <c r="D5660" s="31"/>
      <c r="E5660" s="25"/>
      <c r="F5660" s="26"/>
    </row>
    <row r="5661" spans="1:6" ht="16.8" customHeight="1" x14ac:dyDescent="0.3">
      <c r="A5661" s="20">
        <v>47258</v>
      </c>
      <c r="B5661" s="31"/>
      <c r="C5661" s="31"/>
      <c r="D5661" s="31"/>
      <c r="E5661" s="25"/>
      <c r="F5661" s="26"/>
    </row>
    <row r="5662" spans="1:6" ht="16.8" customHeight="1" x14ac:dyDescent="0.3">
      <c r="A5662" s="20">
        <v>47259</v>
      </c>
      <c r="B5662" s="31"/>
      <c r="C5662" s="31"/>
      <c r="D5662" s="31"/>
      <c r="E5662" s="25"/>
      <c r="F5662" s="26"/>
    </row>
    <row r="5663" spans="1:6" ht="16.8" customHeight="1" x14ac:dyDescent="0.3">
      <c r="A5663" s="20">
        <v>47260</v>
      </c>
      <c r="B5663" s="31"/>
      <c r="C5663" s="31"/>
      <c r="D5663" s="31"/>
      <c r="E5663" s="25"/>
      <c r="F5663" s="26"/>
    </row>
    <row r="5664" spans="1:6" ht="16.8" customHeight="1" x14ac:dyDescent="0.3">
      <c r="A5664" s="20">
        <v>47261</v>
      </c>
      <c r="B5664" s="31"/>
      <c r="C5664" s="31"/>
      <c r="D5664" s="31"/>
      <c r="E5664" s="25"/>
      <c r="F5664" s="26"/>
    </row>
    <row r="5665" spans="1:6" ht="16.8" customHeight="1" x14ac:dyDescent="0.3">
      <c r="A5665" s="20">
        <v>47262</v>
      </c>
      <c r="B5665" s="31"/>
      <c r="C5665" s="31"/>
      <c r="D5665" s="31"/>
      <c r="E5665" s="25"/>
      <c r="F5665" s="26"/>
    </row>
    <row r="5666" spans="1:6" ht="16.8" customHeight="1" x14ac:dyDescent="0.3">
      <c r="A5666" s="20">
        <v>47263</v>
      </c>
      <c r="B5666" s="31"/>
      <c r="C5666" s="31"/>
      <c r="D5666" s="31"/>
      <c r="E5666" s="25"/>
      <c r="F5666" s="26"/>
    </row>
    <row r="5667" spans="1:6" ht="16.8" customHeight="1" x14ac:dyDescent="0.3">
      <c r="A5667" s="20">
        <v>47264</v>
      </c>
      <c r="B5667" s="31"/>
      <c r="C5667" s="31"/>
      <c r="D5667" s="31"/>
      <c r="E5667" s="25"/>
      <c r="F5667" s="26"/>
    </row>
    <row r="5668" spans="1:6" ht="16.8" customHeight="1" x14ac:dyDescent="0.3">
      <c r="A5668" s="20">
        <v>47265</v>
      </c>
      <c r="B5668" s="31"/>
      <c r="C5668" s="31"/>
      <c r="D5668" s="31"/>
      <c r="E5668" s="25"/>
      <c r="F5668" s="26"/>
    </row>
    <row r="5669" spans="1:6" ht="16.8" customHeight="1" x14ac:dyDescent="0.3">
      <c r="A5669" s="20">
        <v>47266</v>
      </c>
      <c r="B5669" s="31"/>
      <c r="C5669" s="31"/>
      <c r="D5669" s="31"/>
      <c r="E5669" s="25"/>
      <c r="F5669" s="26"/>
    </row>
    <row r="5670" spans="1:6" ht="16.8" customHeight="1" x14ac:dyDescent="0.3">
      <c r="A5670" s="20">
        <v>47267</v>
      </c>
      <c r="B5670" s="31"/>
      <c r="C5670" s="31"/>
      <c r="D5670" s="31"/>
      <c r="E5670" s="25"/>
      <c r="F5670" s="26"/>
    </row>
    <row r="5671" spans="1:6" ht="16.8" customHeight="1" x14ac:dyDescent="0.3">
      <c r="A5671" s="20">
        <v>47268</v>
      </c>
      <c r="B5671" s="31"/>
      <c r="C5671" s="31"/>
      <c r="D5671" s="31"/>
      <c r="E5671" s="25"/>
      <c r="F5671" s="26"/>
    </row>
    <row r="5672" spans="1:6" ht="16.8" customHeight="1" x14ac:dyDescent="0.3">
      <c r="A5672" s="20">
        <v>47269</v>
      </c>
      <c r="B5672" s="31"/>
      <c r="C5672" s="31"/>
      <c r="D5672" s="31"/>
      <c r="E5672" s="25"/>
      <c r="F5672" s="26"/>
    </row>
    <row r="5673" spans="1:6" ht="16.8" customHeight="1" x14ac:dyDescent="0.3">
      <c r="A5673" s="20">
        <v>47270</v>
      </c>
      <c r="B5673" s="31"/>
      <c r="C5673" s="31"/>
      <c r="D5673" s="31"/>
      <c r="E5673" s="25"/>
      <c r="F5673" s="26"/>
    </row>
    <row r="5674" spans="1:6" ht="16.8" customHeight="1" x14ac:dyDescent="0.3">
      <c r="A5674" s="20">
        <v>47271</v>
      </c>
      <c r="B5674" s="31"/>
      <c r="C5674" s="31"/>
      <c r="D5674" s="31"/>
      <c r="E5674" s="25"/>
      <c r="F5674" s="26"/>
    </row>
    <row r="5675" spans="1:6" ht="16.8" customHeight="1" x14ac:dyDescent="0.3">
      <c r="A5675" s="20">
        <v>47272</v>
      </c>
      <c r="B5675" s="31"/>
      <c r="C5675" s="31"/>
      <c r="D5675" s="31"/>
      <c r="E5675" s="25"/>
      <c r="F5675" s="26"/>
    </row>
    <row r="5676" spans="1:6" ht="16.8" customHeight="1" x14ac:dyDescent="0.3">
      <c r="A5676" s="20">
        <v>47273</v>
      </c>
      <c r="B5676" s="31"/>
      <c r="C5676" s="31"/>
      <c r="D5676" s="31"/>
      <c r="E5676" s="25"/>
      <c r="F5676" s="26"/>
    </row>
    <row r="5677" spans="1:6" ht="16.8" customHeight="1" x14ac:dyDescent="0.3">
      <c r="A5677" s="20">
        <v>47274</v>
      </c>
      <c r="B5677" s="31"/>
      <c r="C5677" s="31"/>
      <c r="D5677" s="31"/>
      <c r="E5677" s="25"/>
      <c r="F5677" s="26"/>
    </row>
    <row r="5678" spans="1:6" ht="16.8" customHeight="1" x14ac:dyDescent="0.3">
      <c r="A5678" s="20">
        <v>47275</v>
      </c>
      <c r="B5678" s="31"/>
      <c r="C5678" s="31"/>
      <c r="D5678" s="31"/>
      <c r="E5678" s="25"/>
      <c r="F5678" s="26"/>
    </row>
    <row r="5679" spans="1:6" ht="16.8" customHeight="1" x14ac:dyDescent="0.3">
      <c r="A5679" s="20">
        <v>47276</v>
      </c>
      <c r="B5679" s="31"/>
      <c r="C5679" s="31"/>
      <c r="D5679" s="31"/>
      <c r="E5679" s="25"/>
      <c r="F5679" s="26"/>
    </row>
    <row r="5680" spans="1:6" ht="16.8" customHeight="1" x14ac:dyDescent="0.3">
      <c r="A5680" s="20">
        <v>47277</v>
      </c>
      <c r="B5680" s="31"/>
      <c r="C5680" s="31"/>
      <c r="D5680" s="31"/>
      <c r="E5680" s="25"/>
      <c r="F5680" s="26"/>
    </row>
    <row r="5681" spans="1:6" ht="16.8" customHeight="1" x14ac:dyDescent="0.3">
      <c r="A5681" s="20">
        <v>47278</v>
      </c>
      <c r="B5681" s="31"/>
      <c r="C5681" s="31"/>
      <c r="D5681" s="31"/>
      <c r="E5681" s="25"/>
      <c r="F5681" s="26"/>
    </row>
    <row r="5682" spans="1:6" ht="16.8" customHeight="1" x14ac:dyDescent="0.3">
      <c r="A5682" s="20">
        <v>47279</v>
      </c>
      <c r="B5682" s="31"/>
      <c r="C5682" s="31"/>
      <c r="D5682" s="31"/>
      <c r="E5682" s="25"/>
      <c r="F5682" s="26"/>
    </row>
    <row r="5683" spans="1:6" ht="16.8" customHeight="1" x14ac:dyDescent="0.3">
      <c r="A5683" s="20">
        <v>47280</v>
      </c>
      <c r="B5683" s="31"/>
      <c r="C5683" s="31"/>
      <c r="D5683" s="31"/>
      <c r="E5683" s="25"/>
      <c r="F5683" s="26"/>
    </row>
    <row r="5684" spans="1:6" ht="16.8" customHeight="1" x14ac:dyDescent="0.3">
      <c r="A5684" s="20">
        <v>47281</v>
      </c>
      <c r="B5684" s="31"/>
      <c r="C5684" s="31"/>
      <c r="D5684" s="31"/>
      <c r="E5684" s="25"/>
      <c r="F5684" s="26"/>
    </row>
    <row r="5685" spans="1:6" ht="16.8" customHeight="1" x14ac:dyDescent="0.3">
      <c r="A5685" s="20">
        <v>47282</v>
      </c>
      <c r="B5685" s="31"/>
      <c r="C5685" s="31"/>
      <c r="D5685" s="31"/>
      <c r="E5685" s="25"/>
      <c r="F5685" s="26"/>
    </row>
    <row r="5686" spans="1:6" ht="16.8" customHeight="1" x14ac:dyDescent="0.3">
      <c r="A5686" s="20">
        <v>47283</v>
      </c>
      <c r="B5686" s="31"/>
      <c r="C5686" s="31"/>
      <c r="D5686" s="31"/>
      <c r="E5686" s="25"/>
      <c r="F5686" s="26"/>
    </row>
    <row r="5687" spans="1:6" ht="16.8" customHeight="1" x14ac:dyDescent="0.3">
      <c r="A5687" s="20">
        <v>47284</v>
      </c>
      <c r="B5687" s="31"/>
      <c r="C5687" s="31"/>
      <c r="D5687" s="31"/>
      <c r="E5687" s="25"/>
      <c r="F5687" s="26"/>
    </row>
    <row r="5688" spans="1:6" ht="16.8" customHeight="1" x14ac:dyDescent="0.3">
      <c r="A5688" s="20">
        <v>47285</v>
      </c>
      <c r="B5688" s="31"/>
      <c r="C5688" s="31"/>
      <c r="D5688" s="31"/>
      <c r="E5688" s="25"/>
      <c r="F5688" s="26"/>
    </row>
    <row r="5689" spans="1:6" ht="16.8" customHeight="1" x14ac:dyDescent="0.3">
      <c r="A5689" s="20">
        <v>47286</v>
      </c>
      <c r="B5689" s="31"/>
      <c r="C5689" s="31"/>
      <c r="D5689" s="31"/>
      <c r="E5689" s="25"/>
      <c r="F5689" s="26"/>
    </row>
    <row r="5690" spans="1:6" ht="16.8" customHeight="1" x14ac:dyDescent="0.3">
      <c r="A5690" s="20">
        <v>47287</v>
      </c>
      <c r="B5690" s="31"/>
      <c r="C5690" s="31"/>
      <c r="D5690" s="31"/>
      <c r="E5690" s="25"/>
      <c r="F5690" s="26"/>
    </row>
    <row r="5691" spans="1:6" ht="16.8" customHeight="1" x14ac:dyDescent="0.3">
      <c r="A5691" s="20">
        <v>47288</v>
      </c>
      <c r="B5691" s="31"/>
      <c r="C5691" s="31"/>
      <c r="D5691" s="31"/>
      <c r="E5691" s="25"/>
      <c r="F5691" s="26"/>
    </row>
    <row r="5692" spans="1:6" ht="16.8" customHeight="1" x14ac:dyDescent="0.3">
      <c r="A5692" s="20">
        <v>47289</v>
      </c>
      <c r="B5692" s="31"/>
      <c r="C5692" s="31"/>
      <c r="D5692" s="31"/>
      <c r="E5692" s="25"/>
      <c r="F5692" s="26"/>
    </row>
    <row r="5693" spans="1:6" ht="16.8" customHeight="1" x14ac:dyDescent="0.3">
      <c r="A5693" s="20">
        <v>47290</v>
      </c>
      <c r="B5693" s="31"/>
      <c r="C5693" s="31"/>
      <c r="D5693" s="31"/>
      <c r="E5693" s="25"/>
      <c r="F5693" s="26"/>
    </row>
    <row r="5694" spans="1:6" ht="16.8" customHeight="1" x14ac:dyDescent="0.3">
      <c r="A5694" s="20">
        <v>47291</v>
      </c>
      <c r="B5694" s="31"/>
      <c r="C5694" s="31"/>
      <c r="D5694" s="31"/>
      <c r="E5694" s="25"/>
      <c r="F5694" s="26"/>
    </row>
    <row r="5695" spans="1:6" ht="16.8" customHeight="1" x14ac:dyDescent="0.3">
      <c r="A5695" s="20">
        <v>47292</v>
      </c>
      <c r="B5695" s="31"/>
      <c r="C5695" s="31"/>
      <c r="D5695" s="31"/>
      <c r="E5695" s="25"/>
      <c r="F5695" s="26"/>
    </row>
    <row r="5696" spans="1:6" ht="16.8" customHeight="1" x14ac:dyDescent="0.3">
      <c r="A5696" s="20">
        <v>47293</v>
      </c>
      <c r="B5696" s="31"/>
      <c r="C5696" s="31"/>
      <c r="D5696" s="31"/>
      <c r="E5696" s="25"/>
      <c r="F5696" s="26"/>
    </row>
    <row r="5697" spans="1:6" ht="16.8" customHeight="1" x14ac:dyDescent="0.3">
      <c r="A5697" s="20">
        <v>47294</v>
      </c>
      <c r="B5697" s="31"/>
      <c r="C5697" s="31"/>
      <c r="D5697" s="31"/>
      <c r="E5697" s="25"/>
      <c r="F5697" s="26"/>
    </row>
    <row r="5698" spans="1:6" ht="16.8" customHeight="1" x14ac:dyDescent="0.3">
      <c r="A5698" s="20">
        <v>47295</v>
      </c>
      <c r="B5698" s="31"/>
      <c r="C5698" s="31"/>
      <c r="D5698" s="31"/>
      <c r="E5698" s="25"/>
      <c r="F5698" s="26"/>
    </row>
    <row r="5699" spans="1:6" ht="16.8" customHeight="1" x14ac:dyDescent="0.3">
      <c r="A5699" s="20">
        <v>47296</v>
      </c>
      <c r="B5699" s="31"/>
      <c r="C5699" s="31"/>
      <c r="D5699" s="31"/>
      <c r="E5699" s="25"/>
      <c r="F5699" s="26"/>
    </row>
    <row r="5700" spans="1:6" ht="16.8" customHeight="1" x14ac:dyDescent="0.3">
      <c r="A5700" s="20">
        <v>47297</v>
      </c>
      <c r="B5700" s="31"/>
      <c r="C5700" s="31"/>
      <c r="D5700" s="31"/>
      <c r="E5700" s="25"/>
      <c r="F5700" s="26"/>
    </row>
    <row r="5701" spans="1:6" ht="16.8" customHeight="1" x14ac:dyDescent="0.3">
      <c r="A5701" s="20">
        <v>47298</v>
      </c>
      <c r="B5701" s="31"/>
      <c r="C5701" s="31"/>
      <c r="D5701" s="31"/>
      <c r="E5701" s="25"/>
      <c r="F5701" s="26"/>
    </row>
    <row r="5702" spans="1:6" ht="16.8" customHeight="1" x14ac:dyDescent="0.3">
      <c r="A5702" s="20">
        <v>47299</v>
      </c>
      <c r="B5702" s="31"/>
      <c r="C5702" s="31"/>
      <c r="D5702" s="31"/>
      <c r="E5702" s="25"/>
      <c r="F5702" s="26"/>
    </row>
    <row r="5703" spans="1:6" ht="16.8" customHeight="1" x14ac:dyDescent="0.3">
      <c r="A5703" s="20">
        <v>47300</v>
      </c>
      <c r="B5703" s="31"/>
      <c r="C5703" s="31"/>
      <c r="D5703" s="31"/>
      <c r="E5703" s="25"/>
      <c r="F5703" s="26"/>
    </row>
    <row r="5704" spans="1:6" ht="16.8" customHeight="1" x14ac:dyDescent="0.3">
      <c r="A5704" s="20">
        <v>47301</v>
      </c>
      <c r="B5704" s="31"/>
      <c r="C5704" s="31"/>
      <c r="D5704" s="31"/>
      <c r="E5704" s="25"/>
      <c r="F5704" s="26"/>
    </row>
    <row r="5705" spans="1:6" ht="16.8" customHeight="1" x14ac:dyDescent="0.3">
      <c r="A5705" s="20">
        <v>47302</v>
      </c>
      <c r="B5705" s="31"/>
      <c r="C5705" s="31"/>
      <c r="D5705" s="31"/>
      <c r="E5705" s="25"/>
      <c r="F5705" s="26"/>
    </row>
    <row r="5706" spans="1:6" ht="16.8" customHeight="1" x14ac:dyDescent="0.3">
      <c r="A5706" s="20">
        <v>47303</v>
      </c>
      <c r="B5706" s="31"/>
      <c r="C5706" s="31"/>
      <c r="D5706" s="31"/>
      <c r="E5706" s="25"/>
      <c r="F5706" s="26"/>
    </row>
    <row r="5707" spans="1:6" ht="16.8" customHeight="1" x14ac:dyDescent="0.3">
      <c r="A5707" s="20">
        <v>47304</v>
      </c>
      <c r="B5707" s="31"/>
      <c r="C5707" s="31"/>
      <c r="D5707" s="31"/>
      <c r="E5707" s="25"/>
      <c r="F5707" s="26"/>
    </row>
    <row r="5708" spans="1:6" ht="16.8" customHeight="1" x14ac:dyDescent="0.3">
      <c r="A5708" s="20">
        <v>47305</v>
      </c>
      <c r="B5708" s="31"/>
      <c r="C5708" s="31"/>
      <c r="D5708" s="31"/>
      <c r="E5708" s="25"/>
      <c r="F5708" s="26"/>
    </row>
    <row r="5709" spans="1:6" ht="16.8" customHeight="1" x14ac:dyDescent="0.3">
      <c r="A5709" s="20">
        <v>47306</v>
      </c>
      <c r="B5709" s="31"/>
      <c r="C5709" s="31"/>
      <c r="D5709" s="31"/>
      <c r="E5709" s="25"/>
      <c r="F5709" s="26"/>
    </row>
    <row r="5710" spans="1:6" ht="16.8" customHeight="1" x14ac:dyDescent="0.3">
      <c r="A5710" s="20">
        <v>47307</v>
      </c>
      <c r="B5710" s="31"/>
      <c r="C5710" s="31"/>
      <c r="D5710" s="31"/>
      <c r="E5710" s="25"/>
      <c r="F5710" s="26"/>
    </row>
    <row r="5711" spans="1:6" ht="16.8" customHeight="1" x14ac:dyDescent="0.3">
      <c r="A5711" s="20">
        <v>47308</v>
      </c>
      <c r="B5711" s="31"/>
      <c r="C5711" s="31"/>
      <c r="D5711" s="31"/>
      <c r="E5711" s="25"/>
      <c r="F5711" s="26"/>
    </row>
    <row r="5712" spans="1:6" ht="16.8" customHeight="1" x14ac:dyDescent="0.3">
      <c r="A5712" s="20">
        <v>47309</v>
      </c>
      <c r="B5712" s="31"/>
      <c r="C5712" s="31"/>
      <c r="D5712" s="31"/>
      <c r="E5712" s="25"/>
      <c r="F5712" s="26"/>
    </row>
    <row r="5713" spans="1:6" ht="16.8" customHeight="1" x14ac:dyDescent="0.3">
      <c r="A5713" s="20">
        <v>47310</v>
      </c>
      <c r="B5713" s="31"/>
      <c r="C5713" s="31"/>
      <c r="D5713" s="31"/>
      <c r="E5713" s="25"/>
      <c r="F5713" s="26"/>
    </row>
    <row r="5714" spans="1:6" ht="16.8" customHeight="1" x14ac:dyDescent="0.3">
      <c r="A5714" s="20">
        <v>47311</v>
      </c>
      <c r="B5714" s="31"/>
      <c r="C5714" s="31"/>
      <c r="D5714" s="31"/>
      <c r="E5714" s="25"/>
      <c r="F5714" s="26"/>
    </row>
    <row r="5715" spans="1:6" ht="16.8" customHeight="1" x14ac:dyDescent="0.3">
      <c r="A5715" s="20">
        <v>47312</v>
      </c>
      <c r="B5715" s="31"/>
      <c r="C5715" s="31"/>
      <c r="D5715" s="31"/>
      <c r="E5715" s="25"/>
      <c r="F5715" s="26"/>
    </row>
    <row r="5716" spans="1:6" ht="16.8" customHeight="1" x14ac:dyDescent="0.3">
      <c r="A5716" s="20">
        <v>47313</v>
      </c>
      <c r="B5716" s="31"/>
      <c r="C5716" s="31"/>
      <c r="D5716" s="31"/>
      <c r="E5716" s="25"/>
      <c r="F5716" s="26"/>
    </row>
    <row r="5717" spans="1:6" ht="16.8" customHeight="1" x14ac:dyDescent="0.3">
      <c r="A5717" s="20">
        <v>47314</v>
      </c>
      <c r="B5717" s="31"/>
      <c r="C5717" s="31"/>
      <c r="D5717" s="31"/>
      <c r="E5717" s="25"/>
      <c r="F5717" s="26"/>
    </row>
    <row r="5718" spans="1:6" ht="16.8" customHeight="1" x14ac:dyDescent="0.3">
      <c r="A5718" s="20">
        <v>47315</v>
      </c>
      <c r="B5718" s="31"/>
      <c r="C5718" s="31"/>
      <c r="D5718" s="31"/>
      <c r="E5718" s="25"/>
      <c r="F5718" s="26"/>
    </row>
    <row r="5719" spans="1:6" ht="16.8" customHeight="1" x14ac:dyDescent="0.3">
      <c r="A5719" s="20">
        <v>47316</v>
      </c>
      <c r="B5719" s="31"/>
      <c r="C5719" s="31"/>
      <c r="D5719" s="31"/>
      <c r="E5719" s="25"/>
      <c r="F5719" s="26"/>
    </row>
    <row r="5720" spans="1:6" ht="16.8" customHeight="1" x14ac:dyDescent="0.3">
      <c r="A5720" s="20">
        <v>47317</v>
      </c>
      <c r="B5720" s="31"/>
      <c r="C5720" s="31"/>
      <c r="D5720" s="31"/>
      <c r="E5720" s="25"/>
      <c r="F5720" s="26"/>
    </row>
    <row r="5721" spans="1:6" ht="16.8" customHeight="1" x14ac:dyDescent="0.3">
      <c r="A5721" s="20">
        <v>47318</v>
      </c>
      <c r="B5721" s="31"/>
      <c r="C5721" s="31"/>
      <c r="D5721" s="31"/>
      <c r="E5721" s="25"/>
      <c r="F5721" s="26"/>
    </row>
    <row r="5722" spans="1:6" ht="16.8" customHeight="1" x14ac:dyDescent="0.3">
      <c r="A5722" s="20">
        <v>47319</v>
      </c>
      <c r="B5722" s="31"/>
      <c r="C5722" s="31"/>
      <c r="D5722" s="31"/>
      <c r="E5722" s="25"/>
      <c r="F5722" s="26"/>
    </row>
    <row r="5723" spans="1:6" ht="16.8" customHeight="1" x14ac:dyDescent="0.3">
      <c r="A5723" s="20">
        <v>47320</v>
      </c>
      <c r="B5723" s="31"/>
      <c r="C5723" s="31"/>
      <c r="D5723" s="31"/>
      <c r="E5723" s="25"/>
      <c r="F5723" s="26"/>
    </row>
    <row r="5724" spans="1:6" ht="16.8" customHeight="1" x14ac:dyDescent="0.3">
      <c r="A5724" s="20">
        <v>47321</v>
      </c>
      <c r="B5724" s="31"/>
      <c r="C5724" s="31"/>
      <c r="D5724" s="31"/>
      <c r="E5724" s="25"/>
      <c r="F5724" s="26"/>
    </row>
    <row r="5725" spans="1:6" ht="16.8" customHeight="1" x14ac:dyDescent="0.3">
      <c r="A5725" s="20">
        <v>47322</v>
      </c>
      <c r="B5725" s="31"/>
      <c r="C5725" s="31"/>
      <c r="D5725" s="31"/>
      <c r="E5725" s="25"/>
      <c r="F5725" s="26"/>
    </row>
    <row r="5726" spans="1:6" ht="16.8" customHeight="1" x14ac:dyDescent="0.3">
      <c r="A5726" s="20">
        <v>47323</v>
      </c>
      <c r="B5726" s="31"/>
      <c r="C5726" s="31"/>
      <c r="D5726" s="31"/>
      <c r="E5726" s="25"/>
      <c r="F5726" s="26"/>
    </row>
    <row r="5727" spans="1:6" ht="16.8" customHeight="1" x14ac:dyDescent="0.3">
      <c r="A5727" s="20">
        <v>47324</v>
      </c>
      <c r="B5727" s="31"/>
      <c r="C5727" s="31"/>
      <c r="D5727" s="31"/>
      <c r="E5727" s="25"/>
      <c r="F5727" s="26"/>
    </row>
    <row r="5728" spans="1:6" ht="16.8" customHeight="1" x14ac:dyDescent="0.3">
      <c r="A5728" s="20">
        <v>47325</v>
      </c>
      <c r="B5728" s="31"/>
      <c r="C5728" s="31"/>
      <c r="D5728" s="31"/>
      <c r="E5728" s="25"/>
      <c r="F5728" s="26"/>
    </row>
    <row r="5729" spans="1:6" ht="16.8" customHeight="1" x14ac:dyDescent="0.3">
      <c r="A5729" s="20">
        <v>47326</v>
      </c>
      <c r="B5729" s="31"/>
      <c r="C5729" s="31"/>
      <c r="D5729" s="31"/>
      <c r="E5729" s="25"/>
      <c r="F5729" s="26"/>
    </row>
    <row r="5730" spans="1:6" ht="16.8" customHeight="1" x14ac:dyDescent="0.3">
      <c r="A5730" s="20">
        <v>47327</v>
      </c>
      <c r="B5730" s="31"/>
      <c r="C5730" s="31"/>
      <c r="D5730" s="31"/>
      <c r="E5730" s="25"/>
      <c r="F5730" s="26"/>
    </row>
    <row r="5731" spans="1:6" ht="16.8" customHeight="1" x14ac:dyDescent="0.3">
      <c r="A5731" s="20">
        <v>47328</v>
      </c>
      <c r="B5731" s="31"/>
      <c r="C5731" s="31"/>
      <c r="D5731" s="31"/>
      <c r="E5731" s="25"/>
      <c r="F5731" s="26"/>
    </row>
    <row r="5732" spans="1:6" ht="16.8" customHeight="1" x14ac:dyDescent="0.3">
      <c r="A5732" s="20">
        <v>47329</v>
      </c>
      <c r="B5732" s="31"/>
      <c r="C5732" s="31"/>
      <c r="D5732" s="31"/>
      <c r="E5732" s="25"/>
      <c r="F5732" s="26"/>
    </row>
    <row r="5733" spans="1:6" ht="16.8" customHeight="1" x14ac:dyDescent="0.3">
      <c r="A5733" s="20">
        <v>47330</v>
      </c>
      <c r="B5733" s="31"/>
      <c r="C5733" s="31"/>
      <c r="D5733" s="31"/>
      <c r="E5733" s="25"/>
      <c r="F5733" s="26"/>
    </row>
    <row r="5734" spans="1:6" ht="16.8" customHeight="1" x14ac:dyDescent="0.3">
      <c r="A5734" s="20">
        <v>47331</v>
      </c>
      <c r="B5734" s="31"/>
      <c r="C5734" s="31"/>
      <c r="D5734" s="31"/>
      <c r="E5734" s="25"/>
      <c r="F5734" s="26"/>
    </row>
    <row r="5735" spans="1:6" ht="16.8" customHeight="1" x14ac:dyDescent="0.3">
      <c r="A5735" s="20">
        <v>47332</v>
      </c>
      <c r="B5735" s="31"/>
      <c r="C5735" s="31"/>
      <c r="D5735" s="31"/>
      <c r="E5735" s="25"/>
      <c r="F5735" s="26"/>
    </row>
    <row r="5736" spans="1:6" ht="16.8" customHeight="1" x14ac:dyDescent="0.3">
      <c r="A5736" s="20">
        <v>47333</v>
      </c>
      <c r="B5736" s="31"/>
      <c r="C5736" s="31"/>
      <c r="D5736" s="31"/>
      <c r="E5736" s="25"/>
      <c r="F5736" s="26"/>
    </row>
    <row r="5737" spans="1:6" ht="16.8" customHeight="1" x14ac:dyDescent="0.3">
      <c r="A5737" s="20">
        <v>47334</v>
      </c>
      <c r="B5737" s="31"/>
      <c r="C5737" s="31"/>
      <c r="D5737" s="31"/>
      <c r="E5737" s="25"/>
      <c r="F5737" s="26"/>
    </row>
    <row r="5738" spans="1:6" ht="16.8" customHeight="1" x14ac:dyDescent="0.3">
      <c r="A5738" s="20">
        <v>47335</v>
      </c>
      <c r="B5738" s="31"/>
      <c r="C5738" s="31"/>
      <c r="D5738" s="31"/>
      <c r="E5738" s="25"/>
      <c r="F5738" s="26"/>
    </row>
    <row r="5739" spans="1:6" ht="16.8" customHeight="1" x14ac:dyDescent="0.3">
      <c r="A5739" s="20">
        <v>47336</v>
      </c>
      <c r="B5739" s="31"/>
      <c r="C5739" s="31"/>
      <c r="D5739" s="31"/>
      <c r="E5739" s="25"/>
      <c r="F5739" s="26"/>
    </row>
    <row r="5740" spans="1:6" ht="16.8" customHeight="1" x14ac:dyDescent="0.3">
      <c r="A5740" s="20">
        <v>47337</v>
      </c>
      <c r="B5740" s="31"/>
      <c r="C5740" s="31"/>
      <c r="D5740" s="31"/>
      <c r="E5740" s="25"/>
      <c r="F5740" s="26"/>
    </row>
    <row r="5741" spans="1:6" ht="16.8" customHeight="1" x14ac:dyDescent="0.3">
      <c r="A5741" s="20">
        <v>47338</v>
      </c>
      <c r="B5741" s="31"/>
      <c r="C5741" s="31"/>
      <c r="D5741" s="31"/>
      <c r="E5741" s="25"/>
      <c r="F5741" s="26"/>
    </row>
    <row r="5742" spans="1:6" ht="16.8" customHeight="1" x14ac:dyDescent="0.3">
      <c r="A5742" s="20">
        <v>47339</v>
      </c>
      <c r="B5742" s="31"/>
      <c r="C5742" s="31"/>
      <c r="D5742" s="31"/>
      <c r="E5742" s="25"/>
      <c r="F5742" s="26"/>
    </row>
    <row r="5743" spans="1:6" ht="16.8" customHeight="1" x14ac:dyDescent="0.3">
      <c r="A5743" s="20">
        <v>47340</v>
      </c>
      <c r="B5743" s="31"/>
      <c r="C5743" s="31"/>
      <c r="D5743" s="31"/>
      <c r="E5743" s="25"/>
      <c r="F5743" s="26"/>
    </row>
    <row r="5744" spans="1:6" ht="16.8" customHeight="1" x14ac:dyDescent="0.3">
      <c r="A5744" s="20">
        <v>47341</v>
      </c>
      <c r="B5744" s="31"/>
      <c r="C5744" s="31"/>
      <c r="D5744" s="31"/>
      <c r="E5744" s="25"/>
      <c r="F5744" s="26"/>
    </row>
    <row r="5745" spans="1:6" ht="16.8" customHeight="1" x14ac:dyDescent="0.3">
      <c r="A5745" s="20">
        <v>47342</v>
      </c>
      <c r="B5745" s="31"/>
      <c r="C5745" s="31"/>
      <c r="D5745" s="31"/>
      <c r="E5745" s="25"/>
      <c r="F5745" s="26"/>
    </row>
    <row r="5746" spans="1:6" ht="16.8" customHeight="1" x14ac:dyDescent="0.3">
      <c r="A5746" s="20">
        <v>47343</v>
      </c>
      <c r="B5746" s="31"/>
      <c r="C5746" s="31"/>
      <c r="D5746" s="31"/>
      <c r="E5746" s="25"/>
      <c r="F5746" s="26"/>
    </row>
    <row r="5747" spans="1:6" ht="16.8" customHeight="1" x14ac:dyDescent="0.3">
      <c r="A5747" s="20">
        <v>47344</v>
      </c>
      <c r="B5747" s="31"/>
      <c r="C5747" s="31"/>
      <c r="D5747" s="31"/>
      <c r="E5747" s="25"/>
      <c r="F5747" s="26"/>
    </row>
    <row r="5748" spans="1:6" ht="16.8" customHeight="1" x14ac:dyDescent="0.3">
      <c r="A5748" s="20">
        <v>47345</v>
      </c>
      <c r="B5748" s="31"/>
      <c r="C5748" s="31"/>
      <c r="D5748" s="31"/>
      <c r="E5748" s="25"/>
      <c r="F5748" s="26"/>
    </row>
    <row r="5749" spans="1:6" ht="16.8" customHeight="1" x14ac:dyDescent="0.3">
      <c r="A5749" s="20">
        <v>47346</v>
      </c>
      <c r="B5749" s="31"/>
      <c r="C5749" s="31"/>
      <c r="D5749" s="31"/>
      <c r="E5749" s="25"/>
      <c r="F5749" s="26"/>
    </row>
    <row r="5750" spans="1:6" ht="16.8" customHeight="1" x14ac:dyDescent="0.3">
      <c r="A5750" s="20">
        <v>47347</v>
      </c>
      <c r="B5750" s="31"/>
      <c r="C5750" s="31"/>
      <c r="D5750" s="31"/>
      <c r="E5750" s="25"/>
      <c r="F5750" s="26"/>
    </row>
    <row r="5751" spans="1:6" ht="16.8" customHeight="1" x14ac:dyDescent="0.3">
      <c r="A5751" s="20">
        <v>47348</v>
      </c>
      <c r="B5751" s="31"/>
      <c r="C5751" s="31"/>
      <c r="D5751" s="31"/>
      <c r="E5751" s="25"/>
      <c r="F5751" s="26"/>
    </row>
    <row r="5752" spans="1:6" ht="16.8" customHeight="1" x14ac:dyDescent="0.3">
      <c r="A5752" s="20">
        <v>47349</v>
      </c>
      <c r="B5752" s="31"/>
      <c r="C5752" s="31"/>
      <c r="D5752" s="31"/>
      <c r="E5752" s="25"/>
      <c r="F5752" s="26"/>
    </row>
    <row r="5753" spans="1:6" ht="16.8" customHeight="1" x14ac:dyDescent="0.3">
      <c r="A5753" s="20">
        <v>47350</v>
      </c>
      <c r="B5753" s="31"/>
      <c r="C5753" s="31"/>
      <c r="D5753" s="31"/>
      <c r="E5753" s="25"/>
      <c r="F5753" s="26"/>
    </row>
    <row r="5754" spans="1:6" ht="16.8" customHeight="1" x14ac:dyDescent="0.3">
      <c r="A5754" s="20">
        <v>47351</v>
      </c>
      <c r="B5754" s="31"/>
      <c r="C5754" s="31"/>
      <c r="D5754" s="31"/>
      <c r="E5754" s="25"/>
      <c r="F5754" s="26"/>
    </row>
    <row r="5755" spans="1:6" ht="16.8" customHeight="1" x14ac:dyDescent="0.3">
      <c r="A5755" s="20">
        <v>47352</v>
      </c>
      <c r="B5755" s="31"/>
      <c r="C5755" s="31"/>
      <c r="D5755" s="31"/>
      <c r="E5755" s="25"/>
      <c r="F5755" s="26"/>
    </row>
    <row r="5756" spans="1:6" ht="16.8" customHeight="1" x14ac:dyDescent="0.3">
      <c r="A5756" s="20">
        <v>47353</v>
      </c>
      <c r="B5756" s="31"/>
      <c r="C5756" s="31"/>
      <c r="D5756" s="31"/>
      <c r="E5756" s="25"/>
      <c r="F5756" s="26"/>
    </row>
    <row r="5757" spans="1:6" ht="16.8" customHeight="1" x14ac:dyDescent="0.3">
      <c r="A5757" s="20">
        <v>47354</v>
      </c>
      <c r="B5757" s="31"/>
      <c r="C5757" s="31"/>
      <c r="D5757" s="31"/>
      <c r="E5757" s="25"/>
      <c r="F5757" s="26"/>
    </row>
    <row r="5758" spans="1:6" ht="16.8" customHeight="1" x14ac:dyDescent="0.3">
      <c r="A5758" s="20">
        <v>47355</v>
      </c>
      <c r="B5758" s="31"/>
      <c r="C5758" s="31"/>
      <c r="D5758" s="31"/>
      <c r="E5758" s="25"/>
      <c r="F5758" s="26"/>
    </row>
    <row r="5759" spans="1:6" ht="16.8" customHeight="1" x14ac:dyDescent="0.3">
      <c r="A5759" s="20">
        <v>47356</v>
      </c>
      <c r="B5759" s="31"/>
      <c r="C5759" s="31"/>
      <c r="D5759" s="31"/>
      <c r="E5759" s="25"/>
      <c r="F5759" s="26"/>
    </row>
    <row r="5760" spans="1:6" ht="16.8" customHeight="1" x14ac:dyDescent="0.3">
      <c r="A5760" s="20">
        <v>47357</v>
      </c>
      <c r="B5760" s="31"/>
      <c r="C5760" s="31"/>
      <c r="D5760" s="31"/>
      <c r="E5760" s="25"/>
      <c r="F5760" s="26"/>
    </row>
    <row r="5761" spans="1:6" ht="16.8" customHeight="1" x14ac:dyDescent="0.3">
      <c r="A5761" s="20">
        <v>47358</v>
      </c>
      <c r="B5761" s="31"/>
      <c r="C5761" s="31"/>
      <c r="D5761" s="31"/>
      <c r="E5761" s="25"/>
      <c r="F5761" s="26"/>
    </row>
    <row r="5762" spans="1:6" ht="16.8" customHeight="1" x14ac:dyDescent="0.3">
      <c r="A5762" s="20">
        <v>47359</v>
      </c>
      <c r="B5762" s="31"/>
      <c r="C5762" s="31"/>
      <c r="D5762" s="31"/>
      <c r="E5762" s="25"/>
      <c r="F5762" s="26"/>
    </row>
    <row r="5763" spans="1:6" ht="16.8" customHeight="1" x14ac:dyDescent="0.3">
      <c r="A5763" s="20">
        <v>47360</v>
      </c>
      <c r="B5763" s="31"/>
      <c r="C5763" s="31"/>
      <c r="D5763" s="31"/>
      <c r="E5763" s="25"/>
      <c r="F5763" s="26"/>
    </row>
    <row r="5764" spans="1:6" ht="16.8" customHeight="1" x14ac:dyDescent="0.3">
      <c r="A5764" s="20">
        <v>47361</v>
      </c>
      <c r="B5764" s="31"/>
      <c r="C5764" s="31"/>
      <c r="D5764" s="31"/>
      <c r="E5764" s="25"/>
      <c r="F5764" s="26"/>
    </row>
    <row r="5765" spans="1:6" ht="16.8" customHeight="1" x14ac:dyDescent="0.3">
      <c r="A5765" s="20">
        <v>47362</v>
      </c>
      <c r="B5765" s="31"/>
      <c r="C5765" s="31"/>
      <c r="D5765" s="31"/>
      <c r="E5765" s="25"/>
      <c r="F5765" s="26"/>
    </row>
    <row r="5766" spans="1:6" ht="16.8" customHeight="1" x14ac:dyDescent="0.3">
      <c r="A5766" s="20">
        <v>47363</v>
      </c>
      <c r="B5766" s="31"/>
      <c r="C5766" s="31"/>
      <c r="D5766" s="31"/>
      <c r="E5766" s="25"/>
      <c r="F5766" s="26"/>
    </row>
    <row r="5767" spans="1:6" ht="16.8" customHeight="1" x14ac:dyDescent="0.3">
      <c r="A5767" s="20">
        <v>47364</v>
      </c>
      <c r="B5767" s="31"/>
      <c r="C5767" s="31"/>
      <c r="D5767" s="31"/>
      <c r="E5767" s="25"/>
      <c r="F5767" s="26"/>
    </row>
    <row r="5768" spans="1:6" ht="16.8" customHeight="1" x14ac:dyDescent="0.3">
      <c r="A5768" s="20">
        <v>47365</v>
      </c>
      <c r="B5768" s="31"/>
      <c r="C5768" s="31"/>
      <c r="D5768" s="31"/>
      <c r="E5768" s="25"/>
      <c r="F5768" s="26"/>
    </row>
    <row r="5769" spans="1:6" ht="16.8" customHeight="1" x14ac:dyDescent="0.3">
      <c r="A5769" s="20">
        <v>47366</v>
      </c>
      <c r="B5769" s="31"/>
      <c r="C5769" s="31"/>
      <c r="D5769" s="31"/>
      <c r="E5769" s="25"/>
      <c r="F5769" s="26"/>
    </row>
    <row r="5770" spans="1:6" ht="16.8" customHeight="1" x14ac:dyDescent="0.3">
      <c r="A5770" s="20">
        <v>47367</v>
      </c>
      <c r="B5770" s="31"/>
      <c r="C5770" s="31"/>
      <c r="D5770" s="31"/>
      <c r="E5770" s="25"/>
      <c r="F5770" s="26"/>
    </row>
    <row r="5771" spans="1:6" ht="16.8" customHeight="1" x14ac:dyDescent="0.3">
      <c r="A5771" s="20">
        <v>47368</v>
      </c>
      <c r="B5771" s="31"/>
      <c r="C5771" s="31"/>
      <c r="D5771" s="31"/>
      <c r="E5771" s="25"/>
      <c r="F5771" s="26"/>
    </row>
    <row r="5772" spans="1:6" ht="16.8" customHeight="1" x14ac:dyDescent="0.3">
      <c r="A5772" s="20">
        <v>47369</v>
      </c>
      <c r="B5772" s="31"/>
      <c r="C5772" s="31"/>
      <c r="D5772" s="31"/>
      <c r="E5772" s="25"/>
      <c r="F5772" s="26"/>
    </row>
    <row r="5773" spans="1:6" ht="16.8" customHeight="1" x14ac:dyDescent="0.3">
      <c r="A5773" s="20">
        <v>47370</v>
      </c>
      <c r="B5773" s="31"/>
      <c r="C5773" s="31"/>
      <c r="D5773" s="31"/>
      <c r="E5773" s="25"/>
      <c r="F5773" s="26"/>
    </row>
    <row r="5774" spans="1:6" ht="16.8" customHeight="1" x14ac:dyDescent="0.3">
      <c r="A5774" s="20">
        <v>47371</v>
      </c>
      <c r="B5774" s="31"/>
      <c r="C5774" s="31"/>
      <c r="D5774" s="31"/>
      <c r="E5774" s="25"/>
      <c r="F5774" s="26"/>
    </row>
    <row r="5775" spans="1:6" ht="16.8" customHeight="1" x14ac:dyDescent="0.3">
      <c r="A5775" s="20">
        <v>47372</v>
      </c>
      <c r="B5775" s="31"/>
      <c r="C5775" s="31"/>
      <c r="D5775" s="31"/>
      <c r="E5775" s="25"/>
      <c r="F5775" s="26"/>
    </row>
    <row r="5776" spans="1:6" ht="16.8" customHeight="1" x14ac:dyDescent="0.3">
      <c r="A5776" s="20">
        <v>47373</v>
      </c>
      <c r="B5776" s="31"/>
      <c r="C5776" s="31"/>
      <c r="D5776" s="31"/>
      <c r="E5776" s="25"/>
      <c r="F5776" s="26"/>
    </row>
    <row r="5777" spans="1:6" ht="16.8" customHeight="1" x14ac:dyDescent="0.3">
      <c r="A5777" s="20">
        <v>47374</v>
      </c>
      <c r="B5777" s="31"/>
      <c r="C5777" s="31"/>
      <c r="D5777" s="31"/>
      <c r="E5777" s="25"/>
      <c r="F5777" s="26"/>
    </row>
    <row r="5778" spans="1:6" ht="16.8" customHeight="1" x14ac:dyDescent="0.3">
      <c r="A5778" s="20">
        <v>47375</v>
      </c>
      <c r="B5778" s="31"/>
      <c r="C5778" s="31"/>
      <c r="D5778" s="31"/>
      <c r="E5778" s="25"/>
      <c r="F5778" s="26"/>
    </row>
    <row r="5779" spans="1:6" ht="16.8" customHeight="1" x14ac:dyDescent="0.3">
      <c r="A5779" s="20">
        <v>47376</v>
      </c>
      <c r="B5779" s="31"/>
      <c r="C5779" s="31"/>
      <c r="D5779" s="31"/>
      <c r="E5779" s="25"/>
      <c r="F5779" s="26"/>
    </row>
    <row r="5780" spans="1:6" ht="16.8" customHeight="1" x14ac:dyDescent="0.3">
      <c r="A5780" s="20">
        <v>47377</v>
      </c>
      <c r="B5780" s="31"/>
      <c r="C5780" s="31"/>
      <c r="D5780" s="31"/>
      <c r="E5780" s="25"/>
      <c r="F5780" s="26"/>
    </row>
    <row r="5781" spans="1:6" ht="16.8" customHeight="1" x14ac:dyDescent="0.3">
      <c r="A5781" s="20">
        <v>47378</v>
      </c>
      <c r="B5781" s="31"/>
      <c r="C5781" s="31"/>
      <c r="D5781" s="31"/>
      <c r="E5781" s="25"/>
      <c r="F5781" s="26"/>
    </row>
    <row r="5782" spans="1:6" ht="16.8" customHeight="1" x14ac:dyDescent="0.3">
      <c r="A5782" s="20">
        <v>47379</v>
      </c>
      <c r="B5782" s="31"/>
      <c r="C5782" s="31"/>
      <c r="D5782" s="31"/>
      <c r="E5782" s="25"/>
      <c r="F5782" s="26"/>
    </row>
    <row r="5783" spans="1:6" ht="16.8" customHeight="1" x14ac:dyDescent="0.3">
      <c r="A5783" s="20">
        <v>47380</v>
      </c>
      <c r="B5783" s="31"/>
      <c r="C5783" s="31"/>
      <c r="D5783" s="31"/>
      <c r="E5783" s="25"/>
      <c r="F5783" s="26"/>
    </row>
    <row r="5784" spans="1:6" ht="16.8" customHeight="1" x14ac:dyDescent="0.3">
      <c r="A5784" s="20">
        <v>47381</v>
      </c>
      <c r="B5784" s="31"/>
      <c r="C5784" s="31"/>
      <c r="D5784" s="31"/>
      <c r="E5784" s="25"/>
      <c r="F5784" s="26"/>
    </row>
    <row r="5785" spans="1:6" ht="16.8" customHeight="1" x14ac:dyDescent="0.3">
      <c r="A5785" s="20">
        <v>47382</v>
      </c>
      <c r="B5785" s="31"/>
      <c r="C5785" s="31"/>
      <c r="D5785" s="31"/>
      <c r="E5785" s="25"/>
      <c r="F5785" s="26"/>
    </row>
    <row r="5786" spans="1:6" ht="16.8" customHeight="1" x14ac:dyDescent="0.3">
      <c r="A5786" s="20">
        <v>47383</v>
      </c>
      <c r="B5786" s="31"/>
      <c r="C5786" s="31"/>
      <c r="D5786" s="31"/>
      <c r="E5786" s="25"/>
      <c r="F5786" s="26"/>
    </row>
    <row r="5787" spans="1:6" ht="16.8" customHeight="1" x14ac:dyDescent="0.3">
      <c r="A5787" s="20">
        <v>47384</v>
      </c>
      <c r="B5787" s="31"/>
      <c r="C5787" s="31"/>
      <c r="D5787" s="31"/>
      <c r="E5787" s="25"/>
      <c r="F5787" s="26"/>
    </row>
    <row r="5788" spans="1:6" ht="16.8" customHeight="1" x14ac:dyDescent="0.3">
      <c r="A5788" s="20">
        <v>47385</v>
      </c>
      <c r="B5788" s="31"/>
      <c r="C5788" s="31"/>
      <c r="D5788" s="31"/>
      <c r="E5788" s="25"/>
      <c r="F5788" s="26"/>
    </row>
    <row r="5789" spans="1:6" ht="16.8" customHeight="1" x14ac:dyDescent="0.3">
      <c r="A5789" s="20">
        <v>47386</v>
      </c>
      <c r="B5789" s="31"/>
      <c r="C5789" s="31"/>
      <c r="D5789" s="31"/>
      <c r="E5789" s="25"/>
      <c r="F5789" s="26"/>
    </row>
    <row r="5790" spans="1:6" ht="16.8" customHeight="1" x14ac:dyDescent="0.3">
      <c r="A5790" s="20">
        <v>47387</v>
      </c>
      <c r="B5790" s="31"/>
      <c r="C5790" s="31"/>
      <c r="D5790" s="31"/>
      <c r="E5790" s="25"/>
      <c r="F5790" s="26"/>
    </row>
    <row r="5791" spans="1:6" ht="16.8" customHeight="1" x14ac:dyDescent="0.3">
      <c r="A5791" s="20">
        <v>47388</v>
      </c>
      <c r="B5791" s="31"/>
      <c r="C5791" s="31"/>
      <c r="D5791" s="31"/>
      <c r="E5791" s="25"/>
      <c r="F5791" s="26"/>
    </row>
    <row r="5792" spans="1:6" ht="16.8" customHeight="1" x14ac:dyDescent="0.3">
      <c r="A5792" s="20">
        <v>47389</v>
      </c>
      <c r="B5792" s="31"/>
      <c r="C5792" s="31"/>
      <c r="D5792" s="31"/>
      <c r="E5792" s="25"/>
      <c r="F5792" s="26"/>
    </row>
    <row r="5793" spans="1:6" ht="16.8" customHeight="1" x14ac:dyDescent="0.3">
      <c r="A5793" s="20">
        <v>47390</v>
      </c>
      <c r="B5793" s="31"/>
      <c r="C5793" s="31"/>
      <c r="D5793" s="31"/>
      <c r="E5793" s="25"/>
      <c r="F5793" s="26"/>
    </row>
    <row r="5794" spans="1:6" ht="16.8" customHeight="1" x14ac:dyDescent="0.3">
      <c r="A5794" s="20">
        <v>47391</v>
      </c>
      <c r="B5794" s="31"/>
      <c r="C5794" s="31"/>
      <c r="D5794" s="31"/>
      <c r="E5794" s="25"/>
      <c r="F5794" s="26"/>
    </row>
    <row r="5795" spans="1:6" ht="16.8" customHeight="1" x14ac:dyDescent="0.3">
      <c r="A5795" s="20">
        <v>47392</v>
      </c>
      <c r="B5795" s="31"/>
      <c r="C5795" s="31"/>
      <c r="D5795" s="31"/>
      <c r="E5795" s="25"/>
      <c r="F5795" s="26"/>
    </row>
    <row r="5796" spans="1:6" ht="16.8" customHeight="1" x14ac:dyDescent="0.3">
      <c r="A5796" s="20">
        <v>47393</v>
      </c>
      <c r="B5796" s="31"/>
      <c r="C5796" s="31"/>
      <c r="D5796" s="31"/>
      <c r="E5796" s="25"/>
      <c r="F5796" s="26"/>
    </row>
    <row r="5797" spans="1:6" ht="16.8" customHeight="1" x14ac:dyDescent="0.3">
      <c r="A5797" s="20">
        <v>47394</v>
      </c>
      <c r="B5797" s="31"/>
      <c r="C5797" s="31"/>
      <c r="D5797" s="31"/>
      <c r="E5797" s="25"/>
      <c r="F5797" s="26"/>
    </row>
    <row r="5798" spans="1:6" ht="16.8" customHeight="1" x14ac:dyDescent="0.3">
      <c r="A5798" s="20">
        <v>47395</v>
      </c>
      <c r="B5798" s="31"/>
      <c r="C5798" s="31"/>
      <c r="D5798" s="31"/>
      <c r="E5798" s="25"/>
      <c r="F5798" s="26"/>
    </row>
    <row r="5799" spans="1:6" ht="16.8" customHeight="1" x14ac:dyDescent="0.3">
      <c r="A5799" s="20">
        <v>47396</v>
      </c>
      <c r="B5799" s="31"/>
      <c r="C5799" s="31"/>
      <c r="D5799" s="31"/>
      <c r="E5799" s="25"/>
      <c r="F5799" s="26"/>
    </row>
    <row r="5800" spans="1:6" ht="16.8" customHeight="1" x14ac:dyDescent="0.3">
      <c r="A5800" s="20">
        <v>47397</v>
      </c>
      <c r="B5800" s="31"/>
      <c r="C5800" s="31"/>
      <c r="D5800" s="31"/>
      <c r="E5800" s="25"/>
      <c r="F5800" s="26"/>
    </row>
    <row r="5801" spans="1:6" ht="16.8" customHeight="1" x14ac:dyDescent="0.3">
      <c r="A5801" s="20">
        <v>47398</v>
      </c>
      <c r="B5801" s="31"/>
      <c r="C5801" s="31"/>
      <c r="D5801" s="31"/>
      <c r="E5801" s="25"/>
      <c r="F5801" s="26"/>
    </row>
    <row r="5802" spans="1:6" ht="16.8" customHeight="1" x14ac:dyDescent="0.3">
      <c r="A5802" s="20">
        <v>47399</v>
      </c>
      <c r="B5802" s="31"/>
      <c r="C5802" s="31"/>
      <c r="D5802" s="31"/>
      <c r="E5802" s="25"/>
      <c r="F5802" s="26"/>
    </row>
    <row r="5803" spans="1:6" ht="16.8" customHeight="1" x14ac:dyDescent="0.3">
      <c r="A5803" s="20">
        <v>47400</v>
      </c>
      <c r="B5803" s="31"/>
      <c r="C5803" s="31"/>
      <c r="D5803" s="31"/>
      <c r="E5803" s="25"/>
      <c r="F5803" s="26"/>
    </row>
    <row r="5804" spans="1:6" ht="16.8" customHeight="1" x14ac:dyDescent="0.3">
      <c r="A5804" s="20">
        <v>47401</v>
      </c>
      <c r="B5804" s="31"/>
      <c r="C5804" s="31"/>
      <c r="D5804" s="31"/>
      <c r="E5804" s="25"/>
      <c r="F5804" s="26"/>
    </row>
    <row r="5805" spans="1:6" ht="16.8" customHeight="1" x14ac:dyDescent="0.3">
      <c r="A5805" s="20">
        <v>47402</v>
      </c>
      <c r="B5805" s="31"/>
      <c r="C5805" s="31"/>
      <c r="D5805" s="31"/>
      <c r="E5805" s="25"/>
      <c r="F5805" s="26"/>
    </row>
    <row r="5806" spans="1:6" ht="16.8" customHeight="1" x14ac:dyDescent="0.3">
      <c r="A5806" s="20">
        <v>47403</v>
      </c>
      <c r="B5806" s="31"/>
      <c r="C5806" s="31"/>
      <c r="D5806" s="31"/>
      <c r="E5806" s="25"/>
      <c r="F5806" s="26"/>
    </row>
    <row r="5807" spans="1:6" ht="16.8" customHeight="1" x14ac:dyDescent="0.3">
      <c r="A5807" s="20">
        <v>47404</v>
      </c>
      <c r="B5807" s="31"/>
      <c r="C5807" s="31"/>
      <c r="D5807" s="31"/>
      <c r="E5807" s="25"/>
      <c r="F5807" s="26"/>
    </row>
    <row r="5808" spans="1:6" ht="16.8" customHeight="1" x14ac:dyDescent="0.3">
      <c r="A5808" s="20">
        <v>47405</v>
      </c>
      <c r="B5808" s="31"/>
      <c r="C5808" s="31"/>
      <c r="D5808" s="31"/>
      <c r="E5808" s="25"/>
      <c r="F5808" s="26"/>
    </row>
    <row r="5809" spans="1:6" ht="16.8" customHeight="1" x14ac:dyDescent="0.3">
      <c r="A5809" s="20">
        <v>47406</v>
      </c>
      <c r="B5809" s="31"/>
      <c r="C5809" s="31"/>
      <c r="D5809" s="31"/>
      <c r="E5809" s="25"/>
      <c r="F5809" s="26"/>
    </row>
    <row r="5810" spans="1:6" ht="16.8" customHeight="1" x14ac:dyDescent="0.3">
      <c r="A5810" s="20">
        <v>47407</v>
      </c>
      <c r="B5810" s="31"/>
      <c r="C5810" s="31"/>
      <c r="D5810" s="31"/>
      <c r="E5810" s="25"/>
      <c r="F5810" s="26"/>
    </row>
    <row r="5811" spans="1:6" ht="16.8" customHeight="1" x14ac:dyDescent="0.3">
      <c r="A5811" s="20">
        <v>47408</v>
      </c>
      <c r="B5811" s="31"/>
      <c r="C5811" s="31"/>
      <c r="D5811" s="31"/>
      <c r="E5811" s="25"/>
      <c r="F5811" s="26"/>
    </row>
    <row r="5812" spans="1:6" ht="16.8" customHeight="1" x14ac:dyDescent="0.3">
      <c r="A5812" s="20">
        <v>47409</v>
      </c>
      <c r="B5812" s="31"/>
      <c r="C5812" s="31"/>
      <c r="D5812" s="31"/>
      <c r="E5812" s="25"/>
      <c r="F5812" s="26"/>
    </row>
    <row r="5813" spans="1:6" ht="16.8" customHeight="1" x14ac:dyDescent="0.3">
      <c r="A5813" s="20">
        <v>47410</v>
      </c>
      <c r="B5813" s="31"/>
      <c r="C5813" s="31"/>
      <c r="D5813" s="31"/>
      <c r="E5813" s="25"/>
      <c r="F5813" s="26"/>
    </row>
    <row r="5814" spans="1:6" ht="16.8" customHeight="1" x14ac:dyDescent="0.3">
      <c r="A5814" s="20">
        <v>47411</v>
      </c>
      <c r="B5814" s="31"/>
      <c r="C5814" s="31"/>
      <c r="D5814" s="31"/>
      <c r="E5814" s="25"/>
      <c r="F5814" s="26"/>
    </row>
    <row r="5815" spans="1:6" ht="16.8" customHeight="1" x14ac:dyDescent="0.3">
      <c r="A5815" s="20">
        <v>47412</v>
      </c>
      <c r="B5815" s="31"/>
      <c r="C5815" s="31"/>
      <c r="D5815" s="31"/>
      <c r="E5815" s="25"/>
      <c r="F5815" s="26"/>
    </row>
    <row r="5816" spans="1:6" ht="16.8" customHeight="1" x14ac:dyDescent="0.3">
      <c r="A5816" s="20">
        <v>47413</v>
      </c>
      <c r="B5816" s="31"/>
      <c r="C5816" s="31"/>
      <c r="D5816" s="31"/>
      <c r="E5816" s="25"/>
      <c r="F5816" s="26"/>
    </row>
    <row r="5817" spans="1:6" ht="16.8" customHeight="1" x14ac:dyDescent="0.3">
      <c r="A5817" s="20">
        <v>47414</v>
      </c>
      <c r="B5817" s="31"/>
      <c r="C5817" s="31"/>
      <c r="D5817" s="31"/>
      <c r="E5817" s="25"/>
      <c r="F5817" s="26"/>
    </row>
    <row r="5818" spans="1:6" ht="16.8" customHeight="1" x14ac:dyDescent="0.3">
      <c r="A5818" s="20">
        <v>47415</v>
      </c>
      <c r="B5818" s="31"/>
      <c r="C5818" s="31"/>
      <c r="D5818" s="31"/>
      <c r="E5818" s="25"/>
      <c r="F5818" s="26"/>
    </row>
    <row r="5819" spans="1:6" ht="16.8" customHeight="1" x14ac:dyDescent="0.3">
      <c r="A5819" s="20">
        <v>47416</v>
      </c>
      <c r="B5819" s="31"/>
      <c r="C5819" s="31"/>
      <c r="D5819" s="31"/>
      <c r="E5819" s="25"/>
      <c r="F5819" s="26"/>
    </row>
    <row r="5820" spans="1:6" ht="16.8" customHeight="1" x14ac:dyDescent="0.3">
      <c r="A5820" s="20">
        <v>47417</v>
      </c>
      <c r="B5820" s="31"/>
      <c r="C5820" s="31"/>
      <c r="D5820" s="31"/>
      <c r="E5820" s="25"/>
      <c r="F5820" s="26"/>
    </row>
    <row r="5821" spans="1:6" ht="16.8" customHeight="1" x14ac:dyDescent="0.3">
      <c r="A5821" s="20">
        <v>47418</v>
      </c>
      <c r="B5821" s="31"/>
      <c r="C5821" s="31"/>
      <c r="D5821" s="31"/>
      <c r="E5821" s="25"/>
      <c r="F5821" s="26"/>
    </row>
    <row r="5822" spans="1:6" ht="16.8" customHeight="1" x14ac:dyDescent="0.3">
      <c r="A5822" s="20">
        <v>47419</v>
      </c>
      <c r="B5822" s="31"/>
      <c r="C5822" s="31"/>
      <c r="D5822" s="31"/>
      <c r="E5822" s="25"/>
      <c r="F5822" s="26"/>
    </row>
    <row r="5823" spans="1:6" ht="16.8" customHeight="1" x14ac:dyDescent="0.3">
      <c r="A5823" s="20">
        <v>47420</v>
      </c>
      <c r="B5823" s="31"/>
      <c r="C5823" s="31"/>
      <c r="D5823" s="31"/>
      <c r="E5823" s="25"/>
      <c r="F5823" s="26"/>
    </row>
    <row r="5824" spans="1:6" ht="16.8" customHeight="1" x14ac:dyDescent="0.3">
      <c r="A5824" s="20">
        <v>47421</v>
      </c>
      <c r="B5824" s="31"/>
      <c r="C5824" s="31"/>
      <c r="D5824" s="31"/>
      <c r="E5824" s="25"/>
      <c r="F5824" s="26"/>
    </row>
    <row r="5825" spans="1:6" ht="16.8" customHeight="1" x14ac:dyDescent="0.3">
      <c r="A5825" s="20">
        <v>47422</v>
      </c>
      <c r="B5825" s="31"/>
      <c r="C5825" s="31"/>
      <c r="D5825" s="31"/>
      <c r="E5825" s="25"/>
      <c r="F5825" s="26"/>
    </row>
    <row r="5826" spans="1:6" ht="16.8" customHeight="1" x14ac:dyDescent="0.3">
      <c r="A5826" s="20">
        <v>47423</v>
      </c>
      <c r="B5826" s="31"/>
      <c r="C5826" s="31"/>
      <c r="D5826" s="31"/>
      <c r="E5826" s="25"/>
      <c r="F5826" s="26"/>
    </row>
    <row r="5827" spans="1:6" ht="16.8" customHeight="1" x14ac:dyDescent="0.3">
      <c r="A5827" s="20">
        <v>47424</v>
      </c>
      <c r="B5827" s="31"/>
      <c r="C5827" s="31"/>
      <c r="D5827" s="31"/>
      <c r="E5827" s="25"/>
      <c r="F5827" s="26"/>
    </row>
    <row r="5828" spans="1:6" ht="16.8" customHeight="1" x14ac:dyDescent="0.3">
      <c r="A5828" s="20">
        <v>47425</v>
      </c>
      <c r="B5828" s="31"/>
      <c r="C5828" s="31"/>
      <c r="D5828" s="31"/>
      <c r="E5828" s="25"/>
      <c r="F5828" s="26"/>
    </row>
    <row r="5829" spans="1:6" ht="16.8" customHeight="1" x14ac:dyDescent="0.3">
      <c r="A5829" s="20">
        <v>47426</v>
      </c>
      <c r="B5829" s="31"/>
      <c r="C5829" s="31"/>
      <c r="D5829" s="31"/>
      <c r="E5829" s="25"/>
      <c r="F5829" s="26"/>
    </row>
    <row r="5830" spans="1:6" ht="16.8" customHeight="1" x14ac:dyDescent="0.3">
      <c r="A5830" s="20">
        <v>47427</v>
      </c>
      <c r="B5830" s="31"/>
      <c r="C5830" s="31"/>
      <c r="D5830" s="31"/>
      <c r="E5830" s="25"/>
      <c r="F5830" s="26"/>
    </row>
    <row r="5831" spans="1:6" ht="16.8" customHeight="1" x14ac:dyDescent="0.3">
      <c r="A5831" s="20">
        <v>47428</v>
      </c>
      <c r="B5831" s="31"/>
      <c r="C5831" s="31"/>
      <c r="D5831" s="31"/>
      <c r="E5831" s="25"/>
      <c r="F5831" s="26"/>
    </row>
    <row r="5832" spans="1:6" ht="16.8" customHeight="1" x14ac:dyDescent="0.3">
      <c r="A5832" s="20">
        <v>47429</v>
      </c>
      <c r="B5832" s="31"/>
      <c r="C5832" s="31"/>
      <c r="D5832" s="31"/>
      <c r="E5832" s="25"/>
      <c r="F5832" s="26"/>
    </row>
    <row r="5833" spans="1:6" ht="16.8" customHeight="1" x14ac:dyDescent="0.3">
      <c r="A5833" s="20">
        <v>47430</v>
      </c>
      <c r="B5833" s="31"/>
      <c r="C5833" s="31"/>
      <c r="D5833" s="31"/>
      <c r="E5833" s="25"/>
      <c r="F5833" s="26"/>
    </row>
    <row r="5834" spans="1:6" ht="16.8" customHeight="1" x14ac:dyDescent="0.3">
      <c r="A5834" s="20">
        <v>47431</v>
      </c>
      <c r="B5834" s="31"/>
      <c r="C5834" s="31"/>
      <c r="D5834" s="31"/>
      <c r="E5834" s="25"/>
      <c r="F5834" s="26"/>
    </row>
    <row r="5835" spans="1:6" ht="16.8" customHeight="1" x14ac:dyDescent="0.3">
      <c r="A5835" s="20">
        <v>47432</v>
      </c>
      <c r="B5835" s="31"/>
      <c r="C5835" s="31"/>
      <c r="D5835" s="31"/>
      <c r="E5835" s="25"/>
      <c r="F5835" s="26"/>
    </row>
    <row r="5836" spans="1:6" ht="16.8" customHeight="1" x14ac:dyDescent="0.3">
      <c r="A5836" s="20">
        <v>47433</v>
      </c>
      <c r="B5836" s="31"/>
      <c r="C5836" s="31"/>
      <c r="D5836" s="31"/>
      <c r="E5836" s="25"/>
      <c r="F5836" s="26"/>
    </row>
    <row r="5837" spans="1:6" ht="16.8" customHeight="1" x14ac:dyDescent="0.3">
      <c r="A5837" s="20">
        <v>47434</v>
      </c>
      <c r="B5837" s="31"/>
      <c r="C5837" s="31"/>
      <c r="D5837" s="31"/>
      <c r="E5837" s="25"/>
      <c r="F5837" s="26"/>
    </row>
    <row r="5838" spans="1:6" ht="16.8" customHeight="1" x14ac:dyDescent="0.3">
      <c r="A5838" s="20">
        <v>47435</v>
      </c>
      <c r="B5838" s="31"/>
      <c r="C5838" s="31"/>
      <c r="D5838" s="31"/>
      <c r="E5838" s="25"/>
      <c r="F5838" s="26"/>
    </row>
    <row r="5839" spans="1:6" ht="16.8" customHeight="1" x14ac:dyDescent="0.3">
      <c r="A5839" s="20">
        <v>47436</v>
      </c>
      <c r="B5839" s="31"/>
      <c r="C5839" s="31"/>
      <c r="D5839" s="31"/>
      <c r="E5839" s="25"/>
      <c r="F5839" s="26"/>
    </row>
    <row r="5840" spans="1:6" ht="16.8" customHeight="1" x14ac:dyDescent="0.3">
      <c r="A5840" s="20">
        <v>47437</v>
      </c>
      <c r="B5840" s="31"/>
      <c r="C5840" s="31"/>
      <c r="D5840" s="31"/>
      <c r="E5840" s="25"/>
      <c r="F5840" s="26"/>
    </row>
    <row r="5841" spans="1:6" ht="16.8" customHeight="1" x14ac:dyDescent="0.3">
      <c r="A5841" s="20">
        <v>47438</v>
      </c>
      <c r="B5841" s="31"/>
      <c r="C5841" s="31"/>
      <c r="D5841" s="31"/>
      <c r="E5841" s="25"/>
      <c r="F5841" s="26"/>
    </row>
    <row r="5842" spans="1:6" ht="16.8" customHeight="1" x14ac:dyDescent="0.3">
      <c r="A5842" s="20">
        <v>47439</v>
      </c>
      <c r="B5842" s="31"/>
      <c r="C5842" s="31"/>
      <c r="D5842" s="31"/>
      <c r="E5842" s="25"/>
      <c r="F5842" s="26"/>
    </row>
    <row r="5843" spans="1:6" ht="16.8" customHeight="1" x14ac:dyDescent="0.3">
      <c r="A5843" s="20">
        <v>47440</v>
      </c>
      <c r="B5843" s="31"/>
      <c r="C5843" s="31"/>
      <c r="D5843" s="31"/>
      <c r="E5843" s="25"/>
      <c r="F5843" s="26"/>
    </row>
    <row r="5844" spans="1:6" ht="16.8" customHeight="1" x14ac:dyDescent="0.3">
      <c r="A5844" s="20">
        <v>47441</v>
      </c>
      <c r="B5844" s="31"/>
      <c r="C5844" s="31"/>
      <c r="D5844" s="31"/>
      <c r="E5844" s="25"/>
      <c r="F5844" s="26"/>
    </row>
    <row r="5845" spans="1:6" ht="16.8" customHeight="1" x14ac:dyDescent="0.3">
      <c r="A5845" s="20">
        <v>47442</v>
      </c>
      <c r="B5845" s="31"/>
      <c r="C5845" s="31"/>
      <c r="D5845" s="31"/>
      <c r="E5845" s="25"/>
      <c r="F5845" s="26"/>
    </row>
    <row r="5846" spans="1:6" ht="16.8" customHeight="1" x14ac:dyDescent="0.3">
      <c r="A5846" s="20">
        <v>47443</v>
      </c>
      <c r="B5846" s="31"/>
      <c r="C5846" s="31"/>
      <c r="D5846" s="31"/>
      <c r="E5846" s="25"/>
      <c r="F5846" s="26"/>
    </row>
    <row r="5847" spans="1:6" ht="16.8" customHeight="1" x14ac:dyDescent="0.3">
      <c r="A5847" s="20">
        <v>47444</v>
      </c>
      <c r="B5847" s="31"/>
      <c r="C5847" s="31"/>
      <c r="D5847" s="31"/>
      <c r="E5847" s="25"/>
      <c r="F5847" s="26"/>
    </row>
    <row r="5848" spans="1:6" ht="16.8" customHeight="1" x14ac:dyDescent="0.3">
      <c r="A5848" s="20">
        <v>47445</v>
      </c>
      <c r="B5848" s="31"/>
      <c r="C5848" s="31"/>
      <c r="D5848" s="31"/>
      <c r="E5848" s="25"/>
      <c r="F5848" s="26"/>
    </row>
    <row r="5849" spans="1:6" ht="16.8" customHeight="1" x14ac:dyDescent="0.3">
      <c r="A5849" s="20">
        <v>47446</v>
      </c>
      <c r="B5849" s="31"/>
      <c r="C5849" s="31"/>
      <c r="D5849" s="31"/>
      <c r="E5849" s="25"/>
      <c r="F5849" s="26"/>
    </row>
    <row r="5850" spans="1:6" ht="16.8" customHeight="1" x14ac:dyDescent="0.3">
      <c r="A5850" s="20">
        <v>47447</v>
      </c>
      <c r="B5850" s="31"/>
      <c r="C5850" s="31"/>
      <c r="D5850" s="31"/>
      <c r="E5850" s="25"/>
      <c r="F5850" s="26"/>
    </row>
    <row r="5851" spans="1:6" ht="16.8" customHeight="1" x14ac:dyDescent="0.3">
      <c r="A5851" s="20">
        <v>47448</v>
      </c>
      <c r="B5851" s="31"/>
      <c r="C5851" s="31"/>
      <c r="D5851" s="31"/>
      <c r="E5851" s="25"/>
      <c r="F5851" s="26"/>
    </row>
    <row r="5852" spans="1:6" ht="16.8" customHeight="1" x14ac:dyDescent="0.3">
      <c r="A5852" s="20">
        <v>47449</v>
      </c>
      <c r="B5852" s="31"/>
      <c r="C5852" s="31"/>
      <c r="D5852" s="31"/>
      <c r="E5852" s="25"/>
      <c r="F5852" s="26"/>
    </row>
    <row r="5853" spans="1:6" ht="16.8" customHeight="1" x14ac:dyDescent="0.3">
      <c r="A5853" s="20">
        <v>47450</v>
      </c>
      <c r="B5853" s="31"/>
      <c r="C5853" s="31"/>
      <c r="D5853" s="31"/>
      <c r="E5853" s="25"/>
      <c r="F5853" s="26"/>
    </row>
    <row r="5854" spans="1:6" ht="16.8" customHeight="1" x14ac:dyDescent="0.3">
      <c r="A5854" s="20">
        <v>47451</v>
      </c>
      <c r="B5854" s="31"/>
      <c r="C5854" s="31"/>
      <c r="D5854" s="31"/>
      <c r="E5854" s="25"/>
      <c r="F5854" s="26"/>
    </row>
    <row r="5855" spans="1:6" ht="16.8" customHeight="1" x14ac:dyDescent="0.3">
      <c r="A5855" s="20">
        <v>47452</v>
      </c>
      <c r="B5855" s="31"/>
      <c r="C5855" s="31"/>
      <c r="D5855" s="31"/>
      <c r="E5855" s="25"/>
      <c r="F5855" s="26"/>
    </row>
    <row r="5856" spans="1:6" ht="16.8" customHeight="1" x14ac:dyDescent="0.3">
      <c r="A5856" s="20">
        <v>47453</v>
      </c>
      <c r="B5856" s="31"/>
      <c r="C5856" s="31"/>
      <c r="D5856" s="31"/>
      <c r="E5856" s="25"/>
      <c r="F5856" s="26"/>
    </row>
    <row r="5857" spans="1:6" ht="16.8" customHeight="1" x14ac:dyDescent="0.3">
      <c r="A5857" s="20">
        <v>47454</v>
      </c>
      <c r="B5857" s="31"/>
      <c r="C5857" s="31"/>
      <c r="D5857" s="31"/>
      <c r="E5857" s="25"/>
      <c r="F5857" s="26"/>
    </row>
    <row r="5858" spans="1:6" ht="16.8" customHeight="1" x14ac:dyDescent="0.3">
      <c r="A5858" s="20">
        <v>47455</v>
      </c>
      <c r="B5858" s="31"/>
      <c r="C5858" s="31"/>
      <c r="D5858" s="31"/>
      <c r="E5858" s="25"/>
      <c r="F5858" s="26"/>
    </row>
    <row r="5859" spans="1:6" ht="16.8" customHeight="1" x14ac:dyDescent="0.3">
      <c r="A5859" s="20">
        <v>47456</v>
      </c>
      <c r="B5859" s="31"/>
      <c r="C5859" s="31"/>
      <c r="D5859" s="31"/>
      <c r="E5859" s="25"/>
      <c r="F5859" s="26"/>
    </row>
    <row r="5860" spans="1:6" ht="16.8" customHeight="1" x14ac:dyDescent="0.3">
      <c r="A5860" s="20">
        <v>47457</v>
      </c>
      <c r="B5860" s="31"/>
      <c r="C5860" s="31"/>
      <c r="D5860" s="31"/>
      <c r="E5860" s="25"/>
      <c r="F5860" s="26"/>
    </row>
    <row r="5861" spans="1:6" ht="16.8" customHeight="1" x14ac:dyDescent="0.3">
      <c r="A5861" s="20">
        <v>47458</v>
      </c>
      <c r="B5861" s="31"/>
      <c r="C5861" s="31"/>
      <c r="D5861" s="31"/>
      <c r="E5861" s="25"/>
      <c r="F5861" s="26"/>
    </row>
    <row r="5862" spans="1:6" ht="16.8" customHeight="1" x14ac:dyDescent="0.3">
      <c r="A5862" s="20">
        <v>47459</v>
      </c>
      <c r="B5862" s="31"/>
      <c r="C5862" s="31"/>
      <c r="D5862" s="31"/>
      <c r="E5862" s="25"/>
      <c r="F5862" s="26"/>
    </row>
    <row r="5863" spans="1:6" ht="16.8" customHeight="1" x14ac:dyDescent="0.3">
      <c r="A5863" s="20">
        <v>47460</v>
      </c>
      <c r="B5863" s="31"/>
      <c r="C5863" s="31"/>
      <c r="D5863" s="31"/>
      <c r="E5863" s="25"/>
      <c r="F5863" s="26"/>
    </row>
    <row r="5864" spans="1:6" ht="16.8" customHeight="1" x14ac:dyDescent="0.3">
      <c r="A5864" s="20">
        <v>47461</v>
      </c>
      <c r="B5864" s="31"/>
      <c r="C5864" s="31"/>
      <c r="D5864" s="31"/>
      <c r="E5864" s="25"/>
      <c r="F5864" s="26"/>
    </row>
    <row r="5865" spans="1:6" ht="16.8" customHeight="1" x14ac:dyDescent="0.3">
      <c r="A5865" s="20">
        <v>47462</v>
      </c>
      <c r="B5865" s="31"/>
      <c r="C5865" s="31"/>
      <c r="D5865" s="31"/>
      <c r="E5865" s="25"/>
      <c r="F5865" s="26"/>
    </row>
    <row r="5866" spans="1:6" ht="16.8" customHeight="1" x14ac:dyDescent="0.3">
      <c r="A5866" s="20">
        <v>47463</v>
      </c>
      <c r="B5866" s="31"/>
      <c r="C5866" s="31"/>
      <c r="D5866" s="31"/>
      <c r="E5866" s="25"/>
      <c r="F5866" s="26"/>
    </row>
    <row r="5867" spans="1:6" ht="16.8" customHeight="1" x14ac:dyDescent="0.3">
      <c r="A5867" s="20">
        <v>47464</v>
      </c>
      <c r="B5867" s="31"/>
      <c r="C5867" s="31"/>
      <c r="D5867" s="31"/>
      <c r="E5867" s="25"/>
      <c r="F5867" s="26"/>
    </row>
    <row r="5868" spans="1:6" ht="16.8" customHeight="1" x14ac:dyDescent="0.3">
      <c r="A5868" s="20">
        <v>47465</v>
      </c>
      <c r="B5868" s="31"/>
      <c r="C5868" s="31"/>
      <c r="D5868" s="31"/>
      <c r="E5868" s="25"/>
      <c r="F5868" s="26"/>
    </row>
    <row r="5869" spans="1:6" ht="16.8" customHeight="1" x14ac:dyDescent="0.3">
      <c r="A5869" s="20">
        <v>47466</v>
      </c>
      <c r="B5869" s="31"/>
      <c r="C5869" s="31"/>
      <c r="D5869" s="31"/>
      <c r="E5869" s="25"/>
      <c r="F5869" s="26"/>
    </row>
    <row r="5870" spans="1:6" ht="16.8" customHeight="1" x14ac:dyDescent="0.3">
      <c r="A5870" s="20">
        <v>47467</v>
      </c>
      <c r="B5870" s="31"/>
      <c r="C5870" s="31"/>
      <c r="D5870" s="31"/>
      <c r="E5870" s="25"/>
      <c r="F5870" s="26"/>
    </row>
    <row r="5871" spans="1:6" ht="16.8" customHeight="1" x14ac:dyDescent="0.3">
      <c r="A5871" s="20">
        <v>47468</v>
      </c>
      <c r="B5871" s="31"/>
      <c r="C5871" s="31"/>
      <c r="D5871" s="31"/>
      <c r="E5871" s="25"/>
      <c r="F5871" s="26"/>
    </row>
    <row r="5872" spans="1:6" ht="16.8" customHeight="1" x14ac:dyDescent="0.3">
      <c r="A5872" s="20">
        <v>47469</v>
      </c>
      <c r="B5872" s="31"/>
      <c r="C5872" s="31"/>
      <c r="D5872" s="31"/>
      <c r="E5872" s="25"/>
      <c r="F5872" s="26"/>
    </row>
    <row r="5873" spans="1:6" ht="16.8" customHeight="1" x14ac:dyDescent="0.3">
      <c r="A5873" s="20">
        <v>47470</v>
      </c>
      <c r="B5873" s="31"/>
      <c r="C5873" s="31"/>
      <c r="D5873" s="31"/>
      <c r="E5873" s="25"/>
      <c r="F5873" s="26"/>
    </row>
    <row r="5874" spans="1:6" ht="16.8" customHeight="1" x14ac:dyDescent="0.3">
      <c r="A5874" s="20">
        <v>47471</v>
      </c>
      <c r="B5874" s="31"/>
      <c r="C5874" s="31"/>
      <c r="D5874" s="31"/>
      <c r="E5874" s="25"/>
      <c r="F5874" s="26"/>
    </row>
    <row r="5875" spans="1:6" ht="16.8" customHeight="1" x14ac:dyDescent="0.3">
      <c r="A5875" s="20">
        <v>47472</v>
      </c>
      <c r="B5875" s="31"/>
      <c r="C5875" s="31"/>
      <c r="D5875" s="31"/>
      <c r="E5875" s="25"/>
      <c r="F5875" s="26"/>
    </row>
    <row r="5876" spans="1:6" ht="16.8" customHeight="1" x14ac:dyDescent="0.3">
      <c r="A5876" s="20">
        <v>47473</v>
      </c>
      <c r="B5876" s="31"/>
      <c r="C5876" s="31"/>
      <c r="D5876" s="31"/>
      <c r="E5876" s="25"/>
      <c r="F5876" s="26"/>
    </row>
    <row r="5877" spans="1:6" ht="16.8" customHeight="1" x14ac:dyDescent="0.3">
      <c r="A5877" s="20">
        <v>47474</v>
      </c>
      <c r="B5877" s="31"/>
      <c r="C5877" s="31"/>
      <c r="D5877" s="31"/>
      <c r="E5877" s="25"/>
      <c r="F5877" s="26"/>
    </row>
    <row r="5878" spans="1:6" ht="16.8" customHeight="1" x14ac:dyDescent="0.3">
      <c r="A5878" s="20">
        <v>47475</v>
      </c>
      <c r="B5878" s="31"/>
      <c r="C5878" s="31"/>
      <c r="D5878" s="31"/>
      <c r="E5878" s="25"/>
      <c r="F5878" s="26"/>
    </row>
    <row r="5879" spans="1:6" ht="16.8" customHeight="1" x14ac:dyDescent="0.3">
      <c r="A5879" s="20">
        <v>47476</v>
      </c>
      <c r="B5879" s="31"/>
      <c r="C5879" s="31"/>
      <c r="D5879" s="31"/>
      <c r="E5879" s="25"/>
      <c r="F5879" s="26"/>
    </row>
    <row r="5880" spans="1:6" ht="16.8" customHeight="1" x14ac:dyDescent="0.3">
      <c r="A5880" s="20">
        <v>47477</v>
      </c>
      <c r="B5880" s="31"/>
      <c r="C5880" s="31"/>
      <c r="D5880" s="31"/>
      <c r="E5880" s="25"/>
      <c r="F5880" s="26"/>
    </row>
    <row r="5881" spans="1:6" ht="16.8" customHeight="1" x14ac:dyDescent="0.3">
      <c r="A5881" s="20">
        <v>47478</v>
      </c>
      <c r="B5881" s="31"/>
      <c r="C5881" s="31"/>
      <c r="D5881" s="31"/>
      <c r="E5881" s="25"/>
      <c r="F5881" s="26"/>
    </row>
    <row r="5882" spans="1:6" ht="16.8" customHeight="1" x14ac:dyDescent="0.3">
      <c r="A5882" s="20">
        <v>47479</v>
      </c>
      <c r="B5882" s="31"/>
      <c r="C5882" s="31"/>
      <c r="D5882" s="31"/>
      <c r="E5882" s="25"/>
      <c r="F5882" s="26"/>
    </row>
    <row r="5883" spans="1:6" ht="16.8" customHeight="1" x14ac:dyDescent="0.3">
      <c r="A5883" s="20">
        <v>47480</v>
      </c>
      <c r="B5883" s="31"/>
      <c r="C5883" s="31"/>
      <c r="D5883" s="31"/>
      <c r="E5883" s="25"/>
      <c r="F5883" s="26"/>
    </row>
    <row r="5884" spans="1:6" ht="16.8" customHeight="1" x14ac:dyDescent="0.3">
      <c r="A5884" s="20">
        <v>47481</v>
      </c>
      <c r="B5884" s="31"/>
      <c r="C5884" s="31"/>
      <c r="D5884" s="31"/>
      <c r="E5884" s="25"/>
      <c r="F5884" s="26"/>
    </row>
    <row r="5885" spans="1:6" ht="16.8" customHeight="1" x14ac:dyDescent="0.3">
      <c r="A5885" s="20">
        <v>47482</v>
      </c>
      <c r="B5885" s="31"/>
      <c r="C5885" s="31"/>
      <c r="D5885" s="31"/>
      <c r="E5885" s="25"/>
      <c r="F5885" s="26"/>
    </row>
    <row r="5886" spans="1:6" ht="16.8" customHeight="1" x14ac:dyDescent="0.3">
      <c r="A5886" s="20">
        <v>47483</v>
      </c>
      <c r="B5886" s="31"/>
      <c r="C5886" s="31"/>
      <c r="D5886" s="31"/>
      <c r="E5886" s="25"/>
      <c r="F5886" s="26"/>
    </row>
    <row r="5887" spans="1:6" ht="16.8" customHeight="1" x14ac:dyDescent="0.3">
      <c r="A5887" s="20">
        <v>47484</v>
      </c>
      <c r="B5887" s="31"/>
      <c r="C5887" s="31"/>
      <c r="D5887" s="31"/>
      <c r="E5887" s="25"/>
      <c r="F5887" s="26"/>
    </row>
    <row r="5888" spans="1:6" ht="16.8" customHeight="1" x14ac:dyDescent="0.3">
      <c r="A5888" s="20">
        <v>47485</v>
      </c>
      <c r="B5888" s="31"/>
      <c r="C5888" s="31"/>
      <c r="D5888" s="31"/>
      <c r="E5888" s="25"/>
      <c r="F5888" s="26"/>
    </row>
    <row r="5889" spans="1:6" ht="16.8" customHeight="1" x14ac:dyDescent="0.3">
      <c r="A5889" s="20">
        <v>47486</v>
      </c>
      <c r="B5889" s="31"/>
      <c r="C5889" s="31"/>
      <c r="D5889" s="31"/>
      <c r="E5889" s="25"/>
      <c r="F5889" s="26"/>
    </row>
    <row r="5890" spans="1:6" ht="16.8" customHeight="1" x14ac:dyDescent="0.3">
      <c r="A5890" s="20">
        <v>47487</v>
      </c>
      <c r="B5890" s="31"/>
      <c r="C5890" s="31"/>
      <c r="D5890" s="31"/>
      <c r="E5890" s="25"/>
      <c r="F5890" s="26"/>
    </row>
    <row r="5891" spans="1:6" ht="16.8" customHeight="1" x14ac:dyDescent="0.3">
      <c r="A5891" s="20">
        <v>47488</v>
      </c>
      <c r="B5891" s="31"/>
      <c r="C5891" s="31"/>
      <c r="D5891" s="31"/>
      <c r="E5891" s="25"/>
      <c r="F5891" s="26"/>
    </row>
    <row r="5892" spans="1:6" ht="16.8" customHeight="1" x14ac:dyDescent="0.3">
      <c r="A5892" s="20">
        <v>47489</v>
      </c>
      <c r="B5892" s="31"/>
      <c r="C5892" s="31"/>
      <c r="D5892" s="31"/>
      <c r="E5892" s="25"/>
      <c r="F5892" s="26"/>
    </row>
    <row r="5893" spans="1:6" ht="16.8" customHeight="1" x14ac:dyDescent="0.3">
      <c r="A5893" s="20">
        <v>47490</v>
      </c>
      <c r="B5893" s="31"/>
      <c r="C5893" s="31"/>
      <c r="D5893" s="31"/>
      <c r="E5893" s="25"/>
      <c r="F5893" s="26"/>
    </row>
    <row r="5894" spans="1:6" ht="16.8" customHeight="1" x14ac:dyDescent="0.3">
      <c r="A5894" s="20">
        <v>47491</v>
      </c>
      <c r="B5894" s="31"/>
      <c r="C5894" s="31"/>
      <c r="D5894" s="31"/>
      <c r="E5894" s="25"/>
      <c r="F5894" s="26"/>
    </row>
    <row r="5895" spans="1:6" ht="16.8" customHeight="1" x14ac:dyDescent="0.3">
      <c r="A5895" s="20">
        <v>47492</v>
      </c>
      <c r="B5895" s="31"/>
      <c r="C5895" s="31"/>
      <c r="D5895" s="31"/>
      <c r="E5895" s="25"/>
      <c r="F5895" s="26"/>
    </row>
    <row r="5896" spans="1:6" ht="16.8" customHeight="1" x14ac:dyDescent="0.3">
      <c r="A5896" s="20">
        <v>47493</v>
      </c>
      <c r="B5896" s="31"/>
      <c r="C5896" s="31"/>
      <c r="D5896" s="31"/>
      <c r="E5896" s="25"/>
      <c r="F5896" s="26"/>
    </row>
    <row r="5897" spans="1:6" ht="16.8" customHeight="1" x14ac:dyDescent="0.3">
      <c r="A5897" s="20">
        <v>47494</v>
      </c>
      <c r="B5897" s="31"/>
      <c r="C5897" s="31"/>
      <c r="D5897" s="31"/>
      <c r="E5897" s="25"/>
      <c r="F5897" s="26"/>
    </row>
    <row r="5898" spans="1:6" ht="16.8" customHeight="1" x14ac:dyDescent="0.3">
      <c r="A5898" s="20">
        <v>47495</v>
      </c>
      <c r="B5898" s="31"/>
      <c r="C5898" s="31"/>
      <c r="D5898" s="31"/>
      <c r="E5898" s="25"/>
      <c r="F5898" s="26"/>
    </row>
    <row r="5899" spans="1:6" ht="16.8" customHeight="1" x14ac:dyDescent="0.3">
      <c r="A5899" s="20">
        <v>47496</v>
      </c>
      <c r="B5899" s="31"/>
      <c r="C5899" s="31"/>
      <c r="D5899" s="31"/>
      <c r="E5899" s="25"/>
      <c r="F5899" s="26"/>
    </row>
    <row r="5900" spans="1:6" ht="16.8" customHeight="1" x14ac:dyDescent="0.3">
      <c r="A5900" s="20">
        <v>47497</v>
      </c>
      <c r="B5900" s="31"/>
      <c r="C5900" s="31"/>
      <c r="D5900" s="31"/>
      <c r="E5900" s="25"/>
      <c r="F5900" s="26"/>
    </row>
    <row r="5901" spans="1:6" ht="16.8" customHeight="1" x14ac:dyDescent="0.3">
      <c r="A5901" s="20">
        <v>47498</v>
      </c>
      <c r="B5901" s="31"/>
      <c r="C5901" s="31"/>
      <c r="D5901" s="31"/>
      <c r="E5901" s="25"/>
      <c r="F5901" s="26"/>
    </row>
    <row r="5902" spans="1:6" ht="16.8" customHeight="1" x14ac:dyDescent="0.3">
      <c r="A5902" s="20">
        <v>47499</v>
      </c>
      <c r="B5902" s="31"/>
      <c r="C5902" s="31"/>
      <c r="D5902" s="31"/>
      <c r="E5902" s="25"/>
      <c r="F5902" s="26"/>
    </row>
    <row r="5903" spans="1:6" ht="16.8" customHeight="1" x14ac:dyDescent="0.3">
      <c r="A5903" s="20">
        <v>47500</v>
      </c>
      <c r="B5903" s="31"/>
      <c r="C5903" s="31"/>
      <c r="D5903" s="31"/>
      <c r="E5903" s="25"/>
      <c r="F5903" s="26"/>
    </row>
    <row r="5904" spans="1:6" ht="16.8" customHeight="1" x14ac:dyDescent="0.3">
      <c r="A5904" s="20">
        <v>47501</v>
      </c>
      <c r="B5904" s="31"/>
      <c r="C5904" s="31"/>
      <c r="D5904" s="31"/>
      <c r="E5904" s="25"/>
      <c r="F5904" s="26"/>
    </row>
    <row r="5905" spans="1:6" ht="16.8" customHeight="1" x14ac:dyDescent="0.3">
      <c r="A5905" s="20">
        <v>47502</v>
      </c>
      <c r="B5905" s="31"/>
      <c r="C5905" s="31"/>
      <c r="D5905" s="31"/>
      <c r="E5905" s="25"/>
      <c r="F5905" s="26"/>
    </row>
    <row r="5906" spans="1:6" ht="16.8" customHeight="1" x14ac:dyDescent="0.3">
      <c r="A5906" s="20">
        <v>47503</v>
      </c>
      <c r="B5906" s="31"/>
      <c r="C5906" s="31"/>
      <c r="D5906" s="31"/>
      <c r="E5906" s="25"/>
      <c r="F5906" s="26"/>
    </row>
    <row r="5907" spans="1:6" ht="16.8" customHeight="1" x14ac:dyDescent="0.3">
      <c r="A5907" s="20">
        <v>47504</v>
      </c>
      <c r="B5907" s="31"/>
      <c r="C5907" s="31"/>
      <c r="D5907" s="31"/>
      <c r="E5907" s="25"/>
      <c r="F5907" s="26"/>
    </row>
    <row r="5908" spans="1:6" ht="16.8" customHeight="1" x14ac:dyDescent="0.3">
      <c r="A5908" s="20">
        <v>47505</v>
      </c>
      <c r="B5908" s="31"/>
      <c r="C5908" s="31"/>
      <c r="D5908" s="31"/>
      <c r="E5908" s="25"/>
      <c r="F5908" s="26"/>
    </row>
    <row r="5909" spans="1:6" ht="16.8" customHeight="1" x14ac:dyDescent="0.3">
      <c r="A5909" s="20">
        <v>47506</v>
      </c>
      <c r="B5909" s="31"/>
      <c r="C5909" s="31"/>
      <c r="D5909" s="31"/>
      <c r="E5909" s="25"/>
      <c r="F5909" s="26"/>
    </row>
    <row r="5910" spans="1:6" ht="16.8" customHeight="1" x14ac:dyDescent="0.3">
      <c r="A5910" s="20">
        <v>47507</v>
      </c>
      <c r="B5910" s="31"/>
      <c r="C5910" s="31"/>
      <c r="D5910" s="31"/>
      <c r="E5910" s="25"/>
      <c r="F5910" s="26"/>
    </row>
    <row r="5911" spans="1:6" ht="16.8" customHeight="1" x14ac:dyDescent="0.3">
      <c r="A5911" s="20">
        <v>47508</v>
      </c>
      <c r="B5911" s="31"/>
      <c r="C5911" s="31"/>
      <c r="D5911" s="31"/>
      <c r="E5911" s="25"/>
      <c r="F5911" s="26"/>
    </row>
    <row r="5912" spans="1:6" ht="16.8" customHeight="1" x14ac:dyDescent="0.3">
      <c r="A5912" s="20">
        <v>47509</v>
      </c>
      <c r="B5912" s="31"/>
      <c r="C5912" s="31"/>
      <c r="D5912" s="31"/>
      <c r="E5912" s="25"/>
      <c r="F5912" s="26"/>
    </row>
    <row r="5913" spans="1:6" ht="16.8" customHeight="1" x14ac:dyDescent="0.3">
      <c r="A5913" s="20">
        <v>47510</v>
      </c>
      <c r="B5913" s="31"/>
      <c r="C5913" s="31"/>
      <c r="D5913" s="31"/>
      <c r="E5913" s="25"/>
      <c r="F5913" s="26"/>
    </row>
    <row r="5914" spans="1:6" ht="16.8" customHeight="1" x14ac:dyDescent="0.3">
      <c r="A5914" s="20">
        <v>47511</v>
      </c>
      <c r="B5914" s="31"/>
      <c r="C5914" s="31"/>
      <c r="D5914" s="31"/>
      <c r="E5914" s="25"/>
      <c r="F5914" s="26"/>
    </row>
    <row r="5915" spans="1:6" ht="16.8" customHeight="1" x14ac:dyDescent="0.3">
      <c r="A5915" s="20">
        <v>47512</v>
      </c>
      <c r="B5915" s="31"/>
      <c r="C5915" s="31"/>
      <c r="D5915" s="31"/>
      <c r="E5915" s="25"/>
      <c r="F5915" s="26"/>
    </row>
    <row r="5916" spans="1:6" ht="16.8" customHeight="1" x14ac:dyDescent="0.3">
      <c r="A5916" s="20">
        <v>47513</v>
      </c>
      <c r="B5916" s="31"/>
      <c r="C5916" s="31"/>
      <c r="D5916" s="31"/>
      <c r="E5916" s="25"/>
      <c r="F5916" s="26"/>
    </row>
    <row r="5917" spans="1:6" ht="16.8" customHeight="1" x14ac:dyDescent="0.3">
      <c r="A5917" s="20">
        <v>47514</v>
      </c>
      <c r="B5917" s="31"/>
      <c r="C5917" s="31"/>
      <c r="D5917" s="31"/>
      <c r="E5917" s="25"/>
      <c r="F5917" s="26"/>
    </row>
    <row r="5918" spans="1:6" ht="16.8" customHeight="1" x14ac:dyDescent="0.3">
      <c r="A5918" s="20">
        <v>47515</v>
      </c>
      <c r="B5918" s="31"/>
      <c r="C5918" s="31"/>
      <c r="D5918" s="31"/>
      <c r="E5918" s="25"/>
      <c r="F5918" s="26"/>
    </row>
    <row r="5919" spans="1:6" ht="16.8" customHeight="1" x14ac:dyDescent="0.3">
      <c r="A5919" s="20">
        <v>47516</v>
      </c>
      <c r="B5919" s="31"/>
      <c r="C5919" s="31"/>
      <c r="D5919" s="31"/>
      <c r="E5919" s="25"/>
      <c r="F5919" s="26"/>
    </row>
    <row r="5920" spans="1:6" ht="16.8" customHeight="1" x14ac:dyDescent="0.3">
      <c r="A5920" s="20">
        <v>47517</v>
      </c>
      <c r="B5920" s="31"/>
      <c r="C5920" s="31"/>
      <c r="D5920" s="31"/>
      <c r="E5920" s="25"/>
      <c r="F5920" s="26"/>
    </row>
    <row r="5921" spans="1:6" ht="16.8" customHeight="1" x14ac:dyDescent="0.3">
      <c r="A5921" s="20">
        <v>47518</v>
      </c>
      <c r="B5921" s="31"/>
      <c r="C5921" s="31"/>
      <c r="D5921" s="31"/>
      <c r="E5921" s="25"/>
      <c r="F5921" s="26"/>
    </row>
    <row r="5922" spans="1:6" ht="16.8" customHeight="1" x14ac:dyDescent="0.3">
      <c r="A5922" s="20">
        <v>47519</v>
      </c>
      <c r="B5922" s="31"/>
      <c r="C5922" s="31"/>
      <c r="D5922" s="31"/>
      <c r="E5922" s="25"/>
      <c r="F5922" s="26"/>
    </row>
    <row r="5923" spans="1:6" ht="16.8" customHeight="1" x14ac:dyDescent="0.3">
      <c r="A5923" s="20">
        <v>47520</v>
      </c>
      <c r="B5923" s="31"/>
      <c r="C5923" s="31"/>
      <c r="D5923" s="31"/>
      <c r="E5923" s="25"/>
      <c r="F5923" s="26"/>
    </row>
    <row r="5924" spans="1:6" ht="16.8" customHeight="1" x14ac:dyDescent="0.3">
      <c r="A5924" s="20">
        <v>47521</v>
      </c>
      <c r="B5924" s="31"/>
      <c r="C5924" s="31"/>
      <c r="D5924" s="31"/>
      <c r="E5924" s="25"/>
      <c r="F5924" s="26"/>
    </row>
    <row r="5925" spans="1:6" ht="16.8" customHeight="1" x14ac:dyDescent="0.3">
      <c r="A5925" s="20">
        <v>47522</v>
      </c>
      <c r="B5925" s="31"/>
      <c r="C5925" s="31"/>
      <c r="D5925" s="31"/>
      <c r="E5925" s="25"/>
      <c r="F5925" s="26"/>
    </row>
    <row r="5926" spans="1:6" ht="16.8" customHeight="1" x14ac:dyDescent="0.3">
      <c r="A5926" s="20">
        <v>47523</v>
      </c>
      <c r="B5926" s="31"/>
      <c r="C5926" s="31"/>
      <c r="D5926" s="31"/>
      <c r="E5926" s="25"/>
      <c r="F5926" s="26"/>
    </row>
    <row r="5927" spans="1:6" ht="16.8" customHeight="1" x14ac:dyDescent="0.3">
      <c r="A5927" s="20">
        <v>47524</v>
      </c>
      <c r="B5927" s="31"/>
      <c r="C5927" s="31"/>
      <c r="D5927" s="31"/>
      <c r="E5927" s="25"/>
      <c r="F5927" s="26"/>
    </row>
    <row r="5928" spans="1:6" ht="16.8" customHeight="1" x14ac:dyDescent="0.3">
      <c r="A5928" s="20">
        <v>47525</v>
      </c>
      <c r="B5928" s="31"/>
      <c r="C5928" s="31"/>
      <c r="D5928" s="31"/>
      <c r="E5928" s="25"/>
      <c r="F5928" s="26"/>
    </row>
    <row r="5929" spans="1:6" ht="16.8" customHeight="1" x14ac:dyDescent="0.3">
      <c r="A5929" s="20">
        <v>47526</v>
      </c>
      <c r="B5929" s="31"/>
      <c r="C5929" s="31"/>
      <c r="D5929" s="31"/>
      <c r="E5929" s="25"/>
      <c r="F5929" s="26"/>
    </row>
    <row r="5930" spans="1:6" ht="16.8" customHeight="1" x14ac:dyDescent="0.3">
      <c r="A5930" s="20">
        <v>47527</v>
      </c>
      <c r="B5930" s="31"/>
      <c r="C5930" s="31"/>
      <c r="D5930" s="31"/>
      <c r="E5930" s="25"/>
      <c r="F5930" s="26"/>
    </row>
    <row r="5931" spans="1:6" ht="16.8" customHeight="1" x14ac:dyDescent="0.3">
      <c r="A5931" s="20">
        <v>47528</v>
      </c>
      <c r="B5931" s="31"/>
      <c r="C5931" s="31"/>
      <c r="D5931" s="31"/>
      <c r="E5931" s="25"/>
      <c r="F5931" s="26"/>
    </row>
    <row r="5932" spans="1:6" ht="16.8" customHeight="1" x14ac:dyDescent="0.3">
      <c r="A5932" s="20">
        <v>47529</v>
      </c>
      <c r="B5932" s="31"/>
      <c r="C5932" s="31"/>
      <c r="D5932" s="31"/>
      <c r="E5932" s="25"/>
      <c r="F5932" s="26"/>
    </row>
    <row r="5933" spans="1:6" ht="16.8" customHeight="1" x14ac:dyDescent="0.3">
      <c r="A5933" s="20">
        <v>47530</v>
      </c>
      <c r="B5933" s="31"/>
      <c r="C5933" s="31"/>
      <c r="D5933" s="31"/>
      <c r="E5933" s="25"/>
      <c r="F5933" s="26"/>
    </row>
    <row r="5934" spans="1:6" ht="16.8" customHeight="1" x14ac:dyDescent="0.3">
      <c r="A5934" s="20">
        <v>47531</v>
      </c>
      <c r="B5934" s="31"/>
      <c r="C5934" s="31"/>
      <c r="D5934" s="31"/>
      <c r="E5934" s="25"/>
      <c r="F5934" s="26"/>
    </row>
    <row r="5935" spans="1:6" ht="16.8" customHeight="1" x14ac:dyDescent="0.3">
      <c r="A5935" s="20">
        <v>47532</v>
      </c>
      <c r="B5935" s="31"/>
      <c r="C5935" s="31"/>
      <c r="D5935" s="31"/>
      <c r="E5935" s="25"/>
      <c r="F5935" s="26"/>
    </row>
    <row r="5936" spans="1:6" ht="16.8" customHeight="1" x14ac:dyDescent="0.3">
      <c r="A5936" s="20">
        <v>47533</v>
      </c>
      <c r="B5936" s="31"/>
      <c r="C5936" s="31"/>
      <c r="D5936" s="31"/>
      <c r="E5936" s="25"/>
      <c r="F5936" s="26"/>
    </row>
    <row r="5937" spans="1:6" ht="16.8" customHeight="1" x14ac:dyDescent="0.3">
      <c r="A5937" s="20">
        <v>47534</v>
      </c>
      <c r="B5937" s="31"/>
      <c r="C5937" s="31"/>
      <c r="D5937" s="31"/>
      <c r="E5937" s="25"/>
      <c r="F5937" s="26"/>
    </row>
    <row r="5938" spans="1:6" ht="16.8" customHeight="1" x14ac:dyDescent="0.3">
      <c r="A5938" s="20">
        <v>47535</v>
      </c>
      <c r="B5938" s="31"/>
      <c r="C5938" s="31"/>
      <c r="D5938" s="31"/>
      <c r="E5938" s="25"/>
      <c r="F5938" s="26"/>
    </row>
    <row r="5939" spans="1:6" ht="16.8" customHeight="1" x14ac:dyDescent="0.3">
      <c r="A5939" s="20">
        <v>47536</v>
      </c>
      <c r="B5939" s="31"/>
      <c r="C5939" s="31"/>
      <c r="D5939" s="31"/>
      <c r="E5939" s="25"/>
      <c r="F5939" s="26"/>
    </row>
    <row r="5940" spans="1:6" ht="16.8" customHeight="1" x14ac:dyDescent="0.3">
      <c r="A5940" s="20">
        <v>47537</v>
      </c>
      <c r="B5940" s="31"/>
      <c r="C5940" s="31"/>
      <c r="D5940" s="31"/>
      <c r="E5940" s="25"/>
      <c r="F5940" s="26"/>
    </row>
    <row r="5941" spans="1:6" ht="16.8" customHeight="1" x14ac:dyDescent="0.3">
      <c r="A5941" s="20">
        <v>47538</v>
      </c>
      <c r="B5941" s="31"/>
      <c r="C5941" s="31"/>
      <c r="D5941" s="31"/>
      <c r="E5941" s="25"/>
      <c r="F5941" s="26"/>
    </row>
    <row r="5942" spans="1:6" ht="16.8" customHeight="1" x14ac:dyDescent="0.3">
      <c r="A5942" s="20">
        <v>47539</v>
      </c>
      <c r="B5942" s="31"/>
      <c r="C5942" s="31"/>
      <c r="D5942" s="31"/>
      <c r="E5942" s="25"/>
      <c r="F5942" s="26"/>
    </row>
    <row r="5943" spans="1:6" ht="16.8" customHeight="1" x14ac:dyDescent="0.3">
      <c r="A5943" s="20">
        <v>47540</v>
      </c>
      <c r="B5943" s="31"/>
      <c r="C5943" s="31"/>
      <c r="D5943" s="31"/>
      <c r="E5943" s="25"/>
      <c r="F5943" s="26"/>
    </row>
    <row r="5944" spans="1:6" ht="16.8" customHeight="1" x14ac:dyDescent="0.3">
      <c r="A5944" s="20">
        <v>47541</v>
      </c>
      <c r="B5944" s="31"/>
      <c r="C5944" s="31"/>
      <c r="D5944" s="31"/>
      <c r="E5944" s="25"/>
      <c r="F5944" s="26"/>
    </row>
    <row r="5945" spans="1:6" ht="16.8" customHeight="1" x14ac:dyDescent="0.3">
      <c r="A5945" s="20">
        <v>47542</v>
      </c>
      <c r="B5945" s="31"/>
      <c r="C5945" s="31"/>
      <c r="D5945" s="31"/>
      <c r="E5945" s="25"/>
      <c r="F5945" s="26"/>
    </row>
    <row r="5946" spans="1:6" ht="16.8" customHeight="1" x14ac:dyDescent="0.3">
      <c r="A5946" s="20">
        <v>47543</v>
      </c>
      <c r="B5946" s="31"/>
      <c r="C5946" s="31"/>
      <c r="D5946" s="31"/>
      <c r="E5946" s="25"/>
      <c r="F5946" s="26"/>
    </row>
    <row r="5947" spans="1:6" ht="16.8" customHeight="1" x14ac:dyDescent="0.3">
      <c r="A5947" s="20">
        <v>47544</v>
      </c>
      <c r="B5947" s="31"/>
      <c r="C5947" s="31"/>
      <c r="D5947" s="31"/>
      <c r="E5947" s="25"/>
      <c r="F5947" s="26"/>
    </row>
    <row r="5948" spans="1:6" ht="16.8" customHeight="1" x14ac:dyDescent="0.3">
      <c r="A5948" s="20">
        <v>47545</v>
      </c>
      <c r="B5948" s="31"/>
      <c r="C5948" s="31"/>
      <c r="D5948" s="31"/>
      <c r="E5948" s="25"/>
      <c r="F5948" s="26"/>
    </row>
    <row r="5949" spans="1:6" ht="16.8" customHeight="1" x14ac:dyDescent="0.3">
      <c r="A5949" s="20">
        <v>47546</v>
      </c>
      <c r="B5949" s="31"/>
      <c r="C5949" s="31"/>
      <c r="D5949" s="31"/>
      <c r="E5949" s="25"/>
      <c r="F5949" s="26"/>
    </row>
    <row r="5950" spans="1:6" ht="16.8" customHeight="1" x14ac:dyDescent="0.3">
      <c r="A5950" s="20">
        <v>47547</v>
      </c>
      <c r="B5950" s="31"/>
      <c r="C5950" s="31"/>
      <c r="D5950" s="31"/>
      <c r="E5950" s="25"/>
      <c r="F5950" s="26"/>
    </row>
    <row r="5951" spans="1:6" ht="16.8" customHeight="1" x14ac:dyDescent="0.3">
      <c r="A5951" s="20">
        <v>47548</v>
      </c>
      <c r="B5951" s="31"/>
      <c r="C5951" s="31"/>
      <c r="D5951" s="31"/>
      <c r="E5951" s="25"/>
      <c r="F5951" s="26"/>
    </row>
    <row r="5952" spans="1:6" ht="16.8" customHeight="1" x14ac:dyDescent="0.3">
      <c r="A5952" s="20">
        <v>47549</v>
      </c>
      <c r="B5952" s="31"/>
      <c r="C5952" s="31"/>
      <c r="D5952" s="31"/>
      <c r="E5952" s="25"/>
      <c r="F5952" s="26"/>
    </row>
    <row r="5953" spans="1:6" ht="16.8" customHeight="1" x14ac:dyDescent="0.3">
      <c r="A5953" s="20">
        <v>47550</v>
      </c>
      <c r="B5953" s="31"/>
      <c r="C5953" s="31"/>
      <c r="D5953" s="31"/>
      <c r="E5953" s="25"/>
      <c r="F5953" s="26"/>
    </row>
    <row r="5954" spans="1:6" ht="16.8" customHeight="1" x14ac:dyDescent="0.3">
      <c r="A5954" s="20">
        <v>47551</v>
      </c>
      <c r="B5954" s="31"/>
      <c r="C5954" s="31"/>
      <c r="D5954" s="31"/>
      <c r="E5954" s="25"/>
      <c r="F5954" s="26"/>
    </row>
    <row r="5955" spans="1:6" ht="16.8" customHeight="1" x14ac:dyDescent="0.3">
      <c r="A5955" s="20">
        <v>47552</v>
      </c>
      <c r="B5955" s="31"/>
      <c r="C5955" s="31"/>
      <c r="D5955" s="31"/>
      <c r="E5955" s="25"/>
      <c r="F5955" s="26"/>
    </row>
    <row r="5956" spans="1:6" ht="16.8" customHeight="1" x14ac:dyDescent="0.3">
      <c r="A5956" s="20">
        <v>47553</v>
      </c>
      <c r="B5956" s="31"/>
      <c r="C5956" s="31"/>
      <c r="D5956" s="31"/>
      <c r="E5956" s="25"/>
      <c r="F5956" s="26"/>
    </row>
    <row r="5957" spans="1:6" ht="16.8" customHeight="1" x14ac:dyDescent="0.3">
      <c r="A5957" s="20">
        <v>47554</v>
      </c>
      <c r="B5957" s="31"/>
      <c r="C5957" s="31"/>
      <c r="D5957" s="31"/>
      <c r="E5957" s="25"/>
      <c r="F5957" s="26"/>
    </row>
    <row r="5958" spans="1:6" ht="16.8" customHeight="1" x14ac:dyDescent="0.3">
      <c r="A5958" s="20">
        <v>47555</v>
      </c>
      <c r="B5958" s="31"/>
      <c r="C5958" s="31"/>
      <c r="D5958" s="31"/>
      <c r="E5958" s="25"/>
      <c r="F5958" s="26"/>
    </row>
    <row r="5959" spans="1:6" ht="16.8" customHeight="1" x14ac:dyDescent="0.3">
      <c r="A5959" s="20">
        <v>47556</v>
      </c>
      <c r="B5959" s="31"/>
      <c r="C5959" s="31"/>
      <c r="D5959" s="31"/>
      <c r="E5959" s="25"/>
      <c r="F5959" s="26"/>
    </row>
    <row r="5960" spans="1:6" ht="16.8" customHeight="1" x14ac:dyDescent="0.3">
      <c r="A5960" s="20">
        <v>47557</v>
      </c>
      <c r="B5960" s="31"/>
      <c r="C5960" s="31"/>
      <c r="D5960" s="31"/>
      <c r="E5960" s="25"/>
      <c r="F5960" s="26"/>
    </row>
    <row r="5961" spans="1:6" ht="16.8" customHeight="1" x14ac:dyDescent="0.3">
      <c r="A5961" s="20">
        <v>47558</v>
      </c>
      <c r="B5961" s="31"/>
      <c r="C5961" s="31"/>
      <c r="D5961" s="31"/>
      <c r="E5961" s="25"/>
      <c r="F5961" s="26"/>
    </row>
    <row r="5962" spans="1:6" ht="16.8" customHeight="1" x14ac:dyDescent="0.3">
      <c r="A5962" s="20">
        <v>47559</v>
      </c>
      <c r="B5962" s="31"/>
      <c r="C5962" s="31"/>
      <c r="D5962" s="31"/>
      <c r="E5962" s="25"/>
      <c r="F5962" s="26"/>
    </row>
    <row r="5963" spans="1:6" ht="16.8" customHeight="1" x14ac:dyDescent="0.3">
      <c r="A5963" s="20">
        <v>47560</v>
      </c>
      <c r="B5963" s="31"/>
      <c r="C5963" s="31"/>
      <c r="D5963" s="31"/>
      <c r="E5963" s="25"/>
      <c r="F5963" s="26"/>
    </row>
    <row r="5964" spans="1:6" ht="16.8" customHeight="1" x14ac:dyDescent="0.3">
      <c r="A5964" s="20">
        <v>47561</v>
      </c>
      <c r="B5964" s="31"/>
      <c r="C5964" s="31"/>
      <c r="D5964" s="31"/>
      <c r="E5964" s="25"/>
      <c r="F5964" s="26"/>
    </row>
    <row r="5965" spans="1:6" ht="16.8" customHeight="1" x14ac:dyDescent="0.3">
      <c r="A5965" s="20">
        <v>47562</v>
      </c>
      <c r="B5965" s="31"/>
      <c r="C5965" s="31"/>
      <c r="D5965" s="31"/>
      <c r="E5965" s="25"/>
      <c r="F5965" s="26"/>
    </row>
    <row r="5966" spans="1:6" ht="16.8" customHeight="1" x14ac:dyDescent="0.3">
      <c r="A5966" s="20">
        <v>47563</v>
      </c>
      <c r="B5966" s="31"/>
      <c r="C5966" s="31"/>
      <c r="D5966" s="31"/>
      <c r="E5966" s="25"/>
      <c r="F5966" s="26"/>
    </row>
    <row r="5967" spans="1:6" ht="16.8" customHeight="1" x14ac:dyDescent="0.3">
      <c r="A5967" s="20">
        <v>47564</v>
      </c>
      <c r="B5967" s="31"/>
      <c r="C5967" s="31"/>
      <c r="D5967" s="31"/>
      <c r="E5967" s="25"/>
      <c r="F5967" s="26"/>
    </row>
    <row r="5968" spans="1:6" ht="16.8" customHeight="1" x14ac:dyDescent="0.3">
      <c r="A5968" s="20">
        <v>47565</v>
      </c>
      <c r="B5968" s="31"/>
      <c r="C5968" s="31"/>
      <c r="D5968" s="31"/>
      <c r="E5968" s="25"/>
      <c r="F5968" s="26"/>
    </row>
    <row r="5969" spans="1:6" ht="16.8" customHeight="1" x14ac:dyDescent="0.3">
      <c r="A5969" s="20">
        <v>47566</v>
      </c>
      <c r="B5969" s="31"/>
      <c r="C5969" s="31"/>
      <c r="D5969" s="31"/>
      <c r="E5969" s="25"/>
      <c r="F5969" s="26"/>
    </row>
    <row r="5970" spans="1:6" ht="16.8" customHeight="1" x14ac:dyDescent="0.3">
      <c r="A5970" s="20">
        <v>47567</v>
      </c>
      <c r="B5970" s="31"/>
      <c r="C5970" s="31"/>
      <c r="D5970" s="31"/>
      <c r="E5970" s="25"/>
      <c r="F5970" s="26"/>
    </row>
    <row r="5971" spans="1:6" ht="16.8" customHeight="1" x14ac:dyDescent="0.3">
      <c r="A5971" s="20">
        <v>47568</v>
      </c>
      <c r="B5971" s="31"/>
      <c r="C5971" s="31"/>
      <c r="D5971" s="31"/>
      <c r="E5971" s="25"/>
      <c r="F5971" s="26"/>
    </row>
    <row r="5972" spans="1:6" ht="16.8" customHeight="1" x14ac:dyDescent="0.3">
      <c r="A5972" s="20">
        <v>47569</v>
      </c>
      <c r="B5972" s="31"/>
      <c r="C5972" s="31"/>
      <c r="D5972" s="31"/>
      <c r="E5972" s="25"/>
      <c r="F5972" s="26"/>
    </row>
    <row r="5973" spans="1:6" ht="16.8" customHeight="1" x14ac:dyDescent="0.3">
      <c r="A5973" s="20">
        <v>47570</v>
      </c>
      <c r="B5973" s="31"/>
      <c r="C5973" s="31"/>
      <c r="D5973" s="31"/>
      <c r="E5973" s="25"/>
      <c r="F5973" s="26"/>
    </row>
    <row r="5974" spans="1:6" ht="16.8" customHeight="1" x14ac:dyDescent="0.3">
      <c r="A5974" s="20">
        <v>47571</v>
      </c>
      <c r="B5974" s="31"/>
      <c r="C5974" s="31"/>
      <c r="D5974" s="31"/>
      <c r="E5974" s="25"/>
      <c r="F5974" s="26"/>
    </row>
    <row r="5975" spans="1:6" ht="16.8" customHeight="1" x14ac:dyDescent="0.3">
      <c r="A5975" s="20">
        <v>47572</v>
      </c>
      <c r="B5975" s="31"/>
      <c r="C5975" s="31"/>
      <c r="D5975" s="31"/>
      <c r="E5975" s="25"/>
      <c r="F5975" s="26"/>
    </row>
    <row r="5976" spans="1:6" ht="16.8" customHeight="1" x14ac:dyDescent="0.3">
      <c r="A5976" s="20">
        <v>47573</v>
      </c>
      <c r="B5976" s="31"/>
      <c r="C5976" s="31"/>
      <c r="D5976" s="31"/>
      <c r="E5976" s="25"/>
      <c r="F5976" s="26"/>
    </row>
    <row r="5977" spans="1:6" ht="16.8" customHeight="1" x14ac:dyDescent="0.3">
      <c r="A5977" s="20">
        <v>47574</v>
      </c>
      <c r="B5977" s="31"/>
      <c r="C5977" s="31"/>
      <c r="D5977" s="31"/>
      <c r="E5977" s="25"/>
      <c r="F5977" s="26"/>
    </row>
    <row r="5978" spans="1:6" ht="16.8" customHeight="1" x14ac:dyDescent="0.3">
      <c r="A5978" s="20">
        <v>47575</v>
      </c>
      <c r="B5978" s="31"/>
      <c r="C5978" s="31"/>
      <c r="D5978" s="31"/>
      <c r="E5978" s="25"/>
      <c r="F5978" s="26"/>
    </row>
    <row r="5979" spans="1:6" ht="16.8" customHeight="1" x14ac:dyDescent="0.3">
      <c r="A5979" s="20">
        <v>47576</v>
      </c>
      <c r="B5979" s="31"/>
      <c r="C5979" s="31"/>
      <c r="D5979" s="31"/>
      <c r="E5979" s="25"/>
      <c r="F5979" s="26"/>
    </row>
    <row r="5980" spans="1:6" ht="16.8" customHeight="1" x14ac:dyDescent="0.3">
      <c r="A5980" s="20">
        <v>47577</v>
      </c>
      <c r="B5980" s="31"/>
      <c r="C5980" s="31"/>
      <c r="D5980" s="31"/>
      <c r="E5980" s="25"/>
      <c r="F5980" s="26"/>
    </row>
    <row r="5981" spans="1:6" ht="16.8" customHeight="1" x14ac:dyDescent="0.3">
      <c r="A5981" s="20">
        <v>47578</v>
      </c>
      <c r="B5981" s="31"/>
      <c r="C5981" s="31"/>
      <c r="D5981" s="31"/>
      <c r="E5981" s="25"/>
      <c r="F5981" s="26"/>
    </row>
    <row r="5982" spans="1:6" ht="16.8" customHeight="1" x14ac:dyDescent="0.3">
      <c r="A5982" s="20">
        <v>47579</v>
      </c>
      <c r="B5982" s="31"/>
      <c r="C5982" s="31"/>
      <c r="D5982" s="31"/>
      <c r="E5982" s="25"/>
      <c r="F5982" s="26"/>
    </row>
    <row r="5983" spans="1:6" ht="16.8" customHeight="1" x14ac:dyDescent="0.3">
      <c r="A5983" s="20">
        <v>47580</v>
      </c>
      <c r="B5983" s="31"/>
      <c r="C5983" s="31"/>
      <c r="D5983" s="31"/>
      <c r="E5983" s="25"/>
      <c r="F5983" s="26"/>
    </row>
    <row r="5984" spans="1:6" ht="16.8" customHeight="1" x14ac:dyDescent="0.3">
      <c r="A5984" s="20">
        <v>47581</v>
      </c>
      <c r="B5984" s="31"/>
      <c r="C5984" s="31"/>
      <c r="D5984" s="31"/>
      <c r="E5984" s="25"/>
      <c r="F5984" s="26"/>
    </row>
    <row r="5985" spans="1:6" ht="16.8" customHeight="1" x14ac:dyDescent="0.3">
      <c r="A5985" s="20">
        <v>47582</v>
      </c>
      <c r="B5985" s="31"/>
      <c r="C5985" s="31"/>
      <c r="D5985" s="31"/>
      <c r="E5985" s="25"/>
      <c r="F5985" s="26"/>
    </row>
    <row r="5986" spans="1:6" ht="16.8" customHeight="1" x14ac:dyDescent="0.3">
      <c r="A5986" s="20">
        <v>47583</v>
      </c>
      <c r="B5986" s="31"/>
      <c r="C5986" s="31"/>
      <c r="D5986" s="31"/>
      <c r="E5986" s="25"/>
      <c r="F5986" s="26"/>
    </row>
    <row r="5987" spans="1:6" ht="16.8" customHeight="1" x14ac:dyDescent="0.3">
      <c r="A5987" s="20">
        <v>47584</v>
      </c>
      <c r="B5987" s="31"/>
      <c r="C5987" s="31"/>
      <c r="D5987" s="31"/>
      <c r="E5987" s="25"/>
      <c r="F5987" s="26"/>
    </row>
    <row r="5988" spans="1:6" ht="16.8" customHeight="1" x14ac:dyDescent="0.3">
      <c r="A5988" s="20">
        <v>47585</v>
      </c>
      <c r="B5988" s="31"/>
      <c r="C5988" s="31"/>
      <c r="D5988" s="31"/>
      <c r="E5988" s="25"/>
      <c r="F5988" s="26"/>
    </row>
    <row r="5989" spans="1:6" ht="16.8" customHeight="1" x14ac:dyDescent="0.3">
      <c r="A5989" s="20">
        <v>47586</v>
      </c>
      <c r="B5989" s="31"/>
      <c r="C5989" s="31"/>
      <c r="D5989" s="31"/>
      <c r="E5989" s="25"/>
      <c r="F5989" s="26"/>
    </row>
    <row r="5990" spans="1:6" ht="16.8" customHeight="1" x14ac:dyDescent="0.3">
      <c r="A5990" s="20">
        <v>47587</v>
      </c>
      <c r="B5990" s="31"/>
      <c r="C5990" s="31"/>
      <c r="D5990" s="31"/>
      <c r="E5990" s="25"/>
      <c r="F5990" s="26"/>
    </row>
    <row r="5991" spans="1:6" ht="16.8" customHeight="1" x14ac:dyDescent="0.3">
      <c r="A5991" s="20">
        <v>47588</v>
      </c>
      <c r="B5991" s="31"/>
      <c r="C5991" s="31"/>
      <c r="D5991" s="31"/>
      <c r="E5991" s="25"/>
      <c r="F5991" s="26"/>
    </row>
    <row r="5992" spans="1:6" ht="16.8" customHeight="1" x14ac:dyDescent="0.3">
      <c r="A5992" s="20">
        <v>47589</v>
      </c>
      <c r="B5992" s="31"/>
      <c r="C5992" s="31"/>
      <c r="D5992" s="31"/>
      <c r="E5992" s="25"/>
      <c r="F5992" s="26"/>
    </row>
    <row r="5993" spans="1:6" ht="16.8" customHeight="1" x14ac:dyDescent="0.3">
      <c r="A5993" s="20">
        <v>47590</v>
      </c>
      <c r="B5993" s="31"/>
      <c r="C5993" s="31"/>
      <c r="D5993" s="31"/>
      <c r="E5993" s="25"/>
      <c r="F5993" s="26"/>
    </row>
    <row r="5994" spans="1:6" ht="16.8" customHeight="1" x14ac:dyDescent="0.3">
      <c r="A5994" s="20">
        <v>47591</v>
      </c>
      <c r="B5994" s="31"/>
      <c r="C5994" s="31"/>
      <c r="D5994" s="31"/>
      <c r="E5994" s="25"/>
      <c r="F5994" s="26"/>
    </row>
    <row r="5995" spans="1:6" ht="16.8" customHeight="1" x14ac:dyDescent="0.3">
      <c r="A5995" s="20">
        <v>47592</v>
      </c>
      <c r="B5995" s="31"/>
      <c r="C5995" s="31"/>
      <c r="D5995" s="31"/>
      <c r="E5995" s="25"/>
      <c r="F5995" s="26"/>
    </row>
    <row r="5996" spans="1:6" ht="16.8" customHeight="1" x14ac:dyDescent="0.3">
      <c r="A5996" s="20">
        <v>47593</v>
      </c>
      <c r="B5996" s="31"/>
      <c r="C5996" s="31"/>
      <c r="D5996" s="31"/>
      <c r="E5996" s="25"/>
      <c r="F5996" s="26"/>
    </row>
    <row r="5997" spans="1:6" ht="16.8" customHeight="1" x14ac:dyDescent="0.3">
      <c r="A5997" s="20">
        <v>47594</v>
      </c>
      <c r="B5997" s="31"/>
      <c r="C5997" s="31"/>
      <c r="D5997" s="31"/>
      <c r="E5997" s="25"/>
      <c r="F5997" s="26"/>
    </row>
    <row r="5998" spans="1:6" ht="16.8" customHeight="1" x14ac:dyDescent="0.3">
      <c r="A5998" s="20">
        <v>47595</v>
      </c>
      <c r="B5998" s="31"/>
      <c r="C5998" s="31"/>
      <c r="D5998" s="31"/>
      <c r="E5998" s="25"/>
      <c r="F5998" s="26"/>
    </row>
    <row r="5999" spans="1:6" ht="16.8" customHeight="1" x14ac:dyDescent="0.3">
      <c r="A5999" s="20">
        <v>47596</v>
      </c>
      <c r="B5999" s="31"/>
      <c r="C5999" s="31"/>
      <c r="D5999" s="31"/>
      <c r="E5999" s="25"/>
      <c r="F5999" s="26"/>
    </row>
    <row r="6000" spans="1:6" ht="16.8" customHeight="1" x14ac:dyDescent="0.3">
      <c r="A6000" s="20">
        <v>47597</v>
      </c>
      <c r="B6000" s="31"/>
      <c r="C6000" s="31"/>
      <c r="D6000" s="31"/>
      <c r="E6000" s="25"/>
      <c r="F6000" s="26"/>
    </row>
    <row r="6001" spans="1:6" ht="16.8" customHeight="1" x14ac:dyDescent="0.3">
      <c r="A6001" s="20">
        <v>47598</v>
      </c>
      <c r="B6001" s="31"/>
      <c r="C6001" s="31"/>
      <c r="D6001" s="31"/>
      <c r="E6001" s="25"/>
      <c r="F6001" s="26"/>
    </row>
    <row r="6002" spans="1:6" ht="16.8" customHeight="1" x14ac:dyDescent="0.3">
      <c r="A6002" s="20">
        <v>47599</v>
      </c>
      <c r="B6002" s="31"/>
      <c r="C6002" s="31"/>
      <c r="D6002" s="31"/>
      <c r="E6002" s="25"/>
      <c r="F6002" s="26"/>
    </row>
    <row r="6003" spans="1:6" ht="16.8" customHeight="1" x14ac:dyDescent="0.3">
      <c r="A6003" s="20">
        <v>47600</v>
      </c>
      <c r="B6003" s="31"/>
      <c r="C6003" s="31"/>
      <c r="D6003" s="31"/>
      <c r="E6003" s="25"/>
      <c r="F6003" s="26"/>
    </row>
    <row r="6004" spans="1:6" ht="16.8" customHeight="1" x14ac:dyDescent="0.3">
      <c r="A6004" s="20">
        <v>47601</v>
      </c>
      <c r="B6004" s="31"/>
      <c r="C6004" s="31"/>
      <c r="D6004" s="31"/>
      <c r="E6004" s="25"/>
      <c r="F6004" s="26"/>
    </row>
    <row r="6005" spans="1:6" ht="16.8" customHeight="1" x14ac:dyDescent="0.3">
      <c r="A6005" s="20">
        <v>47602</v>
      </c>
      <c r="B6005" s="31"/>
      <c r="C6005" s="31"/>
      <c r="D6005" s="31"/>
      <c r="E6005" s="25"/>
      <c r="F6005" s="26"/>
    </row>
    <row r="6006" spans="1:6" ht="16.8" customHeight="1" x14ac:dyDescent="0.3">
      <c r="A6006" s="20">
        <v>47603</v>
      </c>
      <c r="B6006" s="31"/>
      <c r="C6006" s="31"/>
      <c r="D6006" s="31"/>
      <c r="E6006" s="25"/>
      <c r="F6006" s="26"/>
    </row>
    <row r="6007" spans="1:6" ht="16.8" customHeight="1" x14ac:dyDescent="0.3">
      <c r="A6007" s="20">
        <v>47604</v>
      </c>
      <c r="B6007" s="31"/>
      <c r="C6007" s="31"/>
      <c r="D6007" s="31"/>
      <c r="E6007" s="25"/>
      <c r="F6007" s="26"/>
    </row>
    <row r="6008" spans="1:6" ht="16.8" customHeight="1" x14ac:dyDescent="0.3">
      <c r="A6008" s="20">
        <v>47605</v>
      </c>
      <c r="B6008" s="31"/>
      <c r="C6008" s="31"/>
      <c r="D6008" s="31"/>
      <c r="E6008" s="25"/>
      <c r="F6008" s="26"/>
    </row>
    <row r="6009" spans="1:6" ht="16.8" customHeight="1" x14ac:dyDescent="0.3">
      <c r="A6009" s="20">
        <v>47606</v>
      </c>
      <c r="B6009" s="31"/>
      <c r="C6009" s="31"/>
      <c r="D6009" s="31"/>
      <c r="E6009" s="25"/>
      <c r="F6009" s="26"/>
    </row>
    <row r="6010" spans="1:6" ht="16.8" customHeight="1" x14ac:dyDescent="0.3">
      <c r="A6010" s="20">
        <v>47607</v>
      </c>
      <c r="B6010" s="31"/>
      <c r="C6010" s="31"/>
      <c r="D6010" s="31"/>
      <c r="E6010" s="25"/>
      <c r="F6010" s="26"/>
    </row>
    <row r="6011" spans="1:6" ht="16.8" customHeight="1" x14ac:dyDescent="0.3">
      <c r="A6011" s="20">
        <v>47608</v>
      </c>
      <c r="B6011" s="31"/>
      <c r="C6011" s="31"/>
      <c r="D6011" s="31"/>
      <c r="E6011" s="25"/>
      <c r="F6011" s="26"/>
    </row>
    <row r="6012" spans="1:6" ht="16.8" customHeight="1" x14ac:dyDescent="0.3">
      <c r="A6012" s="20">
        <v>47609</v>
      </c>
      <c r="B6012" s="31"/>
      <c r="C6012" s="31"/>
      <c r="D6012" s="31"/>
      <c r="E6012" s="25"/>
      <c r="F6012" s="26"/>
    </row>
    <row r="6013" spans="1:6" ht="16.8" customHeight="1" x14ac:dyDescent="0.3">
      <c r="A6013" s="20">
        <v>47610</v>
      </c>
      <c r="B6013" s="31"/>
      <c r="C6013" s="31"/>
      <c r="D6013" s="31"/>
      <c r="E6013" s="25"/>
      <c r="F6013" s="26"/>
    </row>
    <row r="6014" spans="1:6" ht="16.8" customHeight="1" x14ac:dyDescent="0.3">
      <c r="A6014" s="20">
        <v>47611</v>
      </c>
      <c r="B6014" s="31"/>
      <c r="C6014" s="31"/>
      <c r="D6014" s="31"/>
      <c r="E6014" s="25"/>
      <c r="F6014" s="26"/>
    </row>
    <row r="6015" spans="1:6" ht="16.8" customHeight="1" x14ac:dyDescent="0.3">
      <c r="A6015" s="20">
        <v>47612</v>
      </c>
      <c r="B6015" s="31"/>
      <c r="C6015" s="31"/>
      <c r="D6015" s="31"/>
      <c r="E6015" s="25"/>
      <c r="F6015" s="26"/>
    </row>
    <row r="6016" spans="1:6" ht="16.8" customHeight="1" x14ac:dyDescent="0.3">
      <c r="A6016" s="20">
        <v>47613</v>
      </c>
      <c r="B6016" s="31"/>
      <c r="C6016" s="31"/>
      <c r="D6016" s="31"/>
      <c r="E6016" s="25"/>
      <c r="F6016" s="26"/>
    </row>
    <row r="6017" spans="1:6" ht="16.8" customHeight="1" x14ac:dyDescent="0.3">
      <c r="A6017" s="20">
        <v>47614</v>
      </c>
      <c r="B6017" s="31"/>
      <c r="C6017" s="31"/>
      <c r="D6017" s="31"/>
      <c r="E6017" s="25"/>
      <c r="F6017" s="26"/>
    </row>
    <row r="6018" spans="1:6" ht="16.8" customHeight="1" x14ac:dyDescent="0.3">
      <c r="A6018" s="20">
        <v>47615</v>
      </c>
      <c r="B6018" s="31"/>
      <c r="C6018" s="31"/>
      <c r="D6018" s="31"/>
      <c r="E6018" s="25"/>
      <c r="F6018" s="26"/>
    </row>
    <row r="6019" spans="1:6" ht="16.8" customHeight="1" x14ac:dyDescent="0.3">
      <c r="A6019" s="20">
        <v>47616</v>
      </c>
      <c r="B6019" s="31"/>
      <c r="C6019" s="31"/>
      <c r="D6019" s="31"/>
      <c r="E6019" s="25"/>
      <c r="F6019" s="26"/>
    </row>
    <row r="6020" spans="1:6" ht="16.8" customHeight="1" x14ac:dyDescent="0.3">
      <c r="A6020" s="20">
        <v>47617</v>
      </c>
      <c r="B6020" s="31"/>
      <c r="C6020" s="31"/>
      <c r="D6020" s="31"/>
      <c r="E6020" s="25"/>
      <c r="F6020" s="26"/>
    </row>
    <row r="6021" spans="1:6" ht="16.8" customHeight="1" x14ac:dyDescent="0.3">
      <c r="A6021" s="20">
        <v>47618</v>
      </c>
      <c r="B6021" s="31"/>
      <c r="C6021" s="31"/>
      <c r="D6021" s="31"/>
      <c r="E6021" s="25"/>
      <c r="F6021" s="26"/>
    </row>
    <row r="6022" spans="1:6" ht="16.8" customHeight="1" x14ac:dyDescent="0.3">
      <c r="A6022" s="20">
        <v>47619</v>
      </c>
      <c r="B6022" s="31"/>
      <c r="C6022" s="31"/>
      <c r="D6022" s="31"/>
      <c r="E6022" s="25"/>
      <c r="F6022" s="26"/>
    </row>
    <row r="6023" spans="1:6" ht="16.8" customHeight="1" x14ac:dyDescent="0.3">
      <c r="A6023" s="20">
        <v>47620</v>
      </c>
      <c r="B6023" s="31"/>
      <c r="C6023" s="31"/>
      <c r="D6023" s="31"/>
      <c r="E6023" s="25"/>
      <c r="F6023" s="26"/>
    </row>
    <row r="6024" spans="1:6" ht="16.8" customHeight="1" x14ac:dyDescent="0.3">
      <c r="A6024" s="20">
        <v>47621</v>
      </c>
      <c r="B6024" s="31"/>
      <c r="C6024" s="31"/>
      <c r="D6024" s="31"/>
      <c r="E6024" s="25"/>
      <c r="F6024" s="26"/>
    </row>
    <row r="6025" spans="1:6" ht="16.8" customHeight="1" x14ac:dyDescent="0.3">
      <c r="A6025" s="20">
        <v>47622</v>
      </c>
      <c r="B6025" s="31"/>
      <c r="C6025" s="31"/>
      <c r="D6025" s="31"/>
      <c r="E6025" s="25"/>
      <c r="F6025" s="26"/>
    </row>
    <row r="6026" spans="1:6" ht="16.8" customHeight="1" x14ac:dyDescent="0.3">
      <c r="A6026" s="20">
        <v>47623</v>
      </c>
      <c r="B6026" s="31"/>
      <c r="C6026" s="31"/>
      <c r="D6026" s="31"/>
      <c r="E6026" s="25"/>
      <c r="F6026" s="26"/>
    </row>
    <row r="6027" spans="1:6" ht="16.8" customHeight="1" x14ac:dyDescent="0.3">
      <c r="A6027" s="20">
        <v>47624</v>
      </c>
      <c r="B6027" s="31"/>
      <c r="C6027" s="31"/>
      <c r="D6027" s="31"/>
      <c r="E6027" s="25"/>
      <c r="F6027" s="26"/>
    </row>
    <row r="6028" spans="1:6" ht="16.8" customHeight="1" x14ac:dyDescent="0.3">
      <c r="A6028" s="20">
        <v>47625</v>
      </c>
      <c r="B6028" s="31"/>
      <c r="C6028" s="31"/>
      <c r="D6028" s="31"/>
      <c r="E6028" s="25"/>
      <c r="F6028" s="26"/>
    </row>
    <row r="6029" spans="1:6" ht="16.8" customHeight="1" x14ac:dyDescent="0.3">
      <c r="A6029" s="20">
        <v>47626</v>
      </c>
      <c r="B6029" s="31"/>
      <c r="C6029" s="31"/>
      <c r="D6029" s="31"/>
      <c r="E6029" s="25"/>
      <c r="F6029" s="26"/>
    </row>
    <row r="6030" spans="1:6" ht="16.8" customHeight="1" x14ac:dyDescent="0.3">
      <c r="A6030" s="20">
        <v>47627</v>
      </c>
      <c r="B6030" s="31"/>
      <c r="C6030" s="31"/>
      <c r="D6030" s="31"/>
      <c r="E6030" s="25"/>
      <c r="F6030" s="26"/>
    </row>
    <row r="6031" spans="1:6" ht="16.8" customHeight="1" x14ac:dyDescent="0.3">
      <c r="A6031" s="20">
        <v>47628</v>
      </c>
      <c r="B6031" s="31"/>
      <c r="C6031" s="31"/>
      <c r="D6031" s="31"/>
      <c r="E6031" s="25"/>
      <c r="F6031" s="26"/>
    </row>
    <row r="6032" spans="1:6" ht="16.8" customHeight="1" x14ac:dyDescent="0.3">
      <c r="A6032" s="20">
        <v>47629</v>
      </c>
      <c r="B6032" s="31"/>
      <c r="C6032" s="31"/>
      <c r="D6032" s="31"/>
      <c r="E6032" s="25"/>
      <c r="F6032" s="26"/>
    </row>
    <row r="6033" spans="1:6" ht="16.8" customHeight="1" x14ac:dyDescent="0.3">
      <c r="A6033" s="20">
        <v>47630</v>
      </c>
      <c r="B6033" s="31"/>
      <c r="C6033" s="31"/>
      <c r="D6033" s="31"/>
      <c r="E6033" s="25"/>
      <c r="F6033" s="26"/>
    </row>
    <row r="6034" spans="1:6" ht="16.8" customHeight="1" x14ac:dyDescent="0.3">
      <c r="A6034" s="20">
        <v>47631</v>
      </c>
      <c r="B6034" s="31"/>
      <c r="C6034" s="31"/>
      <c r="D6034" s="31"/>
      <c r="E6034" s="25"/>
      <c r="F6034" s="26"/>
    </row>
    <row r="6035" spans="1:6" ht="16.8" customHeight="1" x14ac:dyDescent="0.3">
      <c r="A6035" s="20">
        <v>47632</v>
      </c>
      <c r="B6035" s="31"/>
      <c r="C6035" s="31"/>
      <c r="D6035" s="31"/>
      <c r="E6035" s="25"/>
      <c r="F6035" s="26"/>
    </row>
    <row r="6036" spans="1:6" ht="16.8" customHeight="1" x14ac:dyDescent="0.3">
      <c r="A6036" s="20">
        <v>47633</v>
      </c>
      <c r="B6036" s="31"/>
      <c r="C6036" s="31"/>
      <c r="D6036" s="31"/>
      <c r="E6036" s="25"/>
      <c r="F6036" s="26"/>
    </row>
    <row r="6037" spans="1:6" ht="16.8" customHeight="1" x14ac:dyDescent="0.3">
      <c r="A6037" s="20">
        <v>47634</v>
      </c>
      <c r="B6037" s="31"/>
      <c r="C6037" s="31"/>
      <c r="D6037" s="31"/>
      <c r="E6037" s="25"/>
      <c r="F6037" s="26"/>
    </row>
    <row r="6038" spans="1:6" ht="16.8" customHeight="1" x14ac:dyDescent="0.3">
      <c r="A6038" s="20">
        <v>47635</v>
      </c>
      <c r="B6038" s="31"/>
      <c r="C6038" s="31"/>
      <c r="D6038" s="31"/>
      <c r="E6038" s="25"/>
      <c r="F6038" s="26"/>
    </row>
    <row r="6039" spans="1:6" ht="16.8" customHeight="1" x14ac:dyDescent="0.3">
      <c r="A6039" s="20">
        <v>47636</v>
      </c>
      <c r="B6039" s="31"/>
      <c r="C6039" s="31"/>
      <c r="D6039" s="31"/>
      <c r="E6039" s="25"/>
      <c r="F6039" s="26"/>
    </row>
    <row r="6040" spans="1:6" ht="16.8" customHeight="1" x14ac:dyDescent="0.3">
      <c r="A6040" s="20">
        <v>47637</v>
      </c>
      <c r="B6040" s="31"/>
      <c r="C6040" s="31"/>
      <c r="D6040" s="31"/>
      <c r="E6040" s="25"/>
      <c r="F6040" s="26"/>
    </row>
    <row r="6041" spans="1:6" ht="16.8" customHeight="1" x14ac:dyDescent="0.3">
      <c r="A6041" s="20">
        <v>47638</v>
      </c>
      <c r="B6041" s="31"/>
      <c r="C6041" s="31"/>
      <c r="D6041" s="31"/>
      <c r="E6041" s="25"/>
      <c r="F6041" s="26"/>
    </row>
    <row r="6042" spans="1:6" ht="16.8" customHeight="1" x14ac:dyDescent="0.3">
      <c r="A6042" s="20">
        <v>47639</v>
      </c>
      <c r="B6042" s="31"/>
      <c r="C6042" s="31"/>
      <c r="D6042" s="31"/>
      <c r="E6042" s="25"/>
      <c r="F6042" s="26"/>
    </row>
    <row r="6043" spans="1:6" ht="16.8" customHeight="1" x14ac:dyDescent="0.3">
      <c r="A6043" s="20">
        <v>47640</v>
      </c>
      <c r="B6043" s="31"/>
      <c r="C6043" s="31"/>
      <c r="D6043" s="31"/>
      <c r="E6043" s="25"/>
      <c r="F6043" s="26"/>
    </row>
    <row r="6044" spans="1:6" ht="16.8" customHeight="1" x14ac:dyDescent="0.3">
      <c r="A6044" s="20">
        <v>47641</v>
      </c>
      <c r="B6044" s="31"/>
      <c r="C6044" s="31"/>
      <c r="D6044" s="31"/>
      <c r="E6044" s="25"/>
      <c r="F6044" s="26"/>
    </row>
    <row r="6045" spans="1:6" ht="16.8" customHeight="1" x14ac:dyDescent="0.3">
      <c r="A6045" s="20">
        <v>47642</v>
      </c>
      <c r="B6045" s="31"/>
      <c r="C6045" s="31"/>
      <c r="D6045" s="31"/>
      <c r="E6045" s="25"/>
      <c r="F6045" s="26"/>
    </row>
    <row r="6046" spans="1:6" ht="16.8" customHeight="1" x14ac:dyDescent="0.3">
      <c r="A6046" s="20">
        <v>47643</v>
      </c>
      <c r="B6046" s="31"/>
      <c r="C6046" s="31"/>
      <c r="D6046" s="31"/>
      <c r="E6046" s="25"/>
      <c r="F6046" s="26"/>
    </row>
    <row r="6047" spans="1:6" ht="16.8" customHeight="1" x14ac:dyDescent="0.3">
      <c r="A6047" s="20">
        <v>47644</v>
      </c>
      <c r="B6047" s="31"/>
      <c r="C6047" s="31"/>
      <c r="D6047" s="31"/>
      <c r="E6047" s="25"/>
      <c r="F6047" s="26"/>
    </row>
    <row r="6048" spans="1:6" ht="16.8" customHeight="1" x14ac:dyDescent="0.3">
      <c r="A6048" s="20">
        <v>47645</v>
      </c>
      <c r="B6048" s="31"/>
      <c r="C6048" s="31"/>
      <c r="D6048" s="31"/>
      <c r="E6048" s="25"/>
      <c r="F6048" s="26"/>
    </row>
    <row r="6049" spans="1:6" ht="16.8" customHeight="1" x14ac:dyDescent="0.3">
      <c r="A6049" s="20">
        <v>47646</v>
      </c>
      <c r="B6049" s="31"/>
      <c r="C6049" s="31"/>
      <c r="D6049" s="31"/>
      <c r="E6049" s="25"/>
      <c r="F6049" s="26"/>
    </row>
    <row r="6050" spans="1:6" ht="16.8" customHeight="1" x14ac:dyDescent="0.3">
      <c r="A6050" s="20">
        <v>47647</v>
      </c>
      <c r="B6050" s="31"/>
      <c r="C6050" s="31"/>
      <c r="D6050" s="31"/>
      <c r="E6050" s="25"/>
      <c r="F6050" s="26"/>
    </row>
    <row r="6051" spans="1:6" ht="16.8" customHeight="1" x14ac:dyDescent="0.3">
      <c r="A6051" s="20">
        <v>47648</v>
      </c>
      <c r="B6051" s="31"/>
      <c r="C6051" s="31"/>
      <c r="D6051" s="31"/>
      <c r="E6051" s="25"/>
      <c r="F6051" s="26"/>
    </row>
    <row r="6052" spans="1:6" ht="16.8" customHeight="1" x14ac:dyDescent="0.3">
      <c r="A6052" s="20">
        <v>47649</v>
      </c>
      <c r="B6052" s="31"/>
      <c r="C6052" s="31"/>
      <c r="D6052" s="31"/>
      <c r="E6052" s="25"/>
      <c r="F6052" s="26"/>
    </row>
    <row r="6053" spans="1:6" ht="16.8" customHeight="1" x14ac:dyDescent="0.3">
      <c r="A6053" s="20">
        <v>47650</v>
      </c>
      <c r="B6053" s="31"/>
      <c r="C6053" s="31"/>
      <c r="D6053" s="31"/>
      <c r="E6053" s="25"/>
      <c r="F6053" s="26"/>
    </row>
    <row r="6054" spans="1:6" ht="16.8" customHeight="1" x14ac:dyDescent="0.3">
      <c r="A6054" s="20">
        <v>47651</v>
      </c>
      <c r="B6054" s="31"/>
      <c r="C6054" s="31"/>
      <c r="D6054" s="31"/>
      <c r="E6054" s="25"/>
      <c r="F6054" s="26"/>
    </row>
    <row r="6055" spans="1:6" ht="16.8" customHeight="1" x14ac:dyDescent="0.3">
      <c r="A6055" s="20">
        <v>47652</v>
      </c>
      <c r="B6055" s="31"/>
      <c r="C6055" s="31"/>
      <c r="D6055" s="31"/>
      <c r="E6055" s="25"/>
      <c r="F6055" s="26"/>
    </row>
    <row r="6056" spans="1:6" ht="16.8" customHeight="1" x14ac:dyDescent="0.3">
      <c r="A6056" s="20">
        <v>47653</v>
      </c>
      <c r="B6056" s="31"/>
      <c r="C6056" s="31"/>
      <c r="D6056" s="31"/>
      <c r="E6056" s="25"/>
      <c r="F6056" s="26"/>
    </row>
    <row r="6057" spans="1:6" ht="16.8" customHeight="1" x14ac:dyDescent="0.3">
      <c r="A6057" s="20">
        <v>47654</v>
      </c>
      <c r="B6057" s="31"/>
      <c r="C6057" s="31"/>
      <c r="D6057" s="31"/>
      <c r="E6057" s="25"/>
      <c r="F6057" s="26"/>
    </row>
    <row r="6058" spans="1:6" ht="16.8" customHeight="1" x14ac:dyDescent="0.3">
      <c r="A6058" s="20">
        <v>47655</v>
      </c>
      <c r="B6058" s="31"/>
      <c r="C6058" s="31"/>
      <c r="D6058" s="31"/>
      <c r="E6058" s="25"/>
      <c r="F6058" s="26"/>
    </row>
    <row r="6059" spans="1:6" ht="16.8" customHeight="1" x14ac:dyDescent="0.3">
      <c r="A6059" s="20">
        <v>47656</v>
      </c>
      <c r="B6059" s="31"/>
      <c r="C6059" s="31"/>
      <c r="D6059" s="31"/>
      <c r="E6059" s="25"/>
      <c r="F6059" s="26"/>
    </row>
    <row r="6060" spans="1:6" ht="16.8" customHeight="1" x14ac:dyDescent="0.3">
      <c r="A6060" s="20">
        <v>47657</v>
      </c>
      <c r="B6060" s="31"/>
      <c r="C6060" s="31"/>
      <c r="D6060" s="31"/>
      <c r="E6060" s="25"/>
      <c r="F6060" s="26"/>
    </row>
    <row r="6061" spans="1:6" ht="16.8" customHeight="1" x14ac:dyDescent="0.3">
      <c r="A6061" s="20">
        <v>47658</v>
      </c>
      <c r="B6061" s="31"/>
      <c r="C6061" s="31"/>
      <c r="D6061" s="31"/>
      <c r="E6061" s="25"/>
      <c r="F6061" s="26"/>
    </row>
    <row r="6062" spans="1:6" ht="16.8" customHeight="1" x14ac:dyDescent="0.3">
      <c r="A6062" s="20">
        <v>47659</v>
      </c>
      <c r="B6062" s="31"/>
      <c r="C6062" s="31"/>
      <c r="D6062" s="31"/>
      <c r="E6062" s="25"/>
      <c r="F6062" s="26"/>
    </row>
    <row r="6063" spans="1:6" ht="16.8" customHeight="1" x14ac:dyDescent="0.3">
      <c r="A6063" s="20">
        <v>47660</v>
      </c>
      <c r="B6063" s="31"/>
      <c r="C6063" s="31"/>
      <c r="D6063" s="31"/>
      <c r="E6063" s="25"/>
      <c r="F6063" s="26"/>
    </row>
    <row r="6064" spans="1:6" ht="16.8" customHeight="1" x14ac:dyDescent="0.3">
      <c r="A6064" s="20">
        <v>47661</v>
      </c>
      <c r="B6064" s="31"/>
      <c r="C6064" s="31"/>
      <c r="D6064" s="31"/>
      <c r="E6064" s="25"/>
      <c r="F6064" s="26"/>
    </row>
    <row r="6065" spans="1:6" ht="16.8" customHeight="1" x14ac:dyDescent="0.3">
      <c r="A6065" s="20">
        <v>47662</v>
      </c>
      <c r="B6065" s="31"/>
      <c r="C6065" s="31"/>
      <c r="D6065" s="31"/>
      <c r="E6065" s="25"/>
      <c r="F6065" s="26"/>
    </row>
    <row r="6066" spans="1:6" ht="16.8" customHeight="1" x14ac:dyDescent="0.3">
      <c r="A6066" s="20">
        <v>47663</v>
      </c>
      <c r="B6066" s="31"/>
      <c r="C6066" s="31"/>
      <c r="D6066" s="31"/>
      <c r="E6066" s="25"/>
      <c r="F6066" s="26"/>
    </row>
    <row r="6067" spans="1:6" ht="16.8" customHeight="1" x14ac:dyDescent="0.3">
      <c r="A6067" s="20">
        <v>47664</v>
      </c>
      <c r="B6067" s="31"/>
      <c r="C6067" s="31"/>
      <c r="D6067" s="31"/>
      <c r="E6067" s="25"/>
      <c r="F6067" s="26"/>
    </row>
    <row r="6068" spans="1:6" ht="16.8" customHeight="1" x14ac:dyDescent="0.3">
      <c r="A6068" s="20">
        <v>47665</v>
      </c>
      <c r="B6068" s="31"/>
      <c r="C6068" s="31"/>
      <c r="D6068" s="31"/>
      <c r="E6068" s="25"/>
      <c r="F6068" s="26"/>
    </row>
    <row r="6069" spans="1:6" ht="16.8" customHeight="1" x14ac:dyDescent="0.3">
      <c r="A6069" s="20">
        <v>47666</v>
      </c>
      <c r="B6069" s="31"/>
      <c r="C6069" s="31"/>
      <c r="D6069" s="31"/>
      <c r="E6069" s="25"/>
      <c r="F6069" s="26"/>
    </row>
    <row r="6070" spans="1:6" ht="16.8" customHeight="1" x14ac:dyDescent="0.3">
      <c r="A6070" s="20">
        <v>47667</v>
      </c>
      <c r="B6070" s="31"/>
      <c r="C6070" s="31"/>
      <c r="D6070" s="31"/>
      <c r="E6070" s="25"/>
      <c r="F6070" s="26"/>
    </row>
    <row r="6071" spans="1:6" ht="16.8" customHeight="1" x14ac:dyDescent="0.3">
      <c r="A6071" s="20">
        <v>47668</v>
      </c>
      <c r="B6071" s="31"/>
      <c r="C6071" s="31"/>
      <c r="D6071" s="31"/>
      <c r="E6071" s="25"/>
      <c r="F6071" s="26"/>
    </row>
    <row r="6072" spans="1:6" ht="16.8" customHeight="1" x14ac:dyDescent="0.3">
      <c r="A6072" s="20">
        <v>47669</v>
      </c>
      <c r="B6072" s="31"/>
      <c r="C6072" s="31"/>
      <c r="D6072" s="31"/>
      <c r="E6072" s="25"/>
      <c r="F6072" s="26"/>
    </row>
    <row r="6073" spans="1:6" ht="16.8" customHeight="1" x14ac:dyDescent="0.3">
      <c r="A6073" s="20">
        <v>47670</v>
      </c>
      <c r="B6073" s="31"/>
      <c r="C6073" s="31"/>
      <c r="D6073" s="31"/>
      <c r="E6073" s="25"/>
      <c r="F6073" s="26"/>
    </row>
    <row r="6074" spans="1:6" ht="16.8" customHeight="1" x14ac:dyDescent="0.3">
      <c r="A6074" s="20">
        <v>47671</v>
      </c>
      <c r="B6074" s="31"/>
      <c r="C6074" s="31"/>
      <c r="D6074" s="31"/>
      <c r="E6074" s="25"/>
      <c r="F6074" s="26"/>
    </row>
    <row r="6075" spans="1:6" ht="16.8" customHeight="1" x14ac:dyDescent="0.3">
      <c r="A6075" s="20">
        <v>47672</v>
      </c>
      <c r="B6075" s="31"/>
      <c r="C6075" s="31"/>
      <c r="D6075" s="31"/>
      <c r="E6075" s="25"/>
      <c r="F6075" s="26"/>
    </row>
    <row r="6076" spans="1:6" ht="16.8" customHeight="1" x14ac:dyDescent="0.3">
      <c r="A6076" s="20">
        <v>47673</v>
      </c>
      <c r="B6076" s="31"/>
      <c r="C6076" s="31"/>
      <c r="D6076" s="31"/>
      <c r="E6076" s="25"/>
      <c r="F6076" s="26"/>
    </row>
    <row r="6077" spans="1:6" ht="16.8" customHeight="1" x14ac:dyDescent="0.3">
      <c r="A6077" s="20">
        <v>47674</v>
      </c>
      <c r="B6077" s="31"/>
      <c r="C6077" s="31"/>
      <c r="D6077" s="31"/>
      <c r="E6077" s="25"/>
      <c r="F6077" s="26"/>
    </row>
    <row r="6078" spans="1:6" ht="16.8" customHeight="1" x14ac:dyDescent="0.3">
      <c r="A6078" s="20">
        <v>47675</v>
      </c>
      <c r="B6078" s="31"/>
      <c r="C6078" s="31"/>
      <c r="D6078" s="31"/>
      <c r="E6078" s="25"/>
      <c r="F6078" s="26"/>
    </row>
    <row r="6079" spans="1:6" ht="16.8" customHeight="1" x14ac:dyDescent="0.3">
      <c r="A6079" s="20">
        <v>47676</v>
      </c>
      <c r="B6079" s="31"/>
      <c r="C6079" s="31"/>
      <c r="D6079" s="31"/>
      <c r="E6079" s="25"/>
      <c r="F6079" s="26"/>
    </row>
    <row r="6080" spans="1:6" ht="16.8" customHeight="1" x14ac:dyDescent="0.3">
      <c r="A6080" s="20">
        <v>47677</v>
      </c>
      <c r="B6080" s="31"/>
      <c r="C6080" s="31"/>
      <c r="D6080" s="31"/>
      <c r="E6080" s="25"/>
      <c r="F6080" s="26"/>
    </row>
    <row r="6081" spans="1:6" ht="16.8" customHeight="1" x14ac:dyDescent="0.3">
      <c r="A6081" s="20">
        <v>47678</v>
      </c>
      <c r="B6081" s="31"/>
      <c r="C6081" s="31"/>
      <c r="D6081" s="31"/>
      <c r="E6081" s="25"/>
      <c r="F6081" s="26"/>
    </row>
    <row r="6082" spans="1:6" ht="16.8" customHeight="1" x14ac:dyDescent="0.3">
      <c r="A6082" s="20">
        <v>47679</v>
      </c>
      <c r="B6082" s="31"/>
      <c r="C6082" s="31"/>
      <c r="D6082" s="31"/>
      <c r="E6082" s="25"/>
      <c r="F6082" s="26"/>
    </row>
    <row r="6083" spans="1:6" ht="16.8" customHeight="1" x14ac:dyDescent="0.3">
      <c r="A6083" s="20">
        <v>47680</v>
      </c>
      <c r="B6083" s="31"/>
      <c r="C6083" s="31"/>
      <c r="D6083" s="31"/>
      <c r="E6083" s="25"/>
      <c r="F6083" s="26"/>
    </row>
    <row r="6084" spans="1:6" ht="16.8" customHeight="1" x14ac:dyDescent="0.3">
      <c r="A6084" s="20">
        <v>47681</v>
      </c>
      <c r="B6084" s="31"/>
      <c r="C6084" s="31"/>
      <c r="D6084" s="31"/>
      <c r="E6084" s="25"/>
      <c r="F6084" s="26"/>
    </row>
    <row r="6085" spans="1:6" ht="16.8" customHeight="1" x14ac:dyDescent="0.3">
      <c r="A6085" s="20">
        <v>47682</v>
      </c>
      <c r="B6085" s="31"/>
      <c r="C6085" s="31"/>
      <c r="D6085" s="31"/>
      <c r="E6085" s="25"/>
      <c r="F6085" s="26"/>
    </row>
    <row r="6086" spans="1:6" ht="16.8" customHeight="1" x14ac:dyDescent="0.3">
      <c r="A6086" s="20">
        <v>47683</v>
      </c>
      <c r="B6086" s="31"/>
      <c r="C6086" s="31"/>
      <c r="D6086" s="31"/>
      <c r="E6086" s="25"/>
      <c r="F6086" s="26"/>
    </row>
    <row r="6087" spans="1:6" ht="16.8" customHeight="1" x14ac:dyDescent="0.3">
      <c r="A6087" s="20">
        <v>47684</v>
      </c>
      <c r="B6087" s="31"/>
      <c r="C6087" s="31"/>
      <c r="D6087" s="31"/>
      <c r="E6087" s="25"/>
      <c r="F6087" s="26"/>
    </row>
    <row r="6088" spans="1:6" ht="16.8" customHeight="1" x14ac:dyDescent="0.3">
      <c r="A6088" s="20">
        <v>47685</v>
      </c>
      <c r="B6088" s="31"/>
      <c r="C6088" s="31"/>
      <c r="D6088" s="31"/>
      <c r="E6088" s="25"/>
      <c r="F6088" s="26"/>
    </row>
    <row r="6089" spans="1:6" ht="16.8" customHeight="1" x14ac:dyDescent="0.3">
      <c r="A6089" s="20">
        <v>47686</v>
      </c>
      <c r="B6089" s="31"/>
      <c r="C6089" s="31"/>
      <c r="D6089" s="31"/>
      <c r="E6089" s="25"/>
      <c r="F6089" s="26"/>
    </row>
    <row r="6090" spans="1:6" ht="16.8" customHeight="1" x14ac:dyDescent="0.3">
      <c r="A6090" s="20">
        <v>47687</v>
      </c>
      <c r="B6090" s="31"/>
      <c r="C6090" s="31"/>
      <c r="D6090" s="31"/>
      <c r="E6090" s="25"/>
      <c r="F6090" s="26"/>
    </row>
    <row r="6091" spans="1:6" ht="16.8" customHeight="1" x14ac:dyDescent="0.3">
      <c r="A6091" s="20">
        <v>47688</v>
      </c>
      <c r="B6091" s="31"/>
      <c r="C6091" s="31"/>
      <c r="D6091" s="31"/>
      <c r="E6091" s="25"/>
      <c r="F6091" s="26"/>
    </row>
    <row r="6092" spans="1:6" ht="16.8" customHeight="1" x14ac:dyDescent="0.3">
      <c r="A6092" s="20">
        <v>47689</v>
      </c>
      <c r="B6092" s="31"/>
      <c r="C6092" s="31"/>
      <c r="D6092" s="31"/>
      <c r="E6092" s="25"/>
      <c r="F6092" s="26"/>
    </row>
    <row r="6093" spans="1:6" ht="16.8" customHeight="1" x14ac:dyDescent="0.3">
      <c r="A6093" s="20">
        <v>47690</v>
      </c>
      <c r="B6093" s="31"/>
      <c r="C6093" s="31"/>
      <c r="D6093" s="31"/>
      <c r="E6093" s="25"/>
      <c r="F6093" s="26"/>
    </row>
    <row r="6094" spans="1:6" ht="16.8" customHeight="1" x14ac:dyDescent="0.3">
      <c r="A6094" s="20">
        <v>47691</v>
      </c>
      <c r="B6094" s="31"/>
      <c r="C6094" s="31"/>
      <c r="D6094" s="31"/>
      <c r="E6094" s="25"/>
      <c r="F6094" s="26"/>
    </row>
    <row r="6095" spans="1:6" ht="16.8" customHeight="1" x14ac:dyDescent="0.3">
      <c r="A6095" s="20">
        <v>47692</v>
      </c>
      <c r="B6095" s="31"/>
      <c r="C6095" s="31"/>
      <c r="D6095" s="31"/>
      <c r="E6095" s="25"/>
      <c r="F6095" s="26"/>
    </row>
    <row r="6096" spans="1:6" ht="16.8" customHeight="1" x14ac:dyDescent="0.3">
      <c r="A6096" s="20">
        <v>47693</v>
      </c>
      <c r="B6096" s="31"/>
      <c r="C6096" s="31"/>
      <c r="D6096" s="31"/>
      <c r="E6096" s="25"/>
      <c r="F6096" s="26"/>
    </row>
    <row r="6097" spans="1:6" ht="16.8" customHeight="1" x14ac:dyDescent="0.3">
      <c r="A6097" s="20">
        <v>47694</v>
      </c>
      <c r="B6097" s="31"/>
      <c r="C6097" s="31"/>
      <c r="D6097" s="31"/>
      <c r="E6097" s="25"/>
      <c r="F6097" s="26"/>
    </row>
    <row r="6098" spans="1:6" ht="16.8" customHeight="1" x14ac:dyDescent="0.3">
      <c r="A6098" s="20">
        <v>47695</v>
      </c>
      <c r="B6098" s="31"/>
      <c r="C6098" s="31"/>
      <c r="D6098" s="31"/>
      <c r="E6098" s="25"/>
      <c r="F6098" s="26"/>
    </row>
    <row r="6099" spans="1:6" ht="16.8" customHeight="1" x14ac:dyDescent="0.3">
      <c r="A6099" s="20">
        <v>47696</v>
      </c>
      <c r="B6099" s="31"/>
      <c r="C6099" s="31"/>
      <c r="D6099" s="31"/>
      <c r="E6099" s="25"/>
      <c r="F6099" s="26"/>
    </row>
    <row r="6100" spans="1:6" ht="16.8" customHeight="1" x14ac:dyDescent="0.3">
      <c r="A6100" s="20">
        <v>47697</v>
      </c>
      <c r="B6100" s="31"/>
      <c r="C6100" s="31"/>
      <c r="D6100" s="31"/>
      <c r="E6100" s="25"/>
      <c r="F6100" s="26"/>
    </row>
    <row r="6101" spans="1:6" ht="16.8" customHeight="1" x14ac:dyDescent="0.3">
      <c r="A6101" s="20">
        <v>47698</v>
      </c>
      <c r="B6101" s="31"/>
      <c r="C6101" s="31"/>
      <c r="D6101" s="31"/>
      <c r="E6101" s="25"/>
      <c r="F6101" s="26"/>
    </row>
    <row r="6102" spans="1:6" ht="16.8" customHeight="1" x14ac:dyDescent="0.3">
      <c r="A6102" s="20">
        <v>47699</v>
      </c>
      <c r="B6102" s="31"/>
      <c r="C6102" s="31"/>
      <c r="D6102" s="31"/>
      <c r="E6102" s="25"/>
      <c r="F6102" s="26"/>
    </row>
    <row r="6103" spans="1:6" ht="16.8" customHeight="1" x14ac:dyDescent="0.3">
      <c r="A6103" s="20">
        <v>47700</v>
      </c>
      <c r="B6103" s="31"/>
      <c r="C6103" s="31"/>
      <c r="D6103" s="31"/>
      <c r="E6103" s="25"/>
      <c r="F6103" s="26"/>
    </row>
    <row r="6104" spans="1:6" ht="16.8" customHeight="1" x14ac:dyDescent="0.3">
      <c r="A6104" s="20">
        <v>47701</v>
      </c>
      <c r="B6104" s="31"/>
      <c r="C6104" s="31"/>
      <c r="D6104" s="31"/>
      <c r="E6104" s="25"/>
      <c r="F6104" s="26"/>
    </row>
    <row r="6105" spans="1:6" ht="16.8" customHeight="1" x14ac:dyDescent="0.3">
      <c r="A6105" s="20">
        <v>47702</v>
      </c>
      <c r="B6105" s="31"/>
      <c r="C6105" s="31"/>
      <c r="D6105" s="31"/>
      <c r="E6105" s="25"/>
      <c r="F6105" s="26"/>
    </row>
    <row r="6106" spans="1:6" ht="16.8" customHeight="1" x14ac:dyDescent="0.3">
      <c r="A6106" s="20">
        <v>47703</v>
      </c>
      <c r="B6106" s="31"/>
      <c r="C6106" s="31"/>
      <c r="D6106" s="31"/>
      <c r="E6106" s="25"/>
      <c r="F6106" s="26"/>
    </row>
    <row r="6107" spans="1:6" ht="16.8" customHeight="1" x14ac:dyDescent="0.3">
      <c r="A6107" s="20">
        <v>47704</v>
      </c>
      <c r="B6107" s="31"/>
      <c r="C6107" s="31"/>
      <c r="D6107" s="31"/>
      <c r="E6107" s="25"/>
      <c r="F6107" s="26"/>
    </row>
    <row r="6108" spans="1:6" ht="16.8" customHeight="1" x14ac:dyDescent="0.3">
      <c r="A6108" s="20">
        <v>47705</v>
      </c>
      <c r="B6108" s="31"/>
      <c r="C6108" s="31"/>
      <c r="D6108" s="31"/>
      <c r="E6108" s="25"/>
      <c r="F6108" s="26"/>
    </row>
    <row r="6109" spans="1:6" ht="16.8" customHeight="1" x14ac:dyDescent="0.3">
      <c r="A6109" s="20">
        <v>47706</v>
      </c>
      <c r="B6109" s="31"/>
      <c r="C6109" s="31"/>
      <c r="D6109" s="31"/>
      <c r="E6109" s="25"/>
      <c r="F6109" s="26"/>
    </row>
    <row r="6110" spans="1:6" ht="16.8" customHeight="1" x14ac:dyDescent="0.3">
      <c r="A6110" s="20">
        <v>47707</v>
      </c>
      <c r="B6110" s="31"/>
      <c r="C6110" s="31"/>
      <c r="D6110" s="31"/>
      <c r="E6110" s="25"/>
      <c r="F6110" s="26"/>
    </row>
    <row r="6111" spans="1:6" ht="16.8" customHeight="1" x14ac:dyDescent="0.3">
      <c r="A6111" s="20">
        <v>47708</v>
      </c>
      <c r="B6111" s="31"/>
      <c r="C6111" s="31"/>
      <c r="D6111" s="31"/>
      <c r="E6111" s="25"/>
      <c r="F6111" s="26"/>
    </row>
    <row r="6112" spans="1:6" ht="16.8" customHeight="1" x14ac:dyDescent="0.3">
      <c r="A6112" s="20">
        <v>47709</v>
      </c>
      <c r="B6112" s="31"/>
      <c r="C6112" s="31"/>
      <c r="D6112" s="31"/>
      <c r="E6112" s="25"/>
      <c r="F6112" s="26"/>
    </row>
    <row r="6113" spans="1:6" ht="16.8" customHeight="1" x14ac:dyDescent="0.3">
      <c r="A6113" s="20">
        <v>47710</v>
      </c>
      <c r="B6113" s="31"/>
      <c r="C6113" s="31"/>
      <c r="D6113" s="31"/>
      <c r="E6113" s="25"/>
      <c r="F6113" s="26"/>
    </row>
    <row r="6114" spans="1:6" ht="16.8" customHeight="1" x14ac:dyDescent="0.3">
      <c r="A6114" s="20">
        <v>47711</v>
      </c>
      <c r="B6114" s="31"/>
      <c r="C6114" s="31"/>
      <c r="D6114" s="31"/>
      <c r="E6114" s="25"/>
      <c r="F6114" s="26"/>
    </row>
    <row r="6115" spans="1:6" ht="16.8" customHeight="1" x14ac:dyDescent="0.3">
      <c r="A6115" s="20">
        <v>47712</v>
      </c>
      <c r="B6115" s="31"/>
      <c r="C6115" s="31"/>
      <c r="D6115" s="31"/>
      <c r="E6115" s="25"/>
      <c r="F6115" s="26"/>
    </row>
    <row r="6116" spans="1:6" ht="16.8" customHeight="1" x14ac:dyDescent="0.3">
      <c r="A6116" s="20">
        <v>47713</v>
      </c>
      <c r="B6116" s="31"/>
      <c r="C6116" s="31"/>
      <c r="D6116" s="31"/>
      <c r="E6116" s="25"/>
      <c r="F6116" s="26"/>
    </row>
    <row r="6117" spans="1:6" ht="16.8" customHeight="1" x14ac:dyDescent="0.3">
      <c r="A6117" s="20">
        <v>47714</v>
      </c>
      <c r="B6117" s="31"/>
      <c r="C6117" s="31"/>
      <c r="D6117" s="31"/>
      <c r="E6117" s="25"/>
      <c r="F6117" s="26"/>
    </row>
    <row r="6118" spans="1:6" ht="16.8" customHeight="1" x14ac:dyDescent="0.3">
      <c r="A6118" s="20">
        <v>47715</v>
      </c>
      <c r="B6118" s="31"/>
      <c r="C6118" s="31"/>
      <c r="D6118" s="31"/>
      <c r="E6118" s="25"/>
      <c r="F6118" s="26"/>
    </row>
    <row r="6119" spans="1:6" ht="16.8" customHeight="1" x14ac:dyDescent="0.3">
      <c r="A6119" s="20">
        <v>47716</v>
      </c>
      <c r="B6119" s="31"/>
      <c r="C6119" s="31"/>
      <c r="D6119" s="31"/>
      <c r="E6119" s="25"/>
      <c r="F6119" s="26"/>
    </row>
    <row r="6120" spans="1:6" ht="16.8" customHeight="1" x14ac:dyDescent="0.3">
      <c r="A6120" s="20">
        <v>47717</v>
      </c>
      <c r="B6120" s="31"/>
      <c r="C6120" s="31"/>
      <c r="D6120" s="31"/>
      <c r="E6120" s="25"/>
      <c r="F6120" s="26"/>
    </row>
    <row r="6121" spans="1:6" ht="16.8" customHeight="1" x14ac:dyDescent="0.3">
      <c r="A6121" s="20">
        <v>47718</v>
      </c>
      <c r="B6121" s="31"/>
      <c r="C6121" s="31"/>
      <c r="D6121" s="31"/>
      <c r="E6121" s="25"/>
      <c r="F6121" s="26"/>
    </row>
    <row r="6122" spans="1:6" ht="16.8" customHeight="1" x14ac:dyDescent="0.3">
      <c r="A6122" s="20">
        <v>47719</v>
      </c>
      <c r="B6122" s="31"/>
      <c r="C6122" s="31"/>
      <c r="D6122" s="31"/>
      <c r="E6122" s="25"/>
      <c r="F6122" s="26"/>
    </row>
    <row r="6123" spans="1:6" ht="16.8" customHeight="1" x14ac:dyDescent="0.3">
      <c r="A6123" s="20">
        <v>47720</v>
      </c>
      <c r="B6123" s="31"/>
      <c r="C6123" s="31"/>
      <c r="D6123" s="31"/>
      <c r="E6123" s="25"/>
      <c r="F6123" s="26"/>
    </row>
    <row r="6124" spans="1:6" ht="16.8" customHeight="1" x14ac:dyDescent="0.3">
      <c r="A6124" s="20">
        <v>47721</v>
      </c>
      <c r="B6124" s="31"/>
      <c r="C6124" s="31"/>
      <c r="D6124" s="31"/>
      <c r="E6124" s="25"/>
      <c r="F6124" s="26"/>
    </row>
    <row r="6125" spans="1:6" ht="16.8" customHeight="1" x14ac:dyDescent="0.3">
      <c r="A6125" s="20">
        <v>47722</v>
      </c>
      <c r="B6125" s="31"/>
      <c r="C6125" s="31"/>
      <c r="D6125" s="31"/>
      <c r="E6125" s="25"/>
      <c r="F6125" s="26"/>
    </row>
    <row r="6126" spans="1:6" ht="16.8" customHeight="1" x14ac:dyDescent="0.3">
      <c r="A6126" s="20">
        <v>47723</v>
      </c>
      <c r="B6126" s="31"/>
      <c r="C6126" s="31"/>
      <c r="D6126" s="31"/>
      <c r="E6126" s="25"/>
      <c r="F6126" s="26"/>
    </row>
    <row r="6127" spans="1:6" ht="16.8" customHeight="1" x14ac:dyDescent="0.3">
      <c r="A6127" s="20">
        <v>47724</v>
      </c>
      <c r="B6127" s="31"/>
      <c r="C6127" s="31"/>
      <c r="D6127" s="31"/>
      <c r="E6127" s="25"/>
      <c r="F6127" s="26"/>
    </row>
    <row r="6128" spans="1:6" ht="16.8" customHeight="1" x14ac:dyDescent="0.3">
      <c r="A6128" s="20">
        <v>47725</v>
      </c>
      <c r="B6128" s="31"/>
      <c r="C6128" s="31"/>
      <c r="D6128" s="31"/>
      <c r="E6128" s="25"/>
      <c r="F6128" s="26"/>
    </row>
    <row r="6129" spans="1:6" ht="16.8" customHeight="1" x14ac:dyDescent="0.3">
      <c r="A6129" s="20">
        <v>47726</v>
      </c>
      <c r="B6129" s="31"/>
      <c r="C6129" s="31"/>
      <c r="D6129" s="31"/>
      <c r="E6129" s="25"/>
      <c r="F6129" s="26"/>
    </row>
    <row r="6130" spans="1:6" ht="16.8" customHeight="1" x14ac:dyDescent="0.3">
      <c r="A6130" s="20">
        <v>47727</v>
      </c>
      <c r="B6130" s="31"/>
      <c r="C6130" s="31"/>
      <c r="D6130" s="31"/>
      <c r="E6130" s="25"/>
      <c r="F6130" s="26"/>
    </row>
    <row r="6131" spans="1:6" ht="16.8" customHeight="1" x14ac:dyDescent="0.3">
      <c r="A6131" s="20">
        <v>47728</v>
      </c>
      <c r="B6131" s="31"/>
      <c r="C6131" s="31"/>
      <c r="D6131" s="31"/>
      <c r="E6131" s="25"/>
      <c r="F6131" s="26"/>
    </row>
    <row r="6132" spans="1:6" ht="16.8" customHeight="1" x14ac:dyDescent="0.3">
      <c r="A6132" s="20">
        <v>47729</v>
      </c>
      <c r="B6132" s="31"/>
      <c r="C6132" s="31"/>
      <c r="D6132" s="31"/>
      <c r="E6132" s="25"/>
      <c r="F6132" s="26"/>
    </row>
    <row r="6133" spans="1:6" ht="16.8" customHeight="1" x14ac:dyDescent="0.3">
      <c r="A6133" s="20">
        <v>47730</v>
      </c>
      <c r="B6133" s="31"/>
      <c r="C6133" s="31"/>
      <c r="D6133" s="31"/>
      <c r="E6133" s="25"/>
      <c r="F6133" s="26"/>
    </row>
    <row r="6134" spans="1:6" ht="16.8" customHeight="1" x14ac:dyDescent="0.3">
      <c r="A6134" s="20">
        <v>47731</v>
      </c>
      <c r="B6134" s="31"/>
      <c r="C6134" s="31"/>
      <c r="D6134" s="31"/>
      <c r="E6134" s="25"/>
      <c r="F6134" s="26"/>
    </row>
    <row r="6135" spans="1:6" ht="16.8" customHeight="1" x14ac:dyDescent="0.3">
      <c r="A6135" s="20">
        <v>47732</v>
      </c>
      <c r="B6135" s="31"/>
      <c r="C6135" s="31"/>
      <c r="D6135" s="31"/>
      <c r="E6135" s="25"/>
      <c r="F6135" s="26"/>
    </row>
    <row r="6136" spans="1:6" ht="16.8" customHeight="1" x14ac:dyDescent="0.3">
      <c r="A6136" s="20">
        <v>47733</v>
      </c>
      <c r="B6136" s="31"/>
      <c r="C6136" s="31"/>
      <c r="D6136" s="31"/>
      <c r="E6136" s="25"/>
      <c r="F6136" s="26"/>
    </row>
    <row r="6137" spans="1:6" ht="16.8" customHeight="1" x14ac:dyDescent="0.3">
      <c r="A6137" s="20">
        <v>47734</v>
      </c>
      <c r="B6137" s="31"/>
      <c r="C6137" s="31"/>
      <c r="D6137" s="31"/>
      <c r="E6137" s="25"/>
      <c r="F6137" s="26"/>
    </row>
    <row r="6138" spans="1:6" ht="16.8" customHeight="1" x14ac:dyDescent="0.3">
      <c r="A6138" s="20">
        <v>47735</v>
      </c>
      <c r="B6138" s="31"/>
      <c r="C6138" s="31"/>
      <c r="D6138" s="31"/>
      <c r="E6138" s="25"/>
      <c r="F6138" s="26"/>
    </row>
    <row r="6139" spans="1:6" ht="16.8" customHeight="1" x14ac:dyDescent="0.3">
      <c r="A6139" s="20">
        <v>47736</v>
      </c>
      <c r="B6139" s="31"/>
      <c r="C6139" s="31"/>
      <c r="D6139" s="31"/>
      <c r="E6139" s="25"/>
      <c r="F6139" s="26"/>
    </row>
    <row r="6140" spans="1:6" ht="16.8" customHeight="1" x14ac:dyDescent="0.3">
      <c r="A6140" s="20">
        <v>47737</v>
      </c>
      <c r="B6140" s="31"/>
      <c r="C6140" s="31"/>
      <c r="D6140" s="31"/>
      <c r="E6140" s="25"/>
      <c r="F6140" s="26"/>
    </row>
    <row r="6141" spans="1:6" ht="16.8" customHeight="1" x14ac:dyDescent="0.3">
      <c r="A6141" s="20">
        <v>47738</v>
      </c>
      <c r="B6141" s="31"/>
      <c r="C6141" s="31"/>
      <c r="D6141" s="31"/>
      <c r="E6141" s="25"/>
      <c r="F6141" s="26"/>
    </row>
    <row r="6142" spans="1:6" ht="16.8" customHeight="1" x14ac:dyDescent="0.3">
      <c r="A6142" s="20">
        <v>47739</v>
      </c>
      <c r="B6142" s="31"/>
      <c r="C6142" s="31"/>
      <c r="D6142" s="31"/>
      <c r="E6142" s="25"/>
      <c r="F6142" s="26"/>
    </row>
    <row r="6143" spans="1:6" ht="16.8" customHeight="1" x14ac:dyDescent="0.3">
      <c r="A6143" s="20">
        <v>47740</v>
      </c>
      <c r="B6143" s="31"/>
      <c r="C6143" s="31"/>
      <c r="D6143" s="31"/>
      <c r="E6143" s="25"/>
      <c r="F6143" s="26"/>
    </row>
    <row r="6144" spans="1:6" ht="16.8" customHeight="1" x14ac:dyDescent="0.3">
      <c r="A6144" s="20">
        <v>47741</v>
      </c>
      <c r="B6144" s="31"/>
      <c r="C6144" s="31"/>
      <c r="D6144" s="31"/>
      <c r="E6144" s="25"/>
      <c r="F6144" s="26"/>
    </row>
    <row r="6145" spans="1:6" ht="16.8" customHeight="1" x14ac:dyDescent="0.3">
      <c r="A6145" s="20">
        <v>47742</v>
      </c>
      <c r="B6145" s="31"/>
      <c r="C6145" s="31"/>
      <c r="D6145" s="31"/>
      <c r="E6145" s="25"/>
      <c r="F6145" s="26"/>
    </row>
    <row r="6146" spans="1:6" ht="16.8" customHeight="1" x14ac:dyDescent="0.3">
      <c r="A6146" s="20">
        <v>47743</v>
      </c>
      <c r="B6146" s="31"/>
      <c r="C6146" s="31"/>
      <c r="D6146" s="31"/>
      <c r="E6146" s="25"/>
      <c r="F6146" s="26"/>
    </row>
    <row r="6147" spans="1:6" ht="16.8" customHeight="1" x14ac:dyDescent="0.3">
      <c r="A6147" s="20">
        <v>47744</v>
      </c>
      <c r="B6147" s="31"/>
      <c r="C6147" s="31"/>
      <c r="D6147" s="31"/>
      <c r="E6147" s="25"/>
      <c r="F6147" s="26"/>
    </row>
    <row r="6148" spans="1:6" ht="16.8" customHeight="1" x14ac:dyDescent="0.3">
      <c r="A6148" s="20">
        <v>47745</v>
      </c>
      <c r="B6148" s="31"/>
      <c r="C6148" s="31"/>
      <c r="D6148" s="31"/>
      <c r="E6148" s="25"/>
      <c r="F6148" s="26"/>
    </row>
    <row r="6149" spans="1:6" ht="16.8" customHeight="1" x14ac:dyDescent="0.3">
      <c r="A6149" s="20">
        <v>47746</v>
      </c>
      <c r="B6149" s="31"/>
      <c r="C6149" s="31"/>
      <c r="D6149" s="31"/>
      <c r="E6149" s="25"/>
      <c r="F6149" s="26"/>
    </row>
    <row r="6150" spans="1:6" ht="16.8" customHeight="1" x14ac:dyDescent="0.3">
      <c r="A6150" s="20">
        <v>47747</v>
      </c>
      <c r="B6150" s="31"/>
      <c r="C6150" s="31"/>
      <c r="D6150" s="31"/>
      <c r="E6150" s="25"/>
      <c r="F6150" s="26"/>
    </row>
    <row r="6151" spans="1:6" ht="16.8" customHeight="1" x14ac:dyDescent="0.3">
      <c r="A6151" s="20">
        <v>47748</v>
      </c>
      <c r="B6151" s="31"/>
      <c r="C6151" s="31"/>
      <c r="D6151" s="31"/>
      <c r="E6151" s="25"/>
      <c r="F6151" s="26"/>
    </row>
    <row r="6152" spans="1:6" ht="16.8" customHeight="1" x14ac:dyDescent="0.3">
      <c r="A6152" s="20">
        <v>47749</v>
      </c>
      <c r="B6152" s="31"/>
      <c r="C6152" s="31"/>
      <c r="D6152" s="31"/>
      <c r="E6152" s="25"/>
      <c r="F6152" s="26"/>
    </row>
    <row r="6153" spans="1:6" ht="16.8" customHeight="1" x14ac:dyDescent="0.3">
      <c r="A6153" s="20">
        <v>47750</v>
      </c>
      <c r="B6153" s="31"/>
      <c r="C6153" s="31"/>
      <c r="D6153" s="31"/>
      <c r="E6153" s="25"/>
      <c r="F6153" s="26"/>
    </row>
    <row r="6154" spans="1:6" ht="16.8" customHeight="1" x14ac:dyDescent="0.3">
      <c r="A6154" s="20">
        <v>47751</v>
      </c>
      <c r="B6154" s="31"/>
      <c r="C6154" s="31"/>
      <c r="D6154" s="31"/>
      <c r="E6154" s="25"/>
      <c r="F6154" s="26"/>
    </row>
    <row r="6155" spans="1:6" ht="16.8" customHeight="1" x14ac:dyDescent="0.3">
      <c r="A6155" s="20">
        <v>47752</v>
      </c>
      <c r="B6155" s="31"/>
      <c r="C6155" s="31"/>
      <c r="D6155" s="31"/>
      <c r="E6155" s="25"/>
      <c r="F6155" s="26"/>
    </row>
    <row r="6156" spans="1:6" ht="16.8" customHeight="1" x14ac:dyDescent="0.3">
      <c r="A6156" s="20">
        <v>47753</v>
      </c>
      <c r="B6156" s="31"/>
      <c r="C6156" s="31"/>
      <c r="D6156" s="31"/>
      <c r="E6156" s="25"/>
      <c r="F6156" s="26"/>
    </row>
    <row r="6157" spans="1:6" ht="16.8" customHeight="1" x14ac:dyDescent="0.3">
      <c r="A6157" s="20">
        <v>47754</v>
      </c>
      <c r="B6157" s="31"/>
      <c r="C6157" s="31"/>
      <c r="D6157" s="31"/>
      <c r="E6157" s="25"/>
      <c r="F6157" s="26"/>
    </row>
    <row r="6158" spans="1:6" ht="16.8" customHeight="1" x14ac:dyDescent="0.3">
      <c r="A6158" s="20">
        <v>47755</v>
      </c>
      <c r="B6158" s="31"/>
      <c r="C6158" s="31"/>
      <c r="D6158" s="31"/>
      <c r="E6158" s="25"/>
      <c r="F6158" s="26"/>
    </row>
    <row r="6159" spans="1:6" ht="16.8" customHeight="1" x14ac:dyDescent="0.3">
      <c r="A6159" s="20">
        <v>47756</v>
      </c>
      <c r="B6159" s="31"/>
      <c r="C6159" s="31"/>
      <c r="D6159" s="31"/>
      <c r="E6159" s="25"/>
      <c r="F6159" s="26"/>
    </row>
    <row r="6160" spans="1:6" ht="16.8" customHeight="1" x14ac:dyDescent="0.3">
      <c r="A6160" s="20">
        <v>47757</v>
      </c>
      <c r="B6160" s="31"/>
      <c r="C6160" s="31"/>
      <c r="D6160" s="31"/>
      <c r="E6160" s="25"/>
      <c r="F6160" s="26"/>
    </row>
    <row r="6161" spans="1:6" ht="16.8" customHeight="1" x14ac:dyDescent="0.3">
      <c r="A6161" s="20">
        <v>47758</v>
      </c>
      <c r="B6161" s="31"/>
      <c r="C6161" s="31"/>
      <c r="D6161" s="31"/>
      <c r="E6161" s="25"/>
      <c r="F6161" s="26"/>
    </row>
    <row r="6162" spans="1:6" ht="16.8" customHeight="1" x14ac:dyDescent="0.3">
      <c r="A6162" s="20">
        <v>47759</v>
      </c>
      <c r="B6162" s="31"/>
      <c r="C6162" s="31"/>
      <c r="D6162" s="31"/>
      <c r="E6162" s="25"/>
      <c r="F6162" s="26"/>
    </row>
    <row r="6163" spans="1:6" ht="16.8" customHeight="1" x14ac:dyDescent="0.3">
      <c r="A6163" s="20">
        <v>47760</v>
      </c>
      <c r="B6163" s="31"/>
      <c r="C6163" s="31"/>
      <c r="D6163" s="31"/>
      <c r="E6163" s="25"/>
      <c r="F6163" s="26"/>
    </row>
    <row r="6164" spans="1:6" ht="16.8" customHeight="1" x14ac:dyDescent="0.3">
      <c r="A6164" s="20">
        <v>47761</v>
      </c>
      <c r="B6164" s="31"/>
      <c r="C6164" s="31"/>
      <c r="D6164" s="31"/>
      <c r="E6164" s="25"/>
      <c r="F6164" s="26"/>
    </row>
    <row r="6165" spans="1:6" ht="16.8" customHeight="1" x14ac:dyDescent="0.3">
      <c r="A6165" s="20">
        <v>47762</v>
      </c>
      <c r="B6165" s="31"/>
      <c r="C6165" s="31"/>
      <c r="D6165" s="31"/>
      <c r="E6165" s="25"/>
      <c r="F6165" s="26"/>
    </row>
    <row r="6166" spans="1:6" ht="16.8" customHeight="1" x14ac:dyDescent="0.3">
      <c r="A6166" s="20">
        <v>47763</v>
      </c>
      <c r="B6166" s="31"/>
      <c r="C6166" s="31"/>
      <c r="D6166" s="31"/>
      <c r="E6166" s="25"/>
      <c r="F6166" s="26"/>
    </row>
    <row r="6167" spans="1:6" ht="16.8" customHeight="1" x14ac:dyDescent="0.3">
      <c r="A6167" s="20">
        <v>47764</v>
      </c>
      <c r="B6167" s="31"/>
      <c r="C6167" s="31"/>
      <c r="D6167" s="31"/>
      <c r="E6167" s="25"/>
      <c r="F6167" s="26"/>
    </row>
    <row r="6168" spans="1:6" ht="16.8" customHeight="1" x14ac:dyDescent="0.3">
      <c r="A6168" s="20">
        <v>47765</v>
      </c>
      <c r="B6168" s="31"/>
      <c r="C6168" s="31"/>
      <c r="D6168" s="31"/>
      <c r="E6168" s="25"/>
      <c r="F6168" s="26"/>
    </row>
    <row r="6169" spans="1:6" ht="16.8" customHeight="1" x14ac:dyDescent="0.3">
      <c r="A6169" s="20">
        <v>47766</v>
      </c>
      <c r="B6169" s="31"/>
      <c r="C6169" s="31"/>
      <c r="D6169" s="31"/>
      <c r="E6169" s="25"/>
      <c r="F6169" s="26"/>
    </row>
    <row r="6170" spans="1:6" ht="16.8" customHeight="1" x14ac:dyDescent="0.3">
      <c r="A6170" s="20">
        <v>47767</v>
      </c>
      <c r="B6170" s="31"/>
      <c r="C6170" s="31"/>
      <c r="D6170" s="31"/>
      <c r="E6170" s="25"/>
      <c r="F6170" s="26"/>
    </row>
    <row r="6171" spans="1:6" ht="16.8" customHeight="1" x14ac:dyDescent="0.3">
      <c r="A6171" s="20">
        <v>47768</v>
      </c>
      <c r="B6171" s="31"/>
      <c r="C6171" s="31"/>
      <c r="D6171" s="31"/>
      <c r="E6171" s="25"/>
      <c r="F6171" s="26"/>
    </row>
    <row r="6172" spans="1:6" ht="16.8" customHeight="1" x14ac:dyDescent="0.3">
      <c r="A6172" s="20">
        <v>47769</v>
      </c>
      <c r="B6172" s="31"/>
      <c r="C6172" s="31"/>
      <c r="D6172" s="31"/>
      <c r="E6172" s="25"/>
      <c r="F6172" s="26"/>
    </row>
    <row r="6173" spans="1:6" ht="16.8" customHeight="1" x14ac:dyDescent="0.3">
      <c r="A6173" s="20">
        <v>47770</v>
      </c>
      <c r="B6173" s="31"/>
      <c r="C6173" s="31"/>
      <c r="D6173" s="31"/>
      <c r="E6173" s="25"/>
      <c r="F6173" s="26"/>
    </row>
    <row r="6174" spans="1:6" ht="16.8" customHeight="1" x14ac:dyDescent="0.3">
      <c r="A6174" s="20">
        <v>47771</v>
      </c>
      <c r="B6174" s="31"/>
      <c r="C6174" s="31"/>
      <c r="D6174" s="31"/>
      <c r="E6174" s="25"/>
      <c r="F6174" s="26"/>
    </row>
    <row r="6175" spans="1:6" ht="16.8" customHeight="1" x14ac:dyDescent="0.3">
      <c r="A6175" s="20">
        <v>47772</v>
      </c>
      <c r="B6175" s="31"/>
      <c r="C6175" s="31"/>
      <c r="D6175" s="31"/>
      <c r="E6175" s="25"/>
      <c r="F6175" s="26"/>
    </row>
    <row r="6176" spans="1:6" ht="16.8" customHeight="1" x14ac:dyDescent="0.3">
      <c r="A6176" s="20">
        <v>47773</v>
      </c>
      <c r="B6176" s="31"/>
      <c r="C6176" s="31"/>
      <c r="D6176" s="31"/>
      <c r="E6176" s="25"/>
      <c r="F6176" s="26"/>
    </row>
    <row r="6177" spans="1:6" ht="16.8" customHeight="1" x14ac:dyDescent="0.3">
      <c r="A6177" s="20">
        <v>47774</v>
      </c>
      <c r="B6177" s="31"/>
      <c r="C6177" s="31"/>
      <c r="D6177" s="31"/>
      <c r="E6177" s="25"/>
      <c r="F6177" s="26"/>
    </row>
    <row r="6178" spans="1:6" ht="16.8" customHeight="1" x14ac:dyDescent="0.3">
      <c r="A6178" s="20">
        <v>47775</v>
      </c>
      <c r="B6178" s="31"/>
      <c r="C6178" s="31"/>
      <c r="D6178" s="31"/>
      <c r="E6178" s="25"/>
      <c r="F6178" s="26"/>
    </row>
    <row r="6179" spans="1:6" ht="16.8" customHeight="1" x14ac:dyDescent="0.3">
      <c r="A6179" s="20">
        <v>47776</v>
      </c>
      <c r="B6179" s="31"/>
      <c r="C6179" s="31"/>
      <c r="D6179" s="31"/>
      <c r="E6179" s="25"/>
      <c r="F6179" s="26"/>
    </row>
    <row r="6180" spans="1:6" ht="16.8" customHeight="1" x14ac:dyDescent="0.3">
      <c r="A6180" s="20">
        <v>47777</v>
      </c>
      <c r="B6180" s="31"/>
      <c r="C6180" s="31"/>
      <c r="D6180" s="31"/>
      <c r="E6180" s="25"/>
      <c r="F6180" s="26"/>
    </row>
    <row r="6181" spans="1:6" ht="16.8" customHeight="1" x14ac:dyDescent="0.3">
      <c r="A6181" s="20">
        <v>47778</v>
      </c>
      <c r="B6181" s="31"/>
      <c r="C6181" s="31"/>
      <c r="D6181" s="31"/>
      <c r="E6181" s="25"/>
      <c r="F6181" s="26"/>
    </row>
    <row r="6182" spans="1:6" ht="16.8" customHeight="1" x14ac:dyDescent="0.3">
      <c r="A6182" s="20">
        <v>47779</v>
      </c>
      <c r="B6182" s="31"/>
      <c r="C6182" s="31"/>
      <c r="D6182" s="31"/>
      <c r="E6182" s="25"/>
      <c r="F6182" s="26"/>
    </row>
    <row r="6183" spans="1:6" ht="16.8" customHeight="1" x14ac:dyDescent="0.3">
      <c r="A6183" s="20">
        <v>47780</v>
      </c>
      <c r="B6183" s="31"/>
      <c r="C6183" s="31"/>
      <c r="D6183" s="31"/>
      <c r="E6183" s="25"/>
      <c r="F6183" s="26"/>
    </row>
    <row r="6184" spans="1:6" ht="16.8" customHeight="1" x14ac:dyDescent="0.3">
      <c r="A6184" s="20">
        <v>47781</v>
      </c>
      <c r="B6184" s="31"/>
      <c r="C6184" s="31"/>
      <c r="D6184" s="31"/>
      <c r="E6184" s="25"/>
      <c r="F6184" s="26"/>
    </row>
    <row r="6185" spans="1:6" ht="16.8" customHeight="1" x14ac:dyDescent="0.3">
      <c r="A6185" s="20">
        <v>47782</v>
      </c>
      <c r="B6185" s="31"/>
      <c r="C6185" s="31"/>
      <c r="D6185" s="31"/>
      <c r="E6185" s="25"/>
      <c r="F6185" s="26"/>
    </row>
    <row r="6186" spans="1:6" ht="16.8" customHeight="1" x14ac:dyDescent="0.3">
      <c r="A6186" s="20">
        <v>47783</v>
      </c>
      <c r="B6186" s="31"/>
      <c r="C6186" s="31"/>
      <c r="D6186" s="31"/>
      <c r="E6186" s="25"/>
      <c r="F6186" s="26"/>
    </row>
    <row r="6187" spans="1:6" ht="16.8" customHeight="1" x14ac:dyDescent="0.3">
      <c r="A6187" s="20">
        <v>47784</v>
      </c>
      <c r="B6187" s="31"/>
      <c r="C6187" s="31"/>
      <c r="D6187" s="31"/>
      <c r="E6187" s="25"/>
      <c r="F6187" s="26"/>
    </row>
    <row r="6188" spans="1:6" ht="16.8" customHeight="1" x14ac:dyDescent="0.3">
      <c r="A6188" s="20">
        <v>47785</v>
      </c>
      <c r="B6188" s="31"/>
      <c r="C6188" s="31"/>
      <c r="D6188" s="31"/>
      <c r="E6188" s="25"/>
      <c r="F6188" s="26"/>
    </row>
    <row r="6189" spans="1:6" ht="16.8" customHeight="1" x14ac:dyDescent="0.3">
      <c r="A6189" s="20">
        <v>47786</v>
      </c>
      <c r="B6189" s="31"/>
      <c r="C6189" s="31"/>
      <c r="D6189" s="31"/>
      <c r="E6189" s="25"/>
      <c r="F6189" s="26"/>
    </row>
    <row r="6190" spans="1:6" ht="16.8" customHeight="1" x14ac:dyDescent="0.3">
      <c r="A6190" s="20">
        <v>47787</v>
      </c>
      <c r="B6190" s="31"/>
      <c r="C6190" s="31"/>
      <c r="D6190" s="31"/>
      <c r="E6190" s="25"/>
      <c r="F6190" s="26"/>
    </row>
    <row r="6191" spans="1:6" ht="16.8" customHeight="1" x14ac:dyDescent="0.3">
      <c r="A6191" s="20">
        <v>47788</v>
      </c>
      <c r="B6191" s="31"/>
      <c r="C6191" s="31"/>
      <c r="D6191" s="31"/>
      <c r="E6191" s="25"/>
      <c r="F6191" s="26"/>
    </row>
    <row r="6192" spans="1:6" ht="16.8" customHeight="1" x14ac:dyDescent="0.3">
      <c r="A6192" s="20">
        <v>47789</v>
      </c>
      <c r="B6192" s="31"/>
      <c r="C6192" s="31"/>
      <c r="D6192" s="31"/>
      <c r="E6192" s="25"/>
      <c r="F6192" s="26"/>
    </row>
    <row r="6193" spans="1:6" ht="16.8" customHeight="1" x14ac:dyDescent="0.3">
      <c r="A6193" s="20">
        <v>47790</v>
      </c>
      <c r="B6193" s="31"/>
      <c r="C6193" s="31"/>
      <c r="D6193" s="31"/>
      <c r="E6193" s="25"/>
      <c r="F6193" s="26"/>
    </row>
    <row r="6194" spans="1:6" ht="16.8" customHeight="1" x14ac:dyDescent="0.3">
      <c r="A6194" s="20">
        <v>47791</v>
      </c>
      <c r="B6194" s="31"/>
      <c r="C6194" s="31"/>
      <c r="D6194" s="31"/>
      <c r="E6194" s="25"/>
      <c r="F6194" s="26"/>
    </row>
    <row r="6195" spans="1:6" ht="16.8" customHeight="1" x14ac:dyDescent="0.3">
      <c r="A6195" s="20">
        <v>47792</v>
      </c>
      <c r="B6195" s="31"/>
      <c r="C6195" s="31"/>
      <c r="D6195" s="31"/>
      <c r="E6195" s="25"/>
      <c r="F6195" s="26"/>
    </row>
    <row r="6196" spans="1:6" ht="16.8" customHeight="1" x14ac:dyDescent="0.3">
      <c r="A6196" s="20">
        <v>47793</v>
      </c>
      <c r="B6196" s="31"/>
      <c r="C6196" s="31"/>
      <c r="D6196" s="31"/>
      <c r="E6196" s="25"/>
      <c r="F6196" s="26"/>
    </row>
    <row r="6197" spans="1:6" ht="16.8" customHeight="1" x14ac:dyDescent="0.3">
      <c r="A6197" s="20">
        <v>47794</v>
      </c>
      <c r="B6197" s="31"/>
      <c r="C6197" s="31"/>
      <c r="D6197" s="31"/>
      <c r="E6197" s="25"/>
      <c r="F6197" s="26"/>
    </row>
    <row r="6198" spans="1:6" ht="16.8" customHeight="1" x14ac:dyDescent="0.3">
      <c r="A6198" s="20">
        <v>47795</v>
      </c>
      <c r="B6198" s="31"/>
      <c r="C6198" s="31"/>
      <c r="D6198" s="31"/>
      <c r="E6198" s="25"/>
      <c r="F6198" s="26"/>
    </row>
    <row r="6199" spans="1:6" ht="16.8" customHeight="1" x14ac:dyDescent="0.3">
      <c r="A6199" s="20">
        <v>47796</v>
      </c>
      <c r="B6199" s="31"/>
      <c r="C6199" s="31"/>
      <c r="D6199" s="31"/>
      <c r="E6199" s="25"/>
      <c r="F6199" s="26"/>
    </row>
    <row r="6200" spans="1:6" ht="16.8" customHeight="1" x14ac:dyDescent="0.3">
      <c r="A6200" s="20">
        <v>47797</v>
      </c>
      <c r="B6200" s="31"/>
      <c r="C6200" s="31"/>
      <c r="D6200" s="31"/>
      <c r="E6200" s="25"/>
      <c r="F6200" s="26"/>
    </row>
    <row r="6201" spans="1:6" ht="16.8" customHeight="1" x14ac:dyDescent="0.3">
      <c r="A6201" s="20">
        <v>47798</v>
      </c>
      <c r="B6201" s="31"/>
      <c r="C6201" s="31"/>
      <c r="D6201" s="31"/>
      <c r="E6201" s="25"/>
      <c r="F6201" s="26"/>
    </row>
    <row r="6202" spans="1:6" ht="16.8" customHeight="1" x14ac:dyDescent="0.3">
      <c r="A6202" s="20">
        <v>47799</v>
      </c>
      <c r="B6202" s="31"/>
      <c r="C6202" s="31"/>
      <c r="D6202" s="31"/>
      <c r="E6202" s="25"/>
      <c r="F6202" s="26"/>
    </row>
    <row r="6203" spans="1:6" ht="16.8" customHeight="1" x14ac:dyDescent="0.3">
      <c r="A6203" s="20">
        <v>47800</v>
      </c>
      <c r="B6203" s="31"/>
      <c r="C6203" s="31"/>
      <c r="D6203" s="31"/>
      <c r="E6203" s="25"/>
      <c r="F6203" s="26"/>
    </row>
    <row r="6204" spans="1:6" ht="16.8" customHeight="1" x14ac:dyDescent="0.3">
      <c r="A6204" s="20">
        <v>47801</v>
      </c>
      <c r="B6204" s="31"/>
      <c r="C6204" s="31"/>
      <c r="D6204" s="31"/>
      <c r="E6204" s="25"/>
      <c r="F6204" s="26"/>
    </row>
    <row r="6205" spans="1:6" ht="16.8" customHeight="1" x14ac:dyDescent="0.3">
      <c r="A6205" s="20">
        <v>47802</v>
      </c>
      <c r="B6205" s="31"/>
      <c r="C6205" s="31"/>
      <c r="D6205" s="31"/>
      <c r="E6205" s="25"/>
      <c r="F6205" s="26"/>
    </row>
    <row r="6206" spans="1:6" ht="16.8" customHeight="1" x14ac:dyDescent="0.3">
      <c r="A6206" s="20">
        <v>47803</v>
      </c>
      <c r="B6206" s="31"/>
      <c r="C6206" s="31"/>
      <c r="D6206" s="31"/>
      <c r="E6206" s="25"/>
      <c r="F6206" s="26"/>
    </row>
    <row r="6207" spans="1:6" ht="16.8" customHeight="1" x14ac:dyDescent="0.3">
      <c r="A6207" s="20">
        <v>47804</v>
      </c>
      <c r="B6207" s="31"/>
      <c r="C6207" s="31"/>
      <c r="D6207" s="31"/>
      <c r="E6207" s="25"/>
      <c r="F6207" s="26"/>
    </row>
    <row r="6208" spans="1:6" ht="16.8" customHeight="1" x14ac:dyDescent="0.3">
      <c r="A6208" s="20">
        <v>47805</v>
      </c>
      <c r="B6208" s="31"/>
      <c r="C6208" s="31"/>
      <c r="D6208" s="31"/>
      <c r="E6208" s="25"/>
      <c r="F6208" s="26"/>
    </row>
    <row r="6209" spans="1:6" ht="16.8" customHeight="1" x14ac:dyDescent="0.3">
      <c r="A6209" s="20">
        <v>47806</v>
      </c>
      <c r="B6209" s="31"/>
      <c r="C6209" s="31"/>
      <c r="D6209" s="31"/>
      <c r="E6209" s="25"/>
      <c r="F6209" s="26"/>
    </row>
    <row r="6210" spans="1:6" ht="16.8" customHeight="1" x14ac:dyDescent="0.3">
      <c r="A6210" s="20">
        <v>47807</v>
      </c>
      <c r="B6210" s="31"/>
      <c r="C6210" s="31"/>
      <c r="D6210" s="31"/>
      <c r="E6210" s="25"/>
      <c r="F6210" s="26"/>
    </row>
    <row r="6211" spans="1:6" ht="16.8" customHeight="1" x14ac:dyDescent="0.3">
      <c r="A6211" s="20">
        <v>47808</v>
      </c>
      <c r="B6211" s="31"/>
      <c r="C6211" s="31"/>
      <c r="D6211" s="31"/>
      <c r="E6211" s="25"/>
      <c r="F6211" s="26"/>
    </row>
    <row r="6212" spans="1:6" ht="16.8" customHeight="1" x14ac:dyDescent="0.3">
      <c r="A6212" s="20">
        <v>47809</v>
      </c>
      <c r="B6212" s="31"/>
      <c r="C6212" s="31"/>
      <c r="D6212" s="31"/>
      <c r="E6212" s="25"/>
      <c r="F6212" s="26"/>
    </row>
    <row r="6213" spans="1:6" ht="16.8" customHeight="1" x14ac:dyDescent="0.3">
      <c r="A6213" s="20">
        <v>47810</v>
      </c>
      <c r="B6213" s="31"/>
      <c r="C6213" s="31"/>
      <c r="D6213" s="31"/>
      <c r="E6213" s="25"/>
      <c r="F6213" s="26"/>
    </row>
    <row r="6214" spans="1:6" ht="16.8" customHeight="1" x14ac:dyDescent="0.3">
      <c r="A6214" s="20">
        <v>47811</v>
      </c>
      <c r="B6214" s="31"/>
      <c r="C6214" s="31"/>
      <c r="D6214" s="31"/>
      <c r="E6214" s="25"/>
      <c r="F6214" s="26"/>
    </row>
    <row r="6215" spans="1:6" ht="16.8" customHeight="1" x14ac:dyDescent="0.3">
      <c r="A6215" s="20">
        <v>47812</v>
      </c>
      <c r="B6215" s="31"/>
      <c r="C6215" s="31"/>
      <c r="D6215" s="31"/>
      <c r="E6215" s="25"/>
      <c r="F6215" s="26"/>
    </row>
    <row r="6216" spans="1:6" ht="16.8" customHeight="1" x14ac:dyDescent="0.3">
      <c r="A6216" s="20">
        <v>47813</v>
      </c>
      <c r="B6216" s="31"/>
      <c r="C6216" s="31"/>
      <c r="D6216" s="31"/>
      <c r="E6216" s="25"/>
      <c r="F6216" s="26"/>
    </row>
    <row r="6217" spans="1:6" ht="16.8" customHeight="1" x14ac:dyDescent="0.3">
      <c r="A6217" s="20">
        <v>47814</v>
      </c>
      <c r="B6217" s="31"/>
      <c r="C6217" s="31"/>
      <c r="D6217" s="31"/>
      <c r="E6217" s="25"/>
      <c r="F6217" s="26"/>
    </row>
    <row r="6218" spans="1:6" ht="16.8" customHeight="1" x14ac:dyDescent="0.3">
      <c r="A6218" s="20">
        <v>47815</v>
      </c>
      <c r="B6218" s="31"/>
      <c r="C6218" s="31"/>
      <c r="D6218" s="31"/>
      <c r="E6218" s="25"/>
      <c r="F6218" s="26"/>
    </row>
    <row r="6219" spans="1:6" ht="16.8" customHeight="1" x14ac:dyDescent="0.3">
      <c r="A6219" s="20">
        <v>47816</v>
      </c>
      <c r="B6219" s="31"/>
      <c r="C6219" s="31"/>
      <c r="D6219" s="31"/>
      <c r="E6219" s="25"/>
      <c r="F6219" s="26"/>
    </row>
    <row r="6220" spans="1:6" ht="16.8" customHeight="1" x14ac:dyDescent="0.3">
      <c r="A6220" s="20">
        <v>47817</v>
      </c>
      <c r="B6220" s="31"/>
      <c r="C6220" s="31"/>
      <c r="D6220" s="31"/>
      <c r="E6220" s="25"/>
      <c r="F6220" s="26"/>
    </row>
    <row r="6221" spans="1:6" ht="16.8" customHeight="1" x14ac:dyDescent="0.3">
      <c r="A6221" s="20">
        <v>47818</v>
      </c>
      <c r="B6221" s="31"/>
      <c r="C6221" s="31"/>
      <c r="D6221" s="31"/>
      <c r="E6221" s="25"/>
      <c r="F6221" s="26"/>
    </row>
    <row r="6222" spans="1:6" ht="16.8" customHeight="1" x14ac:dyDescent="0.3">
      <c r="A6222" s="20">
        <v>47819</v>
      </c>
      <c r="B6222" s="31"/>
      <c r="C6222" s="31"/>
      <c r="D6222" s="31"/>
      <c r="E6222" s="25"/>
      <c r="F6222" s="26"/>
    </row>
    <row r="6223" spans="1:6" ht="16.8" customHeight="1" x14ac:dyDescent="0.3">
      <c r="A6223" s="20">
        <v>47820</v>
      </c>
      <c r="B6223" s="31"/>
      <c r="C6223" s="31"/>
      <c r="D6223" s="31"/>
      <c r="E6223" s="25"/>
      <c r="F6223" s="26"/>
    </row>
    <row r="6224" spans="1:6" ht="16.8" customHeight="1" x14ac:dyDescent="0.3">
      <c r="A6224" s="20">
        <v>47821</v>
      </c>
      <c r="B6224" s="31"/>
      <c r="C6224" s="31"/>
      <c r="D6224" s="31"/>
      <c r="E6224" s="25"/>
      <c r="F6224" s="26"/>
    </row>
    <row r="6225" spans="1:6" ht="16.8" customHeight="1" x14ac:dyDescent="0.3">
      <c r="A6225" s="20">
        <v>47822</v>
      </c>
      <c r="B6225" s="31"/>
      <c r="C6225" s="31"/>
      <c r="D6225" s="31"/>
      <c r="E6225" s="25"/>
      <c r="F6225" s="26"/>
    </row>
    <row r="6226" spans="1:6" ht="16.8" customHeight="1" x14ac:dyDescent="0.3">
      <c r="A6226" s="20">
        <v>47823</v>
      </c>
      <c r="B6226" s="31"/>
      <c r="C6226" s="31"/>
      <c r="D6226" s="31"/>
      <c r="E6226" s="25"/>
      <c r="F6226" s="26"/>
    </row>
    <row r="6227" spans="1:6" ht="16.8" customHeight="1" x14ac:dyDescent="0.3">
      <c r="A6227" s="20">
        <v>47824</v>
      </c>
      <c r="B6227" s="31"/>
      <c r="C6227" s="31"/>
      <c r="D6227" s="31"/>
      <c r="E6227" s="25"/>
      <c r="F6227" s="26"/>
    </row>
    <row r="6228" spans="1:6" ht="16.8" customHeight="1" x14ac:dyDescent="0.3">
      <c r="A6228" s="20">
        <v>47825</v>
      </c>
      <c r="B6228" s="31"/>
      <c r="C6228" s="31"/>
      <c r="D6228" s="31"/>
      <c r="E6228" s="25"/>
      <c r="F6228" s="26"/>
    </row>
    <row r="6229" spans="1:6" ht="16.8" customHeight="1" x14ac:dyDescent="0.3">
      <c r="A6229" s="20">
        <v>47826</v>
      </c>
      <c r="B6229" s="31"/>
      <c r="C6229" s="31"/>
      <c r="D6229" s="31"/>
      <c r="E6229" s="25"/>
      <c r="F6229" s="26"/>
    </row>
    <row r="6230" spans="1:6" ht="16.8" customHeight="1" x14ac:dyDescent="0.3">
      <c r="A6230" s="20">
        <v>47827</v>
      </c>
      <c r="B6230" s="31"/>
      <c r="C6230" s="31"/>
      <c r="D6230" s="31"/>
      <c r="E6230" s="25"/>
      <c r="F6230" s="26"/>
    </row>
    <row r="6231" spans="1:6" ht="16.8" customHeight="1" x14ac:dyDescent="0.3">
      <c r="A6231" s="20">
        <v>47828</v>
      </c>
      <c r="B6231" s="31"/>
      <c r="C6231" s="31"/>
      <c r="D6231" s="31"/>
      <c r="E6231" s="25"/>
      <c r="F6231" s="26"/>
    </row>
    <row r="6232" spans="1:6" ht="16.8" customHeight="1" x14ac:dyDescent="0.3">
      <c r="A6232" s="20">
        <v>47829</v>
      </c>
      <c r="B6232" s="31"/>
      <c r="C6232" s="31"/>
      <c r="D6232" s="31"/>
      <c r="E6232" s="25"/>
      <c r="F6232" s="26"/>
    </row>
    <row r="6233" spans="1:6" ht="16.8" customHeight="1" x14ac:dyDescent="0.3">
      <c r="A6233" s="20">
        <v>47830</v>
      </c>
      <c r="B6233" s="31"/>
      <c r="C6233" s="31"/>
      <c r="D6233" s="31"/>
      <c r="E6233" s="25"/>
      <c r="F6233" s="26"/>
    </row>
    <row r="6234" spans="1:6" ht="16.8" customHeight="1" x14ac:dyDescent="0.3">
      <c r="A6234" s="20">
        <v>47831</v>
      </c>
      <c r="B6234" s="31"/>
      <c r="C6234" s="31"/>
      <c r="D6234" s="31"/>
      <c r="E6234" s="25"/>
      <c r="F6234" s="26"/>
    </row>
    <row r="6235" spans="1:6" ht="16.8" customHeight="1" x14ac:dyDescent="0.3">
      <c r="A6235" s="20">
        <v>47832</v>
      </c>
      <c r="B6235" s="31"/>
      <c r="C6235" s="31"/>
      <c r="D6235" s="31"/>
      <c r="E6235" s="25"/>
      <c r="F6235" s="26"/>
    </row>
    <row r="6236" spans="1:6" ht="16.8" customHeight="1" x14ac:dyDescent="0.3">
      <c r="A6236" s="20">
        <v>47833</v>
      </c>
      <c r="B6236" s="31"/>
      <c r="C6236" s="31"/>
      <c r="D6236" s="31"/>
      <c r="E6236" s="25"/>
      <c r="F6236" s="26"/>
    </row>
    <row r="6237" spans="1:6" ht="16.8" customHeight="1" x14ac:dyDescent="0.3">
      <c r="A6237" s="20">
        <v>47834</v>
      </c>
      <c r="B6237" s="31"/>
      <c r="C6237" s="31"/>
      <c r="D6237" s="31"/>
      <c r="E6237" s="25"/>
      <c r="F6237" s="26"/>
    </row>
    <row r="6238" spans="1:6" ht="16.8" customHeight="1" x14ac:dyDescent="0.3">
      <c r="A6238" s="20">
        <v>47835</v>
      </c>
      <c r="B6238" s="31"/>
      <c r="C6238" s="31"/>
      <c r="D6238" s="31"/>
      <c r="E6238" s="25"/>
      <c r="F6238" s="26"/>
    </row>
    <row r="6239" spans="1:6" ht="16.8" customHeight="1" x14ac:dyDescent="0.3">
      <c r="A6239" s="20">
        <v>47836</v>
      </c>
      <c r="B6239" s="31"/>
      <c r="C6239" s="31"/>
      <c r="D6239" s="31"/>
      <c r="E6239" s="25"/>
      <c r="F6239" s="26"/>
    </row>
    <row r="6240" spans="1:6" ht="16.8" customHeight="1" x14ac:dyDescent="0.3">
      <c r="A6240" s="20">
        <v>47837</v>
      </c>
      <c r="B6240" s="31"/>
      <c r="C6240" s="31"/>
      <c r="D6240" s="31"/>
      <c r="E6240" s="25"/>
      <c r="F6240" s="26"/>
    </row>
    <row r="6241" spans="1:6" ht="16.8" customHeight="1" x14ac:dyDescent="0.3">
      <c r="A6241" s="20">
        <v>47838</v>
      </c>
      <c r="B6241" s="31"/>
      <c r="C6241" s="31"/>
      <c r="D6241" s="31"/>
      <c r="E6241" s="25"/>
      <c r="F6241" s="26"/>
    </row>
    <row r="6242" spans="1:6" ht="16.8" customHeight="1" x14ac:dyDescent="0.3">
      <c r="A6242" s="20">
        <v>47839</v>
      </c>
      <c r="B6242" s="31"/>
      <c r="C6242" s="31"/>
      <c r="D6242" s="31"/>
      <c r="E6242" s="25"/>
      <c r="F6242" s="26"/>
    </row>
    <row r="6243" spans="1:6" ht="16.8" customHeight="1" x14ac:dyDescent="0.3">
      <c r="A6243" s="20">
        <v>47840</v>
      </c>
      <c r="B6243" s="31"/>
      <c r="C6243" s="31"/>
      <c r="D6243" s="31"/>
      <c r="E6243" s="25"/>
      <c r="F6243" s="26"/>
    </row>
    <row r="6244" spans="1:6" ht="16.8" customHeight="1" x14ac:dyDescent="0.3">
      <c r="A6244" s="20">
        <v>47841</v>
      </c>
      <c r="B6244" s="31"/>
      <c r="C6244" s="31"/>
      <c r="D6244" s="31"/>
      <c r="E6244" s="25"/>
      <c r="F6244" s="26"/>
    </row>
    <row r="6245" spans="1:6" ht="16.8" customHeight="1" x14ac:dyDescent="0.3">
      <c r="A6245" s="20">
        <v>47842</v>
      </c>
      <c r="B6245" s="31"/>
      <c r="C6245" s="31"/>
      <c r="D6245" s="31"/>
      <c r="E6245" s="25"/>
      <c r="F6245" s="26"/>
    </row>
    <row r="6246" spans="1:6" ht="16.8" customHeight="1" x14ac:dyDescent="0.3">
      <c r="A6246" s="20">
        <v>47843</v>
      </c>
      <c r="B6246" s="31"/>
      <c r="C6246" s="31"/>
      <c r="D6246" s="31"/>
      <c r="E6246" s="25"/>
      <c r="F6246" s="26"/>
    </row>
    <row r="6247" spans="1:6" ht="16.8" customHeight="1" x14ac:dyDescent="0.3">
      <c r="A6247" s="20">
        <v>47844</v>
      </c>
      <c r="B6247" s="31"/>
      <c r="C6247" s="31"/>
      <c r="D6247" s="31"/>
      <c r="E6247" s="25"/>
      <c r="F6247" s="26"/>
    </row>
    <row r="6248" spans="1:6" ht="16.8" customHeight="1" x14ac:dyDescent="0.3">
      <c r="A6248" s="20">
        <v>47845</v>
      </c>
      <c r="B6248" s="31"/>
      <c r="C6248" s="31"/>
      <c r="D6248" s="31"/>
      <c r="E6248" s="25"/>
      <c r="F6248" s="26"/>
    </row>
    <row r="6249" spans="1:6" ht="16.8" customHeight="1" x14ac:dyDescent="0.3">
      <c r="A6249" s="20">
        <v>47846</v>
      </c>
      <c r="B6249" s="31"/>
      <c r="C6249" s="31"/>
      <c r="D6249" s="31"/>
      <c r="E6249" s="25"/>
      <c r="F6249" s="26"/>
    </row>
    <row r="6250" spans="1:6" ht="16.8" customHeight="1" x14ac:dyDescent="0.3">
      <c r="A6250" s="20">
        <v>47847</v>
      </c>
      <c r="B6250" s="31"/>
      <c r="C6250" s="31"/>
      <c r="D6250" s="31"/>
      <c r="E6250" s="25"/>
      <c r="F6250" s="26"/>
    </row>
    <row r="6251" spans="1:6" ht="16.8" customHeight="1" x14ac:dyDescent="0.3">
      <c r="A6251" s="20">
        <v>47848</v>
      </c>
      <c r="B6251" s="31"/>
      <c r="C6251" s="31"/>
      <c r="D6251" s="31"/>
      <c r="E6251" s="25"/>
      <c r="F6251" s="26"/>
    </row>
    <row r="6252" spans="1:6" ht="16.8" customHeight="1" x14ac:dyDescent="0.3">
      <c r="A6252" s="20">
        <v>47849</v>
      </c>
      <c r="B6252" s="31"/>
      <c r="C6252" s="31"/>
      <c r="D6252" s="31"/>
      <c r="E6252" s="25"/>
      <c r="F6252" s="26"/>
    </row>
    <row r="6253" spans="1:6" ht="16.8" customHeight="1" x14ac:dyDescent="0.3">
      <c r="A6253" s="20">
        <v>47850</v>
      </c>
      <c r="B6253" s="31"/>
      <c r="C6253" s="31"/>
      <c r="D6253" s="31"/>
      <c r="E6253" s="25"/>
      <c r="F6253" s="26"/>
    </row>
    <row r="6254" spans="1:6" ht="16.8" customHeight="1" x14ac:dyDescent="0.3">
      <c r="A6254" s="20">
        <v>47851</v>
      </c>
      <c r="B6254" s="31"/>
      <c r="C6254" s="31"/>
      <c r="D6254" s="31"/>
      <c r="E6254" s="25"/>
      <c r="F6254" s="26"/>
    </row>
    <row r="6255" spans="1:6" ht="16.8" customHeight="1" x14ac:dyDescent="0.3">
      <c r="A6255" s="20">
        <v>47852</v>
      </c>
      <c r="B6255" s="31"/>
      <c r="C6255" s="31"/>
      <c r="D6255" s="31"/>
      <c r="E6255" s="25"/>
      <c r="F6255" s="26"/>
    </row>
    <row r="6256" spans="1:6" ht="16.8" customHeight="1" x14ac:dyDescent="0.3">
      <c r="A6256" s="20">
        <v>47853</v>
      </c>
      <c r="B6256" s="31"/>
      <c r="C6256" s="31"/>
      <c r="D6256" s="31"/>
      <c r="E6256" s="25"/>
      <c r="F6256" s="26"/>
    </row>
    <row r="6257" spans="1:6" ht="16.8" customHeight="1" x14ac:dyDescent="0.3">
      <c r="A6257" s="20">
        <v>47854</v>
      </c>
      <c r="B6257" s="31"/>
      <c r="C6257" s="31"/>
      <c r="D6257" s="31"/>
      <c r="E6257" s="25"/>
      <c r="F6257" s="26"/>
    </row>
    <row r="6258" spans="1:6" ht="16.8" customHeight="1" x14ac:dyDescent="0.3">
      <c r="A6258" s="20">
        <v>47855</v>
      </c>
      <c r="B6258" s="31"/>
      <c r="C6258" s="31"/>
      <c r="D6258" s="31"/>
      <c r="E6258" s="25"/>
      <c r="F6258" s="26"/>
    </row>
    <row r="6259" spans="1:6" ht="16.8" customHeight="1" x14ac:dyDescent="0.3">
      <c r="A6259" s="20">
        <v>47856</v>
      </c>
      <c r="B6259" s="31"/>
      <c r="C6259" s="31"/>
      <c r="D6259" s="31"/>
      <c r="E6259" s="25"/>
      <c r="F6259" s="26"/>
    </row>
    <row r="6260" spans="1:6" ht="16.8" customHeight="1" x14ac:dyDescent="0.3">
      <c r="A6260" s="20">
        <v>47857</v>
      </c>
      <c r="B6260" s="31"/>
      <c r="C6260" s="31"/>
      <c r="D6260" s="31"/>
      <c r="E6260" s="25"/>
      <c r="F6260" s="26"/>
    </row>
    <row r="6261" spans="1:6" ht="16.8" customHeight="1" x14ac:dyDescent="0.3">
      <c r="A6261" s="20">
        <v>47858</v>
      </c>
      <c r="B6261" s="31"/>
      <c r="C6261" s="31"/>
      <c r="D6261" s="31"/>
      <c r="E6261" s="25"/>
      <c r="F6261" s="26"/>
    </row>
    <row r="6262" spans="1:6" ht="16.8" customHeight="1" x14ac:dyDescent="0.3">
      <c r="A6262" s="20">
        <v>47859</v>
      </c>
      <c r="B6262" s="31"/>
      <c r="C6262" s="31"/>
      <c r="D6262" s="31"/>
      <c r="E6262" s="25"/>
      <c r="F6262" s="26"/>
    </row>
    <row r="6263" spans="1:6" ht="16.8" customHeight="1" x14ac:dyDescent="0.3">
      <c r="A6263" s="20">
        <v>47860</v>
      </c>
      <c r="B6263" s="31"/>
      <c r="C6263" s="31"/>
      <c r="D6263" s="31"/>
      <c r="E6263" s="25"/>
      <c r="F6263" s="26"/>
    </row>
    <row r="6264" spans="1:6" ht="16.8" customHeight="1" x14ac:dyDescent="0.3">
      <c r="A6264" s="20">
        <v>47861</v>
      </c>
      <c r="B6264" s="31"/>
      <c r="C6264" s="31"/>
      <c r="D6264" s="31"/>
      <c r="E6264" s="25"/>
      <c r="F6264" s="26"/>
    </row>
    <row r="6265" spans="1:6" ht="16.8" customHeight="1" x14ac:dyDescent="0.3">
      <c r="A6265" s="20">
        <v>47862</v>
      </c>
      <c r="B6265" s="31"/>
      <c r="C6265" s="31"/>
      <c r="D6265" s="31"/>
      <c r="E6265" s="25"/>
      <c r="F6265" s="26"/>
    </row>
    <row r="6266" spans="1:6" ht="16.8" customHeight="1" x14ac:dyDescent="0.3">
      <c r="A6266" s="20">
        <v>47863</v>
      </c>
      <c r="B6266" s="31"/>
      <c r="C6266" s="31"/>
      <c r="D6266" s="31"/>
      <c r="E6266" s="25"/>
      <c r="F6266" s="26"/>
    </row>
    <row r="6267" spans="1:6" ht="16.8" customHeight="1" x14ac:dyDescent="0.3">
      <c r="A6267" s="20">
        <v>47864</v>
      </c>
      <c r="B6267" s="31"/>
      <c r="C6267" s="31"/>
      <c r="D6267" s="31"/>
      <c r="E6267" s="25"/>
      <c r="F6267" s="26"/>
    </row>
    <row r="6268" spans="1:6" ht="16.8" customHeight="1" x14ac:dyDescent="0.3">
      <c r="A6268" s="20">
        <v>47865</v>
      </c>
      <c r="B6268" s="31"/>
      <c r="C6268" s="31"/>
      <c r="D6268" s="31"/>
      <c r="E6268" s="25"/>
      <c r="F6268" s="26"/>
    </row>
    <row r="6269" spans="1:6" ht="16.8" customHeight="1" x14ac:dyDescent="0.3">
      <c r="A6269" s="20">
        <v>47866</v>
      </c>
      <c r="B6269" s="31"/>
      <c r="C6269" s="31"/>
      <c r="D6269" s="31"/>
      <c r="E6269" s="25"/>
      <c r="F6269" s="26"/>
    </row>
    <row r="6270" spans="1:6" ht="16.8" customHeight="1" x14ac:dyDescent="0.3">
      <c r="A6270" s="20">
        <v>47867</v>
      </c>
      <c r="B6270" s="31"/>
      <c r="C6270" s="31"/>
      <c r="D6270" s="31"/>
      <c r="E6270" s="25"/>
      <c r="F6270" s="26"/>
    </row>
    <row r="6271" spans="1:6" ht="16.8" customHeight="1" x14ac:dyDescent="0.3">
      <c r="A6271" s="20">
        <v>47868</v>
      </c>
      <c r="B6271" s="31"/>
      <c r="C6271" s="31"/>
      <c r="D6271" s="31"/>
      <c r="E6271" s="25"/>
      <c r="F6271" s="26"/>
    </row>
    <row r="6272" spans="1:6" ht="16.8" customHeight="1" x14ac:dyDescent="0.3">
      <c r="A6272" s="20">
        <v>47869</v>
      </c>
      <c r="B6272" s="31"/>
      <c r="C6272" s="31"/>
      <c r="D6272" s="31"/>
      <c r="E6272" s="25"/>
      <c r="F6272" s="26"/>
    </row>
    <row r="6273" spans="1:6" ht="16.8" customHeight="1" x14ac:dyDescent="0.3">
      <c r="A6273" s="20">
        <v>47870</v>
      </c>
      <c r="B6273" s="31"/>
      <c r="C6273" s="31"/>
      <c r="D6273" s="31"/>
      <c r="E6273" s="25"/>
      <c r="F6273" s="26"/>
    </row>
    <row r="6274" spans="1:6" ht="16.8" customHeight="1" x14ac:dyDescent="0.3">
      <c r="A6274" s="20">
        <v>47871</v>
      </c>
      <c r="B6274" s="31"/>
      <c r="C6274" s="31"/>
      <c r="D6274" s="31"/>
      <c r="E6274" s="25"/>
      <c r="F6274" s="26"/>
    </row>
    <row r="6275" spans="1:6" ht="16.8" customHeight="1" x14ac:dyDescent="0.3">
      <c r="A6275" s="20">
        <v>47872</v>
      </c>
      <c r="B6275" s="31"/>
      <c r="C6275" s="31"/>
      <c r="D6275" s="31"/>
      <c r="E6275" s="25"/>
      <c r="F6275" s="26"/>
    </row>
    <row r="6276" spans="1:6" ht="16.8" customHeight="1" x14ac:dyDescent="0.3">
      <c r="A6276" s="20">
        <v>47873</v>
      </c>
      <c r="B6276" s="31"/>
      <c r="C6276" s="31"/>
      <c r="D6276" s="31"/>
      <c r="E6276" s="25"/>
      <c r="F6276" s="26"/>
    </row>
    <row r="6277" spans="1:6" ht="16.8" customHeight="1" x14ac:dyDescent="0.3">
      <c r="A6277" s="20">
        <v>47874</v>
      </c>
      <c r="B6277" s="31"/>
      <c r="C6277" s="31"/>
      <c r="D6277" s="31"/>
      <c r="E6277" s="25"/>
      <c r="F6277" s="26"/>
    </row>
    <row r="6278" spans="1:6" ht="16.8" customHeight="1" x14ac:dyDescent="0.3">
      <c r="A6278" s="20">
        <v>47875</v>
      </c>
      <c r="B6278" s="31"/>
      <c r="C6278" s="31"/>
      <c r="D6278" s="31"/>
      <c r="E6278" s="25"/>
      <c r="F6278" s="26"/>
    </row>
    <row r="6279" spans="1:6" ht="16.8" customHeight="1" x14ac:dyDescent="0.3">
      <c r="A6279" s="20">
        <v>47876</v>
      </c>
      <c r="B6279" s="31"/>
      <c r="C6279" s="31"/>
      <c r="D6279" s="31"/>
      <c r="E6279" s="25"/>
      <c r="F6279" s="26"/>
    </row>
    <row r="6280" spans="1:6" ht="16.8" customHeight="1" x14ac:dyDescent="0.3">
      <c r="A6280" s="20">
        <v>47877</v>
      </c>
      <c r="B6280" s="31"/>
      <c r="C6280" s="31"/>
      <c r="D6280" s="31"/>
      <c r="E6280" s="25"/>
      <c r="F6280" s="26"/>
    </row>
    <row r="6281" spans="1:6" ht="16.8" customHeight="1" x14ac:dyDescent="0.3">
      <c r="A6281" s="20">
        <v>47878</v>
      </c>
      <c r="B6281" s="31"/>
      <c r="C6281" s="31"/>
      <c r="D6281" s="31"/>
      <c r="E6281" s="25"/>
      <c r="F6281" s="26"/>
    </row>
    <row r="6282" spans="1:6" ht="16.8" customHeight="1" x14ac:dyDescent="0.3">
      <c r="A6282" s="20">
        <v>47879</v>
      </c>
      <c r="B6282" s="31"/>
      <c r="C6282" s="31"/>
      <c r="D6282" s="31"/>
      <c r="E6282" s="25"/>
      <c r="F6282" s="26"/>
    </row>
    <row r="6283" spans="1:6" ht="16.8" customHeight="1" x14ac:dyDescent="0.3">
      <c r="A6283" s="20">
        <v>47880</v>
      </c>
      <c r="B6283" s="31"/>
      <c r="C6283" s="31"/>
      <c r="D6283" s="31"/>
      <c r="E6283" s="25"/>
      <c r="F6283" s="26"/>
    </row>
    <row r="6284" spans="1:6" ht="16.8" customHeight="1" x14ac:dyDescent="0.3">
      <c r="A6284" s="20">
        <v>47881</v>
      </c>
      <c r="B6284" s="31"/>
      <c r="C6284" s="31"/>
      <c r="D6284" s="31"/>
      <c r="E6284" s="25"/>
      <c r="F6284" s="26"/>
    </row>
    <row r="6285" spans="1:6" ht="16.8" customHeight="1" x14ac:dyDescent="0.3">
      <c r="A6285" s="20">
        <v>47882</v>
      </c>
      <c r="B6285" s="31"/>
      <c r="C6285" s="31"/>
      <c r="D6285" s="31"/>
      <c r="E6285" s="25"/>
      <c r="F6285" s="26"/>
    </row>
    <row r="6286" spans="1:6" ht="16.8" customHeight="1" x14ac:dyDescent="0.3">
      <c r="A6286" s="20">
        <v>47883</v>
      </c>
      <c r="B6286" s="31"/>
      <c r="C6286" s="31"/>
      <c r="D6286" s="31"/>
      <c r="E6286" s="25"/>
      <c r="F6286" s="26"/>
    </row>
    <row r="6287" spans="1:6" ht="16.8" customHeight="1" x14ac:dyDescent="0.3">
      <c r="A6287" s="20">
        <v>47884</v>
      </c>
      <c r="B6287" s="31"/>
      <c r="C6287" s="31"/>
      <c r="D6287" s="31"/>
      <c r="E6287" s="25"/>
      <c r="F6287" s="26"/>
    </row>
    <row r="6288" spans="1:6" ht="16.8" customHeight="1" x14ac:dyDescent="0.3">
      <c r="A6288" s="20">
        <v>47885</v>
      </c>
      <c r="B6288" s="31"/>
      <c r="C6288" s="31"/>
      <c r="D6288" s="31"/>
      <c r="E6288" s="25"/>
      <c r="F6288" s="26"/>
    </row>
    <row r="6289" spans="1:6" ht="16.8" customHeight="1" x14ac:dyDescent="0.3">
      <c r="A6289" s="20">
        <v>47886</v>
      </c>
      <c r="B6289" s="31"/>
      <c r="C6289" s="31"/>
      <c r="D6289" s="31"/>
      <c r="E6289" s="25"/>
      <c r="F6289" s="26"/>
    </row>
    <row r="6290" spans="1:6" ht="16.8" customHeight="1" x14ac:dyDescent="0.3">
      <c r="A6290" s="20">
        <v>47887</v>
      </c>
      <c r="B6290" s="31"/>
      <c r="C6290" s="31"/>
      <c r="D6290" s="31"/>
      <c r="E6290" s="25"/>
      <c r="F6290" s="26"/>
    </row>
    <row r="6291" spans="1:6" ht="16.8" customHeight="1" x14ac:dyDescent="0.3">
      <c r="A6291" s="20">
        <v>47888</v>
      </c>
      <c r="B6291" s="31"/>
      <c r="C6291" s="31"/>
      <c r="D6291" s="31"/>
      <c r="E6291" s="25"/>
      <c r="F6291" s="26"/>
    </row>
    <row r="6292" spans="1:6" ht="16.8" customHeight="1" x14ac:dyDescent="0.3">
      <c r="A6292" s="20">
        <v>47889</v>
      </c>
      <c r="B6292" s="31"/>
      <c r="C6292" s="31"/>
      <c r="D6292" s="31"/>
      <c r="E6292" s="25"/>
      <c r="F6292" s="26"/>
    </row>
    <row r="6293" spans="1:6" ht="16.8" customHeight="1" x14ac:dyDescent="0.3">
      <c r="A6293" s="20">
        <v>47890</v>
      </c>
      <c r="B6293" s="31"/>
      <c r="C6293" s="31"/>
      <c r="D6293" s="31"/>
      <c r="E6293" s="25"/>
      <c r="F6293" s="26"/>
    </row>
    <row r="6294" spans="1:6" ht="16.8" customHeight="1" x14ac:dyDescent="0.3">
      <c r="A6294" s="20">
        <v>47891</v>
      </c>
      <c r="B6294" s="31"/>
      <c r="C6294" s="31"/>
      <c r="D6294" s="31"/>
      <c r="E6294" s="25"/>
      <c r="F6294" s="26"/>
    </row>
    <row r="6295" spans="1:6" ht="16.8" customHeight="1" x14ac:dyDescent="0.3">
      <c r="A6295" s="20">
        <v>47892</v>
      </c>
      <c r="B6295" s="31"/>
      <c r="C6295" s="31"/>
      <c r="D6295" s="31"/>
      <c r="E6295" s="25"/>
      <c r="F6295" s="26"/>
    </row>
    <row r="6296" spans="1:6" ht="16.8" customHeight="1" x14ac:dyDescent="0.3">
      <c r="A6296" s="20">
        <v>47893</v>
      </c>
      <c r="B6296" s="31"/>
      <c r="C6296" s="31"/>
      <c r="D6296" s="31"/>
      <c r="E6296" s="25"/>
      <c r="F6296" s="26"/>
    </row>
    <row r="6297" spans="1:6" ht="16.8" customHeight="1" x14ac:dyDescent="0.3">
      <c r="A6297" s="20">
        <v>47894</v>
      </c>
      <c r="B6297" s="31"/>
      <c r="C6297" s="31"/>
      <c r="D6297" s="31"/>
      <c r="E6297" s="25"/>
      <c r="F6297" s="26"/>
    </row>
    <row r="6298" spans="1:6" ht="16.8" customHeight="1" x14ac:dyDescent="0.3">
      <c r="A6298" s="20">
        <v>47895</v>
      </c>
      <c r="B6298" s="31"/>
      <c r="C6298" s="31"/>
      <c r="D6298" s="31"/>
      <c r="E6298" s="25"/>
      <c r="F6298" s="26"/>
    </row>
    <row r="6299" spans="1:6" ht="16.8" customHeight="1" x14ac:dyDescent="0.3">
      <c r="A6299" s="20">
        <v>47896</v>
      </c>
      <c r="B6299" s="31"/>
      <c r="C6299" s="31"/>
      <c r="D6299" s="31"/>
      <c r="E6299" s="25"/>
      <c r="F6299" s="26"/>
    </row>
    <row r="6300" spans="1:6" ht="16.8" customHeight="1" x14ac:dyDescent="0.3">
      <c r="A6300" s="20">
        <v>47897</v>
      </c>
      <c r="B6300" s="31"/>
      <c r="C6300" s="31"/>
      <c r="D6300" s="31"/>
      <c r="E6300" s="25"/>
      <c r="F6300" s="26"/>
    </row>
    <row r="6301" spans="1:6" ht="16.8" customHeight="1" x14ac:dyDescent="0.3">
      <c r="A6301" s="20">
        <v>47898</v>
      </c>
      <c r="B6301" s="31"/>
      <c r="C6301" s="31"/>
      <c r="D6301" s="31"/>
      <c r="E6301" s="25"/>
      <c r="F6301" s="26"/>
    </row>
    <row r="6302" spans="1:6" ht="16.8" customHeight="1" x14ac:dyDescent="0.3">
      <c r="A6302" s="20">
        <v>47899</v>
      </c>
      <c r="B6302" s="31"/>
      <c r="C6302" s="31"/>
      <c r="D6302" s="31"/>
      <c r="E6302" s="25"/>
      <c r="F6302" s="26"/>
    </row>
    <row r="6303" spans="1:6" ht="16.8" customHeight="1" x14ac:dyDescent="0.3">
      <c r="A6303" s="20">
        <v>47900</v>
      </c>
      <c r="B6303" s="31"/>
      <c r="C6303" s="31"/>
      <c r="D6303" s="31"/>
      <c r="E6303" s="25"/>
      <c r="F6303" s="26"/>
    </row>
    <row r="6304" spans="1:6" ht="16.8" customHeight="1" x14ac:dyDescent="0.3">
      <c r="A6304" s="20">
        <v>47901</v>
      </c>
      <c r="B6304" s="31"/>
      <c r="C6304" s="31"/>
      <c r="D6304" s="31"/>
      <c r="E6304" s="25"/>
      <c r="F6304" s="26"/>
    </row>
    <row r="6305" spans="1:6" ht="16.8" customHeight="1" x14ac:dyDescent="0.3">
      <c r="A6305" s="20">
        <v>47902</v>
      </c>
      <c r="B6305" s="31"/>
      <c r="C6305" s="31"/>
      <c r="D6305" s="31"/>
      <c r="E6305" s="25"/>
      <c r="F6305" s="26"/>
    </row>
    <row r="6306" spans="1:6" ht="16.8" customHeight="1" x14ac:dyDescent="0.3">
      <c r="A6306" s="20">
        <v>47903</v>
      </c>
      <c r="B6306" s="31"/>
      <c r="C6306" s="31"/>
      <c r="D6306" s="31"/>
      <c r="E6306" s="25"/>
      <c r="F6306" s="26"/>
    </row>
    <row r="6307" spans="1:6" ht="16.8" customHeight="1" x14ac:dyDescent="0.3">
      <c r="A6307" s="20">
        <v>47904</v>
      </c>
      <c r="B6307" s="31"/>
      <c r="C6307" s="31"/>
      <c r="D6307" s="31"/>
      <c r="E6307" s="25"/>
      <c r="F6307" s="26"/>
    </row>
    <row r="6308" spans="1:6" ht="16.8" customHeight="1" x14ac:dyDescent="0.3">
      <c r="A6308" s="20">
        <v>47905</v>
      </c>
      <c r="B6308" s="31"/>
      <c r="C6308" s="31"/>
      <c r="D6308" s="31"/>
      <c r="E6308" s="25"/>
      <c r="F6308" s="26"/>
    </row>
    <row r="6309" spans="1:6" ht="16.8" customHeight="1" x14ac:dyDescent="0.3">
      <c r="A6309" s="20">
        <v>47906</v>
      </c>
      <c r="B6309" s="31"/>
      <c r="C6309" s="31"/>
      <c r="D6309" s="31"/>
      <c r="E6309" s="25"/>
      <c r="F6309" s="26"/>
    </row>
    <row r="6310" spans="1:6" ht="16.8" customHeight="1" x14ac:dyDescent="0.3">
      <c r="A6310" s="20">
        <v>47907</v>
      </c>
      <c r="B6310" s="31"/>
      <c r="C6310" s="31"/>
      <c r="D6310" s="31"/>
      <c r="E6310" s="25"/>
      <c r="F6310" s="26"/>
    </row>
    <row r="6311" spans="1:6" ht="16.8" customHeight="1" x14ac:dyDescent="0.3">
      <c r="A6311" s="20">
        <v>47908</v>
      </c>
      <c r="B6311" s="31"/>
      <c r="C6311" s="31"/>
      <c r="D6311" s="31"/>
      <c r="E6311" s="25"/>
      <c r="F6311" s="26"/>
    </row>
    <row r="6312" spans="1:6" ht="16.8" customHeight="1" x14ac:dyDescent="0.3">
      <c r="A6312" s="20">
        <v>47909</v>
      </c>
      <c r="B6312" s="31"/>
      <c r="C6312" s="31"/>
      <c r="D6312" s="31"/>
      <c r="E6312" s="25"/>
      <c r="F6312" s="26"/>
    </row>
    <row r="6313" spans="1:6" ht="16.8" customHeight="1" x14ac:dyDescent="0.3">
      <c r="A6313" s="20">
        <v>47910</v>
      </c>
      <c r="B6313" s="31"/>
      <c r="C6313" s="31"/>
      <c r="D6313" s="31"/>
      <c r="E6313" s="25"/>
      <c r="F6313" s="26"/>
    </row>
    <row r="6314" spans="1:6" ht="16.8" customHeight="1" x14ac:dyDescent="0.3">
      <c r="A6314" s="20">
        <v>47911</v>
      </c>
      <c r="B6314" s="31"/>
      <c r="C6314" s="31"/>
      <c r="D6314" s="31"/>
      <c r="E6314" s="25"/>
      <c r="F6314" s="26"/>
    </row>
    <row r="6315" spans="1:6" ht="16.8" customHeight="1" x14ac:dyDescent="0.3">
      <c r="A6315" s="20">
        <v>47912</v>
      </c>
      <c r="B6315" s="31"/>
      <c r="C6315" s="31"/>
      <c r="D6315" s="31"/>
      <c r="E6315" s="25"/>
      <c r="F6315" s="26"/>
    </row>
    <row r="6316" spans="1:6" ht="16.8" customHeight="1" x14ac:dyDescent="0.3">
      <c r="A6316" s="20">
        <v>47913</v>
      </c>
      <c r="B6316" s="31"/>
      <c r="C6316" s="31"/>
      <c r="D6316" s="31"/>
      <c r="E6316" s="25"/>
      <c r="F6316" s="26"/>
    </row>
    <row r="6317" spans="1:6" ht="16.8" customHeight="1" x14ac:dyDescent="0.3">
      <c r="A6317" s="20">
        <v>47914</v>
      </c>
      <c r="B6317" s="31"/>
      <c r="C6317" s="31"/>
      <c r="D6317" s="31"/>
      <c r="E6317" s="25"/>
      <c r="F6317" s="26"/>
    </row>
    <row r="6318" spans="1:6" ht="16.8" customHeight="1" x14ac:dyDescent="0.3">
      <c r="A6318" s="20">
        <v>47915</v>
      </c>
      <c r="B6318" s="31"/>
      <c r="C6318" s="31"/>
      <c r="D6318" s="31"/>
      <c r="E6318" s="25"/>
      <c r="F6318" s="26"/>
    </row>
    <row r="6319" spans="1:6" ht="16.8" customHeight="1" x14ac:dyDescent="0.3">
      <c r="A6319" s="20">
        <v>47916</v>
      </c>
      <c r="B6319" s="31"/>
      <c r="C6319" s="31"/>
      <c r="D6319" s="31"/>
      <c r="E6319" s="25"/>
      <c r="F6319" s="26"/>
    </row>
    <row r="6320" spans="1:6" ht="16.8" customHeight="1" x14ac:dyDescent="0.3">
      <c r="A6320" s="20">
        <v>47917</v>
      </c>
      <c r="B6320" s="31"/>
      <c r="C6320" s="31"/>
      <c r="D6320" s="31"/>
      <c r="E6320" s="25"/>
      <c r="F6320" s="26"/>
    </row>
    <row r="6321" spans="1:6" ht="16.8" customHeight="1" x14ac:dyDescent="0.3">
      <c r="A6321" s="20">
        <v>47918</v>
      </c>
      <c r="B6321" s="31"/>
      <c r="C6321" s="31"/>
      <c r="D6321" s="31"/>
      <c r="E6321" s="25"/>
      <c r="F6321" s="26"/>
    </row>
    <row r="6322" spans="1:6" ht="16.8" customHeight="1" x14ac:dyDescent="0.3">
      <c r="A6322" s="20">
        <v>47919</v>
      </c>
      <c r="B6322" s="31"/>
      <c r="C6322" s="31"/>
      <c r="D6322" s="31"/>
      <c r="E6322" s="25"/>
      <c r="F6322" s="26"/>
    </row>
    <row r="6323" spans="1:6" ht="16.8" customHeight="1" x14ac:dyDescent="0.3">
      <c r="A6323" s="20">
        <v>47920</v>
      </c>
      <c r="B6323" s="31"/>
      <c r="C6323" s="31"/>
      <c r="D6323" s="31"/>
      <c r="E6323" s="25"/>
      <c r="F6323" s="26"/>
    </row>
    <row r="6324" spans="1:6" ht="16.8" customHeight="1" x14ac:dyDescent="0.3">
      <c r="A6324" s="20">
        <v>47921</v>
      </c>
      <c r="B6324" s="31"/>
      <c r="C6324" s="31"/>
      <c r="D6324" s="31"/>
      <c r="E6324" s="25"/>
      <c r="F6324" s="26"/>
    </row>
    <row r="6325" spans="1:6" ht="16.8" customHeight="1" x14ac:dyDescent="0.3">
      <c r="A6325" s="20">
        <v>47922</v>
      </c>
      <c r="B6325" s="31"/>
      <c r="C6325" s="31"/>
      <c r="D6325" s="31"/>
      <c r="E6325" s="25"/>
      <c r="F6325" s="26"/>
    </row>
    <row r="6326" spans="1:6" ht="16.8" customHeight="1" x14ac:dyDescent="0.3">
      <c r="A6326" s="20">
        <v>47923</v>
      </c>
      <c r="B6326" s="31"/>
      <c r="C6326" s="31"/>
      <c r="D6326" s="31"/>
      <c r="E6326" s="25"/>
      <c r="F6326" s="26"/>
    </row>
    <row r="6327" spans="1:6" ht="16.8" customHeight="1" x14ac:dyDescent="0.3">
      <c r="A6327" s="20">
        <v>47924</v>
      </c>
      <c r="B6327" s="31"/>
      <c r="C6327" s="31"/>
      <c r="D6327" s="31"/>
      <c r="E6327" s="25"/>
      <c r="F6327" s="26"/>
    </row>
    <row r="6328" spans="1:6" ht="16.8" customHeight="1" x14ac:dyDescent="0.3">
      <c r="A6328" s="20">
        <v>47925</v>
      </c>
      <c r="B6328" s="31"/>
      <c r="C6328" s="31"/>
      <c r="D6328" s="31"/>
      <c r="E6328" s="25"/>
      <c r="F6328" s="26"/>
    </row>
    <row r="6329" spans="1:6" ht="16.8" customHeight="1" x14ac:dyDescent="0.3">
      <c r="A6329" s="20">
        <v>47926</v>
      </c>
      <c r="B6329" s="31"/>
      <c r="C6329" s="31"/>
      <c r="D6329" s="31"/>
      <c r="E6329" s="25"/>
      <c r="F6329" s="26"/>
    </row>
    <row r="6330" spans="1:6" ht="16.8" customHeight="1" x14ac:dyDescent="0.3">
      <c r="A6330" s="20">
        <v>47927</v>
      </c>
      <c r="B6330" s="31"/>
      <c r="C6330" s="31"/>
      <c r="D6330" s="31"/>
      <c r="E6330" s="25"/>
      <c r="F6330" s="26"/>
    </row>
    <row r="6331" spans="1:6" ht="16.8" customHeight="1" x14ac:dyDescent="0.3">
      <c r="A6331" s="20">
        <v>47928</v>
      </c>
      <c r="B6331" s="31"/>
      <c r="C6331" s="31"/>
      <c r="D6331" s="31"/>
      <c r="E6331" s="25"/>
      <c r="F6331" s="26"/>
    </row>
    <row r="6332" spans="1:6" ht="16.8" customHeight="1" x14ac:dyDescent="0.3">
      <c r="A6332" s="20">
        <v>47929</v>
      </c>
      <c r="B6332" s="31"/>
      <c r="C6332" s="31"/>
      <c r="D6332" s="31"/>
      <c r="E6332" s="25"/>
      <c r="F6332" s="26"/>
    </row>
    <row r="6333" spans="1:6" ht="16.8" customHeight="1" x14ac:dyDescent="0.3">
      <c r="A6333" s="20">
        <v>47930</v>
      </c>
      <c r="B6333" s="31"/>
      <c r="C6333" s="31"/>
      <c r="D6333" s="31"/>
      <c r="E6333" s="25"/>
      <c r="F6333" s="26"/>
    </row>
    <row r="6334" spans="1:6" ht="16.8" customHeight="1" x14ac:dyDescent="0.3">
      <c r="A6334" s="20">
        <v>47931</v>
      </c>
      <c r="B6334" s="31"/>
      <c r="C6334" s="31"/>
      <c r="D6334" s="31"/>
      <c r="E6334" s="25"/>
      <c r="F6334" s="26"/>
    </row>
    <row r="6335" spans="1:6" ht="16.8" customHeight="1" x14ac:dyDescent="0.3">
      <c r="A6335" s="20">
        <v>47932</v>
      </c>
      <c r="B6335" s="31"/>
      <c r="C6335" s="31"/>
      <c r="D6335" s="31"/>
      <c r="E6335" s="25"/>
      <c r="F6335" s="26"/>
    </row>
    <row r="6336" spans="1:6" ht="16.8" customHeight="1" x14ac:dyDescent="0.3">
      <c r="A6336" s="20">
        <v>47933</v>
      </c>
      <c r="B6336" s="31"/>
      <c r="C6336" s="31"/>
      <c r="D6336" s="31"/>
      <c r="E6336" s="25"/>
      <c r="F6336" s="26"/>
    </row>
    <row r="6337" spans="1:6" ht="16.8" customHeight="1" x14ac:dyDescent="0.3">
      <c r="A6337" s="20">
        <v>47934</v>
      </c>
      <c r="B6337" s="31"/>
      <c r="C6337" s="31"/>
      <c r="D6337" s="31"/>
      <c r="E6337" s="25"/>
      <c r="F6337" s="26"/>
    </row>
    <row r="6338" spans="1:6" ht="16.8" customHeight="1" x14ac:dyDescent="0.3">
      <c r="A6338" s="20">
        <v>47935</v>
      </c>
      <c r="B6338" s="31"/>
      <c r="C6338" s="31"/>
      <c r="D6338" s="31"/>
      <c r="E6338" s="25"/>
      <c r="F6338" s="26"/>
    </row>
    <row r="6339" spans="1:6" ht="16.8" customHeight="1" x14ac:dyDescent="0.3">
      <c r="A6339" s="20">
        <v>47936</v>
      </c>
      <c r="B6339" s="31"/>
      <c r="C6339" s="31"/>
      <c r="D6339" s="31"/>
      <c r="E6339" s="25"/>
      <c r="F6339" s="26"/>
    </row>
    <row r="6340" spans="1:6" ht="16.8" customHeight="1" x14ac:dyDescent="0.3">
      <c r="A6340" s="20">
        <v>47937</v>
      </c>
      <c r="B6340" s="31"/>
      <c r="C6340" s="31"/>
      <c r="D6340" s="31"/>
      <c r="E6340" s="25"/>
      <c r="F6340" s="26"/>
    </row>
    <row r="6341" spans="1:6" ht="16.8" customHeight="1" x14ac:dyDescent="0.3">
      <c r="A6341" s="20">
        <v>47938</v>
      </c>
      <c r="B6341" s="31"/>
      <c r="C6341" s="31"/>
      <c r="D6341" s="31"/>
      <c r="E6341" s="25"/>
      <c r="F6341" s="26"/>
    </row>
    <row r="6342" spans="1:6" ht="16.8" customHeight="1" x14ac:dyDescent="0.3">
      <c r="A6342" s="20">
        <v>47939</v>
      </c>
      <c r="B6342" s="31"/>
      <c r="C6342" s="31"/>
      <c r="D6342" s="31"/>
      <c r="E6342" s="25"/>
      <c r="F6342" s="26"/>
    </row>
    <row r="6343" spans="1:6" ht="16.8" customHeight="1" x14ac:dyDescent="0.3">
      <c r="A6343" s="20">
        <v>47940</v>
      </c>
      <c r="B6343" s="31"/>
      <c r="C6343" s="31"/>
      <c r="D6343" s="31"/>
      <c r="E6343" s="25"/>
      <c r="F6343" s="26"/>
    </row>
    <row r="6344" spans="1:6" ht="16.8" customHeight="1" x14ac:dyDescent="0.3">
      <c r="A6344" s="20">
        <v>47941</v>
      </c>
      <c r="B6344" s="31"/>
      <c r="C6344" s="31"/>
      <c r="D6344" s="31"/>
      <c r="E6344" s="25"/>
      <c r="F6344" s="26"/>
    </row>
    <row r="6345" spans="1:6" ht="16.8" customHeight="1" x14ac:dyDescent="0.3">
      <c r="A6345" s="20">
        <v>47942</v>
      </c>
      <c r="B6345" s="31"/>
      <c r="C6345" s="31"/>
      <c r="D6345" s="31"/>
      <c r="E6345" s="25"/>
      <c r="F6345" s="26"/>
    </row>
    <row r="6346" spans="1:6" ht="16.8" customHeight="1" x14ac:dyDescent="0.3">
      <c r="A6346" s="20">
        <v>47943</v>
      </c>
      <c r="B6346" s="31"/>
      <c r="C6346" s="31"/>
      <c r="D6346" s="31"/>
      <c r="E6346" s="25"/>
      <c r="F6346" s="26"/>
    </row>
    <row r="6347" spans="1:6" ht="16.8" customHeight="1" x14ac:dyDescent="0.3">
      <c r="A6347" s="20">
        <v>47944</v>
      </c>
      <c r="B6347" s="31"/>
      <c r="C6347" s="31"/>
      <c r="D6347" s="31"/>
      <c r="E6347" s="25"/>
      <c r="F6347" s="26"/>
    </row>
    <row r="6348" spans="1:6" ht="16.8" customHeight="1" x14ac:dyDescent="0.3">
      <c r="A6348" s="20">
        <v>47945</v>
      </c>
      <c r="B6348" s="31"/>
      <c r="C6348" s="31"/>
      <c r="D6348" s="31"/>
      <c r="E6348" s="25"/>
      <c r="F6348" s="26"/>
    </row>
    <row r="6349" spans="1:6" ht="16.8" customHeight="1" x14ac:dyDescent="0.3">
      <c r="A6349" s="20">
        <v>47946</v>
      </c>
      <c r="B6349" s="31"/>
      <c r="C6349" s="31"/>
      <c r="D6349" s="31"/>
      <c r="E6349" s="25"/>
      <c r="F6349" s="26"/>
    </row>
    <row r="6350" spans="1:6" ht="16.8" customHeight="1" x14ac:dyDescent="0.3">
      <c r="A6350" s="20">
        <v>47947</v>
      </c>
      <c r="B6350" s="31"/>
      <c r="C6350" s="31"/>
      <c r="D6350" s="31"/>
      <c r="E6350" s="25"/>
      <c r="F6350" s="26"/>
    </row>
    <row r="6351" spans="1:6" ht="16.8" customHeight="1" x14ac:dyDescent="0.3">
      <c r="A6351" s="20">
        <v>47948</v>
      </c>
      <c r="B6351" s="31"/>
      <c r="C6351" s="31"/>
      <c r="D6351" s="31"/>
      <c r="E6351" s="25"/>
      <c r="F6351" s="26"/>
    </row>
    <row r="6352" spans="1:6" ht="16.8" customHeight="1" x14ac:dyDescent="0.3">
      <c r="A6352" s="20">
        <v>47949</v>
      </c>
      <c r="B6352" s="31"/>
      <c r="C6352" s="31"/>
      <c r="D6352" s="31"/>
      <c r="E6352" s="25"/>
      <c r="F6352" s="26"/>
    </row>
    <row r="6353" spans="1:6" ht="16.8" customHeight="1" x14ac:dyDescent="0.3">
      <c r="A6353" s="20">
        <v>47950</v>
      </c>
      <c r="B6353" s="31"/>
      <c r="C6353" s="31"/>
      <c r="D6353" s="31"/>
      <c r="E6353" s="25"/>
      <c r="F6353" s="26"/>
    </row>
    <row r="6354" spans="1:6" ht="16.8" customHeight="1" x14ac:dyDescent="0.3">
      <c r="A6354" s="20">
        <v>47951</v>
      </c>
      <c r="B6354" s="31"/>
      <c r="C6354" s="31"/>
      <c r="D6354" s="31"/>
      <c r="E6354" s="25"/>
      <c r="F6354" s="26"/>
    </row>
    <row r="6355" spans="1:6" ht="16.8" customHeight="1" x14ac:dyDescent="0.3">
      <c r="A6355" s="20">
        <v>47952</v>
      </c>
      <c r="B6355" s="31"/>
      <c r="C6355" s="31"/>
      <c r="D6355" s="31"/>
      <c r="E6355" s="25"/>
      <c r="F6355" s="26"/>
    </row>
    <row r="6356" spans="1:6" ht="16.8" customHeight="1" x14ac:dyDescent="0.3">
      <c r="A6356" s="20">
        <v>47953</v>
      </c>
      <c r="B6356" s="31"/>
      <c r="C6356" s="31"/>
      <c r="D6356" s="31"/>
      <c r="E6356" s="25"/>
      <c r="F6356" s="26"/>
    </row>
    <row r="6357" spans="1:6" ht="16.8" customHeight="1" x14ac:dyDescent="0.3">
      <c r="A6357" s="20">
        <v>47954</v>
      </c>
      <c r="B6357" s="31"/>
      <c r="C6357" s="31"/>
      <c r="D6357" s="31"/>
      <c r="E6357" s="25"/>
      <c r="F6357" s="26"/>
    </row>
    <row r="6358" spans="1:6" ht="16.8" customHeight="1" x14ac:dyDescent="0.3">
      <c r="A6358" s="20">
        <v>47955</v>
      </c>
      <c r="B6358" s="31"/>
      <c r="C6358" s="31"/>
      <c r="D6358" s="31"/>
      <c r="E6358" s="25"/>
      <c r="F6358" s="26"/>
    </row>
    <row r="6359" spans="1:6" ht="16.8" customHeight="1" x14ac:dyDescent="0.3">
      <c r="A6359" s="20">
        <v>47956</v>
      </c>
      <c r="B6359" s="31"/>
      <c r="C6359" s="31"/>
      <c r="D6359" s="31"/>
      <c r="E6359" s="25"/>
      <c r="F6359" s="26"/>
    </row>
    <row r="6360" spans="1:6" ht="16.8" customHeight="1" x14ac:dyDescent="0.3">
      <c r="A6360" s="20">
        <v>47957</v>
      </c>
      <c r="B6360" s="31"/>
      <c r="C6360" s="31"/>
      <c r="D6360" s="31"/>
      <c r="E6360" s="25"/>
      <c r="F6360" s="26"/>
    </row>
    <row r="6361" spans="1:6" ht="16.8" customHeight="1" x14ac:dyDescent="0.3">
      <c r="A6361" s="20">
        <v>47958</v>
      </c>
      <c r="B6361" s="31"/>
      <c r="C6361" s="31"/>
      <c r="D6361" s="31"/>
      <c r="E6361" s="25"/>
      <c r="F6361" s="26"/>
    </row>
    <row r="6362" spans="1:6" ht="16.8" customHeight="1" x14ac:dyDescent="0.3">
      <c r="A6362" s="20">
        <v>47959</v>
      </c>
      <c r="B6362" s="31"/>
      <c r="C6362" s="31"/>
      <c r="D6362" s="31"/>
      <c r="E6362" s="25"/>
      <c r="F6362" s="26"/>
    </row>
    <row r="6363" spans="1:6" ht="16.8" customHeight="1" x14ac:dyDescent="0.3">
      <c r="A6363" s="20">
        <v>47960</v>
      </c>
      <c r="B6363" s="31"/>
      <c r="C6363" s="31"/>
      <c r="D6363" s="31"/>
      <c r="E6363" s="25"/>
      <c r="F6363" s="26"/>
    </row>
    <row r="6364" spans="1:6" ht="16.8" customHeight="1" x14ac:dyDescent="0.3">
      <c r="A6364" s="20">
        <v>47961</v>
      </c>
      <c r="B6364" s="31"/>
      <c r="C6364" s="31"/>
      <c r="D6364" s="31"/>
      <c r="E6364" s="25"/>
      <c r="F6364" s="26"/>
    </row>
    <row r="6365" spans="1:6" ht="16.8" customHeight="1" x14ac:dyDescent="0.3">
      <c r="A6365" s="20">
        <v>47962</v>
      </c>
      <c r="B6365" s="31"/>
      <c r="C6365" s="31"/>
      <c r="D6365" s="31"/>
      <c r="E6365" s="25"/>
      <c r="F6365" s="26"/>
    </row>
    <row r="6366" spans="1:6" ht="16.8" customHeight="1" x14ac:dyDescent="0.3">
      <c r="A6366" s="20">
        <v>47963</v>
      </c>
      <c r="B6366" s="31"/>
      <c r="C6366" s="31"/>
      <c r="D6366" s="31"/>
      <c r="E6366" s="25"/>
      <c r="F6366" s="26"/>
    </row>
    <row r="6367" spans="1:6" ht="16.8" customHeight="1" x14ac:dyDescent="0.3">
      <c r="A6367" s="20">
        <v>47964</v>
      </c>
      <c r="B6367" s="31"/>
      <c r="C6367" s="31"/>
      <c r="D6367" s="31"/>
      <c r="E6367" s="25"/>
      <c r="F6367" s="26"/>
    </row>
    <row r="6368" spans="1:6" ht="16.8" customHeight="1" x14ac:dyDescent="0.3">
      <c r="A6368" s="20">
        <v>47965</v>
      </c>
      <c r="B6368" s="31"/>
      <c r="C6368" s="31"/>
      <c r="D6368" s="31"/>
      <c r="E6368" s="25"/>
      <c r="F6368" s="26"/>
    </row>
    <row r="6369" spans="1:6" ht="16.8" customHeight="1" x14ac:dyDescent="0.3">
      <c r="A6369" s="20">
        <v>47966</v>
      </c>
      <c r="B6369" s="31"/>
      <c r="C6369" s="31"/>
      <c r="D6369" s="31"/>
      <c r="E6369" s="25"/>
      <c r="F6369" s="26"/>
    </row>
    <row r="6370" spans="1:6" ht="16.8" customHeight="1" x14ac:dyDescent="0.3">
      <c r="A6370" s="20">
        <v>47967</v>
      </c>
      <c r="B6370" s="31"/>
      <c r="C6370" s="31"/>
      <c r="D6370" s="31"/>
      <c r="E6370" s="25"/>
      <c r="F6370" s="26"/>
    </row>
    <row r="6371" spans="1:6" ht="16.8" customHeight="1" x14ac:dyDescent="0.3">
      <c r="A6371" s="20">
        <v>47968</v>
      </c>
      <c r="B6371" s="31"/>
      <c r="C6371" s="31"/>
      <c r="D6371" s="31"/>
      <c r="E6371" s="25"/>
      <c r="F6371" s="26"/>
    </row>
    <row r="6372" spans="1:6" ht="16.8" customHeight="1" x14ac:dyDescent="0.3">
      <c r="A6372" s="20">
        <v>47969</v>
      </c>
      <c r="B6372" s="31"/>
      <c r="C6372" s="31"/>
      <c r="D6372" s="31"/>
      <c r="E6372" s="25"/>
      <c r="F6372" s="26"/>
    </row>
    <row r="6373" spans="1:6" ht="16.8" customHeight="1" x14ac:dyDescent="0.3">
      <c r="A6373" s="20">
        <v>47970</v>
      </c>
      <c r="B6373" s="31"/>
      <c r="C6373" s="31"/>
      <c r="D6373" s="31"/>
      <c r="E6373" s="25"/>
      <c r="F6373" s="26"/>
    </row>
    <row r="6374" spans="1:6" ht="16.8" customHeight="1" x14ac:dyDescent="0.3">
      <c r="A6374" s="20">
        <v>47971</v>
      </c>
      <c r="B6374" s="31"/>
      <c r="C6374" s="31"/>
      <c r="D6374" s="31"/>
      <c r="E6374" s="25"/>
      <c r="F6374" s="26"/>
    </row>
    <row r="6375" spans="1:6" ht="16.8" customHeight="1" x14ac:dyDescent="0.3">
      <c r="A6375" s="20">
        <v>47972</v>
      </c>
      <c r="B6375" s="31"/>
      <c r="C6375" s="31"/>
      <c r="D6375" s="31"/>
      <c r="E6375" s="25"/>
      <c r="F6375" s="26"/>
    </row>
    <row r="6376" spans="1:6" ht="16.8" customHeight="1" x14ac:dyDescent="0.3">
      <c r="A6376" s="20">
        <v>47973</v>
      </c>
      <c r="B6376" s="31"/>
      <c r="C6376" s="31"/>
      <c r="D6376" s="31"/>
      <c r="E6376" s="25"/>
      <c r="F6376" s="26"/>
    </row>
    <row r="6377" spans="1:6" ht="16.8" customHeight="1" x14ac:dyDescent="0.3">
      <c r="A6377" s="20">
        <v>47974</v>
      </c>
      <c r="B6377" s="31"/>
      <c r="C6377" s="31"/>
      <c r="D6377" s="31"/>
      <c r="E6377" s="25"/>
      <c r="F6377" s="26"/>
    </row>
    <row r="6378" spans="1:6" ht="16.8" customHeight="1" x14ac:dyDescent="0.3">
      <c r="A6378" s="20">
        <v>47975</v>
      </c>
      <c r="B6378" s="31"/>
      <c r="C6378" s="31"/>
      <c r="D6378" s="31"/>
      <c r="E6378" s="25"/>
      <c r="F6378" s="26"/>
    </row>
    <row r="6379" spans="1:6" ht="16.8" customHeight="1" x14ac:dyDescent="0.3">
      <c r="A6379" s="20">
        <v>47976</v>
      </c>
      <c r="B6379" s="31"/>
      <c r="C6379" s="31"/>
      <c r="D6379" s="31"/>
      <c r="E6379" s="25"/>
      <c r="F6379" s="26"/>
    </row>
    <row r="6380" spans="1:6" ht="16.8" customHeight="1" x14ac:dyDescent="0.3">
      <c r="A6380" s="20">
        <v>47977</v>
      </c>
      <c r="B6380" s="31"/>
      <c r="C6380" s="31"/>
      <c r="D6380" s="31"/>
      <c r="E6380" s="25"/>
      <c r="F6380" s="26"/>
    </row>
    <row r="6381" spans="1:6" ht="16.8" customHeight="1" x14ac:dyDescent="0.3">
      <c r="A6381" s="20">
        <v>47978</v>
      </c>
      <c r="B6381" s="31"/>
      <c r="C6381" s="31"/>
      <c r="D6381" s="31"/>
      <c r="E6381" s="25"/>
      <c r="F6381" s="26"/>
    </row>
    <row r="6382" spans="1:6" ht="16.8" customHeight="1" x14ac:dyDescent="0.3">
      <c r="A6382" s="20">
        <v>47979</v>
      </c>
      <c r="B6382" s="31"/>
      <c r="C6382" s="31"/>
      <c r="D6382" s="31"/>
      <c r="E6382" s="25"/>
      <c r="F6382" s="26"/>
    </row>
    <row r="6383" spans="1:6" ht="16.8" customHeight="1" x14ac:dyDescent="0.3">
      <c r="A6383" s="20">
        <v>47980</v>
      </c>
      <c r="B6383" s="31"/>
      <c r="C6383" s="31"/>
      <c r="D6383" s="31"/>
      <c r="E6383" s="25"/>
      <c r="F6383" s="26"/>
    </row>
    <row r="6384" spans="1:6" ht="16.8" customHeight="1" x14ac:dyDescent="0.3">
      <c r="A6384" s="20">
        <v>47981</v>
      </c>
      <c r="B6384" s="31"/>
      <c r="C6384" s="31"/>
      <c r="D6384" s="31"/>
      <c r="E6384" s="25"/>
      <c r="F6384" s="26"/>
    </row>
    <row r="6385" spans="1:6" ht="16.8" customHeight="1" x14ac:dyDescent="0.3">
      <c r="A6385" s="20">
        <v>47982</v>
      </c>
      <c r="B6385" s="31"/>
      <c r="C6385" s="31"/>
      <c r="D6385" s="31"/>
      <c r="E6385" s="25"/>
      <c r="F6385" s="26"/>
    </row>
    <row r="6386" spans="1:6" ht="16.8" customHeight="1" x14ac:dyDescent="0.3">
      <c r="A6386" s="20">
        <v>47983</v>
      </c>
      <c r="B6386" s="31"/>
      <c r="C6386" s="31"/>
      <c r="D6386" s="31"/>
      <c r="E6386" s="25"/>
      <c r="F6386" s="26"/>
    </row>
    <row r="6387" spans="1:6" ht="16.8" customHeight="1" x14ac:dyDescent="0.3">
      <c r="A6387" s="20">
        <v>47984</v>
      </c>
      <c r="B6387" s="31"/>
      <c r="C6387" s="31"/>
      <c r="D6387" s="31"/>
      <c r="E6387" s="25"/>
      <c r="F6387" s="26"/>
    </row>
    <row r="6388" spans="1:6" ht="16.8" customHeight="1" x14ac:dyDescent="0.3">
      <c r="A6388" s="20">
        <v>47985</v>
      </c>
      <c r="B6388" s="31"/>
      <c r="C6388" s="31"/>
      <c r="D6388" s="31"/>
      <c r="E6388" s="25"/>
      <c r="F6388" s="26"/>
    </row>
    <row r="6389" spans="1:6" ht="16.8" customHeight="1" x14ac:dyDescent="0.3">
      <c r="A6389" s="20">
        <v>47986</v>
      </c>
      <c r="B6389" s="31"/>
      <c r="C6389" s="31"/>
      <c r="D6389" s="31"/>
      <c r="E6389" s="25"/>
      <c r="F6389" s="26"/>
    </row>
    <row r="6390" spans="1:6" ht="16.8" customHeight="1" x14ac:dyDescent="0.3">
      <c r="A6390" s="20">
        <v>47987</v>
      </c>
      <c r="B6390" s="31"/>
      <c r="C6390" s="31"/>
      <c r="D6390" s="31"/>
      <c r="E6390" s="25"/>
      <c r="F6390" s="26"/>
    </row>
    <row r="6391" spans="1:6" ht="16.8" customHeight="1" x14ac:dyDescent="0.3">
      <c r="A6391" s="20">
        <v>47988</v>
      </c>
      <c r="B6391" s="31"/>
      <c r="C6391" s="31"/>
      <c r="D6391" s="31"/>
      <c r="E6391" s="25"/>
      <c r="F6391" s="26"/>
    </row>
    <row r="6392" spans="1:6" ht="16.8" customHeight="1" x14ac:dyDescent="0.3">
      <c r="A6392" s="20">
        <v>47989</v>
      </c>
      <c r="B6392" s="31"/>
      <c r="C6392" s="31"/>
      <c r="D6392" s="31"/>
      <c r="E6392" s="25"/>
      <c r="F6392" s="26"/>
    </row>
    <row r="6393" spans="1:6" ht="16.8" customHeight="1" x14ac:dyDescent="0.3">
      <c r="A6393" s="20">
        <v>47990</v>
      </c>
      <c r="B6393" s="31"/>
      <c r="C6393" s="31"/>
      <c r="D6393" s="31"/>
      <c r="E6393" s="25"/>
      <c r="F6393" s="26"/>
    </row>
    <row r="6394" spans="1:6" ht="16.8" customHeight="1" x14ac:dyDescent="0.3">
      <c r="A6394" s="20">
        <v>47991</v>
      </c>
      <c r="B6394" s="31"/>
      <c r="C6394" s="31"/>
      <c r="D6394" s="31"/>
      <c r="E6394" s="25"/>
      <c r="F6394" s="26"/>
    </row>
    <row r="6395" spans="1:6" ht="16.8" customHeight="1" x14ac:dyDescent="0.3">
      <c r="A6395" s="20">
        <v>47992</v>
      </c>
      <c r="B6395" s="31"/>
      <c r="C6395" s="31"/>
      <c r="D6395" s="31"/>
      <c r="E6395" s="25"/>
      <c r="F6395" s="26"/>
    </row>
    <row r="6396" spans="1:6" ht="16.8" customHeight="1" x14ac:dyDescent="0.3">
      <c r="A6396" s="20">
        <v>47993</v>
      </c>
      <c r="B6396" s="31"/>
      <c r="C6396" s="31"/>
      <c r="D6396" s="31"/>
      <c r="E6396" s="25"/>
      <c r="F6396" s="26"/>
    </row>
    <row r="6397" spans="1:6" ht="16.8" customHeight="1" x14ac:dyDescent="0.3">
      <c r="A6397" s="20">
        <v>47994</v>
      </c>
      <c r="B6397" s="31"/>
      <c r="C6397" s="31"/>
      <c r="D6397" s="31"/>
      <c r="E6397" s="25"/>
      <c r="F6397" s="26"/>
    </row>
    <row r="6398" spans="1:6" ht="16.8" customHeight="1" x14ac:dyDescent="0.3">
      <c r="A6398" s="20">
        <v>47995</v>
      </c>
      <c r="B6398" s="31"/>
      <c r="C6398" s="31"/>
      <c r="D6398" s="31"/>
      <c r="E6398" s="25"/>
      <c r="F6398" s="26"/>
    </row>
    <row r="6399" spans="1:6" ht="16.8" customHeight="1" x14ac:dyDescent="0.3">
      <c r="A6399" s="20">
        <v>47996</v>
      </c>
      <c r="B6399" s="31"/>
      <c r="C6399" s="31"/>
      <c r="D6399" s="31"/>
      <c r="E6399" s="25"/>
      <c r="F6399" s="26"/>
    </row>
    <row r="6400" spans="1:6" ht="16.8" customHeight="1" x14ac:dyDescent="0.3">
      <c r="A6400" s="20">
        <v>47997</v>
      </c>
      <c r="B6400" s="31"/>
      <c r="C6400" s="31"/>
      <c r="D6400" s="31"/>
      <c r="E6400" s="25"/>
      <c r="F6400" s="26"/>
    </row>
    <row r="6401" spans="1:6" ht="16.8" customHeight="1" x14ac:dyDescent="0.3">
      <c r="A6401" s="20">
        <v>47998</v>
      </c>
      <c r="B6401" s="31"/>
      <c r="C6401" s="31"/>
      <c r="D6401" s="31"/>
      <c r="E6401" s="25"/>
      <c r="F6401" s="26"/>
    </row>
    <row r="6402" spans="1:6" ht="16.8" customHeight="1" x14ac:dyDescent="0.3">
      <c r="A6402" s="28">
        <v>47999</v>
      </c>
      <c r="B6402" s="33"/>
      <c r="C6402" s="33"/>
      <c r="D6402" s="33"/>
      <c r="E6402" s="29"/>
      <c r="F6402" s="30"/>
    </row>
    <row r="6403" spans="1:6" ht="16.8" customHeight="1" x14ac:dyDescent="0.3">
      <c r="A6403" s="54">
        <v>48000</v>
      </c>
      <c r="B6403" s="31"/>
      <c r="C6403" s="31"/>
      <c r="D6403" s="31"/>
      <c r="E6403" s="52"/>
      <c r="F6403" s="30"/>
    </row>
    <row r="6404" spans="1:6" ht="16.8" customHeight="1" x14ac:dyDescent="0.3">
      <c r="A6404" s="54">
        <v>48001</v>
      </c>
      <c r="B6404" s="31"/>
      <c r="C6404" s="53"/>
      <c r="D6404" s="53"/>
      <c r="E6404" s="52"/>
      <c r="F6404" s="30"/>
    </row>
  </sheetData>
  <dataValidations count="1">
    <dataValidation type="list" allowBlank="1" showInputMessage="1" showErrorMessage="1" sqref="F1446 F1409 F1240 F1322 F1381 F1228 F153:F1223 F3:F151 F1448:F6402 F1436:F1444 F1418:F1434 F1400:F1405 F1392:F1398 F1387:F1390 F1383:F1385 F1379 F1377 F1375 F1369:F1371 F1364 F1360:F1362 F1349:F1356 F1346:F1347 F1338:F1340 F1331:F1334 F1326 F1324 F1318:F1320 F1310:F1315 F1307:F1308 F1303:F1305 F1299:F1300 F1289:F1292 F1287 F1284:F1285 F1280:F1282 F1274:F1278 F1271 F1268:F1269 F1232 F1243:F1259 F1238 F1236 F1234" xr:uid="{91C64153-5CC8-45B1-A139-D05F29BF3555}">
      <formula1>Etat</formula1>
    </dataValidation>
  </dataValidations>
  <pageMargins left="0.7" right="0.7" top="0.75" bottom="0.75" header="0.3" footer="0.3"/>
  <pageSetup paperSize="9" orientation="portrait" horizontalDpi="0"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 id="{3C798667-5CE1-4A44-9CC7-97E009CE6048}">
            <xm:f>MATCH($F2,LISTE!$A$1:$A$20,0)=15</xm:f>
            <x14:dxf>
              <fill>
                <patternFill>
                  <bgColor theme="8" tint="0.39994506668294322"/>
                </patternFill>
              </fill>
            </x14:dxf>
          </x14:cfRule>
          <x14:cfRule type="expression" priority="2" stopIfTrue="1" id="{B704FCC2-8867-4A3D-BE88-A01FEF7C753B}">
            <xm:f>MATCH($F2,LISTE!$A$1:$A$20,0)=14</xm:f>
            <x14:dxf>
              <font>
                <b val="0"/>
                <i val="0"/>
                <color rgb="FF000000"/>
              </font>
              <fill>
                <patternFill>
                  <fgColor indexed="64"/>
                  <bgColor rgb="FFA9D08E"/>
                </patternFill>
              </fill>
            </x14:dxf>
          </x14:cfRule>
          <x14:cfRule type="expression" priority="3" stopIfTrue="1" id="{DB418027-82A7-42DD-994A-DA346F8DB8FB}">
            <xm:f>MATCH($F2,LISTE!$A$1:$A$20,0)=13</xm:f>
            <x14:dxf>
              <font>
                <b val="0"/>
                <i val="0"/>
                <color rgb="FF000000"/>
              </font>
              <fill>
                <patternFill>
                  <fgColor indexed="64"/>
                  <bgColor rgb="FF548235"/>
                </patternFill>
              </fill>
            </x14:dxf>
          </x14:cfRule>
          <x14:cfRule type="expression" priority="4" stopIfTrue="1" id="{D2BB21FF-78A0-41B2-B86E-483B9BA50214}">
            <xm:f>MATCH($F2,LISTE!$A$1:$A$20,0)=12</xm:f>
            <x14:dxf>
              <font>
                <b val="0"/>
                <i val="0"/>
                <color rgb="FF000000"/>
              </font>
              <fill>
                <patternFill>
                  <fgColor indexed="64"/>
                  <bgColor rgb="FFA9D08E"/>
                </patternFill>
              </fill>
            </x14:dxf>
          </x14:cfRule>
          <x14:cfRule type="expression" priority="5" stopIfTrue="1" id="{139E89BA-8585-4C51-BFAC-C4CBB7E7CEEF}">
            <xm:f>MATCH($F2,LISTE!$A$1:$A$20,0)=11</xm:f>
            <x14:dxf>
              <font>
                <b val="0"/>
                <i val="0"/>
                <color rgb="FF000000"/>
              </font>
              <fill>
                <patternFill>
                  <fgColor indexed="64"/>
                  <bgColor rgb="FF000000"/>
                </patternFill>
              </fill>
            </x14:dxf>
          </x14:cfRule>
          <x14:cfRule type="expression" priority="6" stopIfTrue="1" id="{54625DDF-B908-4AA7-AA73-A1F6EBA2ABFC}">
            <xm:f>MATCH($F2,LISTE!$A$1:$A$20,0)=10</xm:f>
            <x14:dxf>
              <font>
                <b val="0"/>
                <i val="0"/>
                <color rgb="FF000000"/>
              </font>
              <fill>
                <patternFill>
                  <fgColor indexed="64"/>
                  <bgColor rgb="FFFCE4D6"/>
                </patternFill>
              </fill>
            </x14:dxf>
          </x14:cfRule>
          <x14:cfRule type="expression" priority="7" stopIfTrue="1" id="{3459425C-86D3-4CCE-B79D-DDD1FDFED3A0}">
            <xm:f>MATCH($F2,LISTE!$A$1:$A$20,0)=9</xm:f>
            <x14:dxf>
              <font>
                <b val="0"/>
                <i val="0"/>
                <color rgb="FF000000"/>
              </font>
              <fill>
                <patternFill>
                  <fgColor indexed="64"/>
                  <bgColor rgb="FFF8CBAD"/>
                </patternFill>
              </fill>
            </x14:dxf>
          </x14:cfRule>
          <x14:cfRule type="expression" priority="8" stopIfTrue="1" id="{37920998-101D-4E8D-B7E1-D6BAED0A1CDA}">
            <xm:f>MATCH($F2,LISTE!$A$1:$A$20,0)=8</xm:f>
            <x14:dxf>
              <font>
                <b val="0"/>
                <i val="0"/>
                <color rgb="FF000000"/>
              </font>
              <fill>
                <patternFill patternType="solid">
                  <fgColor indexed="64"/>
                  <bgColor rgb="FFFFFFFF"/>
                </patternFill>
              </fill>
            </x14:dxf>
          </x14:cfRule>
          <x14:cfRule type="expression" priority="9" stopIfTrue="1" id="{635FF969-D885-4974-9C8D-E8727A40566A}">
            <xm:f>MATCH($F2,LISTE!$A$1:$A$20,0)=7</xm:f>
            <x14:dxf>
              <font>
                <b val="0"/>
                <i val="0"/>
                <color rgb="FF000000"/>
              </font>
              <fill>
                <patternFill>
                  <fgColor indexed="64"/>
                  <bgColor rgb="FFBDD7EE"/>
                </patternFill>
              </fill>
            </x14:dxf>
          </x14:cfRule>
          <x14:cfRule type="expression" priority="10" stopIfTrue="1" id="{21007677-ABF9-4C54-A9A8-A44AE2C90232}">
            <xm:f>MATCH($F2,LISTE!$A$1:$A$20,0)=6</xm:f>
            <x14:dxf>
              <font>
                <b val="0"/>
                <i val="0"/>
                <color rgb="FF000000"/>
              </font>
              <fill>
                <patternFill>
                  <fgColor indexed="64"/>
                  <bgColor rgb="FFFFE699"/>
                </patternFill>
              </fill>
            </x14:dxf>
          </x14:cfRule>
          <x14:cfRule type="expression" priority="11" stopIfTrue="1" id="{9998739E-1E99-4170-B36E-8CE19DF39D80}">
            <xm:f>MATCH($F2,LISTE!$A$1:$A$20,0)=5</xm:f>
            <x14:dxf>
              <font>
                <b val="0"/>
                <i val="0"/>
                <color rgb="FF000000"/>
              </font>
              <fill>
                <patternFill>
                  <fgColor indexed="64"/>
                  <bgColor rgb="FFD9E1F2"/>
                </patternFill>
              </fill>
            </x14:dxf>
          </x14:cfRule>
          <x14:cfRule type="expression" priority="12" stopIfTrue="1" id="{C2455959-0020-4C8A-9D91-1D60C8DAB012}">
            <xm:f>MATCH($F2,LISTE!$A$1:$A$20,0)=4</xm:f>
            <x14:dxf>
              <font>
                <b val="0"/>
                <i val="0"/>
                <color rgb="FF000000"/>
              </font>
              <fill>
                <patternFill>
                  <fgColor indexed="64"/>
                  <bgColor rgb="FFE2EFDA"/>
                </patternFill>
              </fill>
            </x14:dxf>
          </x14:cfRule>
          <x14:cfRule type="expression" priority="13" stopIfTrue="1" id="{215C06D5-182D-406B-BADB-E674A24027B2}">
            <xm:f>MATCH($F2,LISTE!$A$1:$A$20,0)=3</xm:f>
            <x14:dxf>
              <font>
                <b val="0"/>
                <i val="0"/>
                <color rgb="FF000000"/>
              </font>
              <fill>
                <patternFill>
                  <fgColor indexed="64"/>
                  <bgColor rgb="FFA9D08E"/>
                </patternFill>
              </fill>
            </x14:dxf>
          </x14:cfRule>
          <x14:cfRule type="expression" priority="14" id="{805BEEAE-86DF-4CBF-BB7D-8384A34E83BB}">
            <xm:f>MATCH($F2,LISTE!$A$1:$A$20,0)=2</xm:f>
            <x14:dxf>
              <font>
                <b val="0"/>
                <i val="0"/>
                <color rgb="FF000000"/>
              </font>
              <fill>
                <patternFill>
                  <fgColor indexed="64"/>
                  <bgColor rgb="FF9BC2E6"/>
                </patternFill>
              </fill>
            </x14:dxf>
          </x14:cfRule>
          <xm:sqref>A2:F6404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A287B-BE3D-4A9D-8660-53D90D558881}">
  <sheetPr codeName="Feuil3"/>
  <dimension ref="A1:F1794"/>
  <sheetViews>
    <sheetView topLeftCell="A1785" workbookViewId="0">
      <selection activeCell="J1791" sqref="J1791"/>
    </sheetView>
  </sheetViews>
  <sheetFormatPr baseColWidth="10" defaultRowHeight="15" customHeight="1" x14ac:dyDescent="0.35"/>
  <cols>
    <col min="1" max="1" width="11.5546875" style="39"/>
    <col min="2" max="2" width="38.5546875" style="62" customWidth="1"/>
    <col min="3" max="4" width="29.5546875" style="44" customWidth="1"/>
    <col min="5" max="5" width="15.77734375" style="50" customWidth="1"/>
    <col min="6" max="6" width="18.6640625" style="50" customWidth="1"/>
    <col min="7" max="16384" width="11.5546875" style="37"/>
  </cols>
  <sheetData>
    <row r="1" spans="1:6" ht="15" customHeight="1" x14ac:dyDescent="0.35">
      <c r="A1" s="38" t="s">
        <v>1153</v>
      </c>
      <c r="B1" s="61" t="s">
        <v>1154</v>
      </c>
      <c r="C1" s="40" t="s">
        <v>1155</v>
      </c>
      <c r="D1" s="40" t="s">
        <v>1156</v>
      </c>
      <c r="E1" s="45" t="s">
        <v>1157</v>
      </c>
      <c r="F1" s="46" t="s">
        <v>1159</v>
      </c>
    </row>
    <row r="2" spans="1:6" ht="15" customHeight="1" x14ac:dyDescent="0.35">
      <c r="A2" s="56">
        <v>5500</v>
      </c>
      <c r="B2" s="41" t="s">
        <v>1160</v>
      </c>
      <c r="C2" s="41">
        <v>640</v>
      </c>
      <c r="D2" s="41" t="s">
        <v>1161</v>
      </c>
      <c r="E2" s="47">
        <v>45040</v>
      </c>
      <c r="F2" s="56" t="s">
        <v>1</v>
      </c>
    </row>
    <row r="3" spans="1:6" ht="15" customHeight="1" x14ac:dyDescent="0.35">
      <c r="A3" s="56">
        <v>5501</v>
      </c>
      <c r="B3" s="41" t="s">
        <v>1162</v>
      </c>
      <c r="C3" s="41" t="s">
        <v>217</v>
      </c>
      <c r="D3" s="41" t="s">
        <v>1163</v>
      </c>
      <c r="E3" s="47">
        <v>45189</v>
      </c>
      <c r="F3" s="56" t="s">
        <v>1</v>
      </c>
    </row>
    <row r="4" spans="1:6" ht="15" customHeight="1" x14ac:dyDescent="0.35">
      <c r="A4" s="56">
        <v>5502</v>
      </c>
      <c r="B4" s="41" t="s">
        <v>195</v>
      </c>
      <c r="C4" s="41" t="s">
        <v>133</v>
      </c>
      <c r="D4" s="41" t="s">
        <v>615</v>
      </c>
      <c r="E4" s="47">
        <v>45138</v>
      </c>
      <c r="F4" s="56" t="s">
        <v>1</v>
      </c>
    </row>
    <row r="5" spans="1:6" ht="15" customHeight="1" x14ac:dyDescent="0.35">
      <c r="A5" s="56">
        <v>5503</v>
      </c>
      <c r="B5" s="41" t="s">
        <v>195</v>
      </c>
      <c r="C5" s="41" t="s">
        <v>1164</v>
      </c>
      <c r="D5" s="41" t="s">
        <v>1165</v>
      </c>
      <c r="E5" s="47">
        <v>45126</v>
      </c>
      <c r="F5" s="56" t="s">
        <v>1</v>
      </c>
    </row>
    <row r="6" spans="1:6" ht="15" customHeight="1" x14ac:dyDescent="0.35">
      <c r="A6" s="56">
        <v>5504</v>
      </c>
      <c r="B6" s="41" t="s">
        <v>333</v>
      </c>
      <c r="C6" s="41" t="s">
        <v>334</v>
      </c>
      <c r="D6" s="41" t="s">
        <v>335</v>
      </c>
      <c r="E6" s="47">
        <v>45134</v>
      </c>
      <c r="F6" s="56" t="s">
        <v>3</v>
      </c>
    </row>
    <row r="7" spans="1:6" ht="15" customHeight="1" x14ac:dyDescent="0.35">
      <c r="A7" s="56">
        <v>5505</v>
      </c>
      <c r="B7" s="41" t="s">
        <v>1166</v>
      </c>
      <c r="C7" s="41" t="s">
        <v>782</v>
      </c>
      <c r="D7" s="41" t="s">
        <v>85</v>
      </c>
      <c r="E7" s="47">
        <v>45128</v>
      </c>
      <c r="F7" s="56" t="s">
        <v>1</v>
      </c>
    </row>
    <row r="8" spans="1:6" ht="15" customHeight="1" x14ac:dyDescent="0.35">
      <c r="A8" s="56">
        <v>5506</v>
      </c>
      <c r="B8" s="41" t="s">
        <v>264</v>
      </c>
      <c r="C8" s="41" t="s">
        <v>63</v>
      </c>
      <c r="D8" s="41" t="s">
        <v>1163</v>
      </c>
      <c r="E8" s="47">
        <v>45127</v>
      </c>
      <c r="F8" s="56" t="s">
        <v>1</v>
      </c>
    </row>
    <row r="9" spans="1:6" ht="15" customHeight="1" x14ac:dyDescent="0.35">
      <c r="A9" s="56">
        <v>5507</v>
      </c>
      <c r="B9" s="41" t="s">
        <v>333</v>
      </c>
      <c r="C9" s="41" t="s">
        <v>1167</v>
      </c>
      <c r="D9" s="41" t="s">
        <v>1168</v>
      </c>
      <c r="E9" s="47">
        <v>45137</v>
      </c>
      <c r="F9" s="56" t="s">
        <v>1</v>
      </c>
    </row>
    <row r="10" spans="1:6" ht="15" customHeight="1" x14ac:dyDescent="0.35">
      <c r="A10" s="56">
        <v>5508</v>
      </c>
      <c r="B10" s="41" t="s">
        <v>509</v>
      </c>
      <c r="C10" s="41" t="s">
        <v>440</v>
      </c>
      <c r="D10" s="41" t="s">
        <v>1170</v>
      </c>
      <c r="E10" s="47">
        <v>45137</v>
      </c>
      <c r="F10" s="56" t="s">
        <v>2</v>
      </c>
    </row>
    <row r="11" spans="1:6" ht="15" customHeight="1" x14ac:dyDescent="0.35">
      <c r="A11" s="56">
        <v>5509</v>
      </c>
      <c r="B11" s="41" t="s">
        <v>509</v>
      </c>
      <c r="C11" s="41" t="s">
        <v>440</v>
      </c>
      <c r="D11" s="41" t="s">
        <v>503</v>
      </c>
      <c r="E11" s="47">
        <v>45137</v>
      </c>
      <c r="F11" s="56" t="s">
        <v>2</v>
      </c>
    </row>
    <row r="12" spans="1:6" ht="15" customHeight="1" x14ac:dyDescent="0.35">
      <c r="A12" s="56">
        <v>5510</v>
      </c>
      <c r="B12" s="41" t="s">
        <v>1171</v>
      </c>
      <c r="C12" s="41"/>
      <c r="D12" s="41" t="s">
        <v>1172</v>
      </c>
      <c r="E12" s="47">
        <v>45138</v>
      </c>
      <c r="F12" s="56" t="s">
        <v>1</v>
      </c>
    </row>
    <row r="13" spans="1:6" ht="15" customHeight="1" x14ac:dyDescent="0.35">
      <c r="A13" s="56">
        <v>5511</v>
      </c>
      <c r="B13" s="41" t="s">
        <v>83</v>
      </c>
      <c r="C13" s="41" t="s">
        <v>240</v>
      </c>
      <c r="D13" s="41" t="s">
        <v>1173</v>
      </c>
      <c r="E13" s="47">
        <v>45146</v>
      </c>
      <c r="F13" s="56" t="s">
        <v>5</v>
      </c>
    </row>
    <row r="14" spans="1:6" ht="15" customHeight="1" x14ac:dyDescent="0.35">
      <c r="A14" s="56">
        <v>5512</v>
      </c>
      <c r="B14" s="41" t="s">
        <v>96</v>
      </c>
      <c r="C14" s="41" t="s">
        <v>179</v>
      </c>
      <c r="D14" s="41" t="s">
        <v>1174</v>
      </c>
      <c r="E14" s="47">
        <v>45137</v>
      </c>
      <c r="F14" s="56" t="s">
        <v>1</v>
      </c>
    </row>
    <row r="15" spans="1:6" ht="15" customHeight="1" x14ac:dyDescent="0.35">
      <c r="A15" s="56">
        <v>5513</v>
      </c>
      <c r="B15" s="41" t="s">
        <v>1175</v>
      </c>
      <c r="C15" s="41" t="s">
        <v>26</v>
      </c>
      <c r="D15" s="41" t="s">
        <v>27</v>
      </c>
      <c r="E15" s="47">
        <v>45137</v>
      </c>
      <c r="F15" s="56" t="s">
        <v>1</v>
      </c>
    </row>
    <row r="16" spans="1:6" ht="15" customHeight="1" x14ac:dyDescent="0.35">
      <c r="A16" s="56">
        <v>5514</v>
      </c>
      <c r="B16" s="41" t="s">
        <v>353</v>
      </c>
      <c r="C16" s="41" t="s">
        <v>32</v>
      </c>
      <c r="D16" s="41" t="s">
        <v>423</v>
      </c>
      <c r="E16" s="47">
        <v>45137</v>
      </c>
      <c r="F16" s="56" t="s">
        <v>5</v>
      </c>
    </row>
    <row r="17" spans="1:6" ht="15" customHeight="1" x14ac:dyDescent="0.35">
      <c r="A17" s="56">
        <v>5515</v>
      </c>
      <c r="B17" s="41" t="s">
        <v>333</v>
      </c>
      <c r="C17" s="41" t="s">
        <v>334</v>
      </c>
      <c r="D17" s="41" t="s">
        <v>176</v>
      </c>
      <c r="E17" s="47">
        <v>45500</v>
      </c>
      <c r="F17" s="56" t="s">
        <v>3</v>
      </c>
    </row>
    <row r="18" spans="1:6" ht="15" customHeight="1" x14ac:dyDescent="0.35">
      <c r="A18" s="56">
        <v>5516</v>
      </c>
      <c r="B18" s="41" t="s">
        <v>333</v>
      </c>
      <c r="C18" s="41" t="s">
        <v>334</v>
      </c>
      <c r="D18" s="41" t="s">
        <v>255</v>
      </c>
      <c r="E18" s="47">
        <v>45134</v>
      </c>
      <c r="F18" s="56" t="s">
        <v>3</v>
      </c>
    </row>
    <row r="19" spans="1:6" ht="15" customHeight="1" x14ac:dyDescent="0.35">
      <c r="A19" s="56">
        <v>5517</v>
      </c>
      <c r="B19" s="41" t="s">
        <v>83</v>
      </c>
      <c r="C19" s="41" t="s">
        <v>240</v>
      </c>
      <c r="D19" s="41" t="s">
        <v>1176</v>
      </c>
      <c r="E19" s="47">
        <v>45137</v>
      </c>
      <c r="F19" s="56" t="s">
        <v>2</v>
      </c>
    </row>
    <row r="20" spans="1:6" ht="15" customHeight="1" x14ac:dyDescent="0.35">
      <c r="A20" s="56">
        <v>5518</v>
      </c>
      <c r="B20" s="41" t="s">
        <v>1117</v>
      </c>
      <c r="C20" s="41" t="s">
        <v>1177</v>
      </c>
      <c r="D20" s="41" t="s">
        <v>1178</v>
      </c>
      <c r="E20" s="47">
        <v>45134</v>
      </c>
      <c r="F20" s="56" t="s">
        <v>1</v>
      </c>
    </row>
    <row r="21" spans="1:6" ht="15" customHeight="1" x14ac:dyDescent="0.35">
      <c r="A21" s="56">
        <v>5519</v>
      </c>
      <c r="B21" s="41" t="s">
        <v>1179</v>
      </c>
      <c r="C21" s="41" t="s">
        <v>1180</v>
      </c>
      <c r="D21" s="41" t="s">
        <v>1181</v>
      </c>
      <c r="E21" s="47">
        <v>45128</v>
      </c>
      <c r="F21" s="56" t="s">
        <v>1</v>
      </c>
    </row>
    <row r="22" spans="1:6" ht="15" customHeight="1" x14ac:dyDescent="0.35">
      <c r="A22" s="56">
        <v>5520</v>
      </c>
      <c r="B22" s="41" t="s">
        <v>333</v>
      </c>
      <c r="C22" s="41" t="s">
        <v>32</v>
      </c>
      <c r="D22" s="41" t="s">
        <v>126</v>
      </c>
      <c r="E22" s="47">
        <v>45127</v>
      </c>
      <c r="F22" s="56" t="s">
        <v>1</v>
      </c>
    </row>
    <row r="23" spans="1:6" ht="15" customHeight="1" x14ac:dyDescent="0.35">
      <c r="A23" s="56">
        <v>5521</v>
      </c>
      <c r="B23" s="41" t="s">
        <v>1106</v>
      </c>
      <c r="C23" s="41" t="s">
        <v>1107</v>
      </c>
      <c r="D23" s="41" t="s">
        <v>1182</v>
      </c>
      <c r="E23" s="47">
        <v>45128</v>
      </c>
      <c r="F23" s="56" t="s">
        <v>1</v>
      </c>
    </row>
    <row r="24" spans="1:6" ht="15" customHeight="1" x14ac:dyDescent="0.35">
      <c r="A24" s="56">
        <v>5522</v>
      </c>
      <c r="B24" s="41" t="s">
        <v>509</v>
      </c>
      <c r="C24" s="41" t="s">
        <v>440</v>
      </c>
      <c r="D24" s="41" t="s">
        <v>423</v>
      </c>
      <c r="E24" s="47">
        <v>45137</v>
      </c>
      <c r="F24" s="56" t="s">
        <v>5</v>
      </c>
    </row>
    <row r="25" spans="1:6" ht="15" customHeight="1" x14ac:dyDescent="0.35">
      <c r="A25" s="56">
        <v>5523</v>
      </c>
      <c r="B25" s="41" t="s">
        <v>1183</v>
      </c>
      <c r="C25" s="41" t="s">
        <v>1184</v>
      </c>
      <c r="D25" s="41" t="s">
        <v>1185</v>
      </c>
      <c r="E25" s="47">
        <v>45169</v>
      </c>
      <c r="F25" s="56" t="s">
        <v>1</v>
      </c>
    </row>
    <row r="26" spans="1:6" ht="15" customHeight="1" x14ac:dyDescent="0.35">
      <c r="A26" s="56">
        <v>5524</v>
      </c>
      <c r="B26" s="41" t="s">
        <v>1186</v>
      </c>
      <c r="C26" s="41" t="s">
        <v>1187</v>
      </c>
      <c r="D26" s="41" t="s">
        <v>1188</v>
      </c>
      <c r="E26" s="47">
        <v>45137</v>
      </c>
      <c r="F26" s="56" t="s">
        <v>1</v>
      </c>
    </row>
    <row r="27" spans="1:6" ht="15" customHeight="1" x14ac:dyDescent="0.35">
      <c r="A27" s="56">
        <v>5525</v>
      </c>
      <c r="B27" s="41"/>
      <c r="C27" s="41"/>
      <c r="D27" s="41"/>
      <c r="E27" s="47"/>
      <c r="F27" s="56"/>
    </row>
    <row r="28" spans="1:6" ht="15" customHeight="1" x14ac:dyDescent="0.35">
      <c r="A28" s="56">
        <v>5526</v>
      </c>
      <c r="B28" s="41" t="s">
        <v>1189</v>
      </c>
      <c r="C28" s="41" t="s">
        <v>26</v>
      </c>
      <c r="D28" s="41" t="s">
        <v>1190</v>
      </c>
      <c r="E28" s="47">
        <v>45141</v>
      </c>
      <c r="F28" s="56" t="s">
        <v>1</v>
      </c>
    </row>
    <row r="29" spans="1:6" ht="15" customHeight="1" x14ac:dyDescent="0.35">
      <c r="A29" s="56">
        <v>5527</v>
      </c>
      <c r="B29" s="41" t="s">
        <v>1179</v>
      </c>
      <c r="C29" s="41" t="s">
        <v>1191</v>
      </c>
      <c r="D29" s="41" t="s">
        <v>1192</v>
      </c>
      <c r="E29" s="47">
        <v>45137</v>
      </c>
      <c r="F29" s="56" t="s">
        <v>1</v>
      </c>
    </row>
    <row r="30" spans="1:6" ht="15" customHeight="1" x14ac:dyDescent="0.35">
      <c r="A30" s="56">
        <v>5528</v>
      </c>
      <c r="B30" s="41" t="s">
        <v>74</v>
      </c>
      <c r="C30" s="41" t="s">
        <v>75</v>
      </c>
      <c r="D30" s="41" t="s">
        <v>383</v>
      </c>
      <c r="E30" s="47">
        <v>45137</v>
      </c>
      <c r="F30" s="56" t="s">
        <v>1</v>
      </c>
    </row>
    <row r="31" spans="1:6" ht="15" customHeight="1" x14ac:dyDescent="0.35">
      <c r="A31" s="56">
        <v>5529</v>
      </c>
      <c r="B31" s="41" t="s">
        <v>1193</v>
      </c>
      <c r="C31" s="41" t="s">
        <v>1194</v>
      </c>
      <c r="D31" s="41" t="s">
        <v>1195</v>
      </c>
      <c r="E31" s="47">
        <v>45134</v>
      </c>
      <c r="F31" s="56" t="s">
        <v>1</v>
      </c>
    </row>
    <row r="32" spans="1:6" ht="15" customHeight="1" x14ac:dyDescent="0.35">
      <c r="A32" s="56">
        <v>5530</v>
      </c>
      <c r="B32" s="41" t="s">
        <v>41</v>
      </c>
      <c r="C32" s="41" t="s">
        <v>254</v>
      </c>
      <c r="D32" s="41" t="s">
        <v>98</v>
      </c>
      <c r="E32" s="47">
        <v>45137</v>
      </c>
      <c r="F32" s="56" t="s">
        <v>4</v>
      </c>
    </row>
    <row r="33" spans="1:6" ht="15" customHeight="1" x14ac:dyDescent="0.35">
      <c r="A33" s="56">
        <v>5531</v>
      </c>
      <c r="B33" s="41" t="s">
        <v>454</v>
      </c>
      <c r="C33" s="41" t="s">
        <v>133</v>
      </c>
      <c r="D33" s="41" t="s">
        <v>403</v>
      </c>
      <c r="E33" s="47">
        <v>45137</v>
      </c>
      <c r="F33" s="56" t="s">
        <v>1</v>
      </c>
    </row>
    <row r="34" spans="1:6" ht="15" customHeight="1" x14ac:dyDescent="0.35">
      <c r="A34" s="56">
        <v>5532</v>
      </c>
      <c r="B34" s="41" t="s">
        <v>74</v>
      </c>
      <c r="C34" s="41" t="s">
        <v>75</v>
      </c>
      <c r="D34" s="41" t="s">
        <v>145</v>
      </c>
      <c r="E34" s="47">
        <v>45137</v>
      </c>
      <c r="F34" s="56" t="s">
        <v>3</v>
      </c>
    </row>
    <row r="35" spans="1:6" ht="15" customHeight="1" x14ac:dyDescent="0.35">
      <c r="A35" s="56">
        <v>5533</v>
      </c>
      <c r="B35" s="41" t="s">
        <v>74</v>
      </c>
      <c r="C35" s="41" t="s">
        <v>179</v>
      </c>
      <c r="D35" s="41" t="s">
        <v>85</v>
      </c>
      <c r="E35" s="47">
        <v>45137</v>
      </c>
      <c r="F35" s="56" t="s">
        <v>3</v>
      </c>
    </row>
    <row r="36" spans="1:6" ht="15" customHeight="1" x14ac:dyDescent="0.35">
      <c r="A36" s="56">
        <v>5534</v>
      </c>
      <c r="B36" s="41" t="s">
        <v>41</v>
      </c>
      <c r="C36" s="41" t="s">
        <v>63</v>
      </c>
      <c r="D36" s="41" t="s">
        <v>495</v>
      </c>
      <c r="E36" s="47">
        <v>45179</v>
      </c>
      <c r="F36" s="56" t="s">
        <v>4</v>
      </c>
    </row>
    <row r="37" spans="1:6" ht="15" customHeight="1" x14ac:dyDescent="0.35">
      <c r="A37" s="56">
        <v>5535</v>
      </c>
      <c r="B37" s="41" t="s">
        <v>41</v>
      </c>
      <c r="C37" s="41" t="s">
        <v>1196</v>
      </c>
      <c r="D37" s="41" t="s">
        <v>1197</v>
      </c>
      <c r="E37" s="47">
        <v>45138</v>
      </c>
      <c r="F37" s="56" t="s">
        <v>4</v>
      </c>
    </row>
    <row r="38" spans="1:6" ht="15" customHeight="1" x14ac:dyDescent="0.35">
      <c r="A38" s="56">
        <v>5536</v>
      </c>
      <c r="B38" s="41" t="s">
        <v>1198</v>
      </c>
      <c r="C38" s="41"/>
      <c r="D38" s="41" t="s">
        <v>1100</v>
      </c>
      <c r="E38" s="47">
        <v>45137</v>
      </c>
      <c r="F38" s="56" t="s">
        <v>1</v>
      </c>
    </row>
    <row r="39" spans="1:6" ht="15" customHeight="1" x14ac:dyDescent="0.35">
      <c r="A39" s="56">
        <v>5537</v>
      </c>
      <c r="B39" s="41" t="s">
        <v>220</v>
      </c>
      <c r="C39" s="41" t="s">
        <v>1199</v>
      </c>
      <c r="D39" s="41" t="s">
        <v>85</v>
      </c>
      <c r="E39" s="47">
        <v>45166</v>
      </c>
      <c r="F39" s="56" t="s">
        <v>1</v>
      </c>
    </row>
    <row r="40" spans="1:6" ht="15" customHeight="1" x14ac:dyDescent="0.35">
      <c r="A40" s="56">
        <v>5538</v>
      </c>
      <c r="B40" s="41" t="s">
        <v>220</v>
      </c>
      <c r="C40" s="41" t="s">
        <v>1200</v>
      </c>
      <c r="D40" s="41" t="s">
        <v>85</v>
      </c>
      <c r="E40" s="47">
        <v>45169</v>
      </c>
      <c r="F40" s="56" t="s">
        <v>1</v>
      </c>
    </row>
    <row r="41" spans="1:6" ht="15" customHeight="1" x14ac:dyDescent="0.35">
      <c r="A41" s="56">
        <v>5539</v>
      </c>
      <c r="B41" s="41" t="s">
        <v>1201</v>
      </c>
      <c r="C41" s="41" t="s">
        <v>1202</v>
      </c>
      <c r="D41" s="41" t="s">
        <v>159</v>
      </c>
      <c r="E41" s="47">
        <v>45169</v>
      </c>
      <c r="F41" s="56" t="s">
        <v>1</v>
      </c>
    </row>
    <row r="42" spans="1:6" ht="15" customHeight="1" x14ac:dyDescent="0.35">
      <c r="A42" s="56">
        <v>5540</v>
      </c>
      <c r="B42" s="41" t="s">
        <v>1162</v>
      </c>
      <c r="C42" s="41" t="s">
        <v>217</v>
      </c>
      <c r="D42" s="41" t="s">
        <v>159</v>
      </c>
      <c r="E42" s="47">
        <v>45137</v>
      </c>
      <c r="F42" s="56" t="s">
        <v>3</v>
      </c>
    </row>
    <row r="43" spans="1:6" ht="15" customHeight="1" x14ac:dyDescent="0.35">
      <c r="A43" s="56">
        <v>5541</v>
      </c>
      <c r="B43" s="41" t="s">
        <v>239</v>
      </c>
      <c r="C43" s="41" t="s">
        <v>1203</v>
      </c>
      <c r="D43" s="41" t="s">
        <v>1204</v>
      </c>
      <c r="E43" s="47">
        <v>45280</v>
      </c>
      <c r="F43" s="56" t="s">
        <v>1</v>
      </c>
    </row>
    <row r="44" spans="1:6" ht="15" customHeight="1" x14ac:dyDescent="0.35">
      <c r="A44" s="56">
        <v>5542</v>
      </c>
      <c r="B44" s="41"/>
      <c r="C44" s="41"/>
      <c r="D44" s="41"/>
      <c r="E44" s="47"/>
      <c r="F44" s="56"/>
    </row>
    <row r="45" spans="1:6" ht="15" customHeight="1" x14ac:dyDescent="0.35">
      <c r="A45" s="56">
        <v>5543</v>
      </c>
      <c r="B45" s="41"/>
      <c r="C45" s="41"/>
      <c r="D45" s="41"/>
      <c r="E45" s="47"/>
      <c r="F45" s="56"/>
    </row>
    <row r="46" spans="1:6" ht="15" customHeight="1" x14ac:dyDescent="0.35">
      <c r="A46" s="56">
        <v>5544</v>
      </c>
      <c r="B46" s="41"/>
      <c r="C46" s="41"/>
      <c r="D46" s="41"/>
      <c r="E46" s="47"/>
      <c r="F46" s="56"/>
    </row>
    <row r="47" spans="1:6" ht="15" customHeight="1" x14ac:dyDescent="0.35">
      <c r="A47" s="56">
        <v>5545</v>
      </c>
      <c r="B47" s="41"/>
      <c r="C47" s="41"/>
      <c r="D47" s="41"/>
      <c r="E47" s="47"/>
      <c r="F47" s="56"/>
    </row>
    <row r="48" spans="1:6" ht="15" customHeight="1" x14ac:dyDescent="0.35">
      <c r="A48" s="56">
        <v>5546</v>
      </c>
      <c r="B48" s="41"/>
      <c r="C48" s="41"/>
      <c r="D48" s="41"/>
      <c r="E48" s="47"/>
      <c r="F48" s="56"/>
    </row>
    <row r="49" spans="1:6" ht="15" customHeight="1" x14ac:dyDescent="0.35">
      <c r="A49" s="56">
        <v>5547</v>
      </c>
      <c r="B49" s="41"/>
      <c r="C49" s="41"/>
      <c r="D49" s="41"/>
      <c r="E49" s="47"/>
      <c r="F49" s="56"/>
    </row>
    <row r="50" spans="1:6" ht="15" customHeight="1" x14ac:dyDescent="0.35">
      <c r="A50" s="56">
        <v>5548</v>
      </c>
      <c r="B50" s="41"/>
      <c r="C50" s="41"/>
      <c r="D50" s="41"/>
      <c r="E50" s="47"/>
      <c r="F50" s="56"/>
    </row>
    <row r="51" spans="1:6" ht="15" customHeight="1" x14ac:dyDescent="0.35">
      <c r="A51" s="56">
        <v>5549</v>
      </c>
      <c r="B51" s="41"/>
      <c r="C51" s="41"/>
      <c r="D51" s="41"/>
      <c r="E51" s="47"/>
      <c r="F51" s="56"/>
    </row>
    <row r="52" spans="1:6" ht="15" customHeight="1" x14ac:dyDescent="0.35">
      <c r="A52" s="56">
        <v>5550</v>
      </c>
      <c r="B52" s="41"/>
      <c r="C52" s="41"/>
      <c r="D52" s="41"/>
      <c r="E52" s="47"/>
      <c r="F52" s="56"/>
    </row>
    <row r="53" spans="1:6" ht="15" customHeight="1" x14ac:dyDescent="0.35">
      <c r="A53" s="56">
        <v>5551</v>
      </c>
      <c r="B53" s="41"/>
      <c r="C53" s="41"/>
      <c r="D53" s="41"/>
      <c r="E53" s="47"/>
      <c r="F53" s="56"/>
    </row>
    <row r="54" spans="1:6" ht="15" customHeight="1" x14ac:dyDescent="0.35">
      <c r="A54" s="56">
        <v>5552</v>
      </c>
      <c r="B54" s="41"/>
      <c r="C54" s="41"/>
      <c r="D54" s="41"/>
      <c r="E54" s="47"/>
      <c r="F54" s="56"/>
    </row>
    <row r="55" spans="1:6" ht="15" customHeight="1" x14ac:dyDescent="0.35">
      <c r="A55" s="56">
        <v>5553</v>
      </c>
      <c r="B55" s="41"/>
      <c r="C55" s="41"/>
      <c r="D55" s="41"/>
      <c r="E55" s="47"/>
      <c r="F55" s="56"/>
    </row>
    <row r="56" spans="1:6" ht="15" customHeight="1" x14ac:dyDescent="0.35">
      <c r="A56" s="56">
        <v>5554</v>
      </c>
      <c r="B56" s="41"/>
      <c r="C56" s="41"/>
      <c r="D56" s="41"/>
      <c r="E56" s="47"/>
      <c r="F56" s="56"/>
    </row>
    <row r="57" spans="1:6" ht="15" customHeight="1" x14ac:dyDescent="0.35">
      <c r="A57" s="56">
        <v>5555</v>
      </c>
      <c r="B57" s="41"/>
      <c r="C57" s="41"/>
      <c r="D57" s="41"/>
      <c r="E57" s="47"/>
      <c r="F57" s="56"/>
    </row>
    <row r="58" spans="1:6" ht="15" customHeight="1" x14ac:dyDescent="0.35">
      <c r="A58" s="56">
        <v>5556</v>
      </c>
      <c r="B58" s="41"/>
      <c r="C58" s="41"/>
      <c r="D58" s="41"/>
      <c r="E58" s="47"/>
      <c r="F58" s="56"/>
    </row>
    <row r="59" spans="1:6" ht="15" customHeight="1" x14ac:dyDescent="0.35">
      <c r="A59" s="56">
        <v>5557</v>
      </c>
      <c r="B59" s="41"/>
      <c r="C59" s="41"/>
      <c r="D59" s="41"/>
      <c r="E59" s="47"/>
      <c r="F59" s="56"/>
    </row>
    <row r="60" spans="1:6" ht="15" customHeight="1" x14ac:dyDescent="0.35">
      <c r="A60" s="56">
        <v>5558</v>
      </c>
      <c r="B60" s="41"/>
      <c r="C60" s="41"/>
      <c r="D60" s="41"/>
      <c r="E60" s="47"/>
      <c r="F60" s="56"/>
    </row>
    <row r="61" spans="1:6" ht="15" customHeight="1" x14ac:dyDescent="0.35">
      <c r="A61" s="56">
        <v>5559</v>
      </c>
      <c r="B61" s="41"/>
      <c r="C61" s="41"/>
      <c r="D61" s="41"/>
      <c r="E61" s="47"/>
      <c r="F61" s="56"/>
    </row>
    <row r="62" spans="1:6" ht="15" customHeight="1" x14ac:dyDescent="0.35">
      <c r="A62" s="56">
        <v>5560</v>
      </c>
      <c r="B62" s="41"/>
      <c r="C62" s="41"/>
      <c r="D62" s="41"/>
      <c r="E62" s="47"/>
      <c r="F62" s="56"/>
    </row>
    <row r="63" spans="1:6" ht="15" customHeight="1" x14ac:dyDescent="0.35">
      <c r="A63" s="56">
        <v>5561</v>
      </c>
      <c r="B63" s="41"/>
      <c r="C63" s="41"/>
      <c r="D63" s="41"/>
      <c r="E63" s="47"/>
      <c r="F63" s="56"/>
    </row>
    <row r="64" spans="1:6" ht="15" customHeight="1" x14ac:dyDescent="0.35">
      <c r="A64" s="56">
        <v>5562</v>
      </c>
      <c r="B64" s="41"/>
      <c r="C64" s="41"/>
      <c r="D64" s="41"/>
      <c r="E64" s="47"/>
      <c r="F64" s="56"/>
    </row>
    <row r="65" spans="1:6" ht="15" customHeight="1" x14ac:dyDescent="0.35">
      <c r="A65" s="56">
        <v>5563</v>
      </c>
      <c r="B65" s="41"/>
      <c r="C65" s="41"/>
      <c r="D65" s="41"/>
      <c r="E65" s="47"/>
      <c r="F65" s="56"/>
    </row>
    <row r="66" spans="1:6" ht="15" customHeight="1" x14ac:dyDescent="0.35">
      <c r="A66" s="56">
        <v>5564</v>
      </c>
      <c r="B66" s="41"/>
      <c r="C66" s="41"/>
      <c r="D66" s="41"/>
      <c r="E66" s="47"/>
      <c r="F66" s="56"/>
    </row>
    <row r="67" spans="1:6" ht="15" customHeight="1" x14ac:dyDescent="0.35">
      <c r="A67" s="56">
        <v>5565</v>
      </c>
      <c r="B67" s="41"/>
      <c r="C67" s="41"/>
      <c r="D67" s="41"/>
      <c r="E67" s="47"/>
      <c r="F67" s="56"/>
    </row>
    <row r="68" spans="1:6" ht="15" customHeight="1" x14ac:dyDescent="0.35">
      <c r="A68" s="56">
        <v>5566</v>
      </c>
      <c r="B68" s="41"/>
      <c r="C68" s="41"/>
      <c r="D68" s="41"/>
      <c r="E68" s="47"/>
      <c r="F68" s="56"/>
    </row>
    <row r="69" spans="1:6" ht="15" customHeight="1" x14ac:dyDescent="0.35">
      <c r="A69" s="56">
        <v>5567</v>
      </c>
      <c r="B69" s="41"/>
      <c r="C69" s="41"/>
      <c r="D69" s="41"/>
      <c r="E69" s="47"/>
      <c r="F69" s="56"/>
    </row>
    <row r="70" spans="1:6" ht="15" customHeight="1" x14ac:dyDescent="0.35">
      <c r="A70" s="56">
        <v>5568</v>
      </c>
      <c r="B70" s="41"/>
      <c r="C70" s="41"/>
      <c r="D70" s="41"/>
      <c r="E70" s="47"/>
      <c r="F70" s="56"/>
    </row>
    <row r="71" spans="1:6" ht="15" customHeight="1" x14ac:dyDescent="0.35">
      <c r="A71" s="56">
        <v>5569</v>
      </c>
      <c r="B71" s="41"/>
      <c r="C71" s="41"/>
      <c r="D71" s="41"/>
      <c r="E71" s="47"/>
      <c r="F71" s="56"/>
    </row>
    <row r="72" spans="1:6" ht="15" customHeight="1" x14ac:dyDescent="0.35">
      <c r="A72" s="56">
        <v>5570</v>
      </c>
      <c r="B72" s="41"/>
      <c r="C72" s="41"/>
      <c r="D72" s="41"/>
      <c r="E72" s="47"/>
      <c r="F72" s="56"/>
    </row>
    <row r="73" spans="1:6" ht="15" customHeight="1" x14ac:dyDescent="0.35">
      <c r="A73" s="56">
        <v>5571</v>
      </c>
      <c r="B73" s="41"/>
      <c r="C73" s="41"/>
      <c r="D73" s="41"/>
      <c r="E73" s="47"/>
      <c r="F73" s="56"/>
    </row>
    <row r="74" spans="1:6" ht="15" customHeight="1" x14ac:dyDescent="0.35">
      <c r="A74" s="56">
        <v>5572</v>
      </c>
      <c r="B74" s="41"/>
      <c r="C74" s="41"/>
      <c r="D74" s="41"/>
      <c r="E74" s="47"/>
      <c r="F74" s="56"/>
    </row>
    <row r="75" spans="1:6" ht="15" customHeight="1" x14ac:dyDescent="0.35">
      <c r="A75" s="56">
        <v>5573</v>
      </c>
      <c r="B75" s="41"/>
      <c r="C75" s="41"/>
      <c r="D75" s="41"/>
      <c r="E75" s="47"/>
      <c r="F75" s="56"/>
    </row>
    <row r="76" spans="1:6" ht="15" customHeight="1" x14ac:dyDescent="0.35">
      <c r="A76" s="56">
        <v>5574</v>
      </c>
      <c r="B76" s="41"/>
      <c r="C76" s="41"/>
      <c r="D76" s="41"/>
      <c r="E76" s="47"/>
      <c r="F76" s="56"/>
    </row>
    <row r="77" spans="1:6" ht="15" customHeight="1" x14ac:dyDescent="0.35">
      <c r="A77" s="56">
        <v>5575</v>
      </c>
      <c r="B77" s="41"/>
      <c r="C77" s="41"/>
      <c r="D77" s="41"/>
      <c r="E77" s="47"/>
      <c r="F77" s="56"/>
    </row>
    <row r="78" spans="1:6" ht="15" customHeight="1" x14ac:dyDescent="0.35">
      <c r="A78" s="56">
        <v>5576</v>
      </c>
      <c r="B78" s="41"/>
      <c r="C78" s="41"/>
      <c r="D78" s="41"/>
      <c r="E78" s="47"/>
      <c r="F78" s="56"/>
    </row>
    <row r="79" spans="1:6" ht="15" customHeight="1" x14ac:dyDescent="0.35">
      <c r="A79" s="56">
        <v>5577</v>
      </c>
      <c r="B79" s="41"/>
      <c r="C79" s="41"/>
      <c r="D79" s="41"/>
      <c r="E79" s="47"/>
      <c r="F79" s="56"/>
    </row>
    <row r="80" spans="1:6" ht="15" customHeight="1" x14ac:dyDescent="0.35">
      <c r="A80" s="56">
        <v>5578</v>
      </c>
      <c r="B80" s="41"/>
      <c r="C80" s="41"/>
      <c r="D80" s="41"/>
      <c r="E80" s="47"/>
      <c r="F80" s="56"/>
    </row>
    <row r="81" spans="1:6" ht="15" customHeight="1" x14ac:dyDescent="0.35">
      <c r="A81" s="56">
        <v>5579</v>
      </c>
      <c r="B81" s="41"/>
      <c r="C81" s="41"/>
      <c r="D81" s="41"/>
      <c r="E81" s="47"/>
      <c r="F81" s="56"/>
    </row>
    <row r="82" spans="1:6" ht="15" customHeight="1" x14ac:dyDescent="0.35">
      <c r="A82" s="56">
        <v>5580</v>
      </c>
      <c r="B82" s="41"/>
      <c r="C82" s="41"/>
      <c r="D82" s="41"/>
      <c r="E82" s="47"/>
      <c r="F82" s="56"/>
    </row>
    <row r="83" spans="1:6" ht="15" customHeight="1" x14ac:dyDescent="0.35">
      <c r="A83" s="56">
        <v>5581</v>
      </c>
      <c r="B83" s="41"/>
      <c r="C83" s="41"/>
      <c r="D83" s="41"/>
      <c r="E83" s="47"/>
      <c r="F83" s="56"/>
    </row>
    <row r="84" spans="1:6" ht="15" customHeight="1" x14ac:dyDescent="0.35">
      <c r="A84" s="56">
        <v>5582</v>
      </c>
      <c r="B84" s="41"/>
      <c r="C84" s="41"/>
      <c r="D84" s="41"/>
      <c r="E84" s="47"/>
      <c r="F84" s="56"/>
    </row>
    <row r="85" spans="1:6" ht="15" customHeight="1" x14ac:dyDescent="0.35">
      <c r="A85" s="56">
        <v>5583</v>
      </c>
      <c r="B85" s="41"/>
      <c r="C85" s="41"/>
      <c r="D85" s="41"/>
      <c r="E85" s="47"/>
      <c r="F85" s="56"/>
    </row>
    <row r="86" spans="1:6" ht="15" customHeight="1" x14ac:dyDescent="0.35">
      <c r="A86" s="56">
        <v>5584</v>
      </c>
      <c r="B86" s="41"/>
      <c r="C86" s="41"/>
      <c r="D86" s="41"/>
      <c r="E86" s="47"/>
      <c r="F86" s="56"/>
    </row>
    <row r="87" spans="1:6" ht="15" customHeight="1" x14ac:dyDescent="0.35">
      <c r="A87" s="56">
        <v>5585</v>
      </c>
      <c r="B87" s="41"/>
      <c r="C87" s="41"/>
      <c r="D87" s="41"/>
      <c r="E87" s="47"/>
      <c r="F87" s="56"/>
    </row>
    <row r="88" spans="1:6" ht="15" customHeight="1" x14ac:dyDescent="0.35">
      <c r="A88" s="56">
        <v>5586</v>
      </c>
      <c r="B88" s="41"/>
      <c r="C88" s="41"/>
      <c r="D88" s="41"/>
      <c r="E88" s="47"/>
      <c r="F88" s="56"/>
    </row>
    <row r="89" spans="1:6" ht="15" customHeight="1" x14ac:dyDescent="0.35">
      <c r="A89" s="56">
        <v>5587</v>
      </c>
      <c r="B89" s="41"/>
      <c r="C89" s="41"/>
      <c r="D89" s="41"/>
      <c r="E89" s="47"/>
      <c r="F89" s="56"/>
    </row>
    <row r="90" spans="1:6" ht="15" customHeight="1" x14ac:dyDescent="0.35">
      <c r="A90" s="56">
        <v>5588</v>
      </c>
      <c r="B90" s="41"/>
      <c r="C90" s="41"/>
      <c r="D90" s="41"/>
      <c r="E90" s="47"/>
      <c r="F90" s="56"/>
    </row>
    <row r="91" spans="1:6" ht="15" customHeight="1" x14ac:dyDescent="0.35">
      <c r="A91" s="56">
        <v>5589</v>
      </c>
      <c r="B91" s="41"/>
      <c r="C91" s="41"/>
      <c r="D91" s="41"/>
      <c r="E91" s="47"/>
      <c r="F91" s="56"/>
    </row>
    <row r="92" spans="1:6" ht="15" customHeight="1" x14ac:dyDescent="0.35">
      <c r="A92" s="56">
        <v>5590</v>
      </c>
      <c r="B92" s="41"/>
      <c r="C92" s="41"/>
      <c r="D92" s="41"/>
      <c r="E92" s="47"/>
      <c r="F92" s="56"/>
    </row>
    <row r="93" spans="1:6" ht="15" customHeight="1" x14ac:dyDescent="0.35">
      <c r="A93" s="56">
        <v>5591</v>
      </c>
      <c r="B93" s="41"/>
      <c r="C93" s="41"/>
      <c r="D93" s="41"/>
      <c r="E93" s="47"/>
      <c r="F93" s="56"/>
    </row>
    <row r="94" spans="1:6" ht="15" customHeight="1" x14ac:dyDescent="0.35">
      <c r="A94" s="56">
        <v>5592</v>
      </c>
      <c r="B94" s="41"/>
      <c r="C94" s="41"/>
      <c r="D94" s="41"/>
      <c r="E94" s="47"/>
      <c r="F94" s="56"/>
    </row>
    <row r="95" spans="1:6" ht="15" customHeight="1" x14ac:dyDescent="0.35">
      <c r="A95" s="56">
        <v>5593</v>
      </c>
      <c r="B95" s="41"/>
      <c r="C95" s="41"/>
      <c r="D95" s="41"/>
      <c r="E95" s="47"/>
      <c r="F95" s="56"/>
    </row>
    <row r="96" spans="1:6" ht="15" customHeight="1" x14ac:dyDescent="0.35">
      <c r="A96" s="56">
        <v>5594</v>
      </c>
      <c r="B96" s="41"/>
      <c r="C96" s="41"/>
      <c r="D96" s="41"/>
      <c r="E96" s="47"/>
      <c r="F96" s="56"/>
    </row>
    <row r="97" spans="1:6" ht="15" customHeight="1" x14ac:dyDescent="0.35">
      <c r="A97" s="56">
        <v>5595</v>
      </c>
      <c r="B97" s="41"/>
      <c r="C97" s="41"/>
      <c r="D97" s="41"/>
      <c r="E97" s="47"/>
      <c r="F97" s="56"/>
    </row>
    <row r="98" spans="1:6" ht="15" customHeight="1" x14ac:dyDescent="0.35">
      <c r="A98" s="56">
        <v>5596</v>
      </c>
      <c r="B98" s="41"/>
      <c r="C98" s="41"/>
      <c r="D98" s="41"/>
      <c r="E98" s="47"/>
      <c r="F98" s="56"/>
    </row>
    <row r="99" spans="1:6" ht="15" customHeight="1" x14ac:dyDescent="0.35">
      <c r="A99" s="56">
        <v>5597</v>
      </c>
      <c r="B99" s="41"/>
      <c r="C99" s="41"/>
      <c r="D99" s="41"/>
      <c r="E99" s="47"/>
      <c r="F99" s="56"/>
    </row>
    <row r="100" spans="1:6" ht="15" customHeight="1" x14ac:dyDescent="0.35">
      <c r="A100" s="56">
        <v>5598</v>
      </c>
      <c r="B100" s="41"/>
      <c r="C100" s="41"/>
      <c r="D100" s="41"/>
      <c r="E100" s="47"/>
      <c r="F100" s="56"/>
    </row>
    <row r="101" spans="1:6" ht="15" customHeight="1" x14ac:dyDescent="0.35">
      <c r="A101" s="56">
        <v>5599</v>
      </c>
      <c r="B101" s="41"/>
      <c r="C101" s="41"/>
      <c r="D101" s="41"/>
      <c r="E101" s="47"/>
      <c r="F101" s="56"/>
    </row>
    <row r="102" spans="1:6" ht="15" customHeight="1" x14ac:dyDescent="0.35">
      <c r="A102" s="56">
        <v>5600</v>
      </c>
      <c r="B102" s="41"/>
      <c r="C102" s="41"/>
      <c r="D102" s="41"/>
      <c r="E102" s="47"/>
      <c r="F102" s="56"/>
    </row>
    <row r="103" spans="1:6" ht="15" customHeight="1" x14ac:dyDescent="0.35">
      <c r="A103" s="56">
        <v>5601</v>
      </c>
      <c r="B103" s="41"/>
      <c r="C103" s="41"/>
      <c r="D103" s="41"/>
      <c r="E103" s="47"/>
      <c r="F103" s="56"/>
    </row>
    <row r="104" spans="1:6" ht="15" customHeight="1" x14ac:dyDescent="0.35">
      <c r="A104" s="56">
        <v>5602</v>
      </c>
      <c r="B104" s="41"/>
      <c r="C104" s="41"/>
      <c r="D104" s="41"/>
      <c r="E104" s="47"/>
      <c r="F104" s="56"/>
    </row>
    <row r="105" spans="1:6" ht="15" customHeight="1" x14ac:dyDescent="0.35">
      <c r="A105" s="56">
        <v>5603</v>
      </c>
      <c r="B105" s="41"/>
      <c r="C105" s="41"/>
      <c r="D105" s="41"/>
      <c r="E105" s="47"/>
      <c r="F105" s="56"/>
    </row>
    <row r="106" spans="1:6" ht="15" customHeight="1" x14ac:dyDescent="0.35">
      <c r="A106" s="56">
        <v>5604</v>
      </c>
      <c r="B106" s="41"/>
      <c r="C106" s="41"/>
      <c r="D106" s="41"/>
      <c r="E106" s="47"/>
      <c r="F106" s="56"/>
    </row>
    <row r="107" spans="1:6" ht="15" customHeight="1" x14ac:dyDescent="0.35">
      <c r="A107" s="56">
        <v>5605</v>
      </c>
      <c r="B107" s="41"/>
      <c r="C107" s="41"/>
      <c r="D107" s="41"/>
      <c r="E107" s="47"/>
      <c r="F107" s="56"/>
    </row>
    <row r="108" spans="1:6" ht="15" customHeight="1" x14ac:dyDescent="0.35">
      <c r="A108" s="56">
        <v>5606</v>
      </c>
      <c r="B108" s="41"/>
      <c r="C108" s="41"/>
      <c r="D108" s="41"/>
      <c r="E108" s="47"/>
      <c r="F108" s="56"/>
    </row>
    <row r="109" spans="1:6" ht="15" customHeight="1" x14ac:dyDescent="0.35">
      <c r="A109" s="56">
        <v>5607</v>
      </c>
      <c r="B109" s="41"/>
      <c r="C109" s="41"/>
      <c r="D109" s="41"/>
      <c r="E109" s="47"/>
      <c r="F109" s="56"/>
    </row>
    <row r="110" spans="1:6" ht="15" customHeight="1" x14ac:dyDescent="0.35">
      <c r="A110" s="56">
        <v>5608</v>
      </c>
      <c r="B110" s="41"/>
      <c r="C110" s="41"/>
      <c r="D110" s="41"/>
      <c r="E110" s="47"/>
      <c r="F110" s="56"/>
    </row>
    <row r="111" spans="1:6" ht="15" customHeight="1" x14ac:dyDescent="0.35">
      <c r="A111" s="56">
        <v>5609</v>
      </c>
      <c r="B111" s="41"/>
      <c r="C111" s="41"/>
      <c r="D111" s="41"/>
      <c r="E111" s="47"/>
      <c r="F111" s="56"/>
    </row>
    <row r="112" spans="1:6" ht="15" customHeight="1" x14ac:dyDescent="0.35">
      <c r="A112" s="56">
        <v>5610</v>
      </c>
      <c r="B112" s="41"/>
      <c r="C112" s="41"/>
      <c r="D112" s="41"/>
      <c r="E112" s="47"/>
      <c r="F112" s="56"/>
    </row>
    <row r="113" spans="1:6" ht="15" customHeight="1" x14ac:dyDescent="0.35">
      <c r="A113" s="56">
        <v>5611</v>
      </c>
      <c r="B113" s="41"/>
      <c r="C113" s="41"/>
      <c r="D113" s="41"/>
      <c r="E113" s="47"/>
      <c r="F113" s="56"/>
    </row>
    <row r="114" spans="1:6" ht="15" customHeight="1" x14ac:dyDescent="0.35">
      <c r="A114" s="56">
        <v>5612</v>
      </c>
      <c r="B114" s="41"/>
      <c r="C114" s="41"/>
      <c r="D114" s="41"/>
      <c r="E114" s="47"/>
      <c r="F114" s="56"/>
    </row>
    <row r="115" spans="1:6" ht="15" customHeight="1" x14ac:dyDescent="0.35">
      <c r="A115" s="56">
        <v>5613</v>
      </c>
      <c r="B115" s="41"/>
      <c r="C115" s="41"/>
      <c r="D115" s="41"/>
      <c r="E115" s="47"/>
      <c r="F115" s="56"/>
    </row>
    <row r="116" spans="1:6" ht="15" customHeight="1" x14ac:dyDescent="0.35">
      <c r="A116" s="56">
        <v>5614</v>
      </c>
      <c r="B116" s="41"/>
      <c r="C116" s="41"/>
      <c r="D116" s="41"/>
      <c r="E116" s="47"/>
      <c r="F116" s="56"/>
    </row>
    <row r="117" spans="1:6" ht="15" customHeight="1" x14ac:dyDescent="0.35">
      <c r="A117" s="56">
        <v>5615</v>
      </c>
      <c r="B117" s="41"/>
      <c r="C117" s="41"/>
      <c r="D117" s="41"/>
      <c r="E117" s="47"/>
      <c r="F117" s="56"/>
    </row>
    <row r="118" spans="1:6" ht="15" customHeight="1" x14ac:dyDescent="0.35">
      <c r="A118" s="56">
        <v>5616</v>
      </c>
      <c r="B118" s="41"/>
      <c r="C118" s="41"/>
      <c r="D118" s="41"/>
      <c r="E118" s="47"/>
      <c r="F118" s="56"/>
    </row>
    <row r="119" spans="1:6" ht="15" customHeight="1" x14ac:dyDescent="0.35">
      <c r="A119" s="56">
        <v>5617</v>
      </c>
      <c r="B119" s="41"/>
      <c r="C119" s="41"/>
      <c r="D119" s="41"/>
      <c r="E119" s="47"/>
      <c r="F119" s="56"/>
    </row>
    <row r="120" spans="1:6" ht="15" customHeight="1" x14ac:dyDescent="0.35">
      <c r="A120" s="56">
        <v>5618</v>
      </c>
      <c r="B120" s="41"/>
      <c r="C120" s="41"/>
      <c r="D120" s="41"/>
      <c r="E120" s="47"/>
      <c r="F120" s="56"/>
    </row>
    <row r="121" spans="1:6" ht="15" customHeight="1" x14ac:dyDescent="0.35">
      <c r="A121" s="56">
        <v>5619</v>
      </c>
      <c r="B121" s="41"/>
      <c r="C121" s="41"/>
      <c r="D121" s="41"/>
      <c r="E121" s="47"/>
      <c r="F121" s="56"/>
    </row>
    <row r="122" spans="1:6" ht="15" customHeight="1" x14ac:dyDescent="0.35">
      <c r="A122" s="56">
        <v>5620</v>
      </c>
      <c r="B122" s="41"/>
      <c r="C122" s="41"/>
      <c r="D122" s="41"/>
      <c r="E122" s="47"/>
      <c r="F122" s="56"/>
    </row>
    <row r="123" spans="1:6" ht="15" customHeight="1" x14ac:dyDescent="0.35">
      <c r="A123" s="56">
        <v>5621</v>
      </c>
      <c r="B123" s="41" t="s">
        <v>41</v>
      </c>
      <c r="C123" s="41"/>
      <c r="D123" s="41" t="s">
        <v>85</v>
      </c>
      <c r="E123" s="47">
        <v>45922</v>
      </c>
      <c r="F123" s="56" t="s">
        <v>4</v>
      </c>
    </row>
    <row r="124" spans="1:6" ht="15" customHeight="1" x14ac:dyDescent="0.35">
      <c r="A124" s="56">
        <v>5622</v>
      </c>
      <c r="B124" s="41"/>
      <c r="C124" s="41"/>
      <c r="D124" s="41"/>
      <c r="E124" s="47"/>
      <c r="F124" s="56"/>
    </row>
    <row r="125" spans="1:6" ht="15" customHeight="1" x14ac:dyDescent="0.35">
      <c r="A125" s="56">
        <v>5623</v>
      </c>
      <c r="B125" s="41"/>
      <c r="C125" s="41"/>
      <c r="D125" s="41"/>
      <c r="E125" s="47"/>
      <c r="F125" s="56"/>
    </row>
    <row r="126" spans="1:6" ht="15" customHeight="1" x14ac:dyDescent="0.35">
      <c r="A126" s="56">
        <v>5624</v>
      </c>
      <c r="B126" s="41"/>
      <c r="C126" s="41"/>
      <c r="D126" s="41"/>
      <c r="E126" s="47"/>
      <c r="F126" s="56"/>
    </row>
    <row r="127" spans="1:6" ht="15" customHeight="1" x14ac:dyDescent="0.35">
      <c r="A127" s="56">
        <v>5625</v>
      </c>
      <c r="B127" s="41"/>
      <c r="C127" s="41"/>
      <c r="D127" s="41"/>
      <c r="E127" s="47"/>
      <c r="F127" s="56"/>
    </row>
    <row r="128" spans="1:6" ht="15" customHeight="1" x14ac:dyDescent="0.35">
      <c r="A128" s="56">
        <v>5626</v>
      </c>
      <c r="B128" s="41"/>
      <c r="C128" s="41"/>
      <c r="D128" s="41"/>
      <c r="E128" s="47"/>
      <c r="F128" s="56"/>
    </row>
    <row r="129" spans="1:6" ht="15" customHeight="1" x14ac:dyDescent="0.35">
      <c r="A129" s="56">
        <v>5627</v>
      </c>
      <c r="B129" s="41"/>
      <c r="C129" s="41"/>
      <c r="D129" s="41"/>
      <c r="E129" s="47"/>
      <c r="F129" s="56"/>
    </row>
    <row r="130" spans="1:6" ht="15" customHeight="1" x14ac:dyDescent="0.35">
      <c r="A130" s="56">
        <v>5628</v>
      </c>
      <c r="B130" s="41"/>
      <c r="C130" s="41"/>
      <c r="D130" s="41"/>
      <c r="E130" s="47"/>
      <c r="F130" s="56"/>
    </row>
    <row r="131" spans="1:6" ht="15" customHeight="1" x14ac:dyDescent="0.35">
      <c r="A131" s="56">
        <v>5629</v>
      </c>
      <c r="B131" s="41"/>
      <c r="C131" s="41"/>
      <c r="D131" s="41"/>
      <c r="E131" s="47"/>
      <c r="F131" s="56"/>
    </row>
    <row r="132" spans="1:6" ht="15" customHeight="1" x14ac:dyDescent="0.35">
      <c r="A132" s="56">
        <v>5630</v>
      </c>
      <c r="B132" s="41"/>
      <c r="C132" s="41"/>
      <c r="D132" s="41"/>
      <c r="E132" s="47"/>
      <c r="F132" s="56"/>
    </row>
    <row r="133" spans="1:6" ht="15" customHeight="1" x14ac:dyDescent="0.35">
      <c r="A133" s="56">
        <v>5631</v>
      </c>
      <c r="B133" s="41"/>
      <c r="C133" s="41"/>
      <c r="D133" s="41"/>
      <c r="E133" s="47"/>
      <c r="F133" s="56"/>
    </row>
    <row r="134" spans="1:6" ht="15" customHeight="1" x14ac:dyDescent="0.35">
      <c r="A134" s="56">
        <v>5632</v>
      </c>
      <c r="B134" s="41"/>
      <c r="C134" s="41"/>
      <c r="D134" s="41"/>
      <c r="E134" s="47"/>
      <c r="F134" s="56"/>
    </row>
    <row r="135" spans="1:6" ht="15" customHeight="1" x14ac:dyDescent="0.35">
      <c r="A135" s="56">
        <v>5633</v>
      </c>
      <c r="B135" s="41"/>
      <c r="C135" s="41"/>
      <c r="D135" s="41"/>
      <c r="E135" s="47"/>
      <c r="F135" s="56"/>
    </row>
    <row r="136" spans="1:6" ht="15" customHeight="1" x14ac:dyDescent="0.35">
      <c r="A136" s="56">
        <v>5634</v>
      </c>
      <c r="B136" s="41"/>
      <c r="C136" s="41"/>
      <c r="D136" s="41"/>
      <c r="E136" s="47"/>
      <c r="F136" s="56"/>
    </row>
    <row r="137" spans="1:6" ht="15" customHeight="1" x14ac:dyDescent="0.35">
      <c r="A137" s="56">
        <v>5635</v>
      </c>
      <c r="B137" s="41"/>
      <c r="C137" s="41"/>
      <c r="D137" s="41"/>
      <c r="E137" s="47"/>
      <c r="F137" s="56"/>
    </row>
    <row r="138" spans="1:6" ht="15" customHeight="1" x14ac:dyDescent="0.35">
      <c r="A138" s="56">
        <v>5636</v>
      </c>
      <c r="B138" s="41"/>
      <c r="C138" s="41"/>
      <c r="D138" s="41"/>
      <c r="E138" s="47"/>
      <c r="F138" s="56"/>
    </row>
    <row r="139" spans="1:6" ht="15" customHeight="1" x14ac:dyDescent="0.35">
      <c r="A139" s="56">
        <v>5637</v>
      </c>
      <c r="B139" s="41"/>
      <c r="C139" s="41"/>
      <c r="D139" s="41"/>
      <c r="E139" s="47"/>
      <c r="F139" s="56"/>
    </row>
    <row r="140" spans="1:6" ht="15" customHeight="1" x14ac:dyDescent="0.35">
      <c r="A140" s="56">
        <v>5638</v>
      </c>
      <c r="B140" s="41"/>
      <c r="C140" s="41"/>
      <c r="D140" s="41"/>
      <c r="E140" s="47"/>
      <c r="F140" s="56"/>
    </row>
    <row r="141" spans="1:6" ht="15" customHeight="1" x14ac:dyDescent="0.35">
      <c r="A141" s="56">
        <v>5639</v>
      </c>
      <c r="B141" s="41"/>
      <c r="C141" s="41"/>
      <c r="D141" s="41"/>
      <c r="E141" s="47"/>
      <c r="F141" s="56"/>
    </row>
    <row r="142" spans="1:6" ht="15" customHeight="1" x14ac:dyDescent="0.35">
      <c r="A142" s="56">
        <v>5640</v>
      </c>
      <c r="B142" s="41"/>
      <c r="C142" s="41"/>
      <c r="D142" s="41"/>
      <c r="E142" s="47"/>
      <c r="F142" s="56"/>
    </row>
    <row r="143" spans="1:6" ht="15" customHeight="1" x14ac:dyDescent="0.35">
      <c r="A143" s="56">
        <v>5641</v>
      </c>
      <c r="B143" s="41"/>
      <c r="C143" s="41"/>
      <c r="D143" s="41"/>
      <c r="E143" s="47"/>
      <c r="F143" s="56"/>
    </row>
    <row r="144" spans="1:6" ht="15" customHeight="1" x14ac:dyDescent="0.35">
      <c r="A144" s="56">
        <v>5642</v>
      </c>
      <c r="B144" s="41"/>
      <c r="C144" s="41"/>
      <c r="D144" s="41"/>
      <c r="E144" s="47"/>
      <c r="F144" s="56"/>
    </row>
    <row r="145" spans="1:6" ht="15" customHeight="1" x14ac:dyDescent="0.35">
      <c r="A145" s="56">
        <v>5643</v>
      </c>
      <c r="B145" s="41"/>
      <c r="C145" s="41"/>
      <c r="D145" s="41"/>
      <c r="E145" s="47"/>
      <c r="F145" s="56"/>
    </row>
    <row r="146" spans="1:6" ht="15" customHeight="1" x14ac:dyDescent="0.35">
      <c r="A146" s="56">
        <v>5644</v>
      </c>
      <c r="B146" s="41"/>
      <c r="C146" s="41"/>
      <c r="D146" s="41"/>
      <c r="E146" s="47"/>
      <c r="F146" s="56"/>
    </row>
    <row r="147" spans="1:6" ht="15" customHeight="1" x14ac:dyDescent="0.35">
      <c r="A147" s="56">
        <v>5645</v>
      </c>
      <c r="B147" s="41"/>
      <c r="C147" s="41"/>
      <c r="D147" s="41"/>
      <c r="E147" s="47"/>
      <c r="F147" s="56"/>
    </row>
    <row r="148" spans="1:6" ht="15" customHeight="1" x14ac:dyDescent="0.35">
      <c r="A148" s="56">
        <v>5646</v>
      </c>
      <c r="B148" s="41"/>
      <c r="C148" s="41"/>
      <c r="D148" s="41"/>
      <c r="E148" s="47"/>
      <c r="F148" s="56"/>
    </row>
    <row r="149" spans="1:6" ht="15" customHeight="1" x14ac:dyDescent="0.35">
      <c r="A149" s="56">
        <v>5647</v>
      </c>
      <c r="B149" s="41"/>
      <c r="C149" s="41"/>
      <c r="D149" s="41"/>
      <c r="E149" s="47"/>
      <c r="F149" s="56"/>
    </row>
    <row r="150" spans="1:6" ht="15" customHeight="1" x14ac:dyDescent="0.35">
      <c r="A150" s="56">
        <v>5648</v>
      </c>
      <c r="B150" s="41"/>
      <c r="C150" s="41"/>
      <c r="D150" s="41"/>
      <c r="E150" s="47"/>
      <c r="F150" s="56"/>
    </row>
    <row r="151" spans="1:6" ht="15" customHeight="1" x14ac:dyDescent="0.35">
      <c r="A151" s="56">
        <v>5649</v>
      </c>
      <c r="B151" s="41"/>
      <c r="C151" s="41"/>
      <c r="D151" s="41"/>
      <c r="E151" s="47"/>
      <c r="F151" s="56"/>
    </row>
    <row r="152" spans="1:6" ht="15" customHeight="1" x14ac:dyDescent="0.35">
      <c r="A152" s="56">
        <v>5650</v>
      </c>
      <c r="B152" s="41"/>
      <c r="C152" s="41"/>
      <c r="D152" s="41"/>
      <c r="E152" s="47"/>
      <c r="F152" s="56"/>
    </row>
    <row r="153" spans="1:6" ht="15" customHeight="1" x14ac:dyDescent="0.35">
      <c r="A153" s="56">
        <v>5651</v>
      </c>
      <c r="B153" s="41"/>
      <c r="C153" s="41"/>
      <c r="D153" s="41"/>
      <c r="E153" s="47"/>
      <c r="F153" s="56"/>
    </row>
    <row r="154" spans="1:6" ht="15" customHeight="1" x14ac:dyDescent="0.35">
      <c r="A154" s="56">
        <v>5652</v>
      </c>
      <c r="B154" s="41"/>
      <c r="C154" s="41"/>
      <c r="D154" s="41"/>
      <c r="E154" s="47"/>
      <c r="F154" s="56"/>
    </row>
    <row r="155" spans="1:6" ht="15" customHeight="1" x14ac:dyDescent="0.35">
      <c r="A155" s="56">
        <v>5653</v>
      </c>
      <c r="B155" s="41"/>
      <c r="C155" s="41"/>
      <c r="D155" s="41"/>
      <c r="E155" s="47"/>
      <c r="F155" s="56"/>
    </row>
    <row r="156" spans="1:6" ht="15" customHeight="1" x14ac:dyDescent="0.35">
      <c r="A156" s="56">
        <v>5654</v>
      </c>
      <c r="B156" s="41"/>
      <c r="C156" s="41"/>
      <c r="D156" s="41"/>
      <c r="E156" s="47"/>
      <c r="F156" s="56"/>
    </row>
    <row r="157" spans="1:6" ht="15" customHeight="1" x14ac:dyDescent="0.35">
      <c r="A157" s="56">
        <v>5655</v>
      </c>
      <c r="B157" s="41"/>
      <c r="C157" s="41"/>
      <c r="D157" s="41"/>
      <c r="E157" s="47"/>
      <c r="F157" s="56"/>
    </row>
    <row r="158" spans="1:6" ht="15" customHeight="1" x14ac:dyDescent="0.35">
      <c r="A158" s="56">
        <v>5656</v>
      </c>
      <c r="B158" s="41"/>
      <c r="C158" s="41"/>
      <c r="D158" s="41"/>
      <c r="E158" s="47"/>
      <c r="F158" s="56"/>
    </row>
    <row r="159" spans="1:6" ht="15" customHeight="1" x14ac:dyDescent="0.35">
      <c r="A159" s="56">
        <v>5657</v>
      </c>
      <c r="B159" s="41"/>
      <c r="C159" s="41"/>
      <c r="D159" s="41"/>
      <c r="E159" s="47"/>
      <c r="F159" s="56"/>
    </row>
    <row r="160" spans="1:6" ht="15" customHeight="1" x14ac:dyDescent="0.35">
      <c r="A160" s="56">
        <v>5658</v>
      </c>
      <c r="B160" s="41" t="s">
        <v>1205</v>
      </c>
      <c r="C160" s="41" t="s">
        <v>1206</v>
      </c>
      <c r="D160" s="41" t="s">
        <v>1207</v>
      </c>
      <c r="E160" s="47">
        <v>45579</v>
      </c>
      <c r="F160" s="56" t="s">
        <v>1</v>
      </c>
    </row>
    <row r="161" spans="1:6" ht="15" customHeight="1" x14ac:dyDescent="0.35">
      <c r="A161" s="56">
        <v>5659</v>
      </c>
      <c r="B161" s="41"/>
      <c r="C161" s="41"/>
      <c r="D161" s="41"/>
      <c r="E161" s="47"/>
      <c r="F161" s="56"/>
    </row>
    <row r="162" spans="1:6" ht="15" customHeight="1" x14ac:dyDescent="0.35">
      <c r="A162" s="56">
        <v>5660</v>
      </c>
      <c r="B162" s="41"/>
      <c r="C162" s="41"/>
      <c r="D162" s="41"/>
      <c r="E162" s="47"/>
      <c r="F162" s="56"/>
    </row>
    <row r="163" spans="1:6" ht="15" customHeight="1" x14ac:dyDescent="0.35">
      <c r="A163" s="56">
        <v>5661</v>
      </c>
      <c r="B163" s="41"/>
      <c r="C163" s="41"/>
      <c r="D163" s="41"/>
      <c r="E163" s="47"/>
      <c r="F163" s="56"/>
    </row>
    <row r="164" spans="1:6" ht="15" customHeight="1" x14ac:dyDescent="0.35">
      <c r="A164" s="56">
        <v>5662</v>
      </c>
      <c r="B164" s="41"/>
      <c r="C164" s="41"/>
      <c r="D164" s="41"/>
      <c r="E164" s="47"/>
      <c r="F164" s="56"/>
    </row>
    <row r="165" spans="1:6" ht="15" customHeight="1" x14ac:dyDescent="0.35">
      <c r="A165" s="56">
        <v>5663</v>
      </c>
      <c r="B165" s="41"/>
      <c r="C165" s="41"/>
      <c r="D165" s="41"/>
      <c r="E165" s="47"/>
      <c r="F165" s="56"/>
    </row>
    <row r="166" spans="1:6" ht="15" customHeight="1" x14ac:dyDescent="0.35">
      <c r="A166" s="56">
        <v>5664</v>
      </c>
      <c r="B166" s="41"/>
      <c r="C166" s="41"/>
      <c r="D166" s="41"/>
      <c r="E166" s="47"/>
      <c r="F166" s="56"/>
    </row>
    <row r="167" spans="1:6" ht="15" customHeight="1" x14ac:dyDescent="0.35">
      <c r="A167" s="56">
        <v>5665</v>
      </c>
      <c r="B167" s="41" t="s">
        <v>1208</v>
      </c>
      <c r="C167" s="41" t="s">
        <v>1209</v>
      </c>
      <c r="D167" s="41" t="s">
        <v>1210</v>
      </c>
      <c r="E167" s="47">
        <v>45510.521817129629</v>
      </c>
      <c r="F167" s="56" t="s">
        <v>1</v>
      </c>
    </row>
    <row r="168" spans="1:6" ht="15" customHeight="1" x14ac:dyDescent="0.35">
      <c r="A168" s="56">
        <v>5666</v>
      </c>
      <c r="B168" s="41"/>
      <c r="C168" s="41"/>
      <c r="D168" s="41"/>
      <c r="E168" s="47"/>
      <c r="F168" s="56"/>
    </row>
    <row r="169" spans="1:6" ht="15" customHeight="1" x14ac:dyDescent="0.35">
      <c r="A169" s="56">
        <v>5667</v>
      </c>
      <c r="B169" s="41"/>
      <c r="C169" s="41"/>
      <c r="D169" s="41"/>
      <c r="E169" s="47"/>
      <c r="F169" s="56"/>
    </row>
    <row r="170" spans="1:6" ht="15" customHeight="1" x14ac:dyDescent="0.35">
      <c r="A170" s="56">
        <v>5668</v>
      </c>
      <c r="B170" s="41"/>
      <c r="C170" s="41"/>
      <c r="D170" s="41"/>
      <c r="E170" s="47"/>
      <c r="F170" s="56"/>
    </row>
    <row r="171" spans="1:6" ht="15" customHeight="1" x14ac:dyDescent="0.35">
      <c r="A171" s="56">
        <v>5669</v>
      </c>
      <c r="B171" s="41"/>
      <c r="C171" s="41"/>
      <c r="D171" s="41"/>
      <c r="E171" s="47"/>
      <c r="F171" s="56"/>
    </row>
    <row r="172" spans="1:6" ht="15" customHeight="1" x14ac:dyDescent="0.35">
      <c r="A172" s="56">
        <v>5670</v>
      </c>
      <c r="B172" s="41"/>
      <c r="C172" s="41"/>
      <c r="D172" s="41"/>
      <c r="E172" s="47"/>
      <c r="F172" s="56"/>
    </row>
    <row r="173" spans="1:6" ht="15" customHeight="1" x14ac:dyDescent="0.35">
      <c r="A173" s="56">
        <v>5671</v>
      </c>
      <c r="B173" s="41"/>
      <c r="C173" s="41"/>
      <c r="D173" s="41"/>
      <c r="E173" s="47"/>
      <c r="F173" s="56"/>
    </row>
    <row r="174" spans="1:6" ht="15" customHeight="1" x14ac:dyDescent="0.35">
      <c r="A174" s="56">
        <v>5672</v>
      </c>
      <c r="B174" s="41"/>
      <c r="C174" s="41"/>
      <c r="D174" s="41"/>
      <c r="E174" s="47"/>
      <c r="F174" s="56"/>
    </row>
    <row r="175" spans="1:6" ht="15" customHeight="1" x14ac:dyDescent="0.35">
      <c r="A175" s="56">
        <v>5673</v>
      </c>
      <c r="B175" s="41"/>
      <c r="C175" s="41"/>
      <c r="D175" s="41"/>
      <c r="E175" s="47"/>
      <c r="F175" s="56"/>
    </row>
    <row r="176" spans="1:6" ht="15" customHeight="1" x14ac:dyDescent="0.35">
      <c r="A176" s="56">
        <v>5674</v>
      </c>
      <c r="B176" s="41"/>
      <c r="C176" s="41"/>
      <c r="D176" s="41"/>
      <c r="E176" s="47"/>
      <c r="F176" s="56"/>
    </row>
    <row r="177" spans="1:6" ht="15" customHeight="1" x14ac:dyDescent="0.35">
      <c r="A177" s="56">
        <v>5675</v>
      </c>
      <c r="B177" s="57" t="s">
        <v>1071</v>
      </c>
      <c r="C177" s="41" t="s">
        <v>277</v>
      </c>
      <c r="D177" s="41" t="s">
        <v>172</v>
      </c>
      <c r="E177" s="47">
        <v>45576</v>
      </c>
      <c r="F177" s="56" t="s">
        <v>1</v>
      </c>
    </row>
    <row r="178" spans="1:6" ht="15" customHeight="1" x14ac:dyDescent="0.35">
      <c r="A178" s="56">
        <v>5676</v>
      </c>
      <c r="B178" s="41"/>
      <c r="C178" s="41"/>
      <c r="D178" s="41"/>
      <c r="E178" s="47"/>
      <c r="F178" s="56"/>
    </row>
    <row r="179" spans="1:6" ht="15" customHeight="1" x14ac:dyDescent="0.35">
      <c r="A179" s="56">
        <v>5677</v>
      </c>
      <c r="B179" s="41"/>
      <c r="C179" s="41"/>
      <c r="D179" s="41"/>
      <c r="E179" s="47"/>
      <c r="F179" s="56"/>
    </row>
    <row r="180" spans="1:6" ht="15" customHeight="1" x14ac:dyDescent="0.35">
      <c r="A180" s="56">
        <v>5678</v>
      </c>
      <c r="B180" s="41"/>
      <c r="C180" s="41"/>
      <c r="D180" s="41"/>
      <c r="E180" s="47"/>
      <c r="F180" s="56"/>
    </row>
    <row r="181" spans="1:6" ht="15" customHeight="1" x14ac:dyDescent="0.35">
      <c r="A181" s="56">
        <v>5679</v>
      </c>
      <c r="B181" s="41"/>
      <c r="C181" s="41"/>
      <c r="D181" s="41"/>
      <c r="E181" s="47"/>
      <c r="F181" s="56"/>
    </row>
    <row r="182" spans="1:6" ht="15" customHeight="1" x14ac:dyDescent="0.35">
      <c r="A182" s="56">
        <v>5680</v>
      </c>
      <c r="B182" s="41"/>
      <c r="C182" s="41"/>
      <c r="D182" s="41"/>
      <c r="E182" s="47"/>
      <c r="F182" s="56"/>
    </row>
    <row r="183" spans="1:6" ht="15" customHeight="1" x14ac:dyDescent="0.35">
      <c r="A183" s="56">
        <v>5681</v>
      </c>
      <c r="B183" s="41" t="s">
        <v>1186</v>
      </c>
      <c r="C183" s="41" t="s">
        <v>1211</v>
      </c>
      <c r="D183" s="41" t="s">
        <v>1197</v>
      </c>
      <c r="E183" s="47">
        <v>45579</v>
      </c>
      <c r="F183" s="56" t="s">
        <v>1</v>
      </c>
    </row>
    <row r="184" spans="1:6" ht="15" customHeight="1" x14ac:dyDescent="0.35">
      <c r="A184" s="56">
        <v>5682</v>
      </c>
      <c r="B184" s="41"/>
      <c r="C184" s="41"/>
      <c r="D184" s="41"/>
      <c r="E184" s="47"/>
      <c r="F184" s="56"/>
    </row>
    <row r="185" spans="1:6" ht="15" customHeight="1" x14ac:dyDescent="0.35">
      <c r="A185" s="56">
        <v>5683</v>
      </c>
      <c r="B185" s="41"/>
      <c r="C185" s="41"/>
      <c r="D185" s="41"/>
      <c r="E185" s="47"/>
      <c r="F185" s="56"/>
    </row>
    <row r="186" spans="1:6" ht="15" customHeight="1" x14ac:dyDescent="0.35">
      <c r="A186" s="56">
        <v>5684</v>
      </c>
      <c r="B186" s="41"/>
      <c r="C186" s="41"/>
      <c r="D186" s="41"/>
      <c r="E186" s="47"/>
      <c r="F186" s="56"/>
    </row>
    <row r="187" spans="1:6" ht="15" customHeight="1" x14ac:dyDescent="0.35">
      <c r="A187" s="56">
        <v>5685</v>
      </c>
      <c r="B187" s="41"/>
      <c r="C187" s="41"/>
      <c r="D187" s="41"/>
      <c r="E187" s="47"/>
      <c r="F187" s="56"/>
    </row>
    <row r="188" spans="1:6" ht="15" customHeight="1" x14ac:dyDescent="0.35">
      <c r="A188" s="56">
        <v>5686</v>
      </c>
      <c r="B188" s="41"/>
      <c r="C188" s="41"/>
      <c r="D188" s="41"/>
      <c r="E188" s="47"/>
      <c r="F188" s="56"/>
    </row>
    <row r="189" spans="1:6" ht="15" customHeight="1" x14ac:dyDescent="0.35">
      <c r="A189" s="56">
        <v>5687</v>
      </c>
      <c r="B189" s="41"/>
      <c r="C189" s="41"/>
      <c r="D189" s="41"/>
      <c r="E189" s="47"/>
      <c r="F189" s="56"/>
    </row>
    <row r="190" spans="1:6" ht="15" customHeight="1" x14ac:dyDescent="0.35">
      <c r="A190" s="56">
        <v>5688</v>
      </c>
      <c r="B190" s="41"/>
      <c r="C190" s="41"/>
      <c r="D190" s="41"/>
      <c r="E190" s="47"/>
      <c r="F190" s="56"/>
    </row>
    <row r="191" spans="1:6" ht="15" customHeight="1" x14ac:dyDescent="0.35">
      <c r="A191" s="56">
        <v>5689</v>
      </c>
      <c r="B191" s="41"/>
      <c r="C191" s="41"/>
      <c r="D191" s="41"/>
      <c r="E191" s="47"/>
      <c r="F191" s="56"/>
    </row>
    <row r="192" spans="1:6" ht="15" customHeight="1" x14ac:dyDescent="0.35">
      <c r="A192" s="56">
        <v>5690</v>
      </c>
      <c r="B192" s="41"/>
      <c r="C192" s="41"/>
      <c r="D192" s="41"/>
      <c r="E192" s="47"/>
      <c r="F192" s="56"/>
    </row>
    <row r="193" spans="1:6" ht="15" customHeight="1" x14ac:dyDescent="0.35">
      <c r="A193" s="56">
        <v>5691</v>
      </c>
      <c r="B193" s="41"/>
      <c r="C193" s="41"/>
      <c r="D193" s="41"/>
      <c r="E193" s="47"/>
      <c r="F193" s="56"/>
    </row>
    <row r="194" spans="1:6" ht="15" customHeight="1" x14ac:dyDescent="0.35">
      <c r="A194" s="56">
        <v>5692</v>
      </c>
      <c r="B194" s="41"/>
      <c r="C194" s="41"/>
      <c r="D194" s="41"/>
      <c r="E194" s="47"/>
      <c r="F194" s="56"/>
    </row>
    <row r="195" spans="1:6" ht="15" customHeight="1" x14ac:dyDescent="0.35">
      <c r="A195" s="56">
        <v>5693</v>
      </c>
      <c r="B195" s="41"/>
      <c r="C195" s="41"/>
      <c r="D195" s="41"/>
      <c r="E195" s="47"/>
      <c r="F195" s="56"/>
    </row>
    <row r="196" spans="1:6" ht="15" customHeight="1" x14ac:dyDescent="0.35">
      <c r="A196" s="56">
        <v>5694</v>
      </c>
      <c r="B196" s="41"/>
      <c r="C196" s="41"/>
      <c r="D196" s="41"/>
      <c r="E196" s="47"/>
      <c r="F196" s="56"/>
    </row>
    <row r="197" spans="1:6" ht="15" customHeight="1" x14ac:dyDescent="0.35">
      <c r="A197" s="56">
        <v>5695</v>
      </c>
      <c r="B197" s="41"/>
      <c r="C197" s="41"/>
      <c r="D197" s="41"/>
      <c r="E197" s="47"/>
      <c r="F197" s="56"/>
    </row>
    <row r="198" spans="1:6" ht="15" customHeight="1" x14ac:dyDescent="0.35">
      <c r="A198" s="56">
        <v>5696</v>
      </c>
      <c r="B198" s="41"/>
      <c r="C198" s="41"/>
      <c r="D198" s="41"/>
      <c r="E198" s="47"/>
      <c r="F198" s="56"/>
    </row>
    <row r="199" spans="1:6" ht="15" customHeight="1" x14ac:dyDescent="0.35">
      <c r="A199" s="56">
        <v>5697</v>
      </c>
      <c r="B199" s="41"/>
      <c r="C199" s="41"/>
      <c r="D199" s="41"/>
      <c r="E199" s="47"/>
      <c r="F199" s="56"/>
    </row>
    <row r="200" spans="1:6" ht="15" customHeight="1" x14ac:dyDescent="0.35">
      <c r="A200" s="56">
        <v>5698</v>
      </c>
      <c r="B200" s="41"/>
      <c r="C200" s="41"/>
      <c r="D200" s="41"/>
      <c r="E200" s="47"/>
      <c r="F200" s="56"/>
    </row>
    <row r="201" spans="1:6" ht="15" customHeight="1" x14ac:dyDescent="0.35">
      <c r="A201" s="56">
        <v>5699</v>
      </c>
      <c r="B201" s="41"/>
      <c r="C201" s="41"/>
      <c r="D201" s="41"/>
      <c r="E201" s="47"/>
      <c r="F201" s="56"/>
    </row>
    <row r="202" spans="1:6" ht="15" customHeight="1" x14ac:dyDescent="0.35">
      <c r="A202" s="56">
        <v>5700</v>
      </c>
      <c r="B202" s="41"/>
      <c r="C202" s="41"/>
      <c r="D202" s="41"/>
      <c r="E202" s="47"/>
      <c r="F202" s="56"/>
    </row>
    <row r="203" spans="1:6" ht="15" customHeight="1" x14ac:dyDescent="0.35">
      <c r="A203" s="56">
        <v>5701</v>
      </c>
      <c r="B203" s="41"/>
      <c r="C203" s="41"/>
      <c r="D203" s="41"/>
      <c r="E203" s="47"/>
      <c r="F203" s="56"/>
    </row>
    <row r="204" spans="1:6" ht="15" customHeight="1" x14ac:dyDescent="0.35">
      <c r="A204" s="56">
        <v>5702</v>
      </c>
      <c r="B204" s="41"/>
      <c r="C204" s="41"/>
      <c r="D204" s="41"/>
      <c r="E204" s="47"/>
      <c r="F204" s="56"/>
    </row>
    <row r="205" spans="1:6" ht="15" customHeight="1" x14ac:dyDescent="0.35">
      <c r="A205" s="56">
        <v>5703</v>
      </c>
      <c r="B205" s="41"/>
      <c r="C205" s="41"/>
      <c r="D205" s="41"/>
      <c r="E205" s="47"/>
      <c r="F205" s="56"/>
    </row>
    <row r="206" spans="1:6" ht="15" customHeight="1" x14ac:dyDescent="0.35">
      <c r="A206" s="56">
        <v>5704</v>
      </c>
      <c r="B206" s="41"/>
      <c r="C206" s="41"/>
      <c r="D206" s="41"/>
      <c r="E206" s="47"/>
      <c r="F206" s="56"/>
    </row>
    <row r="207" spans="1:6" ht="15" customHeight="1" x14ac:dyDescent="0.35">
      <c r="A207" s="56">
        <v>5705</v>
      </c>
      <c r="B207" s="41"/>
      <c r="C207" s="41"/>
      <c r="D207" s="41"/>
      <c r="E207" s="47"/>
      <c r="F207" s="56"/>
    </row>
    <row r="208" spans="1:6" ht="15" customHeight="1" x14ac:dyDescent="0.35">
      <c r="A208" s="56">
        <v>5706</v>
      </c>
      <c r="B208" s="41"/>
      <c r="C208" s="41"/>
      <c r="D208" s="41"/>
      <c r="E208" s="47"/>
      <c r="F208" s="56"/>
    </row>
    <row r="209" spans="1:6" ht="15" customHeight="1" x14ac:dyDescent="0.35">
      <c r="A209" s="56">
        <v>5707</v>
      </c>
      <c r="B209" s="41"/>
      <c r="C209" s="41"/>
      <c r="D209" s="41"/>
      <c r="E209" s="47"/>
      <c r="F209" s="56"/>
    </row>
    <row r="210" spans="1:6" ht="15" customHeight="1" x14ac:dyDescent="0.35">
      <c r="A210" s="56">
        <v>5708</v>
      </c>
      <c r="B210" s="41"/>
      <c r="C210" s="41"/>
      <c r="D210" s="41"/>
      <c r="E210" s="47"/>
      <c r="F210" s="56"/>
    </row>
    <row r="211" spans="1:6" ht="15" customHeight="1" x14ac:dyDescent="0.35">
      <c r="A211" s="56">
        <v>5709</v>
      </c>
      <c r="B211" s="41"/>
      <c r="C211" s="41"/>
      <c r="D211" s="41"/>
      <c r="E211" s="47"/>
      <c r="F211" s="56"/>
    </row>
    <row r="212" spans="1:6" ht="15" customHeight="1" x14ac:dyDescent="0.35">
      <c r="A212" s="56">
        <v>5710</v>
      </c>
      <c r="B212" s="41"/>
      <c r="C212" s="41"/>
      <c r="D212" s="41"/>
      <c r="E212" s="47"/>
      <c r="F212" s="56"/>
    </row>
    <row r="213" spans="1:6" ht="15" customHeight="1" x14ac:dyDescent="0.35">
      <c r="A213" s="56">
        <v>5711</v>
      </c>
      <c r="B213" s="41" t="s">
        <v>1212</v>
      </c>
      <c r="C213" s="41" t="s">
        <v>1213</v>
      </c>
      <c r="D213" s="41" t="s">
        <v>98</v>
      </c>
      <c r="E213" s="47">
        <v>45475</v>
      </c>
      <c r="F213" s="56" t="s">
        <v>4</v>
      </c>
    </row>
    <row r="214" spans="1:6" ht="15" customHeight="1" x14ac:dyDescent="0.35">
      <c r="A214" s="56">
        <v>5712</v>
      </c>
      <c r="B214" s="41"/>
      <c r="C214" s="41"/>
      <c r="D214" s="41"/>
      <c r="E214" s="47"/>
      <c r="F214" s="56"/>
    </row>
    <row r="215" spans="1:6" ht="15" customHeight="1" x14ac:dyDescent="0.35">
      <c r="A215" s="56">
        <v>5713</v>
      </c>
      <c r="B215" s="41"/>
      <c r="C215" s="41"/>
      <c r="D215" s="41"/>
      <c r="E215" s="47"/>
      <c r="F215" s="56"/>
    </row>
    <row r="216" spans="1:6" ht="15" customHeight="1" x14ac:dyDescent="0.35">
      <c r="A216" s="56">
        <v>5714</v>
      </c>
      <c r="B216" s="41"/>
      <c r="C216" s="41"/>
      <c r="D216" s="41"/>
      <c r="E216" s="47"/>
      <c r="F216" s="56"/>
    </row>
    <row r="217" spans="1:6" ht="15" customHeight="1" x14ac:dyDescent="0.35">
      <c r="A217" s="56">
        <v>5715</v>
      </c>
      <c r="B217" s="41"/>
      <c r="C217" s="41"/>
      <c r="D217" s="41"/>
      <c r="E217" s="47"/>
      <c r="F217" s="56"/>
    </row>
    <row r="218" spans="1:6" ht="15" customHeight="1" x14ac:dyDescent="0.35">
      <c r="A218" s="56">
        <v>5716</v>
      </c>
      <c r="B218" s="41"/>
      <c r="C218" s="41"/>
      <c r="D218" s="41"/>
      <c r="E218" s="47"/>
      <c r="F218" s="56"/>
    </row>
    <row r="219" spans="1:6" ht="15" customHeight="1" x14ac:dyDescent="0.35">
      <c r="A219" s="56">
        <v>5717</v>
      </c>
      <c r="B219" s="41" t="s">
        <v>1106</v>
      </c>
      <c r="C219" s="41" t="s">
        <v>1214</v>
      </c>
      <c r="D219" s="41" t="s">
        <v>801</v>
      </c>
      <c r="E219" s="47">
        <v>45454</v>
      </c>
      <c r="F219" s="56" t="s">
        <v>1</v>
      </c>
    </row>
    <row r="220" spans="1:6" ht="15" customHeight="1" x14ac:dyDescent="0.35">
      <c r="A220" s="56">
        <v>5718</v>
      </c>
      <c r="B220" s="41"/>
      <c r="C220" s="41"/>
      <c r="D220" s="41"/>
      <c r="E220" s="47"/>
      <c r="F220" s="56"/>
    </row>
    <row r="221" spans="1:6" ht="15" customHeight="1" x14ac:dyDescent="0.35">
      <c r="A221" s="56">
        <v>5719</v>
      </c>
      <c r="B221" s="41"/>
      <c r="C221" s="41"/>
      <c r="D221" s="41"/>
      <c r="E221" s="47"/>
      <c r="F221" s="56"/>
    </row>
    <row r="222" spans="1:6" ht="15" customHeight="1" x14ac:dyDescent="0.35">
      <c r="A222" s="56">
        <v>5720</v>
      </c>
      <c r="B222" s="41"/>
      <c r="C222" s="41"/>
      <c r="D222" s="41"/>
      <c r="E222" s="47"/>
      <c r="F222" s="56"/>
    </row>
    <row r="223" spans="1:6" ht="15" customHeight="1" x14ac:dyDescent="0.35">
      <c r="A223" s="56">
        <v>5721</v>
      </c>
      <c r="B223" s="41"/>
      <c r="C223" s="41"/>
      <c r="D223" s="41"/>
      <c r="E223" s="47"/>
      <c r="F223" s="56"/>
    </row>
    <row r="224" spans="1:6" ht="15" customHeight="1" x14ac:dyDescent="0.35">
      <c r="A224" s="56">
        <v>5722</v>
      </c>
      <c r="B224" s="41" t="s">
        <v>1212</v>
      </c>
      <c r="C224" s="41" t="s">
        <v>1215</v>
      </c>
      <c r="D224" s="41" t="s">
        <v>415</v>
      </c>
      <c r="E224" s="47">
        <v>45498</v>
      </c>
      <c r="F224" s="56" t="s">
        <v>1</v>
      </c>
    </row>
    <row r="225" spans="1:6" ht="15" customHeight="1" x14ac:dyDescent="0.35">
      <c r="A225" s="56">
        <v>5723</v>
      </c>
      <c r="B225" s="41"/>
      <c r="C225" s="41"/>
      <c r="D225" s="41"/>
      <c r="E225" s="47"/>
      <c r="F225" s="56"/>
    </row>
    <row r="226" spans="1:6" ht="15" customHeight="1" x14ac:dyDescent="0.35">
      <c r="A226" s="56">
        <v>5724</v>
      </c>
      <c r="B226" s="41"/>
      <c r="C226" s="41"/>
      <c r="D226" s="41"/>
      <c r="E226" s="47"/>
      <c r="F226" s="56"/>
    </row>
    <row r="227" spans="1:6" ht="15" customHeight="1" x14ac:dyDescent="0.35">
      <c r="A227" s="56">
        <v>5725</v>
      </c>
      <c r="B227" s="41"/>
      <c r="C227" s="41"/>
      <c r="D227" s="41"/>
      <c r="E227" s="47"/>
      <c r="F227" s="56"/>
    </row>
    <row r="228" spans="1:6" ht="15" customHeight="1" x14ac:dyDescent="0.35">
      <c r="A228" s="56">
        <v>5726</v>
      </c>
      <c r="B228" s="41"/>
      <c r="C228" s="41"/>
      <c r="D228" s="41"/>
      <c r="E228" s="47"/>
      <c r="F228" s="56"/>
    </row>
    <row r="229" spans="1:6" ht="15" customHeight="1" x14ac:dyDescent="0.35">
      <c r="A229" s="56">
        <v>5727</v>
      </c>
      <c r="B229" s="41"/>
      <c r="C229" s="41"/>
      <c r="D229" s="41"/>
      <c r="E229" s="47"/>
      <c r="F229" s="56"/>
    </row>
    <row r="230" spans="1:6" ht="15" customHeight="1" x14ac:dyDescent="0.35">
      <c r="A230" s="56">
        <v>5728</v>
      </c>
      <c r="B230" s="41"/>
      <c r="C230" s="41"/>
      <c r="D230" s="41"/>
      <c r="E230" s="47"/>
      <c r="F230" s="56"/>
    </row>
    <row r="231" spans="1:6" ht="15" customHeight="1" x14ac:dyDescent="0.35">
      <c r="A231" s="56">
        <v>5729</v>
      </c>
      <c r="B231" s="41"/>
      <c r="C231" s="41"/>
      <c r="D231" s="41"/>
      <c r="E231" s="47"/>
      <c r="F231" s="56"/>
    </row>
    <row r="232" spans="1:6" ht="15" customHeight="1" x14ac:dyDescent="0.35">
      <c r="A232" s="56">
        <v>5730</v>
      </c>
      <c r="B232" s="41"/>
      <c r="C232" s="41"/>
      <c r="D232" s="41"/>
      <c r="E232" s="47"/>
      <c r="F232" s="56"/>
    </row>
    <row r="233" spans="1:6" ht="15" customHeight="1" x14ac:dyDescent="0.35">
      <c r="A233" s="56">
        <v>5731</v>
      </c>
      <c r="B233" s="41"/>
      <c r="C233" s="41"/>
      <c r="D233" s="41"/>
      <c r="E233" s="47"/>
      <c r="F233" s="56"/>
    </row>
    <row r="234" spans="1:6" ht="15" customHeight="1" x14ac:dyDescent="0.35">
      <c r="A234" s="56">
        <v>5732</v>
      </c>
      <c r="B234" s="41"/>
      <c r="C234" s="41"/>
      <c r="D234" s="41"/>
      <c r="E234" s="47"/>
      <c r="F234" s="56"/>
    </row>
    <row r="235" spans="1:6" ht="15" customHeight="1" x14ac:dyDescent="0.35">
      <c r="A235" s="56">
        <v>5733</v>
      </c>
      <c r="B235" s="41"/>
      <c r="C235" s="41"/>
      <c r="D235" s="41"/>
      <c r="E235" s="47"/>
      <c r="F235" s="56"/>
    </row>
    <row r="236" spans="1:6" ht="15" customHeight="1" x14ac:dyDescent="0.35">
      <c r="A236" s="56">
        <v>5734</v>
      </c>
      <c r="B236" s="41"/>
      <c r="C236" s="41"/>
      <c r="D236" s="41"/>
      <c r="E236" s="47"/>
      <c r="F236" s="56"/>
    </row>
    <row r="237" spans="1:6" ht="15" customHeight="1" x14ac:dyDescent="0.35">
      <c r="A237" s="56">
        <v>5735</v>
      </c>
      <c r="B237" s="41"/>
      <c r="C237" s="41"/>
      <c r="D237" s="41"/>
      <c r="E237" s="47"/>
      <c r="F237" s="56"/>
    </row>
    <row r="238" spans="1:6" ht="15" customHeight="1" x14ac:dyDescent="0.35">
      <c r="A238" s="56">
        <v>5736</v>
      </c>
      <c r="B238" s="41"/>
      <c r="C238" s="41"/>
      <c r="D238" s="41"/>
      <c r="E238" s="47"/>
      <c r="F238" s="56"/>
    </row>
    <row r="239" spans="1:6" ht="15" customHeight="1" x14ac:dyDescent="0.35">
      <c r="A239" s="56">
        <v>5737</v>
      </c>
      <c r="B239" s="41"/>
      <c r="C239" s="41"/>
      <c r="D239" s="41"/>
      <c r="E239" s="47"/>
      <c r="F239" s="56"/>
    </row>
    <row r="240" spans="1:6" ht="15" customHeight="1" x14ac:dyDescent="0.35">
      <c r="A240" s="56">
        <v>5738</v>
      </c>
      <c r="B240" s="41"/>
      <c r="C240" s="41"/>
      <c r="D240" s="41"/>
      <c r="E240" s="47"/>
      <c r="F240" s="56"/>
    </row>
    <row r="241" spans="1:6" ht="15" customHeight="1" x14ac:dyDescent="0.35">
      <c r="A241" s="56">
        <v>5739</v>
      </c>
      <c r="B241" s="41"/>
      <c r="C241" s="41"/>
      <c r="D241" s="41"/>
      <c r="E241" s="47"/>
      <c r="F241" s="56"/>
    </row>
    <row r="242" spans="1:6" ht="15" customHeight="1" x14ac:dyDescent="0.35">
      <c r="A242" s="56">
        <v>5740</v>
      </c>
      <c r="B242" s="41"/>
      <c r="C242" s="41"/>
      <c r="D242" s="41"/>
      <c r="E242" s="47"/>
      <c r="F242" s="56"/>
    </row>
    <row r="243" spans="1:6" ht="15" customHeight="1" x14ac:dyDescent="0.35">
      <c r="A243" s="56">
        <v>5741</v>
      </c>
      <c r="B243" s="41"/>
      <c r="C243" s="41"/>
      <c r="D243" s="41"/>
      <c r="E243" s="47"/>
      <c r="F243" s="56"/>
    </row>
    <row r="244" spans="1:6" ht="15" customHeight="1" x14ac:dyDescent="0.35">
      <c r="A244" s="56">
        <v>5742</v>
      </c>
      <c r="B244" s="41"/>
      <c r="C244" s="41"/>
      <c r="D244" s="41"/>
      <c r="E244" s="47"/>
      <c r="F244" s="56"/>
    </row>
    <row r="245" spans="1:6" ht="15" customHeight="1" x14ac:dyDescent="0.35">
      <c r="A245" s="56">
        <v>5743</v>
      </c>
      <c r="B245" s="41"/>
      <c r="C245" s="41"/>
      <c r="D245" s="41"/>
      <c r="E245" s="47"/>
      <c r="F245" s="56"/>
    </row>
    <row r="246" spans="1:6" ht="15" customHeight="1" x14ac:dyDescent="0.35">
      <c r="A246" s="56">
        <v>5744</v>
      </c>
      <c r="B246" s="41" t="s">
        <v>220</v>
      </c>
      <c r="C246" s="41" t="s">
        <v>1216</v>
      </c>
      <c r="D246" s="41" t="s">
        <v>731</v>
      </c>
      <c r="E246" s="47">
        <v>45551</v>
      </c>
      <c r="F246" s="56" t="s">
        <v>1</v>
      </c>
    </row>
    <row r="247" spans="1:6" ht="15" customHeight="1" x14ac:dyDescent="0.35">
      <c r="A247" s="56">
        <v>5745</v>
      </c>
      <c r="B247" s="41" t="s">
        <v>1217</v>
      </c>
      <c r="C247" s="41"/>
      <c r="D247" s="41" t="s">
        <v>1218</v>
      </c>
      <c r="E247" s="47">
        <v>45454</v>
      </c>
      <c r="F247" s="56"/>
    </row>
    <row r="248" spans="1:6" ht="15" customHeight="1" x14ac:dyDescent="0.35">
      <c r="A248" s="56">
        <v>5746</v>
      </c>
      <c r="B248" s="41"/>
      <c r="C248" s="41"/>
      <c r="D248" s="41"/>
      <c r="E248" s="47"/>
      <c r="F248" s="56"/>
    </row>
    <row r="249" spans="1:6" ht="15" customHeight="1" x14ac:dyDescent="0.35">
      <c r="A249" s="56">
        <v>5747</v>
      </c>
      <c r="B249" s="41" t="s">
        <v>1219</v>
      </c>
      <c r="C249" s="41" t="s">
        <v>140</v>
      </c>
      <c r="D249" s="41" t="s">
        <v>55</v>
      </c>
      <c r="E249" s="47">
        <v>45454</v>
      </c>
      <c r="F249" s="56"/>
    </row>
    <row r="250" spans="1:6" ht="15" customHeight="1" x14ac:dyDescent="0.35">
      <c r="A250" s="56">
        <v>5748</v>
      </c>
      <c r="B250" s="41"/>
      <c r="C250" s="41"/>
      <c r="D250" s="41"/>
      <c r="E250" s="47"/>
      <c r="F250" s="56"/>
    </row>
    <row r="251" spans="1:6" ht="15" customHeight="1" x14ac:dyDescent="0.35">
      <c r="A251" s="56">
        <v>5749</v>
      </c>
      <c r="B251" s="41"/>
      <c r="C251" s="41"/>
      <c r="D251" s="41"/>
      <c r="E251" s="47"/>
      <c r="F251" s="56"/>
    </row>
    <row r="252" spans="1:6" ht="15" customHeight="1" x14ac:dyDescent="0.35">
      <c r="A252" s="56">
        <v>5750</v>
      </c>
      <c r="B252" s="41"/>
      <c r="C252" s="41"/>
      <c r="D252" s="41"/>
      <c r="E252" s="47"/>
      <c r="F252" s="56"/>
    </row>
    <row r="253" spans="1:6" ht="15" customHeight="1" x14ac:dyDescent="0.35">
      <c r="A253" s="56">
        <v>5751</v>
      </c>
      <c r="B253" s="41"/>
      <c r="C253" s="41"/>
      <c r="D253" s="41"/>
      <c r="E253" s="47"/>
      <c r="F253" s="56"/>
    </row>
    <row r="254" spans="1:6" ht="15" customHeight="1" x14ac:dyDescent="0.35">
      <c r="A254" s="56">
        <v>5752</v>
      </c>
      <c r="B254" s="41"/>
      <c r="C254" s="41"/>
      <c r="D254" s="41"/>
      <c r="E254" s="47"/>
      <c r="F254" s="56"/>
    </row>
    <row r="255" spans="1:6" ht="15" customHeight="1" x14ac:dyDescent="0.35">
      <c r="A255" s="56">
        <v>5753</v>
      </c>
      <c r="B255" s="41"/>
      <c r="C255" s="41"/>
      <c r="D255" s="41"/>
      <c r="E255" s="47"/>
      <c r="F255" s="56"/>
    </row>
    <row r="256" spans="1:6" ht="15" customHeight="1" x14ac:dyDescent="0.35">
      <c r="A256" s="56">
        <v>5754</v>
      </c>
      <c r="B256" s="41" t="s">
        <v>509</v>
      </c>
      <c r="C256" s="41" t="s">
        <v>568</v>
      </c>
      <c r="D256" s="41" t="s">
        <v>145</v>
      </c>
      <c r="E256" s="47">
        <v>45391</v>
      </c>
      <c r="F256" s="56" t="s">
        <v>1</v>
      </c>
    </row>
    <row r="257" spans="1:6" ht="15" customHeight="1" x14ac:dyDescent="0.35">
      <c r="A257" s="56">
        <v>5755</v>
      </c>
      <c r="B257" s="41" t="s">
        <v>919</v>
      </c>
      <c r="C257" s="41" t="s">
        <v>179</v>
      </c>
      <c r="D257" s="41"/>
      <c r="E257" s="47"/>
      <c r="F257" s="56"/>
    </row>
    <row r="258" spans="1:6" ht="15" customHeight="1" x14ac:dyDescent="0.35">
      <c r="A258" s="56">
        <v>5756</v>
      </c>
      <c r="B258" s="41" t="s">
        <v>509</v>
      </c>
      <c r="C258" s="41" t="s">
        <v>227</v>
      </c>
      <c r="D258" s="41" t="s">
        <v>1220</v>
      </c>
      <c r="E258" s="47">
        <v>45476</v>
      </c>
      <c r="F258" s="56" t="s">
        <v>2</v>
      </c>
    </row>
    <row r="259" spans="1:6" ht="15" customHeight="1" x14ac:dyDescent="0.35">
      <c r="A259" s="56">
        <v>5757</v>
      </c>
      <c r="B259" s="41" t="s">
        <v>333</v>
      </c>
      <c r="C259" s="41" t="s">
        <v>1164</v>
      </c>
      <c r="D259" s="41" t="s">
        <v>1221</v>
      </c>
      <c r="E259" s="47">
        <v>45392</v>
      </c>
      <c r="F259" s="56" t="s">
        <v>2</v>
      </c>
    </row>
    <row r="260" spans="1:6" ht="15" customHeight="1" x14ac:dyDescent="0.35">
      <c r="A260" s="56">
        <v>5758</v>
      </c>
      <c r="B260" s="41" t="s">
        <v>1222</v>
      </c>
      <c r="C260" s="41" t="s">
        <v>133</v>
      </c>
      <c r="D260" s="41" t="s">
        <v>1223</v>
      </c>
      <c r="E260" s="47">
        <v>45390</v>
      </c>
      <c r="F260" s="56" t="s">
        <v>2</v>
      </c>
    </row>
    <row r="261" spans="1:6" ht="15" customHeight="1" x14ac:dyDescent="0.35">
      <c r="A261" s="56">
        <v>5759</v>
      </c>
      <c r="B261" s="41" t="s">
        <v>1224</v>
      </c>
      <c r="C261" s="41"/>
      <c r="D261" s="41" t="s">
        <v>738</v>
      </c>
      <c r="E261" s="47">
        <v>45390</v>
      </c>
      <c r="F261" s="56" t="s">
        <v>1</v>
      </c>
    </row>
    <row r="262" spans="1:6" ht="15" customHeight="1" x14ac:dyDescent="0.35">
      <c r="A262" s="56">
        <v>5760</v>
      </c>
      <c r="B262" s="41" t="s">
        <v>1225</v>
      </c>
      <c r="C262" s="41" t="s">
        <v>1226</v>
      </c>
      <c r="D262" s="41" t="s">
        <v>615</v>
      </c>
      <c r="E262" s="47">
        <v>45390</v>
      </c>
      <c r="F262" s="56" t="s">
        <v>1</v>
      </c>
    </row>
    <row r="263" spans="1:6" ht="15" customHeight="1" x14ac:dyDescent="0.35">
      <c r="A263" s="56">
        <v>5761</v>
      </c>
      <c r="B263" s="41" t="s">
        <v>1227</v>
      </c>
      <c r="C263" s="41" t="s">
        <v>1228</v>
      </c>
      <c r="D263" s="41" t="s">
        <v>401</v>
      </c>
      <c r="E263" s="47">
        <v>45390</v>
      </c>
      <c r="F263" s="56" t="s">
        <v>1</v>
      </c>
    </row>
    <row r="264" spans="1:6" ht="15" customHeight="1" x14ac:dyDescent="0.35">
      <c r="A264" s="56">
        <v>5762</v>
      </c>
      <c r="B264" s="41" t="s">
        <v>1229</v>
      </c>
      <c r="C264" s="41" t="s">
        <v>1230</v>
      </c>
      <c r="D264" s="41" t="s">
        <v>145</v>
      </c>
      <c r="E264" s="47">
        <v>45398</v>
      </c>
      <c r="F264" s="56" t="s">
        <v>1</v>
      </c>
    </row>
    <row r="265" spans="1:6" ht="15" customHeight="1" x14ac:dyDescent="0.35">
      <c r="A265" s="56">
        <v>5763</v>
      </c>
      <c r="B265" s="41" t="s">
        <v>1171</v>
      </c>
      <c r="C265" s="41"/>
      <c r="D265" s="41" t="s">
        <v>1231</v>
      </c>
      <c r="E265" s="47">
        <v>45397</v>
      </c>
      <c r="F265" s="56" t="s">
        <v>1</v>
      </c>
    </row>
    <row r="266" spans="1:6" ht="15" customHeight="1" x14ac:dyDescent="0.35">
      <c r="A266" s="56">
        <v>5764</v>
      </c>
      <c r="B266" s="41" t="s">
        <v>1232</v>
      </c>
      <c r="C266" s="41" t="s">
        <v>1233</v>
      </c>
      <c r="D266" s="41"/>
      <c r="E266" s="47">
        <v>45397</v>
      </c>
      <c r="F266" s="56" t="s">
        <v>1</v>
      </c>
    </row>
    <row r="267" spans="1:6" ht="15" customHeight="1" x14ac:dyDescent="0.35">
      <c r="A267" s="56">
        <v>5765</v>
      </c>
      <c r="B267" s="41" t="s">
        <v>1234</v>
      </c>
      <c r="C267" s="41" t="s">
        <v>1235</v>
      </c>
      <c r="D267" s="41"/>
      <c r="E267" s="47">
        <v>45398</v>
      </c>
      <c r="F267" s="56" t="s">
        <v>1</v>
      </c>
    </row>
    <row r="268" spans="1:6" ht="15" customHeight="1" x14ac:dyDescent="0.35">
      <c r="A268" s="56">
        <v>5766</v>
      </c>
      <c r="B268" s="41" t="s">
        <v>1236</v>
      </c>
      <c r="C268" s="41" t="s">
        <v>125</v>
      </c>
      <c r="D268" s="41" t="s">
        <v>1237</v>
      </c>
      <c r="E268" s="47">
        <v>45408</v>
      </c>
      <c r="F268" s="56" t="s">
        <v>1</v>
      </c>
    </row>
    <row r="269" spans="1:6" ht="15" customHeight="1" x14ac:dyDescent="0.35">
      <c r="A269" s="56">
        <v>5767</v>
      </c>
      <c r="B269" s="41" t="s">
        <v>702</v>
      </c>
      <c r="C269" s="41" t="s">
        <v>1238</v>
      </c>
      <c r="D269" s="41" t="s">
        <v>1239</v>
      </c>
      <c r="E269" s="47">
        <v>45446</v>
      </c>
      <c r="F269" s="56" t="s">
        <v>2</v>
      </c>
    </row>
    <row r="270" spans="1:6" ht="15" customHeight="1" x14ac:dyDescent="0.35">
      <c r="A270" s="56">
        <v>5768</v>
      </c>
      <c r="B270" s="41" t="s">
        <v>1240</v>
      </c>
      <c r="C270" s="41" t="s">
        <v>1180</v>
      </c>
      <c r="D270" s="41" t="s">
        <v>72</v>
      </c>
      <c r="E270" s="47">
        <v>45441</v>
      </c>
      <c r="F270" s="56" t="s">
        <v>1</v>
      </c>
    </row>
    <row r="271" spans="1:6" ht="15" customHeight="1" x14ac:dyDescent="0.35">
      <c r="A271" s="56">
        <v>5769</v>
      </c>
      <c r="B271" s="41" t="s">
        <v>333</v>
      </c>
      <c r="C271" s="41" t="s">
        <v>1167</v>
      </c>
      <c r="D271" s="41" t="s">
        <v>662</v>
      </c>
      <c r="E271" s="47">
        <v>45408</v>
      </c>
      <c r="F271" s="56" t="s">
        <v>1</v>
      </c>
    </row>
    <row r="272" spans="1:6" ht="15" customHeight="1" x14ac:dyDescent="0.35">
      <c r="A272" s="56">
        <v>5770</v>
      </c>
      <c r="B272" s="41" t="s">
        <v>1241</v>
      </c>
      <c r="C272" s="41" t="s">
        <v>249</v>
      </c>
      <c r="D272" s="41" t="s">
        <v>1242</v>
      </c>
      <c r="E272" s="47">
        <v>45397</v>
      </c>
      <c r="F272" s="56" t="s">
        <v>1</v>
      </c>
    </row>
    <row r="273" spans="1:6" ht="15" customHeight="1" x14ac:dyDescent="0.35">
      <c r="A273" s="56">
        <v>5771</v>
      </c>
      <c r="B273" s="41" t="s">
        <v>1243</v>
      </c>
      <c r="C273" s="41" t="s">
        <v>293</v>
      </c>
      <c r="D273" s="41" t="s">
        <v>1244</v>
      </c>
      <c r="E273" s="47">
        <v>45397</v>
      </c>
      <c r="F273" s="56" t="s">
        <v>1</v>
      </c>
    </row>
    <row r="274" spans="1:6" ht="15" customHeight="1" x14ac:dyDescent="0.35">
      <c r="A274" s="56">
        <v>5772</v>
      </c>
      <c r="B274" s="41" t="s">
        <v>1245</v>
      </c>
      <c r="C274" s="41" t="s">
        <v>299</v>
      </c>
      <c r="D274" s="41" t="s">
        <v>1246</v>
      </c>
      <c r="E274" s="47">
        <v>45398</v>
      </c>
      <c r="F274" s="56" t="s">
        <v>1</v>
      </c>
    </row>
    <row r="275" spans="1:6" ht="15" customHeight="1" x14ac:dyDescent="0.35">
      <c r="A275" s="56">
        <v>5773</v>
      </c>
      <c r="B275" s="41" t="s">
        <v>1247</v>
      </c>
      <c r="C275" s="41" t="s">
        <v>287</v>
      </c>
      <c r="D275" s="41" t="s">
        <v>1248</v>
      </c>
      <c r="E275" s="47">
        <v>45398</v>
      </c>
      <c r="F275" s="56" t="s">
        <v>1</v>
      </c>
    </row>
    <row r="276" spans="1:6" ht="15" customHeight="1" x14ac:dyDescent="0.35">
      <c r="A276" s="56">
        <v>5774</v>
      </c>
      <c r="B276" s="41" t="s">
        <v>205</v>
      </c>
      <c r="C276" s="41" t="s">
        <v>106</v>
      </c>
      <c r="D276" s="41" t="s">
        <v>80</v>
      </c>
      <c r="E276" s="47">
        <v>45405</v>
      </c>
      <c r="F276" s="56" t="s">
        <v>1</v>
      </c>
    </row>
    <row r="277" spans="1:6" ht="15" customHeight="1" x14ac:dyDescent="0.35">
      <c r="A277" s="56">
        <v>5775</v>
      </c>
      <c r="B277" s="41" t="s">
        <v>36</v>
      </c>
      <c r="C277" s="41" t="s">
        <v>240</v>
      </c>
      <c r="D277" s="41" t="s">
        <v>1249</v>
      </c>
      <c r="E277" s="47">
        <v>45455</v>
      </c>
      <c r="F277" s="56" t="s">
        <v>2</v>
      </c>
    </row>
    <row r="278" spans="1:6" ht="15" customHeight="1" x14ac:dyDescent="0.35">
      <c r="A278" s="56">
        <v>5776</v>
      </c>
      <c r="B278" s="41" t="s">
        <v>220</v>
      </c>
      <c r="C278" s="41" t="s">
        <v>1233</v>
      </c>
      <c r="D278" s="41" t="s">
        <v>461</v>
      </c>
      <c r="E278" s="47">
        <v>45429</v>
      </c>
      <c r="F278" s="56" t="s">
        <v>1</v>
      </c>
    </row>
    <row r="279" spans="1:6" ht="15" customHeight="1" x14ac:dyDescent="0.35">
      <c r="A279" s="56">
        <v>5777</v>
      </c>
      <c r="B279" s="41" t="s">
        <v>1250</v>
      </c>
      <c r="C279" s="41" t="s">
        <v>1251</v>
      </c>
      <c r="D279" s="41" t="s">
        <v>1252</v>
      </c>
      <c r="E279" s="47">
        <v>45408</v>
      </c>
      <c r="F279" s="56" t="s">
        <v>4</v>
      </c>
    </row>
    <row r="280" spans="1:6" ht="15" customHeight="1" x14ac:dyDescent="0.35">
      <c r="A280" s="56">
        <v>5778</v>
      </c>
      <c r="B280" s="41" t="s">
        <v>1243</v>
      </c>
      <c r="C280" s="41" t="s">
        <v>148</v>
      </c>
      <c r="D280" s="41" t="s">
        <v>1253</v>
      </c>
      <c r="E280" s="47">
        <v>45419</v>
      </c>
      <c r="F280" s="56" t="s">
        <v>1</v>
      </c>
    </row>
    <row r="281" spans="1:6" ht="15" customHeight="1" x14ac:dyDescent="0.35">
      <c r="A281" s="56">
        <v>5779</v>
      </c>
      <c r="B281" s="41" t="s">
        <v>195</v>
      </c>
      <c r="C281" s="41" t="s">
        <v>133</v>
      </c>
      <c r="D281" s="41" t="s">
        <v>1254</v>
      </c>
      <c r="E281" s="47">
        <v>45411</v>
      </c>
      <c r="F281" s="56" t="s">
        <v>1</v>
      </c>
    </row>
    <row r="282" spans="1:6" ht="15" customHeight="1" x14ac:dyDescent="0.35">
      <c r="A282" s="56">
        <v>5780</v>
      </c>
      <c r="B282" s="41" t="s">
        <v>1234</v>
      </c>
      <c r="C282" s="41" t="s">
        <v>94</v>
      </c>
      <c r="D282" s="41" t="s">
        <v>1255</v>
      </c>
      <c r="E282" s="47">
        <v>45425</v>
      </c>
      <c r="F282" s="56" t="s">
        <v>1</v>
      </c>
    </row>
    <row r="283" spans="1:6" ht="15" customHeight="1" x14ac:dyDescent="0.35">
      <c r="A283" s="56">
        <v>5781</v>
      </c>
      <c r="B283" s="41" t="s">
        <v>74</v>
      </c>
      <c r="C283" s="41" t="s">
        <v>367</v>
      </c>
      <c r="D283" s="41" t="s">
        <v>1256</v>
      </c>
      <c r="E283" s="47">
        <v>45408</v>
      </c>
      <c r="F283" s="56" t="s">
        <v>2</v>
      </c>
    </row>
    <row r="284" spans="1:6" ht="15" customHeight="1" x14ac:dyDescent="0.35">
      <c r="A284" s="56">
        <v>5782</v>
      </c>
      <c r="B284" s="41" t="s">
        <v>1257</v>
      </c>
      <c r="C284" s="41" t="s">
        <v>453</v>
      </c>
      <c r="D284" s="41" t="s">
        <v>1258</v>
      </c>
      <c r="E284" s="47">
        <v>45411</v>
      </c>
      <c r="F284" s="56" t="s">
        <v>1</v>
      </c>
    </row>
    <row r="285" spans="1:6" ht="15" customHeight="1" x14ac:dyDescent="0.35">
      <c r="A285" s="56">
        <v>5783</v>
      </c>
      <c r="B285" s="41" t="s">
        <v>1229</v>
      </c>
      <c r="C285" s="41" t="s">
        <v>200</v>
      </c>
      <c r="D285" s="41" t="s">
        <v>145</v>
      </c>
      <c r="E285" s="47">
        <v>45411</v>
      </c>
      <c r="F285" s="56" t="s">
        <v>1</v>
      </c>
    </row>
    <row r="286" spans="1:6" ht="15" customHeight="1" x14ac:dyDescent="0.35">
      <c r="A286" s="56">
        <v>5784</v>
      </c>
      <c r="B286" s="41" t="s">
        <v>96</v>
      </c>
      <c r="C286" s="41" t="s">
        <v>1259</v>
      </c>
      <c r="D286" s="41" t="s">
        <v>121</v>
      </c>
      <c r="E286" s="47">
        <v>45411</v>
      </c>
      <c r="F286" s="56" t="s">
        <v>4</v>
      </c>
    </row>
    <row r="287" spans="1:6" ht="15" customHeight="1" x14ac:dyDescent="0.35">
      <c r="A287" s="56">
        <v>5785</v>
      </c>
      <c r="B287" s="41" t="s">
        <v>96</v>
      </c>
      <c r="C287" s="41" t="s">
        <v>94</v>
      </c>
      <c r="D287" s="41" t="s">
        <v>1260</v>
      </c>
      <c r="E287" s="47">
        <v>45411</v>
      </c>
      <c r="F287" s="56" t="s">
        <v>1</v>
      </c>
    </row>
    <row r="288" spans="1:6" ht="15" customHeight="1" x14ac:dyDescent="0.35">
      <c r="A288" s="56">
        <v>5786</v>
      </c>
      <c r="B288" s="41" t="s">
        <v>1106</v>
      </c>
      <c r="C288" s="41" t="s">
        <v>453</v>
      </c>
      <c r="D288" s="41" t="s">
        <v>1261</v>
      </c>
      <c r="E288" s="47">
        <v>45411</v>
      </c>
      <c r="F288" s="56" t="s">
        <v>1</v>
      </c>
    </row>
    <row r="289" spans="1:6" ht="15" customHeight="1" x14ac:dyDescent="0.35">
      <c r="A289" s="56">
        <v>5787</v>
      </c>
      <c r="B289" s="41" t="s">
        <v>1212</v>
      </c>
      <c r="C289" s="41" t="s">
        <v>1213</v>
      </c>
      <c r="D289" s="41" t="s">
        <v>1262</v>
      </c>
      <c r="E289" s="47">
        <v>45443</v>
      </c>
      <c r="F289" s="56" t="s">
        <v>2</v>
      </c>
    </row>
    <row r="290" spans="1:6" ht="15" customHeight="1" x14ac:dyDescent="0.35">
      <c r="A290" s="56">
        <v>5788</v>
      </c>
      <c r="B290" s="41" t="s">
        <v>1234</v>
      </c>
      <c r="C290" s="41"/>
      <c r="D290" s="41" t="s">
        <v>185</v>
      </c>
      <c r="E290" s="47">
        <v>45411</v>
      </c>
      <c r="F290" s="56" t="s">
        <v>1</v>
      </c>
    </row>
    <row r="291" spans="1:6" ht="15" customHeight="1" x14ac:dyDescent="0.35">
      <c r="A291" s="56">
        <v>5789</v>
      </c>
      <c r="B291" s="41" t="s">
        <v>1263</v>
      </c>
      <c r="C291" s="41" t="s">
        <v>50</v>
      </c>
      <c r="D291" s="41" t="s">
        <v>1264</v>
      </c>
      <c r="E291" s="47">
        <v>45419</v>
      </c>
      <c r="F291" s="56" t="s">
        <v>1</v>
      </c>
    </row>
    <row r="292" spans="1:6" ht="15" customHeight="1" x14ac:dyDescent="0.35">
      <c r="A292" s="56">
        <v>5790</v>
      </c>
      <c r="B292" s="41" t="s">
        <v>1265</v>
      </c>
      <c r="C292" s="41" t="s">
        <v>1266</v>
      </c>
      <c r="D292" s="41" t="s">
        <v>1267</v>
      </c>
      <c r="E292" s="47">
        <v>45419</v>
      </c>
      <c r="F292" s="56" t="s">
        <v>1</v>
      </c>
    </row>
    <row r="293" spans="1:6" ht="15" customHeight="1" x14ac:dyDescent="0.35">
      <c r="A293" s="56">
        <v>5791</v>
      </c>
      <c r="B293" s="41" t="s">
        <v>1268</v>
      </c>
      <c r="C293" s="41" t="s">
        <v>540</v>
      </c>
      <c r="D293" s="41" t="s">
        <v>1269</v>
      </c>
      <c r="E293" s="47">
        <v>45419</v>
      </c>
      <c r="F293" s="56" t="s">
        <v>1</v>
      </c>
    </row>
    <row r="294" spans="1:6" ht="15" customHeight="1" x14ac:dyDescent="0.35">
      <c r="A294" s="56">
        <v>5792</v>
      </c>
      <c r="B294" s="41" t="s">
        <v>1270</v>
      </c>
      <c r="C294" s="41" t="s">
        <v>1228</v>
      </c>
      <c r="D294" s="41" t="s">
        <v>1271</v>
      </c>
      <c r="E294" s="47">
        <v>45511.448240740741</v>
      </c>
      <c r="F294" s="56" t="s">
        <v>1</v>
      </c>
    </row>
    <row r="295" spans="1:6" ht="15" customHeight="1" x14ac:dyDescent="0.35">
      <c r="A295" s="56">
        <v>5793</v>
      </c>
      <c r="B295" s="41" t="s">
        <v>1272</v>
      </c>
      <c r="C295" s="41"/>
      <c r="D295" s="41" t="s">
        <v>1273</v>
      </c>
      <c r="E295" s="47">
        <v>45467</v>
      </c>
      <c r="F295" s="56" t="s">
        <v>1</v>
      </c>
    </row>
    <row r="296" spans="1:6" ht="15" customHeight="1" x14ac:dyDescent="0.35">
      <c r="A296" s="56">
        <v>5794</v>
      </c>
      <c r="B296" s="41" t="s">
        <v>1274</v>
      </c>
      <c r="C296" s="41" t="s">
        <v>442</v>
      </c>
      <c r="D296" s="41" t="s">
        <v>30</v>
      </c>
      <c r="E296" s="47">
        <v>45419</v>
      </c>
      <c r="F296" s="56" t="s">
        <v>1</v>
      </c>
    </row>
    <row r="297" spans="1:6" ht="15" customHeight="1" x14ac:dyDescent="0.35">
      <c r="A297" s="56">
        <v>5795</v>
      </c>
      <c r="B297" s="41" t="s">
        <v>1275</v>
      </c>
      <c r="C297" s="41"/>
      <c r="D297" s="41" t="s">
        <v>27</v>
      </c>
      <c r="E297" s="47">
        <v>45419</v>
      </c>
      <c r="F297" s="56" t="s">
        <v>1</v>
      </c>
    </row>
    <row r="298" spans="1:6" ht="15" customHeight="1" x14ac:dyDescent="0.35">
      <c r="A298" s="56">
        <v>5796</v>
      </c>
      <c r="B298" s="41" t="s">
        <v>1276</v>
      </c>
      <c r="C298" s="41" t="s">
        <v>1277</v>
      </c>
      <c r="D298" s="41" t="s">
        <v>1278</v>
      </c>
      <c r="E298" s="47">
        <v>45419</v>
      </c>
      <c r="F298" s="56" t="s">
        <v>1</v>
      </c>
    </row>
    <row r="299" spans="1:6" ht="15" customHeight="1" x14ac:dyDescent="0.35">
      <c r="A299" s="56">
        <v>5797</v>
      </c>
      <c r="B299" s="41"/>
      <c r="C299" s="41"/>
      <c r="D299" s="41"/>
      <c r="E299" s="47"/>
      <c r="F299" s="56"/>
    </row>
    <row r="300" spans="1:6" ht="15" customHeight="1" x14ac:dyDescent="0.35">
      <c r="A300" s="56">
        <v>5798</v>
      </c>
      <c r="B300" s="41" t="s">
        <v>1040</v>
      </c>
      <c r="C300" s="41" t="s">
        <v>1279</v>
      </c>
      <c r="D300" s="41" t="s">
        <v>1280</v>
      </c>
      <c r="E300" s="47">
        <v>45419</v>
      </c>
      <c r="F300" s="56" t="s">
        <v>1</v>
      </c>
    </row>
    <row r="301" spans="1:6" ht="15" customHeight="1" x14ac:dyDescent="0.35">
      <c r="A301" s="56">
        <v>5799</v>
      </c>
      <c r="B301" s="41" t="s">
        <v>1281</v>
      </c>
      <c r="C301" s="41" t="s">
        <v>1282</v>
      </c>
      <c r="D301" s="41"/>
      <c r="E301" s="47">
        <v>45434</v>
      </c>
      <c r="F301" s="56" t="s">
        <v>1</v>
      </c>
    </row>
    <row r="302" spans="1:6" ht="15" customHeight="1" x14ac:dyDescent="0.35">
      <c r="A302" s="56">
        <v>5800</v>
      </c>
      <c r="B302" s="41"/>
      <c r="C302" s="41"/>
      <c r="D302" s="41"/>
      <c r="E302" s="47"/>
      <c r="F302" s="56"/>
    </row>
    <row r="303" spans="1:6" ht="15" customHeight="1" x14ac:dyDescent="0.35">
      <c r="A303" s="56">
        <v>5801</v>
      </c>
      <c r="B303" s="41"/>
      <c r="C303" s="41"/>
      <c r="D303" s="41"/>
      <c r="E303" s="47"/>
      <c r="F303" s="56"/>
    </row>
    <row r="304" spans="1:6" ht="15" customHeight="1" x14ac:dyDescent="0.35">
      <c r="A304" s="56">
        <v>5802</v>
      </c>
      <c r="B304" s="41" t="s">
        <v>1283</v>
      </c>
      <c r="C304" s="41"/>
      <c r="D304" s="41" t="s">
        <v>1284</v>
      </c>
      <c r="E304" s="47">
        <v>45433</v>
      </c>
      <c r="F304" s="56" t="s">
        <v>1</v>
      </c>
    </row>
    <row r="305" spans="1:6" ht="15" customHeight="1" x14ac:dyDescent="0.35">
      <c r="A305" s="56">
        <v>5803</v>
      </c>
      <c r="B305" s="41" t="s">
        <v>1247</v>
      </c>
      <c r="C305" s="41" t="s">
        <v>249</v>
      </c>
      <c r="D305" s="41" t="s">
        <v>1285</v>
      </c>
      <c r="E305" s="47">
        <v>45454</v>
      </c>
      <c r="F305" s="56" t="s">
        <v>1</v>
      </c>
    </row>
    <row r="306" spans="1:6" ht="15" customHeight="1" x14ac:dyDescent="0.35">
      <c r="A306" s="56">
        <v>5804</v>
      </c>
      <c r="B306" s="41" t="s">
        <v>1286</v>
      </c>
      <c r="C306" s="41" t="s">
        <v>240</v>
      </c>
      <c r="D306" s="41" t="s">
        <v>98</v>
      </c>
      <c r="E306" s="47">
        <v>45446</v>
      </c>
      <c r="F306" s="56" t="s">
        <v>4</v>
      </c>
    </row>
    <row r="307" spans="1:6" ht="15" customHeight="1" x14ac:dyDescent="0.35">
      <c r="A307" s="56">
        <v>5805</v>
      </c>
      <c r="B307" s="41" t="s">
        <v>274</v>
      </c>
      <c r="C307" s="41" t="s">
        <v>1287</v>
      </c>
      <c r="D307" s="41" t="s">
        <v>403</v>
      </c>
      <c r="E307" s="47">
        <v>45404</v>
      </c>
      <c r="F307" s="56" t="s">
        <v>1</v>
      </c>
    </row>
    <row r="308" spans="1:6" ht="15" customHeight="1" x14ac:dyDescent="0.35">
      <c r="A308" s="56">
        <v>5806</v>
      </c>
      <c r="B308" s="41" t="s">
        <v>1288</v>
      </c>
      <c r="C308" s="41" t="s">
        <v>179</v>
      </c>
      <c r="D308" s="41"/>
      <c r="E308" s="47">
        <v>45404</v>
      </c>
      <c r="F308" s="56" t="s">
        <v>1</v>
      </c>
    </row>
    <row r="309" spans="1:6" ht="15" customHeight="1" x14ac:dyDescent="0.35">
      <c r="A309" s="56">
        <v>5807</v>
      </c>
      <c r="B309" s="41" t="s">
        <v>1225</v>
      </c>
      <c r="C309" s="41" t="s">
        <v>1226</v>
      </c>
      <c r="D309" s="41" t="s">
        <v>176</v>
      </c>
      <c r="E309" s="47">
        <v>45558</v>
      </c>
      <c r="F309" s="56" t="s">
        <v>1</v>
      </c>
    </row>
    <row r="310" spans="1:6" ht="15" customHeight="1" x14ac:dyDescent="0.35">
      <c r="A310" s="56">
        <v>5808</v>
      </c>
      <c r="B310" s="41"/>
      <c r="C310" s="41"/>
      <c r="D310" s="41"/>
      <c r="E310" s="47"/>
      <c r="F310" s="56"/>
    </row>
    <row r="311" spans="1:6" ht="15" customHeight="1" x14ac:dyDescent="0.35">
      <c r="A311" s="56">
        <v>5809</v>
      </c>
      <c r="B311" s="41" t="s">
        <v>1162</v>
      </c>
      <c r="C311" s="41" t="s">
        <v>1233</v>
      </c>
      <c r="D311" s="41"/>
      <c r="E311" s="47">
        <v>45504</v>
      </c>
      <c r="F311" s="56" t="s">
        <v>1</v>
      </c>
    </row>
    <row r="312" spans="1:6" ht="15" customHeight="1" x14ac:dyDescent="0.35">
      <c r="A312" s="56">
        <v>5810</v>
      </c>
      <c r="B312" s="41" t="s">
        <v>1175</v>
      </c>
      <c r="C312" s="41" t="s">
        <v>512</v>
      </c>
      <c r="D312" s="41"/>
      <c r="E312" s="47">
        <v>45434</v>
      </c>
      <c r="F312" s="56" t="s">
        <v>1</v>
      </c>
    </row>
    <row r="313" spans="1:6" ht="15" customHeight="1" x14ac:dyDescent="0.35">
      <c r="A313" s="56">
        <v>5811</v>
      </c>
      <c r="B313" s="41" t="s">
        <v>1106</v>
      </c>
      <c r="C313" s="41" t="s">
        <v>1289</v>
      </c>
      <c r="D313" s="41"/>
      <c r="E313" s="47">
        <v>45434</v>
      </c>
      <c r="F313" s="56" t="s">
        <v>1</v>
      </c>
    </row>
    <row r="314" spans="1:6" ht="15" customHeight="1" x14ac:dyDescent="0.35">
      <c r="A314" s="56">
        <v>5812</v>
      </c>
      <c r="B314" s="41" t="s">
        <v>1106</v>
      </c>
      <c r="C314" s="41" t="s">
        <v>1290</v>
      </c>
      <c r="D314" s="41"/>
      <c r="E314" s="47">
        <v>45434</v>
      </c>
      <c r="F314" s="56" t="s">
        <v>1</v>
      </c>
    </row>
    <row r="315" spans="1:6" ht="15" customHeight="1" x14ac:dyDescent="0.35">
      <c r="A315" s="56">
        <v>5813</v>
      </c>
      <c r="B315" s="41" t="s">
        <v>195</v>
      </c>
      <c r="C315" s="41"/>
      <c r="D315" s="41" t="s">
        <v>27</v>
      </c>
      <c r="E315" s="47">
        <v>45434</v>
      </c>
      <c r="F315" s="56" t="s">
        <v>1</v>
      </c>
    </row>
    <row r="316" spans="1:6" ht="15" customHeight="1" x14ac:dyDescent="0.35">
      <c r="A316" s="56">
        <v>5814</v>
      </c>
      <c r="B316" s="41" t="s">
        <v>333</v>
      </c>
      <c r="C316" s="41"/>
      <c r="D316" s="41" t="s">
        <v>1291</v>
      </c>
      <c r="E316" s="47">
        <v>45441</v>
      </c>
      <c r="F316" s="56" t="s">
        <v>1</v>
      </c>
    </row>
    <row r="317" spans="1:6" ht="15" customHeight="1" x14ac:dyDescent="0.35">
      <c r="A317" s="56">
        <v>5815</v>
      </c>
      <c r="B317" s="41"/>
      <c r="C317" s="41"/>
      <c r="D317" s="41"/>
      <c r="E317" s="47"/>
      <c r="F317" s="56"/>
    </row>
    <row r="318" spans="1:6" ht="15" customHeight="1" x14ac:dyDescent="0.35">
      <c r="A318" s="56">
        <v>5816</v>
      </c>
      <c r="B318" s="41" t="s">
        <v>1243</v>
      </c>
      <c r="C318" s="41" t="s">
        <v>1292</v>
      </c>
      <c r="D318" s="41" t="s">
        <v>1293</v>
      </c>
      <c r="E318" s="47">
        <v>45434</v>
      </c>
      <c r="F318" s="56" t="s">
        <v>1</v>
      </c>
    </row>
    <row r="319" spans="1:6" ht="15" customHeight="1" x14ac:dyDescent="0.35">
      <c r="A319" s="56">
        <v>5817</v>
      </c>
      <c r="B319" s="41" t="s">
        <v>1106</v>
      </c>
      <c r="C319" s="41" t="s">
        <v>763</v>
      </c>
      <c r="D319" s="41" t="s">
        <v>801</v>
      </c>
      <c r="E319" s="47">
        <v>45446</v>
      </c>
      <c r="F319" s="56" t="s">
        <v>1</v>
      </c>
    </row>
    <row r="320" spans="1:6" ht="15" customHeight="1" x14ac:dyDescent="0.35">
      <c r="A320" s="56">
        <v>5818</v>
      </c>
      <c r="B320" s="41" t="s">
        <v>1234</v>
      </c>
      <c r="C320" s="41"/>
      <c r="D320" s="41" t="s">
        <v>1233</v>
      </c>
      <c r="E320" s="47">
        <v>45434</v>
      </c>
      <c r="F320" s="56" t="s">
        <v>1</v>
      </c>
    </row>
    <row r="321" spans="1:6" ht="15" customHeight="1" x14ac:dyDescent="0.35">
      <c r="A321" s="56">
        <v>5819</v>
      </c>
      <c r="B321" s="41" t="s">
        <v>1217</v>
      </c>
      <c r="C321" s="41"/>
      <c r="D321" s="41" t="s">
        <v>818</v>
      </c>
      <c r="E321" s="47">
        <v>45434</v>
      </c>
      <c r="F321" s="56" t="s">
        <v>1</v>
      </c>
    </row>
    <row r="322" spans="1:6" ht="15" customHeight="1" x14ac:dyDescent="0.35">
      <c r="A322" s="56">
        <v>5820</v>
      </c>
      <c r="B322" s="41" t="s">
        <v>1245</v>
      </c>
      <c r="C322" s="41" t="s">
        <v>299</v>
      </c>
      <c r="D322" s="41" t="s">
        <v>1294</v>
      </c>
      <c r="E322" s="47">
        <v>45468</v>
      </c>
      <c r="F322" s="56" t="s">
        <v>1</v>
      </c>
    </row>
    <row r="323" spans="1:6" ht="15" customHeight="1" x14ac:dyDescent="0.35">
      <c r="A323" s="56">
        <v>5821</v>
      </c>
      <c r="B323" s="41" t="s">
        <v>41</v>
      </c>
      <c r="C323" s="41" t="s">
        <v>1295</v>
      </c>
      <c r="D323" s="41" t="s">
        <v>1296</v>
      </c>
      <c r="E323" s="47">
        <v>45511.489756944444</v>
      </c>
      <c r="F323" s="56" t="s">
        <v>4</v>
      </c>
    </row>
    <row r="324" spans="1:6" ht="15" customHeight="1" x14ac:dyDescent="0.35">
      <c r="A324" s="56">
        <v>5822</v>
      </c>
      <c r="B324" s="41" t="s">
        <v>220</v>
      </c>
      <c r="C324" s="41" t="s">
        <v>1209</v>
      </c>
      <c r="D324" s="41" t="s">
        <v>85</v>
      </c>
      <c r="E324" s="47">
        <v>45510</v>
      </c>
      <c r="F324" s="56" t="s">
        <v>1</v>
      </c>
    </row>
    <row r="325" spans="1:6" ht="15" customHeight="1" x14ac:dyDescent="0.35">
      <c r="A325" s="56">
        <v>5823</v>
      </c>
      <c r="B325" s="41" t="s">
        <v>74</v>
      </c>
      <c r="C325" s="41" t="s">
        <v>367</v>
      </c>
      <c r="D325" s="41" t="s">
        <v>1297</v>
      </c>
      <c r="E325" s="47">
        <v>45446</v>
      </c>
      <c r="F325" s="56" t="s">
        <v>2</v>
      </c>
    </row>
    <row r="326" spans="1:6" ht="15" customHeight="1" x14ac:dyDescent="0.35">
      <c r="A326" s="56">
        <v>5824</v>
      </c>
      <c r="B326" s="41"/>
      <c r="C326" s="41"/>
      <c r="D326" s="41"/>
      <c r="E326" s="47"/>
      <c r="F326" s="56"/>
    </row>
    <row r="327" spans="1:6" ht="15" customHeight="1" x14ac:dyDescent="0.35">
      <c r="A327" s="56">
        <v>5825</v>
      </c>
      <c r="B327" s="41" t="s">
        <v>36</v>
      </c>
      <c r="C327" s="41" t="s">
        <v>240</v>
      </c>
      <c r="D327" s="41" t="s">
        <v>784</v>
      </c>
      <c r="E327" s="47">
        <v>45455</v>
      </c>
      <c r="F327" s="56" t="s">
        <v>1</v>
      </c>
    </row>
    <row r="328" spans="1:6" ht="15" customHeight="1" x14ac:dyDescent="0.35">
      <c r="A328" s="56">
        <v>5826</v>
      </c>
      <c r="B328" s="41" t="s">
        <v>333</v>
      </c>
      <c r="C328" s="41" t="s">
        <v>412</v>
      </c>
      <c r="D328" s="41" t="s">
        <v>598</v>
      </c>
      <c r="E328" s="47">
        <v>45441</v>
      </c>
      <c r="F328" s="56" t="s">
        <v>1</v>
      </c>
    </row>
    <row r="329" spans="1:6" ht="15" customHeight="1" x14ac:dyDescent="0.35">
      <c r="A329" s="56">
        <v>5827</v>
      </c>
      <c r="B329" s="41" t="s">
        <v>1272</v>
      </c>
      <c r="C329" s="41" t="s">
        <v>26</v>
      </c>
      <c r="D329" s="41"/>
      <c r="E329" s="47">
        <v>45484</v>
      </c>
      <c r="F329" s="56" t="s">
        <v>1</v>
      </c>
    </row>
    <row r="330" spans="1:6" ht="15" customHeight="1" x14ac:dyDescent="0.35">
      <c r="A330" s="56">
        <v>5828</v>
      </c>
      <c r="B330" s="41"/>
      <c r="C330" s="41"/>
      <c r="D330" s="41"/>
      <c r="E330" s="47"/>
      <c r="F330" s="56"/>
    </row>
    <row r="331" spans="1:6" ht="15" customHeight="1" x14ac:dyDescent="0.35">
      <c r="A331" s="56">
        <v>5829</v>
      </c>
      <c r="B331" s="41" t="s">
        <v>1298</v>
      </c>
      <c r="C331" s="41" t="s">
        <v>1282</v>
      </c>
      <c r="D331" s="41" t="s">
        <v>1299</v>
      </c>
      <c r="E331" s="47">
        <v>45446</v>
      </c>
      <c r="F331" s="56" t="s">
        <v>1</v>
      </c>
    </row>
    <row r="332" spans="1:6" ht="15" customHeight="1" x14ac:dyDescent="0.35">
      <c r="A332" s="56">
        <v>5830</v>
      </c>
      <c r="B332" s="41" t="s">
        <v>74</v>
      </c>
      <c r="C332" s="41" t="s">
        <v>367</v>
      </c>
      <c r="D332" s="41" t="s">
        <v>1300</v>
      </c>
      <c r="E332" s="47">
        <v>45617.35659722222</v>
      </c>
      <c r="F332" s="56" t="s">
        <v>2</v>
      </c>
    </row>
    <row r="333" spans="1:6" ht="15" customHeight="1" x14ac:dyDescent="0.35">
      <c r="A333" s="56">
        <v>5831</v>
      </c>
      <c r="B333" s="41" t="s">
        <v>1217</v>
      </c>
      <c r="C333" s="41"/>
      <c r="D333" s="41" t="s">
        <v>1301</v>
      </c>
      <c r="E333" s="47">
        <v>45441</v>
      </c>
      <c r="F333" s="56" t="s">
        <v>1</v>
      </c>
    </row>
    <row r="334" spans="1:6" ht="15" customHeight="1" x14ac:dyDescent="0.35">
      <c r="A334" s="56">
        <v>5832</v>
      </c>
      <c r="B334" s="41" t="s">
        <v>1302</v>
      </c>
      <c r="C334" s="41" t="s">
        <v>217</v>
      </c>
      <c r="D334" s="41" t="s">
        <v>1303</v>
      </c>
      <c r="E334" s="47">
        <v>45468</v>
      </c>
      <c r="F334" s="56" t="s">
        <v>2</v>
      </c>
    </row>
    <row r="335" spans="1:6" ht="15" customHeight="1" x14ac:dyDescent="0.35">
      <c r="A335" s="56">
        <v>5833</v>
      </c>
      <c r="B335" s="41" t="s">
        <v>468</v>
      </c>
      <c r="C335" s="41" t="s">
        <v>45</v>
      </c>
      <c r="D335" s="41"/>
      <c r="E335" s="47">
        <v>45446</v>
      </c>
      <c r="F335" s="56" t="s">
        <v>3</v>
      </c>
    </row>
    <row r="336" spans="1:6" ht="15" customHeight="1" x14ac:dyDescent="0.35">
      <c r="A336" s="56">
        <v>5834</v>
      </c>
      <c r="B336" s="41" t="s">
        <v>1304</v>
      </c>
      <c r="C336" s="41" t="s">
        <v>1021</v>
      </c>
      <c r="D336" s="41" t="s">
        <v>1305</v>
      </c>
      <c r="E336" s="47">
        <v>45454</v>
      </c>
      <c r="F336" s="56" t="s">
        <v>1</v>
      </c>
    </row>
    <row r="337" spans="1:6" ht="15" customHeight="1" x14ac:dyDescent="0.35">
      <c r="A337" s="56">
        <v>5835</v>
      </c>
      <c r="B337" s="41"/>
      <c r="C337" s="41"/>
      <c r="D337" s="41"/>
      <c r="E337" s="47"/>
      <c r="F337" s="56"/>
    </row>
    <row r="338" spans="1:6" ht="15" customHeight="1" x14ac:dyDescent="0.35">
      <c r="A338" s="56">
        <v>5836</v>
      </c>
      <c r="B338" s="41" t="s">
        <v>309</v>
      </c>
      <c r="C338" s="41" t="s">
        <v>133</v>
      </c>
      <c r="D338" s="41" t="s">
        <v>1306</v>
      </c>
      <c r="E338" s="47">
        <v>45530</v>
      </c>
      <c r="F338" s="56" t="s">
        <v>4</v>
      </c>
    </row>
    <row r="339" spans="1:6" ht="15" customHeight="1" x14ac:dyDescent="0.35">
      <c r="A339" s="56">
        <v>5837</v>
      </c>
      <c r="B339" s="41" t="s">
        <v>1307</v>
      </c>
      <c r="C339" s="41" t="s">
        <v>84</v>
      </c>
      <c r="D339" s="41" t="s">
        <v>377</v>
      </c>
      <c r="E339" s="47">
        <v>45511.480347222219</v>
      </c>
      <c r="F339" s="56" t="s">
        <v>1</v>
      </c>
    </row>
    <row r="340" spans="1:6" ht="15" customHeight="1" x14ac:dyDescent="0.35">
      <c r="A340" s="56">
        <v>5838</v>
      </c>
      <c r="B340" s="41" t="s">
        <v>1166</v>
      </c>
      <c r="C340" s="41" t="s">
        <v>453</v>
      </c>
      <c r="D340" s="41" t="s">
        <v>1308</v>
      </c>
      <c r="E340" s="47">
        <v>45446</v>
      </c>
      <c r="F340" s="56" t="s">
        <v>1</v>
      </c>
    </row>
    <row r="341" spans="1:6" ht="15" customHeight="1" x14ac:dyDescent="0.35">
      <c r="A341" s="56">
        <v>5839</v>
      </c>
      <c r="B341" s="41" t="s">
        <v>333</v>
      </c>
      <c r="C341" s="41" t="s">
        <v>1164</v>
      </c>
      <c r="D341" s="41" t="s">
        <v>1309</v>
      </c>
      <c r="E341" s="47">
        <v>45446</v>
      </c>
      <c r="F341" s="56" t="s">
        <v>2</v>
      </c>
    </row>
    <row r="342" spans="1:6" ht="15" customHeight="1" x14ac:dyDescent="0.35">
      <c r="A342" s="56">
        <v>5840</v>
      </c>
      <c r="B342" s="41" t="s">
        <v>333</v>
      </c>
      <c r="C342" s="41" t="s">
        <v>1164</v>
      </c>
      <c r="D342" s="41"/>
      <c r="E342" s="47">
        <v>45446</v>
      </c>
      <c r="F342" s="56" t="s">
        <v>2</v>
      </c>
    </row>
    <row r="343" spans="1:6" ht="15" customHeight="1" x14ac:dyDescent="0.35">
      <c r="A343" s="56">
        <v>5841</v>
      </c>
      <c r="B343" s="41" t="s">
        <v>83</v>
      </c>
      <c r="C343" s="41" t="s">
        <v>240</v>
      </c>
      <c r="D343" s="41" t="s">
        <v>415</v>
      </c>
      <c r="E343" s="47">
        <v>45446</v>
      </c>
      <c r="F343" s="56" t="s">
        <v>1</v>
      </c>
    </row>
    <row r="344" spans="1:6" ht="15" customHeight="1" x14ac:dyDescent="0.35">
      <c r="A344" s="56">
        <v>5842</v>
      </c>
      <c r="B344" s="41" t="s">
        <v>1234</v>
      </c>
      <c r="C344" s="41" t="s">
        <v>94</v>
      </c>
      <c r="D344" s="41" t="s">
        <v>1310</v>
      </c>
      <c r="E344" s="47">
        <v>45565</v>
      </c>
      <c r="F344" s="56" t="s">
        <v>1</v>
      </c>
    </row>
    <row r="345" spans="1:6" ht="15" customHeight="1" x14ac:dyDescent="0.35">
      <c r="A345" s="56">
        <v>5843</v>
      </c>
      <c r="B345" s="41" t="s">
        <v>1245</v>
      </c>
      <c r="C345" s="41" t="s">
        <v>299</v>
      </c>
      <c r="D345" s="41" t="s">
        <v>1311</v>
      </c>
      <c r="E345" s="47">
        <v>45565</v>
      </c>
      <c r="F345" s="56" t="s">
        <v>1</v>
      </c>
    </row>
    <row r="346" spans="1:6" ht="15" customHeight="1" x14ac:dyDescent="0.35">
      <c r="A346" s="56">
        <v>5844</v>
      </c>
      <c r="B346" s="41" t="s">
        <v>1312</v>
      </c>
      <c r="C346" s="41"/>
      <c r="D346" s="41" t="s">
        <v>495</v>
      </c>
      <c r="E346" s="47">
        <v>45446</v>
      </c>
      <c r="F346" s="56" t="s">
        <v>1</v>
      </c>
    </row>
    <row r="347" spans="1:6" ht="15" customHeight="1" x14ac:dyDescent="0.35">
      <c r="A347" s="56">
        <v>5845</v>
      </c>
      <c r="B347" s="41" t="s">
        <v>1313</v>
      </c>
      <c r="C347" s="41" t="s">
        <v>512</v>
      </c>
      <c r="D347" s="41" t="s">
        <v>1314</v>
      </c>
      <c r="E347" s="47">
        <v>45454</v>
      </c>
      <c r="F347" s="56" t="s">
        <v>1</v>
      </c>
    </row>
    <row r="348" spans="1:6" ht="15" customHeight="1" x14ac:dyDescent="0.35">
      <c r="A348" s="56">
        <v>5846</v>
      </c>
      <c r="B348" s="41"/>
      <c r="C348" s="41"/>
      <c r="D348" s="41"/>
      <c r="E348" s="47"/>
      <c r="F348" s="56"/>
    </row>
    <row r="349" spans="1:6" ht="15" customHeight="1" x14ac:dyDescent="0.35">
      <c r="A349" s="56">
        <v>5847</v>
      </c>
      <c r="B349" s="41" t="s">
        <v>1219</v>
      </c>
      <c r="C349" s="41" t="s">
        <v>140</v>
      </c>
      <c r="D349" s="41" t="s">
        <v>168</v>
      </c>
      <c r="E349" s="47">
        <v>45454</v>
      </c>
      <c r="F349" s="56" t="s">
        <v>1</v>
      </c>
    </row>
    <row r="350" spans="1:6" ht="15" customHeight="1" x14ac:dyDescent="0.35">
      <c r="A350" s="56">
        <v>5848</v>
      </c>
      <c r="B350" s="41" t="s">
        <v>41</v>
      </c>
      <c r="C350" s="41" t="s">
        <v>75</v>
      </c>
      <c r="D350" s="41" t="s">
        <v>1315</v>
      </c>
      <c r="E350" s="47">
        <v>45455</v>
      </c>
      <c r="F350" s="56" t="s">
        <v>3</v>
      </c>
    </row>
    <row r="351" spans="1:6" ht="15" customHeight="1" x14ac:dyDescent="0.35">
      <c r="A351" s="56">
        <v>5849</v>
      </c>
      <c r="B351" s="41" t="s">
        <v>41</v>
      </c>
      <c r="C351" s="41" t="s">
        <v>75</v>
      </c>
      <c r="D351" s="41" t="s">
        <v>1316</v>
      </c>
      <c r="E351" s="47">
        <v>45455</v>
      </c>
      <c r="F351" s="56" t="s">
        <v>3</v>
      </c>
    </row>
    <row r="352" spans="1:6" ht="15" customHeight="1" x14ac:dyDescent="0.35">
      <c r="A352" s="56">
        <v>5850</v>
      </c>
      <c r="B352" s="41" t="s">
        <v>309</v>
      </c>
      <c r="C352" s="41" t="s">
        <v>487</v>
      </c>
      <c r="D352" s="41" t="s">
        <v>1317</v>
      </c>
      <c r="E352" s="47">
        <v>45456</v>
      </c>
      <c r="F352" s="56" t="s">
        <v>1</v>
      </c>
    </row>
    <row r="353" spans="1:6" ht="15" customHeight="1" x14ac:dyDescent="0.35">
      <c r="A353" s="56">
        <v>5851</v>
      </c>
      <c r="B353" s="41" t="s">
        <v>360</v>
      </c>
      <c r="C353" s="41" t="s">
        <v>1318</v>
      </c>
      <c r="D353" s="41" t="s">
        <v>1319</v>
      </c>
      <c r="E353" s="47">
        <v>45468</v>
      </c>
      <c r="F353" s="56" t="s">
        <v>1</v>
      </c>
    </row>
    <row r="354" spans="1:6" ht="15" customHeight="1" x14ac:dyDescent="0.35">
      <c r="A354" s="56">
        <v>5852</v>
      </c>
      <c r="B354" s="41" t="s">
        <v>1286</v>
      </c>
      <c r="C354" s="41" t="s">
        <v>1320</v>
      </c>
      <c r="D354" s="41"/>
      <c r="E354" s="47">
        <v>45477</v>
      </c>
      <c r="F354" s="56" t="s">
        <v>4</v>
      </c>
    </row>
    <row r="355" spans="1:6" ht="15" customHeight="1" x14ac:dyDescent="0.35">
      <c r="A355" s="56">
        <v>5853</v>
      </c>
      <c r="B355" s="41" t="s">
        <v>1175</v>
      </c>
      <c r="C355" s="41" t="s">
        <v>512</v>
      </c>
      <c r="D355" s="41" t="s">
        <v>1321</v>
      </c>
      <c r="E355" s="47">
        <v>45468</v>
      </c>
      <c r="F355" s="56" t="s">
        <v>1</v>
      </c>
    </row>
    <row r="356" spans="1:6" ht="15" customHeight="1" x14ac:dyDescent="0.35">
      <c r="A356" s="56">
        <v>5854</v>
      </c>
      <c r="B356" s="42" t="s">
        <v>41</v>
      </c>
      <c r="C356" s="42" t="s">
        <v>529</v>
      </c>
      <c r="D356" s="42" t="s">
        <v>1322</v>
      </c>
      <c r="E356" s="48">
        <v>45511.483449074076</v>
      </c>
      <c r="F356" s="56" t="s">
        <v>1</v>
      </c>
    </row>
    <row r="357" spans="1:6" ht="15" customHeight="1" x14ac:dyDescent="0.35">
      <c r="A357" s="56">
        <v>5855</v>
      </c>
      <c r="B357" s="41"/>
      <c r="C357" s="41"/>
      <c r="D357" s="41"/>
      <c r="E357" s="47"/>
      <c r="F357" s="56"/>
    </row>
    <row r="358" spans="1:6" ht="15" customHeight="1" x14ac:dyDescent="0.35">
      <c r="A358" s="56">
        <v>5856</v>
      </c>
      <c r="B358" s="41"/>
      <c r="C358" s="41"/>
      <c r="D358" s="41"/>
      <c r="E358" s="47"/>
      <c r="F358" s="56"/>
    </row>
    <row r="359" spans="1:6" ht="15" customHeight="1" x14ac:dyDescent="0.35">
      <c r="A359" s="56">
        <v>5857</v>
      </c>
      <c r="B359" s="41"/>
      <c r="C359" s="41"/>
      <c r="D359" s="41"/>
      <c r="E359" s="47"/>
      <c r="F359" s="56"/>
    </row>
    <row r="360" spans="1:6" ht="15" customHeight="1" x14ac:dyDescent="0.35">
      <c r="A360" s="56">
        <v>5858</v>
      </c>
      <c r="B360" s="41" t="s">
        <v>1276</v>
      </c>
      <c r="C360" s="41" t="s">
        <v>75</v>
      </c>
      <c r="D360" s="41" t="s">
        <v>1323</v>
      </c>
      <c r="E360" s="47">
        <v>45455</v>
      </c>
      <c r="F360" s="56" t="s">
        <v>3</v>
      </c>
    </row>
    <row r="361" spans="1:6" ht="15" customHeight="1" x14ac:dyDescent="0.35">
      <c r="A361" s="56">
        <v>5859</v>
      </c>
      <c r="B361" s="41" t="s">
        <v>1324</v>
      </c>
      <c r="C361" s="41" t="s">
        <v>440</v>
      </c>
      <c r="D361" s="41" t="s">
        <v>1325</v>
      </c>
      <c r="E361" s="47">
        <v>45565</v>
      </c>
      <c r="F361" s="56" t="s">
        <v>1</v>
      </c>
    </row>
    <row r="362" spans="1:6" ht="15" customHeight="1" x14ac:dyDescent="0.35">
      <c r="A362" s="56">
        <v>5860</v>
      </c>
      <c r="B362" s="41"/>
      <c r="C362" s="41"/>
      <c r="D362" s="41"/>
      <c r="E362" s="47"/>
      <c r="F362" s="56"/>
    </row>
    <row r="363" spans="1:6" ht="15" customHeight="1" x14ac:dyDescent="0.35">
      <c r="A363" s="56">
        <v>5861</v>
      </c>
      <c r="B363" s="41" t="s">
        <v>195</v>
      </c>
      <c r="C363" s="41" t="s">
        <v>1326</v>
      </c>
      <c r="D363" s="41" t="s">
        <v>1327</v>
      </c>
      <c r="E363" s="47">
        <v>45468</v>
      </c>
      <c r="F363" s="56" t="s">
        <v>1</v>
      </c>
    </row>
    <row r="364" spans="1:6" ht="15" customHeight="1" x14ac:dyDescent="0.35">
      <c r="A364" s="56">
        <v>5862</v>
      </c>
      <c r="B364" s="41" t="s">
        <v>1229</v>
      </c>
      <c r="C364" s="41" t="s">
        <v>200</v>
      </c>
      <c r="D364" s="41" t="s">
        <v>1328</v>
      </c>
      <c r="E364" s="47">
        <v>45468</v>
      </c>
      <c r="F364" s="56" t="s">
        <v>1</v>
      </c>
    </row>
    <row r="365" spans="1:6" ht="15" customHeight="1" x14ac:dyDescent="0.35">
      <c r="A365" s="56">
        <v>5863</v>
      </c>
      <c r="B365" s="41"/>
      <c r="C365" s="41"/>
      <c r="D365" s="41"/>
      <c r="E365" s="47"/>
      <c r="F365" s="56"/>
    </row>
    <row r="366" spans="1:6" ht="15" customHeight="1" x14ac:dyDescent="0.35">
      <c r="A366" s="56">
        <v>5864</v>
      </c>
      <c r="B366" s="41" t="s">
        <v>1099</v>
      </c>
      <c r="C366" s="41" t="s">
        <v>272</v>
      </c>
      <c r="D366" s="41" t="s">
        <v>1329</v>
      </c>
      <c r="E366" s="47">
        <v>45630</v>
      </c>
      <c r="F366" s="56" t="s">
        <v>2</v>
      </c>
    </row>
    <row r="367" spans="1:6" ht="15" customHeight="1" x14ac:dyDescent="0.35">
      <c r="A367" s="56">
        <v>5865</v>
      </c>
      <c r="B367" s="41" t="s">
        <v>1330</v>
      </c>
      <c r="C367" s="41" t="s">
        <v>1331</v>
      </c>
      <c r="D367" s="41" t="s">
        <v>1332</v>
      </c>
      <c r="E367" s="47">
        <v>45468</v>
      </c>
      <c r="F367" s="56"/>
    </row>
    <row r="368" spans="1:6" ht="15" customHeight="1" x14ac:dyDescent="0.35">
      <c r="A368" s="56">
        <v>5866</v>
      </c>
      <c r="B368" s="41" t="s">
        <v>1212</v>
      </c>
      <c r="C368" s="41" t="s">
        <v>1333</v>
      </c>
      <c r="D368" s="41" t="s">
        <v>121</v>
      </c>
      <c r="E368" s="47">
        <v>45477</v>
      </c>
      <c r="F368" s="56" t="s">
        <v>4</v>
      </c>
    </row>
    <row r="369" spans="1:6" ht="15" customHeight="1" x14ac:dyDescent="0.35">
      <c r="A369" s="56">
        <v>5867</v>
      </c>
      <c r="B369" s="41" t="s">
        <v>1212</v>
      </c>
      <c r="C369" s="41" t="s">
        <v>1333</v>
      </c>
      <c r="D369" s="41" t="s">
        <v>1334</v>
      </c>
      <c r="E369" s="47">
        <v>45484</v>
      </c>
      <c r="F369" s="56" t="s">
        <v>4</v>
      </c>
    </row>
    <row r="370" spans="1:6" ht="15" customHeight="1" x14ac:dyDescent="0.35">
      <c r="A370" s="56">
        <v>5868</v>
      </c>
      <c r="B370" s="41" t="s">
        <v>74</v>
      </c>
      <c r="C370" s="41" t="s">
        <v>179</v>
      </c>
      <c r="D370" s="41" t="s">
        <v>1335</v>
      </c>
      <c r="E370" s="47">
        <v>45468</v>
      </c>
      <c r="F370" s="56" t="s">
        <v>1</v>
      </c>
    </row>
    <row r="371" spans="1:6" ht="15" customHeight="1" x14ac:dyDescent="0.35">
      <c r="A371" s="56">
        <v>5869</v>
      </c>
      <c r="B371" s="41" t="s">
        <v>1026</v>
      </c>
      <c r="C371" s="41"/>
      <c r="D371" s="41"/>
      <c r="E371" s="47">
        <v>45511.470300925925</v>
      </c>
      <c r="F371" s="56" t="s">
        <v>1</v>
      </c>
    </row>
    <row r="372" spans="1:6" ht="15" customHeight="1" x14ac:dyDescent="0.35">
      <c r="A372" s="56">
        <v>5870</v>
      </c>
      <c r="B372" s="41" t="s">
        <v>333</v>
      </c>
      <c r="C372" s="41" t="s">
        <v>133</v>
      </c>
      <c r="D372" s="41"/>
      <c r="E372" s="47">
        <v>45477</v>
      </c>
      <c r="F372" s="56" t="s">
        <v>1</v>
      </c>
    </row>
    <row r="373" spans="1:6" ht="15" customHeight="1" x14ac:dyDescent="0.35">
      <c r="A373" s="56">
        <v>5871</v>
      </c>
      <c r="B373" s="41" t="s">
        <v>1217</v>
      </c>
      <c r="C373" s="41" t="s">
        <v>1336</v>
      </c>
      <c r="D373" s="41" t="s">
        <v>1264</v>
      </c>
      <c r="E373" s="47">
        <v>45477</v>
      </c>
      <c r="F373" s="56" t="s">
        <v>1</v>
      </c>
    </row>
    <row r="374" spans="1:6" ht="15" customHeight="1" x14ac:dyDescent="0.35">
      <c r="A374" s="56">
        <v>5872</v>
      </c>
      <c r="B374" s="41" t="s">
        <v>1324</v>
      </c>
      <c r="C374" s="41"/>
      <c r="D374" s="41" t="s">
        <v>952</v>
      </c>
      <c r="E374" s="47">
        <v>45477</v>
      </c>
      <c r="F374" s="56" t="s">
        <v>1</v>
      </c>
    </row>
    <row r="375" spans="1:6" ht="15" customHeight="1" x14ac:dyDescent="0.35">
      <c r="A375" s="56">
        <v>5873</v>
      </c>
      <c r="B375" s="41" t="s">
        <v>1337</v>
      </c>
      <c r="C375" s="41" t="s">
        <v>1194</v>
      </c>
      <c r="D375" s="41" t="s">
        <v>733</v>
      </c>
      <c r="E375" s="47">
        <v>45477</v>
      </c>
      <c r="F375" s="56" t="s">
        <v>1</v>
      </c>
    </row>
    <row r="376" spans="1:6" ht="15" customHeight="1" x14ac:dyDescent="0.35">
      <c r="A376" s="56">
        <v>5874</v>
      </c>
      <c r="B376" s="41" t="s">
        <v>333</v>
      </c>
      <c r="C376" s="41" t="s">
        <v>1167</v>
      </c>
      <c r="D376" s="41" t="s">
        <v>880</v>
      </c>
      <c r="E376" s="47">
        <v>45477</v>
      </c>
      <c r="F376" s="56" t="s">
        <v>1</v>
      </c>
    </row>
    <row r="377" spans="1:6" ht="15" customHeight="1" x14ac:dyDescent="0.35">
      <c r="A377" s="56">
        <v>5875</v>
      </c>
      <c r="B377" s="41" t="s">
        <v>333</v>
      </c>
      <c r="C377" s="41" t="s">
        <v>1164</v>
      </c>
      <c r="D377" s="41" t="s">
        <v>1338</v>
      </c>
      <c r="E377" s="47">
        <v>45477</v>
      </c>
      <c r="F377" s="56" t="s">
        <v>1</v>
      </c>
    </row>
    <row r="378" spans="1:6" ht="15" customHeight="1" x14ac:dyDescent="0.35">
      <c r="A378" s="56">
        <v>5876</v>
      </c>
      <c r="B378" s="41" t="s">
        <v>1339</v>
      </c>
      <c r="C378" s="41" t="s">
        <v>453</v>
      </c>
      <c r="D378" s="41" t="s">
        <v>1340</v>
      </c>
      <c r="E378" s="47">
        <v>45511.487118055556</v>
      </c>
      <c r="F378" s="56" t="s">
        <v>1</v>
      </c>
    </row>
    <row r="379" spans="1:6" ht="15" customHeight="1" x14ac:dyDescent="0.35">
      <c r="A379" s="56">
        <v>5877</v>
      </c>
      <c r="B379" s="41" t="s">
        <v>509</v>
      </c>
      <c r="C379" s="41" t="s">
        <v>26</v>
      </c>
      <c r="D379" s="41" t="s">
        <v>1341</v>
      </c>
      <c r="E379" s="47">
        <v>45502</v>
      </c>
      <c r="F379" s="56" t="s">
        <v>1</v>
      </c>
    </row>
    <row r="380" spans="1:6" ht="15" customHeight="1" x14ac:dyDescent="0.35">
      <c r="A380" s="56">
        <v>5878</v>
      </c>
      <c r="B380" s="41"/>
      <c r="C380" s="41"/>
      <c r="D380" s="41"/>
      <c r="E380" s="47"/>
      <c r="F380" s="56"/>
    </row>
    <row r="381" spans="1:6" ht="15" customHeight="1" x14ac:dyDescent="0.35">
      <c r="A381" s="56">
        <v>5879</v>
      </c>
      <c r="B381" s="41"/>
      <c r="C381" s="41"/>
      <c r="D381" s="41"/>
      <c r="E381" s="47"/>
      <c r="F381" s="56"/>
    </row>
    <row r="382" spans="1:6" ht="15" customHeight="1" x14ac:dyDescent="0.35">
      <c r="A382" s="56">
        <v>5880</v>
      </c>
      <c r="B382" s="41" t="s">
        <v>1342</v>
      </c>
      <c r="C382" s="41" t="s">
        <v>1343</v>
      </c>
      <c r="D382" s="41" t="s">
        <v>121</v>
      </c>
      <c r="E382" s="47">
        <v>45502</v>
      </c>
      <c r="F382" s="56" t="s">
        <v>4</v>
      </c>
    </row>
    <row r="383" spans="1:6" ht="15" customHeight="1" x14ac:dyDescent="0.35">
      <c r="A383" s="56">
        <v>5881</v>
      </c>
      <c r="B383" s="41" t="s">
        <v>1298</v>
      </c>
      <c r="C383" s="41" t="s">
        <v>1320</v>
      </c>
      <c r="D383" s="41" t="s">
        <v>1344</v>
      </c>
      <c r="E383" s="47">
        <v>45498</v>
      </c>
      <c r="F383" s="56" t="s">
        <v>1</v>
      </c>
    </row>
    <row r="384" spans="1:6" ht="15" customHeight="1" x14ac:dyDescent="0.35">
      <c r="A384" s="56">
        <v>5882</v>
      </c>
      <c r="B384" s="41"/>
      <c r="C384" s="41"/>
      <c r="D384" s="41"/>
      <c r="E384" s="47"/>
      <c r="F384" s="56"/>
    </row>
    <row r="385" spans="1:6" ht="15" customHeight="1" x14ac:dyDescent="0.35">
      <c r="A385" s="56">
        <v>5883</v>
      </c>
      <c r="B385" s="41"/>
      <c r="C385" s="41"/>
      <c r="D385" s="41"/>
      <c r="E385" s="47"/>
      <c r="F385" s="56"/>
    </row>
    <row r="386" spans="1:6" ht="15" customHeight="1" x14ac:dyDescent="0.35">
      <c r="A386" s="56">
        <v>5884</v>
      </c>
      <c r="B386" s="41"/>
      <c r="C386" s="41"/>
      <c r="D386" s="41"/>
      <c r="E386" s="47"/>
      <c r="F386" s="56"/>
    </row>
    <row r="387" spans="1:6" ht="15" customHeight="1" x14ac:dyDescent="0.35">
      <c r="A387" s="56">
        <v>5885</v>
      </c>
      <c r="B387" s="41" t="s">
        <v>1247</v>
      </c>
      <c r="C387" s="41" t="s">
        <v>1345</v>
      </c>
      <c r="D387" s="41" t="s">
        <v>1346</v>
      </c>
      <c r="E387" s="47">
        <v>45477</v>
      </c>
      <c r="F387" s="56" t="s">
        <v>1</v>
      </c>
    </row>
    <row r="388" spans="1:6" ht="15" customHeight="1" x14ac:dyDescent="0.35">
      <c r="A388" s="56">
        <v>5886</v>
      </c>
      <c r="B388" s="41" t="s">
        <v>195</v>
      </c>
      <c r="C388" s="41" t="s">
        <v>227</v>
      </c>
      <c r="D388" s="41" t="s">
        <v>1347</v>
      </c>
      <c r="E388" s="47">
        <v>45504</v>
      </c>
      <c r="F388" s="56" t="s">
        <v>1</v>
      </c>
    </row>
    <row r="389" spans="1:6" ht="15" customHeight="1" x14ac:dyDescent="0.35">
      <c r="A389" s="56">
        <v>5887</v>
      </c>
      <c r="B389" s="41" t="s">
        <v>1348</v>
      </c>
      <c r="C389" s="41" t="s">
        <v>1349</v>
      </c>
      <c r="D389" s="41" t="s">
        <v>1350</v>
      </c>
      <c r="E389" s="47">
        <v>45502</v>
      </c>
      <c r="F389" s="56" t="s">
        <v>1</v>
      </c>
    </row>
    <row r="390" spans="1:6" ht="15" customHeight="1" x14ac:dyDescent="0.35">
      <c r="A390" s="56">
        <v>5888</v>
      </c>
      <c r="B390" s="41"/>
      <c r="C390" s="41"/>
      <c r="D390" s="41"/>
      <c r="E390" s="47"/>
      <c r="F390" s="56"/>
    </row>
    <row r="391" spans="1:6" ht="15" customHeight="1" x14ac:dyDescent="0.35">
      <c r="A391" s="56">
        <v>5889</v>
      </c>
      <c r="B391" s="41"/>
      <c r="C391" s="41"/>
      <c r="D391" s="41"/>
      <c r="E391" s="47"/>
      <c r="F391" s="56"/>
    </row>
    <row r="392" spans="1:6" ht="15" customHeight="1" x14ac:dyDescent="0.35">
      <c r="A392" s="56">
        <v>5890</v>
      </c>
      <c r="B392" s="41" t="s">
        <v>1257</v>
      </c>
      <c r="C392" s="41" t="s">
        <v>763</v>
      </c>
      <c r="D392" s="41" t="s">
        <v>145</v>
      </c>
      <c r="E392" s="47">
        <v>45499</v>
      </c>
      <c r="F392" s="56" t="s">
        <v>1</v>
      </c>
    </row>
    <row r="393" spans="1:6" ht="15" customHeight="1" x14ac:dyDescent="0.35">
      <c r="A393" s="56">
        <v>5891</v>
      </c>
      <c r="B393" s="41"/>
      <c r="C393" s="41"/>
      <c r="D393" s="41"/>
      <c r="E393" s="47"/>
      <c r="F393" s="56"/>
    </row>
    <row r="394" spans="1:6" ht="15" customHeight="1" x14ac:dyDescent="0.35">
      <c r="A394" s="56">
        <v>5892</v>
      </c>
      <c r="B394" s="41"/>
      <c r="C394" s="41"/>
      <c r="D394" s="41"/>
      <c r="E394" s="47"/>
      <c r="F394" s="56"/>
    </row>
    <row r="395" spans="1:6" ht="15" customHeight="1" x14ac:dyDescent="0.35">
      <c r="A395" s="56">
        <v>5893</v>
      </c>
      <c r="B395" s="41"/>
      <c r="C395" s="41"/>
      <c r="D395" s="41"/>
      <c r="E395" s="47"/>
      <c r="F395" s="56"/>
    </row>
    <row r="396" spans="1:6" ht="15" customHeight="1" x14ac:dyDescent="0.35">
      <c r="A396" s="56">
        <v>5894</v>
      </c>
      <c r="B396" s="41" t="s">
        <v>1351</v>
      </c>
      <c r="C396" s="41"/>
      <c r="D396" s="41" t="s">
        <v>283</v>
      </c>
      <c r="E396" s="47">
        <v>45504</v>
      </c>
      <c r="F396" s="56" t="s">
        <v>1</v>
      </c>
    </row>
    <row r="397" spans="1:6" ht="15" customHeight="1" x14ac:dyDescent="0.35">
      <c r="A397" s="56">
        <v>5895</v>
      </c>
      <c r="B397" s="41" t="s">
        <v>1352</v>
      </c>
      <c r="C397" s="41" t="s">
        <v>1353</v>
      </c>
      <c r="D397" s="41" t="s">
        <v>1354</v>
      </c>
      <c r="E397" s="47">
        <v>45565</v>
      </c>
      <c r="F397" s="56" t="s">
        <v>1</v>
      </c>
    </row>
    <row r="398" spans="1:6" ht="15" customHeight="1" x14ac:dyDescent="0.35">
      <c r="A398" s="56">
        <v>5896</v>
      </c>
      <c r="B398" s="41" t="s">
        <v>1234</v>
      </c>
      <c r="C398" s="41" t="s">
        <v>1355</v>
      </c>
      <c r="D398" s="41" t="s">
        <v>27</v>
      </c>
      <c r="E398" s="47">
        <v>45504</v>
      </c>
      <c r="F398" s="56" t="s">
        <v>1</v>
      </c>
    </row>
    <row r="399" spans="1:6" ht="15" customHeight="1" x14ac:dyDescent="0.35">
      <c r="A399" s="56">
        <v>5897</v>
      </c>
      <c r="B399" s="41" t="s">
        <v>1356</v>
      </c>
      <c r="C399" s="41" t="s">
        <v>140</v>
      </c>
      <c r="D399" s="41" t="s">
        <v>1357</v>
      </c>
      <c r="E399" s="47">
        <v>45502</v>
      </c>
      <c r="F399" s="56" t="s">
        <v>1</v>
      </c>
    </row>
    <row r="400" spans="1:6" ht="15" customHeight="1" x14ac:dyDescent="0.35">
      <c r="A400" s="56">
        <v>5898</v>
      </c>
      <c r="B400" s="41"/>
      <c r="C400" s="41"/>
      <c r="D400" s="41"/>
      <c r="E400" s="47"/>
      <c r="F400" s="56"/>
    </row>
    <row r="401" spans="1:6" ht="15" customHeight="1" x14ac:dyDescent="0.35">
      <c r="A401" s="56">
        <v>5899</v>
      </c>
      <c r="B401" s="41" t="s">
        <v>1175</v>
      </c>
      <c r="C401" s="41"/>
      <c r="D401" s="41" t="s">
        <v>554</v>
      </c>
      <c r="E401" s="47">
        <v>45504</v>
      </c>
      <c r="F401" s="56" t="s">
        <v>1</v>
      </c>
    </row>
    <row r="402" spans="1:6" ht="15" customHeight="1" x14ac:dyDescent="0.35">
      <c r="A402" s="56">
        <v>5900</v>
      </c>
      <c r="B402" s="41" t="s">
        <v>1324</v>
      </c>
      <c r="C402" s="41" t="s">
        <v>1358</v>
      </c>
      <c r="D402" s="41"/>
      <c r="E402" s="47">
        <v>45497</v>
      </c>
      <c r="F402" s="56" t="s">
        <v>1</v>
      </c>
    </row>
    <row r="403" spans="1:6" ht="15" customHeight="1" x14ac:dyDescent="0.35">
      <c r="A403" s="56">
        <v>5901</v>
      </c>
      <c r="B403" s="41" t="s">
        <v>1263</v>
      </c>
      <c r="C403" s="41"/>
      <c r="D403" s="41"/>
      <c r="E403" s="47">
        <v>45502</v>
      </c>
      <c r="F403" s="56" t="s">
        <v>1</v>
      </c>
    </row>
    <row r="404" spans="1:6" ht="15" customHeight="1" x14ac:dyDescent="0.35">
      <c r="A404" s="56">
        <v>5902</v>
      </c>
      <c r="B404" s="41" t="s">
        <v>1359</v>
      </c>
      <c r="C404" s="41"/>
      <c r="D404" s="41" t="s">
        <v>1360</v>
      </c>
      <c r="E404" s="47">
        <v>45504</v>
      </c>
      <c r="F404" s="56" t="s">
        <v>1</v>
      </c>
    </row>
    <row r="405" spans="1:6" ht="15" customHeight="1" x14ac:dyDescent="0.35">
      <c r="A405" s="56">
        <v>5903</v>
      </c>
      <c r="B405" s="41" t="s">
        <v>1361</v>
      </c>
      <c r="C405" s="41" t="s">
        <v>1226</v>
      </c>
      <c r="D405" s="41"/>
      <c r="E405" s="47">
        <v>45504</v>
      </c>
      <c r="F405" s="56" t="s">
        <v>1</v>
      </c>
    </row>
    <row r="406" spans="1:6" ht="15" customHeight="1" x14ac:dyDescent="0.35">
      <c r="A406" s="56">
        <v>5904</v>
      </c>
      <c r="B406" s="41" t="s">
        <v>191</v>
      </c>
      <c r="C406" s="41"/>
      <c r="D406" s="41" t="s">
        <v>1362</v>
      </c>
      <c r="E406" s="47">
        <v>45502</v>
      </c>
      <c r="F406" s="56" t="s">
        <v>1</v>
      </c>
    </row>
    <row r="407" spans="1:6" ht="15" customHeight="1" x14ac:dyDescent="0.35">
      <c r="A407" s="56">
        <v>5905</v>
      </c>
      <c r="B407" s="41" t="s">
        <v>591</v>
      </c>
      <c r="C407" s="41" t="s">
        <v>1363</v>
      </c>
      <c r="D407" s="41" t="s">
        <v>145</v>
      </c>
      <c r="E407" s="47">
        <v>45502</v>
      </c>
      <c r="F407" s="56" t="s">
        <v>1</v>
      </c>
    </row>
    <row r="408" spans="1:6" ht="15" customHeight="1" x14ac:dyDescent="0.35">
      <c r="A408" s="56">
        <v>5906</v>
      </c>
      <c r="B408" s="41"/>
      <c r="C408" s="41"/>
      <c r="D408" s="41"/>
      <c r="E408" s="47"/>
      <c r="F408" s="56" t="s">
        <v>10</v>
      </c>
    </row>
    <row r="409" spans="1:6" ht="15" customHeight="1" x14ac:dyDescent="0.35">
      <c r="A409" s="56">
        <v>5907</v>
      </c>
      <c r="B409" s="41" t="s">
        <v>1364</v>
      </c>
      <c r="C409" s="41" t="s">
        <v>1365</v>
      </c>
      <c r="D409" s="41" t="s">
        <v>1366</v>
      </c>
      <c r="E409" s="47">
        <v>45511.517453703702</v>
      </c>
      <c r="F409" s="56" t="s">
        <v>1</v>
      </c>
    </row>
    <row r="410" spans="1:6" ht="15" customHeight="1" x14ac:dyDescent="0.35">
      <c r="A410" s="56">
        <v>5908</v>
      </c>
      <c r="B410" s="41" t="s">
        <v>1298</v>
      </c>
      <c r="C410" s="41" t="s">
        <v>1320</v>
      </c>
      <c r="D410" s="41"/>
      <c r="E410" s="47">
        <v>45502</v>
      </c>
      <c r="F410" s="56" t="s">
        <v>1</v>
      </c>
    </row>
    <row r="411" spans="1:6" ht="15" customHeight="1" x14ac:dyDescent="0.35">
      <c r="A411" s="56">
        <v>5909</v>
      </c>
      <c r="B411" s="41" t="s">
        <v>1189</v>
      </c>
      <c r="C411" s="41"/>
      <c r="D411" s="41" t="s">
        <v>1367</v>
      </c>
      <c r="E411" s="47">
        <v>45504</v>
      </c>
      <c r="F411" s="56" t="s">
        <v>1</v>
      </c>
    </row>
    <row r="412" spans="1:6" ht="15" customHeight="1" x14ac:dyDescent="0.35">
      <c r="A412" s="56">
        <v>5910</v>
      </c>
      <c r="B412" s="41" t="s">
        <v>2806</v>
      </c>
      <c r="C412" s="41" t="s">
        <v>1331</v>
      </c>
      <c r="D412" s="41" t="s">
        <v>580</v>
      </c>
      <c r="E412" s="47">
        <v>45905</v>
      </c>
      <c r="F412" s="56" t="s">
        <v>1</v>
      </c>
    </row>
    <row r="413" spans="1:6" ht="15" customHeight="1" x14ac:dyDescent="0.35">
      <c r="A413" s="56">
        <v>5911</v>
      </c>
      <c r="B413" s="41" t="s">
        <v>1298</v>
      </c>
      <c r="C413" s="41" t="s">
        <v>1282</v>
      </c>
      <c r="D413" s="41" t="s">
        <v>1368</v>
      </c>
      <c r="E413" s="47">
        <v>45541</v>
      </c>
      <c r="F413" s="56" t="s">
        <v>1</v>
      </c>
    </row>
    <row r="414" spans="1:6" ht="15" customHeight="1" x14ac:dyDescent="0.35">
      <c r="A414" s="56">
        <v>5912</v>
      </c>
      <c r="B414" s="41" t="s">
        <v>274</v>
      </c>
      <c r="C414" s="41" t="s">
        <v>1369</v>
      </c>
      <c r="D414" s="41" t="s">
        <v>1370</v>
      </c>
      <c r="E414" s="47">
        <v>45504</v>
      </c>
      <c r="F414" s="56" t="s">
        <v>1</v>
      </c>
    </row>
    <row r="415" spans="1:6" ht="15" customHeight="1" x14ac:dyDescent="0.35">
      <c r="A415" s="56">
        <v>5913</v>
      </c>
      <c r="B415" s="41" t="s">
        <v>1117</v>
      </c>
      <c r="C415" s="41" t="s">
        <v>1177</v>
      </c>
      <c r="D415" s="41" t="s">
        <v>1072</v>
      </c>
      <c r="E415" s="47">
        <v>45551</v>
      </c>
      <c r="F415" s="56" t="s">
        <v>1</v>
      </c>
    </row>
    <row r="416" spans="1:6" ht="15" customHeight="1" x14ac:dyDescent="0.35">
      <c r="A416" s="56">
        <v>5914</v>
      </c>
      <c r="B416" s="41"/>
      <c r="C416" s="41"/>
      <c r="D416" s="41"/>
      <c r="E416" s="47"/>
      <c r="F416" s="56"/>
    </row>
    <row r="417" spans="1:6" ht="15" customHeight="1" x14ac:dyDescent="0.35">
      <c r="A417" s="56">
        <v>5915</v>
      </c>
      <c r="B417" s="41"/>
      <c r="C417" s="41"/>
      <c r="D417" s="41"/>
      <c r="E417" s="47"/>
      <c r="F417" s="56" t="s">
        <v>10</v>
      </c>
    </row>
    <row r="418" spans="1:6" ht="15" customHeight="1" x14ac:dyDescent="0.35">
      <c r="A418" s="56">
        <v>5916</v>
      </c>
      <c r="B418" s="41" t="s">
        <v>220</v>
      </c>
      <c r="C418" s="41" t="s">
        <v>1371</v>
      </c>
      <c r="D418" s="41" t="s">
        <v>1372</v>
      </c>
      <c r="E418" s="47">
        <v>45538.589814814812</v>
      </c>
      <c r="F418" s="56" t="s">
        <v>1</v>
      </c>
    </row>
    <row r="419" spans="1:6" ht="15" customHeight="1" x14ac:dyDescent="0.35">
      <c r="A419" s="56">
        <v>5917</v>
      </c>
      <c r="B419" s="41" t="s">
        <v>220</v>
      </c>
      <c r="C419" s="41" t="s">
        <v>1371</v>
      </c>
      <c r="D419" s="41" t="s">
        <v>1372</v>
      </c>
      <c r="E419" s="47">
        <v>45538.590451388889</v>
      </c>
      <c r="F419" s="56" t="s">
        <v>1</v>
      </c>
    </row>
    <row r="420" spans="1:6" ht="15" customHeight="1" x14ac:dyDescent="0.35">
      <c r="A420" s="56">
        <v>5918</v>
      </c>
      <c r="B420" s="41" t="s">
        <v>1212</v>
      </c>
      <c r="C420" s="41" t="s">
        <v>161</v>
      </c>
      <c r="D420" s="41" t="s">
        <v>1373</v>
      </c>
      <c r="E420" s="47">
        <v>45538</v>
      </c>
      <c r="F420" s="56" t="s">
        <v>2</v>
      </c>
    </row>
    <row r="421" spans="1:6" ht="15" customHeight="1" x14ac:dyDescent="0.35">
      <c r="A421" s="56">
        <v>5919</v>
      </c>
      <c r="B421" s="57" t="s">
        <v>1071</v>
      </c>
      <c r="C421" s="41" t="s">
        <v>1206</v>
      </c>
      <c r="D421" s="41" t="s">
        <v>104</v>
      </c>
      <c r="E421" s="47">
        <v>45565</v>
      </c>
      <c r="F421" s="56" t="s">
        <v>1</v>
      </c>
    </row>
    <row r="422" spans="1:6" ht="15" customHeight="1" x14ac:dyDescent="0.35">
      <c r="A422" s="56">
        <v>5920</v>
      </c>
      <c r="B422" s="41" t="s">
        <v>1374</v>
      </c>
      <c r="C422" s="41" t="s">
        <v>1375</v>
      </c>
      <c r="D422" s="41" t="s">
        <v>145</v>
      </c>
      <c r="E422" s="47">
        <v>45541.346400462964</v>
      </c>
      <c r="F422" s="56" t="s">
        <v>1</v>
      </c>
    </row>
    <row r="423" spans="1:6" ht="15" customHeight="1" x14ac:dyDescent="0.35">
      <c r="A423" s="56">
        <v>5921</v>
      </c>
      <c r="B423" s="41" t="s">
        <v>1376</v>
      </c>
      <c r="C423" s="41" t="s">
        <v>252</v>
      </c>
      <c r="D423" s="41" t="s">
        <v>1377</v>
      </c>
      <c r="E423" s="47">
        <v>45541</v>
      </c>
      <c r="F423" s="56" t="s">
        <v>1</v>
      </c>
    </row>
    <row r="424" spans="1:6" ht="15" customHeight="1" x14ac:dyDescent="0.35">
      <c r="A424" s="56">
        <v>5922</v>
      </c>
      <c r="B424" s="41"/>
      <c r="C424" s="41"/>
      <c r="D424" s="41"/>
      <c r="E424" s="47"/>
      <c r="F424" s="56"/>
    </row>
    <row r="425" spans="1:6" ht="15" customHeight="1" x14ac:dyDescent="0.35">
      <c r="A425" s="56">
        <v>5923</v>
      </c>
      <c r="B425" s="41"/>
      <c r="C425" s="41"/>
      <c r="D425" s="41"/>
      <c r="E425" s="47"/>
      <c r="F425" s="56"/>
    </row>
    <row r="426" spans="1:6" ht="15" customHeight="1" x14ac:dyDescent="0.35">
      <c r="A426" s="56">
        <v>5924</v>
      </c>
      <c r="B426" s="41" t="s">
        <v>1339</v>
      </c>
      <c r="C426" s="41" t="s">
        <v>453</v>
      </c>
      <c r="D426" s="41" t="s">
        <v>1378</v>
      </c>
      <c r="E426" s="47">
        <v>45511.495648148149</v>
      </c>
      <c r="F426" s="56" t="s">
        <v>1</v>
      </c>
    </row>
    <row r="427" spans="1:6" ht="15" customHeight="1" x14ac:dyDescent="0.35">
      <c r="A427" s="56">
        <v>5925</v>
      </c>
      <c r="B427" s="41" t="s">
        <v>220</v>
      </c>
      <c r="C427" s="41" t="s">
        <v>1379</v>
      </c>
      <c r="D427" s="41" t="s">
        <v>1372</v>
      </c>
      <c r="E427" s="47">
        <v>45538.66097222222</v>
      </c>
      <c r="F427" s="56" t="s">
        <v>1</v>
      </c>
    </row>
    <row r="428" spans="1:6" ht="15" customHeight="1" x14ac:dyDescent="0.35">
      <c r="A428" s="56">
        <v>5926</v>
      </c>
      <c r="B428" s="41"/>
      <c r="C428" s="41"/>
      <c r="D428" s="41"/>
      <c r="E428" s="47"/>
      <c r="F428" s="56"/>
    </row>
    <row r="429" spans="1:6" ht="15" customHeight="1" x14ac:dyDescent="0.35">
      <c r="A429" s="56">
        <v>5927</v>
      </c>
      <c r="B429" s="41"/>
      <c r="C429" s="41"/>
      <c r="D429" s="41"/>
      <c r="E429" s="47"/>
      <c r="F429" s="56"/>
    </row>
    <row r="430" spans="1:6" ht="15" customHeight="1" x14ac:dyDescent="0.35">
      <c r="A430" s="56">
        <v>5928</v>
      </c>
      <c r="B430" s="41" t="s">
        <v>1380</v>
      </c>
      <c r="C430" s="41" t="s">
        <v>677</v>
      </c>
      <c r="D430" s="41" t="s">
        <v>1381</v>
      </c>
      <c r="E430" s="47">
        <v>45511.632638888892</v>
      </c>
      <c r="F430" s="56" t="s">
        <v>1</v>
      </c>
    </row>
    <row r="431" spans="1:6" ht="15" customHeight="1" x14ac:dyDescent="0.35">
      <c r="A431" s="56">
        <v>5929</v>
      </c>
      <c r="B431" s="41" t="s">
        <v>205</v>
      </c>
      <c r="C431" s="41" t="s">
        <v>924</v>
      </c>
      <c r="D431" s="41" t="s">
        <v>159</v>
      </c>
      <c r="E431" s="47">
        <v>45511.632013888891</v>
      </c>
      <c r="F431" s="56" t="s">
        <v>1</v>
      </c>
    </row>
    <row r="432" spans="1:6" ht="15" customHeight="1" x14ac:dyDescent="0.35">
      <c r="A432" s="56">
        <v>5930</v>
      </c>
      <c r="B432" s="41" t="s">
        <v>1339</v>
      </c>
      <c r="C432" s="41" t="s">
        <v>453</v>
      </c>
      <c r="D432" s="41" t="s">
        <v>1382</v>
      </c>
      <c r="E432" s="47">
        <v>45541</v>
      </c>
      <c r="F432" s="56" t="s">
        <v>1</v>
      </c>
    </row>
    <row r="433" spans="1:6" ht="15" customHeight="1" x14ac:dyDescent="0.35">
      <c r="A433" s="56">
        <v>5931</v>
      </c>
      <c r="B433" s="41" t="s">
        <v>1166</v>
      </c>
      <c r="C433" s="41" t="s">
        <v>94</v>
      </c>
      <c r="D433" s="41" t="s">
        <v>1383</v>
      </c>
      <c r="E433" s="47">
        <v>45551</v>
      </c>
      <c r="F433" s="56" t="s">
        <v>1</v>
      </c>
    </row>
    <row r="434" spans="1:6" ht="15" customHeight="1" x14ac:dyDescent="0.35">
      <c r="A434" s="56">
        <v>5932</v>
      </c>
      <c r="B434" s="41"/>
      <c r="C434" s="41"/>
      <c r="D434" s="41"/>
      <c r="E434" s="47"/>
      <c r="F434" s="56"/>
    </row>
    <row r="435" spans="1:6" ht="15" customHeight="1" x14ac:dyDescent="0.35">
      <c r="A435" s="56">
        <v>5933</v>
      </c>
      <c r="B435" s="41"/>
      <c r="C435" s="41"/>
      <c r="D435" s="41"/>
      <c r="E435" s="47"/>
      <c r="F435" s="56"/>
    </row>
    <row r="436" spans="1:6" ht="15" customHeight="1" x14ac:dyDescent="0.35">
      <c r="A436" s="56">
        <v>5934</v>
      </c>
      <c r="B436" s="41" t="s">
        <v>1380</v>
      </c>
      <c r="C436" s="41" t="s">
        <v>677</v>
      </c>
      <c r="D436" s="41" t="s">
        <v>998</v>
      </c>
      <c r="E436" s="47">
        <v>45511</v>
      </c>
      <c r="F436" s="56" t="s">
        <v>9</v>
      </c>
    </row>
    <row r="437" spans="1:6" ht="15" customHeight="1" x14ac:dyDescent="0.35">
      <c r="A437" s="56">
        <v>5935</v>
      </c>
      <c r="B437" s="41" t="s">
        <v>1117</v>
      </c>
      <c r="C437" s="41" t="s">
        <v>1384</v>
      </c>
      <c r="D437" s="41" t="s">
        <v>415</v>
      </c>
      <c r="E437" s="47">
        <v>45551</v>
      </c>
      <c r="F437" s="56" t="s">
        <v>1</v>
      </c>
    </row>
    <row r="438" spans="1:6" ht="15" customHeight="1" x14ac:dyDescent="0.35">
      <c r="A438" s="56">
        <v>5936</v>
      </c>
      <c r="B438" s="41" t="s">
        <v>41</v>
      </c>
      <c r="C438" s="41" t="s">
        <v>240</v>
      </c>
      <c r="D438" s="41" t="s">
        <v>1385</v>
      </c>
      <c r="E438" s="47">
        <v>45565</v>
      </c>
      <c r="F438" s="56" t="s">
        <v>4</v>
      </c>
    </row>
    <row r="439" spans="1:6" ht="15" customHeight="1" x14ac:dyDescent="0.35">
      <c r="A439" s="56">
        <v>5937</v>
      </c>
      <c r="B439" s="41" t="s">
        <v>160</v>
      </c>
      <c r="C439" s="41" t="s">
        <v>161</v>
      </c>
      <c r="D439" s="41" t="s">
        <v>1386</v>
      </c>
      <c r="E439" s="47">
        <v>45541.347800925927</v>
      </c>
      <c r="F439" s="56" t="s">
        <v>1</v>
      </c>
    </row>
    <row r="440" spans="1:6" ht="15" customHeight="1" x14ac:dyDescent="0.35">
      <c r="A440" s="56">
        <v>5938</v>
      </c>
      <c r="B440" s="41"/>
      <c r="C440" s="41"/>
      <c r="D440" s="41"/>
      <c r="E440" s="47"/>
      <c r="F440" s="56"/>
    </row>
    <row r="441" spans="1:6" ht="15" customHeight="1" x14ac:dyDescent="0.35">
      <c r="A441" s="56">
        <v>5939</v>
      </c>
      <c r="B441" s="41" t="s">
        <v>1387</v>
      </c>
      <c r="C441" s="41" t="s">
        <v>1388</v>
      </c>
      <c r="D441" s="41" t="s">
        <v>1389</v>
      </c>
      <c r="E441" s="47">
        <v>45565</v>
      </c>
      <c r="F441" s="56" t="s">
        <v>1</v>
      </c>
    </row>
    <row r="442" spans="1:6" ht="15" customHeight="1" x14ac:dyDescent="0.35">
      <c r="A442" s="56">
        <v>5940</v>
      </c>
      <c r="B442" s="41" t="s">
        <v>1212</v>
      </c>
      <c r="C442" s="41" t="s">
        <v>161</v>
      </c>
      <c r="D442" s="41" t="s">
        <v>1390</v>
      </c>
      <c r="E442" s="47">
        <v>45629</v>
      </c>
      <c r="F442" s="56" t="s">
        <v>5</v>
      </c>
    </row>
    <row r="443" spans="1:6" ht="15" customHeight="1" x14ac:dyDescent="0.35">
      <c r="A443" s="56">
        <v>5941</v>
      </c>
      <c r="B443" s="41" t="s">
        <v>1240</v>
      </c>
      <c r="C443" s="41" t="s">
        <v>1391</v>
      </c>
      <c r="D443" s="41"/>
      <c r="E443" s="47">
        <v>45551</v>
      </c>
      <c r="F443" s="56" t="s">
        <v>1</v>
      </c>
    </row>
    <row r="444" spans="1:6" ht="15" customHeight="1" x14ac:dyDescent="0.35">
      <c r="A444" s="56">
        <v>5942</v>
      </c>
      <c r="B444" s="41" t="s">
        <v>333</v>
      </c>
      <c r="C444" s="41" t="s">
        <v>1167</v>
      </c>
      <c r="D444" s="41" t="s">
        <v>1151</v>
      </c>
      <c r="E444" s="47">
        <v>45721</v>
      </c>
      <c r="F444" s="56" t="s">
        <v>1</v>
      </c>
    </row>
    <row r="445" spans="1:6" ht="15" customHeight="1" x14ac:dyDescent="0.35">
      <c r="A445" s="56">
        <v>5943</v>
      </c>
      <c r="B445" s="41" t="s">
        <v>591</v>
      </c>
      <c r="C445" s="41" t="s">
        <v>200</v>
      </c>
      <c r="D445" s="41" t="s">
        <v>207</v>
      </c>
      <c r="E445" s="47">
        <v>45930</v>
      </c>
      <c r="F445" s="56" t="s">
        <v>4</v>
      </c>
    </row>
    <row r="446" spans="1:6" ht="15" customHeight="1" x14ac:dyDescent="0.35">
      <c r="A446" s="56">
        <v>5944</v>
      </c>
      <c r="B446" s="41" t="s">
        <v>509</v>
      </c>
      <c r="C446" s="41" t="s">
        <v>1392</v>
      </c>
      <c r="D446" s="41" t="s">
        <v>670</v>
      </c>
      <c r="E446" s="47">
        <v>45558</v>
      </c>
      <c r="F446" s="56" t="s">
        <v>1</v>
      </c>
    </row>
    <row r="447" spans="1:6" ht="15" customHeight="1" x14ac:dyDescent="0.35">
      <c r="A447" s="56">
        <v>5945</v>
      </c>
      <c r="B447" s="41" t="s">
        <v>1234</v>
      </c>
      <c r="C447" s="41" t="s">
        <v>1393</v>
      </c>
      <c r="D447" s="41" t="s">
        <v>186</v>
      </c>
      <c r="E447" s="47">
        <v>45541</v>
      </c>
      <c r="F447" s="56" t="s">
        <v>1</v>
      </c>
    </row>
    <row r="448" spans="1:6" ht="15" customHeight="1" x14ac:dyDescent="0.35">
      <c r="A448" s="56">
        <v>5946</v>
      </c>
      <c r="B448" s="41" t="s">
        <v>83</v>
      </c>
      <c r="C448" s="41" t="s">
        <v>84</v>
      </c>
      <c r="D448" s="41" t="s">
        <v>1394</v>
      </c>
      <c r="E448" s="47">
        <v>45551</v>
      </c>
      <c r="F448" s="56" t="s">
        <v>1</v>
      </c>
    </row>
    <row r="449" spans="1:6" ht="15" customHeight="1" x14ac:dyDescent="0.35">
      <c r="A449" s="56">
        <v>5947</v>
      </c>
      <c r="B449" s="41" t="s">
        <v>1395</v>
      </c>
      <c r="C449" s="41" t="s">
        <v>1396</v>
      </c>
      <c r="D449" s="41" t="s">
        <v>1397</v>
      </c>
      <c r="E449" s="47">
        <v>45459</v>
      </c>
      <c r="F449" s="56" t="s">
        <v>1</v>
      </c>
    </row>
    <row r="450" spans="1:6" ht="15" customHeight="1" x14ac:dyDescent="0.35">
      <c r="A450" s="56">
        <v>5948</v>
      </c>
      <c r="B450" s="41" t="s">
        <v>41</v>
      </c>
      <c r="C450" s="41" t="s">
        <v>1107</v>
      </c>
      <c r="D450" s="41" t="s">
        <v>1398</v>
      </c>
      <c r="E450" s="47">
        <v>45611</v>
      </c>
      <c r="F450" s="56" t="s">
        <v>4</v>
      </c>
    </row>
    <row r="451" spans="1:6" ht="15" customHeight="1" x14ac:dyDescent="0.35">
      <c r="A451" s="56">
        <v>5949</v>
      </c>
      <c r="B451" s="41" t="s">
        <v>1399</v>
      </c>
      <c r="C451" s="41" t="s">
        <v>1400</v>
      </c>
      <c r="D451" s="41" t="s">
        <v>1401</v>
      </c>
      <c r="E451" s="47">
        <v>45565</v>
      </c>
      <c r="F451" s="56" t="s">
        <v>1</v>
      </c>
    </row>
    <row r="452" spans="1:6" ht="15" customHeight="1" x14ac:dyDescent="0.35">
      <c r="A452" s="56">
        <v>5950</v>
      </c>
      <c r="B452" s="41" t="s">
        <v>1166</v>
      </c>
      <c r="C452" s="41" t="s">
        <v>453</v>
      </c>
      <c r="D452" s="41" t="s">
        <v>163</v>
      </c>
      <c r="E452" s="47">
        <v>45551</v>
      </c>
      <c r="F452" s="56" t="s">
        <v>1</v>
      </c>
    </row>
    <row r="453" spans="1:6" ht="15" customHeight="1" x14ac:dyDescent="0.35">
      <c r="A453" s="56">
        <v>5951</v>
      </c>
      <c r="B453" s="41" t="s">
        <v>1402</v>
      </c>
      <c r="C453" s="41" t="s">
        <v>1349</v>
      </c>
      <c r="D453" s="41" t="s">
        <v>1403</v>
      </c>
      <c r="E453" s="47">
        <v>45551</v>
      </c>
      <c r="F453" s="56" t="s">
        <v>1</v>
      </c>
    </row>
    <row r="454" spans="1:6" ht="15" customHeight="1" x14ac:dyDescent="0.35">
      <c r="A454" s="56">
        <v>5952</v>
      </c>
      <c r="B454" s="41" t="s">
        <v>239</v>
      </c>
      <c r="C454" s="41" t="s">
        <v>546</v>
      </c>
      <c r="D454" s="41" t="s">
        <v>1404</v>
      </c>
      <c r="E454" s="47">
        <v>45555</v>
      </c>
      <c r="F454" s="56" t="s">
        <v>2</v>
      </c>
    </row>
    <row r="455" spans="1:6" ht="15" customHeight="1" x14ac:dyDescent="0.35">
      <c r="A455" s="56">
        <v>5953</v>
      </c>
      <c r="B455" s="41" t="s">
        <v>1380</v>
      </c>
      <c r="C455" s="41" t="s">
        <v>718</v>
      </c>
      <c r="D455" s="41" t="s">
        <v>145</v>
      </c>
      <c r="E455" s="47">
        <v>45558</v>
      </c>
      <c r="F455" s="56" t="s">
        <v>1</v>
      </c>
    </row>
    <row r="456" spans="1:6" ht="15" customHeight="1" x14ac:dyDescent="0.35">
      <c r="A456" s="56">
        <v>5954</v>
      </c>
      <c r="B456" s="41" t="s">
        <v>239</v>
      </c>
      <c r="C456" s="41" t="s">
        <v>546</v>
      </c>
      <c r="D456" s="41" t="s">
        <v>777</v>
      </c>
      <c r="E456" s="47">
        <v>45555</v>
      </c>
      <c r="F456" s="56" t="s">
        <v>2</v>
      </c>
    </row>
    <row r="457" spans="1:6" ht="15" customHeight="1" x14ac:dyDescent="0.35">
      <c r="A457" s="56">
        <v>5955</v>
      </c>
      <c r="B457" s="41" t="s">
        <v>239</v>
      </c>
      <c r="C457" s="41" t="s">
        <v>546</v>
      </c>
      <c r="D457" s="41" t="s">
        <v>1405</v>
      </c>
      <c r="E457" s="47">
        <v>45555</v>
      </c>
      <c r="F457" s="56" t="s">
        <v>2</v>
      </c>
    </row>
    <row r="458" spans="1:6" ht="15" customHeight="1" x14ac:dyDescent="0.35">
      <c r="A458" s="56">
        <v>5956</v>
      </c>
      <c r="B458" s="41" t="s">
        <v>239</v>
      </c>
      <c r="C458" s="41" t="s">
        <v>546</v>
      </c>
      <c r="D458" s="41" t="s">
        <v>1406</v>
      </c>
      <c r="E458" s="47">
        <v>45583</v>
      </c>
      <c r="F458" s="56" t="s">
        <v>2</v>
      </c>
    </row>
    <row r="459" spans="1:6" ht="15" customHeight="1" x14ac:dyDescent="0.35">
      <c r="A459" s="56">
        <v>5957</v>
      </c>
      <c r="B459" s="41" t="s">
        <v>1342</v>
      </c>
      <c r="C459" s="41" t="s">
        <v>1407</v>
      </c>
      <c r="D459" s="41" t="s">
        <v>1408</v>
      </c>
      <c r="E459" s="47">
        <v>45586</v>
      </c>
      <c r="F459" s="56" t="s">
        <v>1</v>
      </c>
    </row>
    <row r="460" spans="1:6" ht="15" customHeight="1" x14ac:dyDescent="0.35">
      <c r="A460" s="56">
        <v>5958</v>
      </c>
      <c r="B460" s="41" t="s">
        <v>1205</v>
      </c>
      <c r="C460" s="41" t="s">
        <v>1206</v>
      </c>
      <c r="D460" s="41"/>
      <c r="E460" s="47"/>
      <c r="F460" s="56"/>
    </row>
    <row r="461" spans="1:6" ht="15" customHeight="1" x14ac:dyDescent="0.35">
      <c r="A461" s="56">
        <v>5959</v>
      </c>
      <c r="B461" s="41" t="s">
        <v>1307</v>
      </c>
      <c r="C461" s="41" t="s">
        <v>84</v>
      </c>
      <c r="D461" s="41" t="s">
        <v>1409</v>
      </c>
      <c r="E461" s="47">
        <v>45611</v>
      </c>
      <c r="F461" s="56" t="s">
        <v>1</v>
      </c>
    </row>
    <row r="462" spans="1:6" ht="15" customHeight="1" x14ac:dyDescent="0.35">
      <c r="A462" s="56">
        <v>5960</v>
      </c>
      <c r="B462" s="41" t="s">
        <v>220</v>
      </c>
      <c r="C462" s="41" t="s">
        <v>1410</v>
      </c>
      <c r="D462" s="41" t="s">
        <v>1411</v>
      </c>
      <c r="E462" s="47">
        <v>45629</v>
      </c>
      <c r="F462" s="56" t="s">
        <v>1</v>
      </c>
    </row>
    <row r="463" spans="1:6" ht="15" customHeight="1" x14ac:dyDescent="0.35">
      <c r="A463" s="56">
        <v>5961</v>
      </c>
      <c r="B463" s="41"/>
      <c r="C463" s="41"/>
      <c r="D463" s="41"/>
      <c r="E463" s="47"/>
      <c r="F463" s="56"/>
    </row>
    <row r="464" spans="1:6" ht="15" customHeight="1" x14ac:dyDescent="0.35">
      <c r="A464" s="56">
        <v>5962</v>
      </c>
      <c r="B464" s="41" t="s">
        <v>1106</v>
      </c>
      <c r="C464" s="41" t="s">
        <v>1412</v>
      </c>
      <c r="D464" s="41" t="s">
        <v>1413</v>
      </c>
      <c r="E464" s="47">
        <v>45565</v>
      </c>
      <c r="F464" s="56" t="s">
        <v>1</v>
      </c>
    </row>
    <row r="465" spans="1:6" ht="15" customHeight="1" x14ac:dyDescent="0.35">
      <c r="A465" s="56">
        <v>5963</v>
      </c>
      <c r="B465" s="41"/>
      <c r="C465" s="41"/>
      <c r="D465" s="41"/>
      <c r="E465" s="47"/>
      <c r="F465" s="56"/>
    </row>
    <row r="466" spans="1:6" ht="15" customHeight="1" x14ac:dyDescent="0.35">
      <c r="A466" s="56">
        <v>5964</v>
      </c>
      <c r="B466" s="41" t="s">
        <v>1414</v>
      </c>
      <c r="C466" s="41" t="s">
        <v>305</v>
      </c>
      <c r="D466" s="41" t="s">
        <v>1415</v>
      </c>
      <c r="E466" s="47">
        <v>45586</v>
      </c>
      <c r="F466" s="56" t="s">
        <v>1</v>
      </c>
    </row>
    <row r="467" spans="1:6" ht="15" customHeight="1" x14ac:dyDescent="0.35">
      <c r="A467" s="56">
        <v>5965</v>
      </c>
      <c r="B467" s="41" t="s">
        <v>309</v>
      </c>
      <c r="C467" s="41" t="s">
        <v>1416</v>
      </c>
      <c r="D467" s="41" t="s">
        <v>1417</v>
      </c>
      <c r="E467" s="47">
        <v>45565</v>
      </c>
      <c r="F467" s="56" t="s">
        <v>4</v>
      </c>
    </row>
    <row r="468" spans="1:6" ht="15" customHeight="1" x14ac:dyDescent="0.35">
      <c r="A468" s="56">
        <v>5966</v>
      </c>
      <c r="B468" s="41" t="s">
        <v>1376</v>
      </c>
      <c r="C468" s="41"/>
      <c r="D468" s="41" t="s">
        <v>1418</v>
      </c>
      <c r="E468" s="47">
        <v>45565</v>
      </c>
      <c r="F468" s="56" t="s">
        <v>1</v>
      </c>
    </row>
    <row r="469" spans="1:6" ht="15" customHeight="1" x14ac:dyDescent="0.35">
      <c r="A469" s="56">
        <v>5967</v>
      </c>
      <c r="B469" s="41" t="s">
        <v>1419</v>
      </c>
      <c r="C469" s="41" t="s">
        <v>1420</v>
      </c>
      <c r="D469" s="41" t="s">
        <v>1421</v>
      </c>
      <c r="E469" s="47">
        <v>45586</v>
      </c>
      <c r="F469" s="56" t="s">
        <v>1</v>
      </c>
    </row>
    <row r="470" spans="1:6" ht="15" customHeight="1" x14ac:dyDescent="0.35">
      <c r="A470" s="56">
        <v>5968</v>
      </c>
      <c r="B470" s="41" t="s">
        <v>1402</v>
      </c>
      <c r="C470" s="41" t="s">
        <v>1349</v>
      </c>
      <c r="D470" s="41" t="s">
        <v>1422</v>
      </c>
      <c r="E470" s="47">
        <v>45565</v>
      </c>
      <c r="F470" s="56" t="s">
        <v>1</v>
      </c>
    </row>
    <row r="471" spans="1:6" ht="15" customHeight="1" x14ac:dyDescent="0.35">
      <c r="A471" s="56">
        <v>5969</v>
      </c>
      <c r="B471" s="41" t="s">
        <v>1423</v>
      </c>
      <c r="C471" s="41" t="s">
        <v>334</v>
      </c>
      <c r="D471" s="41" t="s">
        <v>954</v>
      </c>
      <c r="E471" s="47">
        <v>45565</v>
      </c>
      <c r="F471" s="56" t="s">
        <v>1</v>
      </c>
    </row>
    <row r="472" spans="1:6" ht="15" customHeight="1" x14ac:dyDescent="0.35">
      <c r="A472" s="56">
        <v>5970</v>
      </c>
      <c r="B472" s="41"/>
      <c r="C472" s="41"/>
      <c r="D472" s="41"/>
      <c r="E472" s="47"/>
      <c r="F472" s="56"/>
    </row>
    <row r="473" spans="1:6" ht="15" customHeight="1" x14ac:dyDescent="0.35">
      <c r="A473" s="56">
        <v>5971</v>
      </c>
      <c r="B473" s="41" t="s">
        <v>220</v>
      </c>
      <c r="C473" s="41" t="s">
        <v>1424</v>
      </c>
      <c r="D473" s="41" t="s">
        <v>1425</v>
      </c>
      <c r="E473" s="47">
        <v>45622</v>
      </c>
      <c r="F473" s="56" t="s">
        <v>4</v>
      </c>
    </row>
    <row r="474" spans="1:6" ht="15" customHeight="1" x14ac:dyDescent="0.35">
      <c r="A474" s="56">
        <v>5972</v>
      </c>
      <c r="B474" s="41" t="s">
        <v>309</v>
      </c>
      <c r="C474" s="41" t="s">
        <v>1107</v>
      </c>
      <c r="D474" s="41" t="s">
        <v>1426</v>
      </c>
      <c r="E474" s="47">
        <v>45576</v>
      </c>
      <c r="F474" s="56" t="s">
        <v>5</v>
      </c>
    </row>
    <row r="475" spans="1:6" ht="15" customHeight="1" x14ac:dyDescent="0.35">
      <c r="A475" s="56">
        <v>5973</v>
      </c>
      <c r="B475" s="41" t="s">
        <v>1026</v>
      </c>
      <c r="C475" s="41" t="s">
        <v>1209</v>
      </c>
      <c r="D475" s="41" t="s">
        <v>1427</v>
      </c>
      <c r="E475" s="47">
        <v>45616</v>
      </c>
      <c r="F475" s="56" t="s">
        <v>1</v>
      </c>
    </row>
    <row r="476" spans="1:6" ht="15" customHeight="1" x14ac:dyDescent="0.35">
      <c r="A476" s="56">
        <v>5974</v>
      </c>
      <c r="B476" s="41" t="s">
        <v>1208</v>
      </c>
      <c r="C476" s="41" t="s">
        <v>1209</v>
      </c>
      <c r="D476" s="41" t="s">
        <v>1428</v>
      </c>
      <c r="E476" s="47">
        <v>45637</v>
      </c>
      <c r="F476" s="56" t="s">
        <v>1</v>
      </c>
    </row>
    <row r="477" spans="1:6" ht="15" customHeight="1" x14ac:dyDescent="0.35">
      <c r="A477" s="56">
        <v>5975</v>
      </c>
      <c r="B477" s="41" t="s">
        <v>195</v>
      </c>
      <c r="C477" s="41" t="s">
        <v>1429</v>
      </c>
      <c r="D477" s="41" t="s">
        <v>1430</v>
      </c>
      <c r="E477" s="47">
        <v>45684</v>
      </c>
      <c r="F477" s="56" t="s">
        <v>1</v>
      </c>
    </row>
    <row r="478" spans="1:6" ht="15" customHeight="1" x14ac:dyDescent="0.35">
      <c r="A478" s="56">
        <v>5976</v>
      </c>
      <c r="B478" s="41"/>
      <c r="C478" s="41"/>
      <c r="D478" s="41"/>
      <c r="E478" s="47"/>
      <c r="F478" s="56"/>
    </row>
    <row r="479" spans="1:6" ht="15" customHeight="1" x14ac:dyDescent="0.35">
      <c r="A479" s="56">
        <v>5977</v>
      </c>
      <c r="B479" s="41" t="s">
        <v>1208</v>
      </c>
      <c r="C479" s="41" t="s">
        <v>1431</v>
      </c>
      <c r="D479" s="41" t="s">
        <v>779</v>
      </c>
      <c r="E479" s="47">
        <v>45637</v>
      </c>
      <c r="F479" s="56" t="s">
        <v>1</v>
      </c>
    </row>
    <row r="480" spans="1:6" ht="15" customHeight="1" x14ac:dyDescent="0.35">
      <c r="A480" s="56">
        <v>5978</v>
      </c>
      <c r="B480" s="41" t="s">
        <v>1432</v>
      </c>
      <c r="C480" s="41" t="s">
        <v>179</v>
      </c>
      <c r="D480" s="41" t="s">
        <v>1433</v>
      </c>
      <c r="E480" s="47">
        <v>45580</v>
      </c>
      <c r="F480" s="56" t="s">
        <v>1</v>
      </c>
    </row>
    <row r="481" spans="1:6" ht="15" customHeight="1" x14ac:dyDescent="0.35">
      <c r="A481" s="56">
        <v>5979</v>
      </c>
      <c r="B481" s="41" t="s">
        <v>333</v>
      </c>
      <c r="C481" s="41" t="s">
        <v>334</v>
      </c>
      <c r="D481" s="41" t="s">
        <v>927</v>
      </c>
      <c r="E481" s="47">
        <v>45587</v>
      </c>
      <c r="F481" s="56" t="s">
        <v>2</v>
      </c>
    </row>
    <row r="482" spans="1:6" ht="15" customHeight="1" x14ac:dyDescent="0.35">
      <c r="A482" s="56">
        <v>5980</v>
      </c>
      <c r="B482" s="41" t="s">
        <v>1208</v>
      </c>
      <c r="C482" s="41" t="s">
        <v>1434</v>
      </c>
      <c r="D482" s="41" t="s">
        <v>341</v>
      </c>
      <c r="E482" s="47">
        <v>45637</v>
      </c>
      <c r="F482" s="56" t="s">
        <v>1</v>
      </c>
    </row>
    <row r="483" spans="1:6" ht="15" customHeight="1" x14ac:dyDescent="0.35">
      <c r="A483" s="56">
        <v>5981</v>
      </c>
      <c r="B483" s="41" t="s">
        <v>1186</v>
      </c>
      <c r="C483" s="41" t="s">
        <v>1211</v>
      </c>
      <c r="D483" s="41" t="s">
        <v>1435</v>
      </c>
      <c r="E483" s="47">
        <v>45579</v>
      </c>
      <c r="F483" s="56" t="s">
        <v>1</v>
      </c>
    </row>
    <row r="484" spans="1:6" ht="15" customHeight="1" x14ac:dyDescent="0.35">
      <c r="A484" s="56">
        <v>5982</v>
      </c>
      <c r="B484" s="41" t="s">
        <v>1342</v>
      </c>
      <c r="C484" s="41" t="s">
        <v>1407</v>
      </c>
      <c r="D484" s="41" t="s">
        <v>1377</v>
      </c>
      <c r="E484" s="47">
        <v>45586</v>
      </c>
      <c r="F484" s="56" t="s">
        <v>1</v>
      </c>
    </row>
    <row r="485" spans="1:6" ht="15" customHeight="1" x14ac:dyDescent="0.35">
      <c r="A485" s="56">
        <v>5983</v>
      </c>
      <c r="B485" s="41" t="s">
        <v>1117</v>
      </c>
      <c r="C485" s="41" t="s">
        <v>45</v>
      </c>
      <c r="D485" s="41" t="s">
        <v>589</v>
      </c>
      <c r="E485" s="47">
        <v>45579</v>
      </c>
      <c r="F485" s="56" t="s">
        <v>2</v>
      </c>
    </row>
    <row r="486" spans="1:6" ht="15" customHeight="1" x14ac:dyDescent="0.35">
      <c r="A486" s="56">
        <v>5984</v>
      </c>
      <c r="B486" s="41" t="s">
        <v>1117</v>
      </c>
      <c r="C486" s="41" t="s">
        <v>45</v>
      </c>
      <c r="D486" s="41" t="s">
        <v>1436</v>
      </c>
      <c r="E486" s="47">
        <v>45579</v>
      </c>
      <c r="F486" s="56" t="s">
        <v>2</v>
      </c>
    </row>
    <row r="487" spans="1:6" ht="15" customHeight="1" x14ac:dyDescent="0.35">
      <c r="A487" s="56">
        <v>5985</v>
      </c>
      <c r="B487" s="41" t="s">
        <v>1339</v>
      </c>
      <c r="C487" s="41" t="s">
        <v>453</v>
      </c>
      <c r="D487" s="41" t="s">
        <v>1437</v>
      </c>
      <c r="E487" s="47">
        <v>45579</v>
      </c>
      <c r="F487" s="56" t="s">
        <v>1</v>
      </c>
    </row>
    <row r="488" spans="1:6" ht="15" customHeight="1" x14ac:dyDescent="0.35">
      <c r="A488" s="56">
        <v>5986</v>
      </c>
      <c r="B488" s="41" t="s">
        <v>191</v>
      </c>
      <c r="C488" s="41" t="s">
        <v>252</v>
      </c>
      <c r="D488" s="41" t="s">
        <v>1377</v>
      </c>
      <c r="E488" s="47">
        <v>45586</v>
      </c>
      <c r="F488" s="56" t="s">
        <v>1</v>
      </c>
    </row>
    <row r="489" spans="1:6" ht="15" customHeight="1" x14ac:dyDescent="0.35">
      <c r="A489" s="56">
        <v>5987</v>
      </c>
      <c r="B489" s="41" t="s">
        <v>41</v>
      </c>
      <c r="C489" s="41" t="s">
        <v>2807</v>
      </c>
      <c r="D489" s="41" t="s">
        <v>580</v>
      </c>
      <c r="E489" s="47">
        <v>45922</v>
      </c>
      <c r="F489" s="56" t="s">
        <v>4</v>
      </c>
    </row>
    <row r="490" spans="1:6" ht="15" customHeight="1" x14ac:dyDescent="0.35">
      <c r="A490" s="56">
        <v>5988</v>
      </c>
      <c r="B490" s="41" t="s">
        <v>1438</v>
      </c>
      <c r="C490" s="41" t="s">
        <v>334</v>
      </c>
      <c r="D490" s="41" t="s">
        <v>159</v>
      </c>
      <c r="E490" s="47">
        <v>45622.381631944445</v>
      </c>
      <c r="F490" s="56" t="s">
        <v>13</v>
      </c>
    </row>
    <row r="491" spans="1:6" ht="15" customHeight="1" x14ac:dyDescent="0.35">
      <c r="A491" s="56">
        <v>5989</v>
      </c>
      <c r="B491" s="41" t="s">
        <v>1229</v>
      </c>
      <c r="C491" s="41" t="s">
        <v>1439</v>
      </c>
      <c r="D491" s="41" t="s">
        <v>207</v>
      </c>
      <c r="E491" s="47">
        <v>45580</v>
      </c>
      <c r="F491" s="56" t="s">
        <v>1</v>
      </c>
    </row>
    <row r="492" spans="1:6" ht="15" customHeight="1" x14ac:dyDescent="0.35">
      <c r="A492" s="56">
        <v>5990</v>
      </c>
      <c r="B492" s="41" t="s">
        <v>41</v>
      </c>
      <c r="C492" s="41" t="s">
        <v>1440</v>
      </c>
      <c r="D492" s="41" t="s">
        <v>1441</v>
      </c>
      <c r="E492" s="47">
        <v>45580</v>
      </c>
      <c r="F492" s="56" t="s">
        <v>4</v>
      </c>
    </row>
    <row r="493" spans="1:6" ht="15" customHeight="1" x14ac:dyDescent="0.35">
      <c r="A493" s="56">
        <v>5991</v>
      </c>
      <c r="B493" s="41" t="s">
        <v>611</v>
      </c>
      <c r="C493" s="41" t="s">
        <v>240</v>
      </c>
      <c r="D493" s="41" t="s">
        <v>884</v>
      </c>
      <c r="E493" s="47">
        <v>45586</v>
      </c>
      <c r="F493" s="56" t="s">
        <v>1</v>
      </c>
    </row>
    <row r="494" spans="1:6" ht="15" customHeight="1" x14ac:dyDescent="0.35">
      <c r="A494" s="56">
        <v>5992</v>
      </c>
      <c r="B494" s="41"/>
      <c r="C494" s="41"/>
      <c r="D494" s="41"/>
      <c r="E494" s="47"/>
      <c r="F494" s="56"/>
    </row>
    <row r="495" spans="1:6" ht="15" customHeight="1" x14ac:dyDescent="0.35">
      <c r="A495" s="56">
        <v>5993</v>
      </c>
      <c r="B495" s="41" t="s">
        <v>333</v>
      </c>
      <c r="C495" s="41" t="s">
        <v>334</v>
      </c>
      <c r="D495" s="41" t="s">
        <v>1048</v>
      </c>
      <c r="E495" s="47">
        <v>45590</v>
      </c>
      <c r="F495" s="56" t="s">
        <v>2</v>
      </c>
    </row>
    <row r="496" spans="1:6" ht="15" customHeight="1" x14ac:dyDescent="0.35">
      <c r="A496" s="56">
        <v>5994</v>
      </c>
      <c r="B496" s="41" t="s">
        <v>333</v>
      </c>
      <c r="C496" s="41" t="s">
        <v>334</v>
      </c>
      <c r="D496" s="41" t="s">
        <v>1005</v>
      </c>
      <c r="E496" s="47">
        <v>45588</v>
      </c>
      <c r="F496" s="56" t="s">
        <v>2</v>
      </c>
    </row>
    <row r="497" spans="1:6" ht="15" customHeight="1" x14ac:dyDescent="0.35">
      <c r="A497" s="56">
        <v>5995</v>
      </c>
      <c r="B497" s="41" t="s">
        <v>333</v>
      </c>
      <c r="C497" s="41" t="s">
        <v>334</v>
      </c>
      <c r="D497" s="41" t="s">
        <v>1221</v>
      </c>
      <c r="E497" s="47">
        <v>45588</v>
      </c>
      <c r="F497" s="56" t="s">
        <v>2</v>
      </c>
    </row>
    <row r="498" spans="1:6" ht="15" customHeight="1" x14ac:dyDescent="0.35">
      <c r="A498" s="56">
        <v>5996</v>
      </c>
      <c r="B498" s="41" t="s">
        <v>74</v>
      </c>
      <c r="C498" s="41" t="s">
        <v>1442</v>
      </c>
      <c r="D498" s="41" t="s">
        <v>145</v>
      </c>
      <c r="E498" s="47">
        <v>45589</v>
      </c>
      <c r="F498" s="56" t="s">
        <v>1</v>
      </c>
    </row>
    <row r="499" spans="1:6" ht="15" customHeight="1" x14ac:dyDescent="0.35">
      <c r="A499" s="56">
        <v>5997</v>
      </c>
      <c r="B499" s="41" t="s">
        <v>1217</v>
      </c>
      <c r="C499" s="41" t="s">
        <v>453</v>
      </c>
      <c r="D499" s="41" t="s">
        <v>1443</v>
      </c>
      <c r="E499" s="47">
        <v>45589</v>
      </c>
      <c r="F499" s="56" t="s">
        <v>1</v>
      </c>
    </row>
    <row r="500" spans="1:6" ht="15" customHeight="1" x14ac:dyDescent="0.35">
      <c r="A500" s="56">
        <v>5998</v>
      </c>
      <c r="B500" s="41" t="s">
        <v>1026</v>
      </c>
      <c r="C500" s="41" t="s">
        <v>1444</v>
      </c>
      <c r="D500" s="41" t="s">
        <v>788</v>
      </c>
      <c r="E500" s="47">
        <v>45581</v>
      </c>
      <c r="F500" s="56" t="s">
        <v>1</v>
      </c>
    </row>
    <row r="501" spans="1:6" ht="15" customHeight="1" x14ac:dyDescent="0.35">
      <c r="A501" s="56">
        <v>5999</v>
      </c>
      <c r="B501" s="41" t="s">
        <v>83</v>
      </c>
      <c r="C501" s="41" t="s">
        <v>240</v>
      </c>
      <c r="D501" s="41" t="s">
        <v>1445</v>
      </c>
      <c r="E501" s="47">
        <v>45614</v>
      </c>
      <c r="F501" s="56" t="s">
        <v>1</v>
      </c>
    </row>
    <row r="502" spans="1:6" ht="15" customHeight="1" x14ac:dyDescent="0.35">
      <c r="A502" s="56">
        <v>6000</v>
      </c>
      <c r="B502" s="41" t="s">
        <v>1446</v>
      </c>
      <c r="C502" s="41" t="s">
        <v>1194</v>
      </c>
      <c r="D502" s="41" t="s">
        <v>255</v>
      </c>
      <c r="E502" s="47">
        <v>45643</v>
      </c>
      <c r="F502" s="56" t="s">
        <v>1</v>
      </c>
    </row>
    <row r="503" spans="1:6" ht="15" customHeight="1" x14ac:dyDescent="0.35">
      <c r="A503" s="56">
        <v>6001</v>
      </c>
      <c r="B503" s="41" t="s">
        <v>1106</v>
      </c>
      <c r="C503" s="41" t="s">
        <v>1214</v>
      </c>
      <c r="D503" s="41" t="s">
        <v>926</v>
      </c>
      <c r="E503" s="47">
        <v>45622</v>
      </c>
      <c r="F503" s="56" t="s">
        <v>1</v>
      </c>
    </row>
    <row r="504" spans="1:6" ht="15" customHeight="1" x14ac:dyDescent="0.35">
      <c r="A504" s="56">
        <v>6002</v>
      </c>
      <c r="B504" s="41"/>
      <c r="C504" s="41"/>
      <c r="D504" s="41"/>
      <c r="E504" s="47"/>
      <c r="F504" s="56"/>
    </row>
    <row r="505" spans="1:6" ht="15" customHeight="1" x14ac:dyDescent="0.35">
      <c r="A505" s="56">
        <v>6003</v>
      </c>
      <c r="B505" s="41" t="s">
        <v>353</v>
      </c>
      <c r="C505" s="41" t="s">
        <v>32</v>
      </c>
      <c r="D505" s="41" t="s">
        <v>488</v>
      </c>
      <c r="E505" s="47">
        <v>45600</v>
      </c>
      <c r="F505" s="56" t="s">
        <v>1</v>
      </c>
    </row>
    <row r="506" spans="1:6" ht="15" customHeight="1" x14ac:dyDescent="0.35">
      <c r="A506" s="56">
        <v>6004</v>
      </c>
      <c r="B506" s="41" t="s">
        <v>1447</v>
      </c>
      <c r="C506" s="41" t="s">
        <v>133</v>
      </c>
      <c r="D506" s="41" t="s">
        <v>1448</v>
      </c>
      <c r="E506" s="47">
        <v>45622</v>
      </c>
      <c r="F506" s="56" t="s">
        <v>1</v>
      </c>
    </row>
    <row r="507" spans="1:6" ht="15" customHeight="1" x14ac:dyDescent="0.35">
      <c r="A507" s="56">
        <v>6005</v>
      </c>
      <c r="B507" s="41" t="s">
        <v>1449</v>
      </c>
      <c r="C507" s="41" t="s">
        <v>133</v>
      </c>
      <c r="D507" s="41" t="s">
        <v>1450</v>
      </c>
      <c r="E507" s="47">
        <v>45600</v>
      </c>
      <c r="F507" s="56" t="s">
        <v>1</v>
      </c>
    </row>
    <row r="508" spans="1:6" ht="15" customHeight="1" x14ac:dyDescent="0.35">
      <c r="A508" s="56">
        <v>6006</v>
      </c>
      <c r="B508" s="41" t="s">
        <v>1324</v>
      </c>
      <c r="C508" s="41" t="s">
        <v>1358</v>
      </c>
      <c r="D508" s="41" t="s">
        <v>1451</v>
      </c>
      <c r="E508" s="47">
        <v>45600</v>
      </c>
      <c r="F508" s="56" t="s">
        <v>1</v>
      </c>
    </row>
    <row r="509" spans="1:6" ht="15" customHeight="1" x14ac:dyDescent="0.35">
      <c r="A509" s="56">
        <v>6007</v>
      </c>
      <c r="B509" s="41"/>
      <c r="C509" s="41"/>
      <c r="D509" s="41"/>
      <c r="E509" s="47"/>
      <c r="F509" s="56"/>
    </row>
    <row r="510" spans="1:6" ht="15" customHeight="1" x14ac:dyDescent="0.35">
      <c r="A510" s="56">
        <v>6008</v>
      </c>
      <c r="B510" s="41" t="s">
        <v>1234</v>
      </c>
      <c r="C510" s="41" t="s">
        <v>1452</v>
      </c>
      <c r="D510" s="41"/>
      <c r="E510" s="47">
        <v>45600</v>
      </c>
      <c r="F510" s="56" t="s">
        <v>1</v>
      </c>
    </row>
    <row r="511" spans="1:6" ht="15" customHeight="1" x14ac:dyDescent="0.35">
      <c r="A511" s="56">
        <v>6009</v>
      </c>
      <c r="B511" s="41" t="s">
        <v>1453</v>
      </c>
      <c r="C511" s="41" t="s">
        <v>140</v>
      </c>
      <c r="D511" s="41" t="s">
        <v>801</v>
      </c>
      <c r="E511" s="47">
        <v>45614</v>
      </c>
      <c r="F511" s="56" t="s">
        <v>1</v>
      </c>
    </row>
    <row r="512" spans="1:6" ht="15" customHeight="1" x14ac:dyDescent="0.35">
      <c r="A512" s="56">
        <v>6010</v>
      </c>
      <c r="B512" s="41" t="s">
        <v>1449</v>
      </c>
      <c r="C512" s="41" t="s">
        <v>133</v>
      </c>
      <c r="D512" s="41" t="s">
        <v>168</v>
      </c>
      <c r="E512" s="47">
        <v>45617</v>
      </c>
      <c r="F512" s="56" t="s">
        <v>1</v>
      </c>
    </row>
    <row r="513" spans="1:6" ht="15" customHeight="1" x14ac:dyDescent="0.35">
      <c r="A513" s="56">
        <v>6011</v>
      </c>
      <c r="B513" s="41" t="s">
        <v>1454</v>
      </c>
      <c r="C513" s="41" t="s">
        <v>179</v>
      </c>
      <c r="D513" s="41" t="s">
        <v>615</v>
      </c>
      <c r="E513" s="47">
        <v>45614</v>
      </c>
      <c r="F513" s="56" t="s">
        <v>1</v>
      </c>
    </row>
    <row r="514" spans="1:6" ht="15" customHeight="1" x14ac:dyDescent="0.35">
      <c r="A514" s="56">
        <v>6012</v>
      </c>
      <c r="B514" s="41" t="s">
        <v>1117</v>
      </c>
      <c r="C514" s="41" t="s">
        <v>1455</v>
      </c>
      <c r="D514" s="41" t="s">
        <v>615</v>
      </c>
      <c r="E514" s="47">
        <v>45618</v>
      </c>
      <c r="F514" s="56" t="s">
        <v>1</v>
      </c>
    </row>
    <row r="515" spans="1:6" ht="15" customHeight="1" x14ac:dyDescent="0.35">
      <c r="A515" s="56">
        <v>6013</v>
      </c>
      <c r="B515" s="41" t="s">
        <v>1117</v>
      </c>
      <c r="C515" s="41" t="s">
        <v>1118</v>
      </c>
      <c r="D515" s="41" t="s">
        <v>146</v>
      </c>
      <c r="E515" s="47">
        <v>45643</v>
      </c>
      <c r="F515" s="56" t="s">
        <v>1</v>
      </c>
    </row>
    <row r="516" spans="1:6" ht="15" customHeight="1" x14ac:dyDescent="0.35">
      <c r="A516" s="56">
        <v>6014</v>
      </c>
      <c r="B516" s="41" t="s">
        <v>36</v>
      </c>
      <c r="C516" s="41" t="s">
        <v>930</v>
      </c>
      <c r="D516" s="41" t="s">
        <v>27</v>
      </c>
      <c r="E516" s="47">
        <v>45635.587511574071</v>
      </c>
      <c r="F516" s="56" t="s">
        <v>2</v>
      </c>
    </row>
    <row r="517" spans="1:6" ht="15" customHeight="1" x14ac:dyDescent="0.35">
      <c r="A517" s="56">
        <v>6015</v>
      </c>
      <c r="B517" s="41" t="s">
        <v>128</v>
      </c>
      <c r="C517" s="41" t="s">
        <v>1396</v>
      </c>
      <c r="D517" s="41" t="s">
        <v>1456</v>
      </c>
      <c r="E517" s="47">
        <v>45622</v>
      </c>
      <c r="F517" s="56" t="s">
        <v>1</v>
      </c>
    </row>
    <row r="518" spans="1:6" ht="15" customHeight="1" x14ac:dyDescent="0.35">
      <c r="A518" s="56">
        <v>6016</v>
      </c>
      <c r="B518" s="41" t="s">
        <v>1302</v>
      </c>
      <c r="C518" s="41" t="s">
        <v>217</v>
      </c>
      <c r="D518" s="41" t="s">
        <v>1457</v>
      </c>
      <c r="E518" s="47">
        <v>45618</v>
      </c>
      <c r="F518" s="56" t="s">
        <v>1</v>
      </c>
    </row>
    <row r="519" spans="1:6" ht="15" customHeight="1" x14ac:dyDescent="0.35">
      <c r="A519" s="56">
        <v>6017</v>
      </c>
      <c r="B519" s="41" t="s">
        <v>205</v>
      </c>
      <c r="C519" s="41" t="s">
        <v>924</v>
      </c>
      <c r="D519" s="41" t="s">
        <v>146</v>
      </c>
      <c r="E519" s="47">
        <v>45622</v>
      </c>
      <c r="F519" s="56" t="s">
        <v>1</v>
      </c>
    </row>
    <row r="520" spans="1:6" ht="15" customHeight="1" x14ac:dyDescent="0.35">
      <c r="A520" s="56">
        <v>6018</v>
      </c>
      <c r="B520" s="41" t="s">
        <v>509</v>
      </c>
      <c r="C520" s="41" t="s">
        <v>1458</v>
      </c>
      <c r="D520" s="41" t="s">
        <v>1459</v>
      </c>
      <c r="E520" s="47">
        <v>45637</v>
      </c>
      <c r="F520" s="56" t="s">
        <v>1</v>
      </c>
    </row>
    <row r="521" spans="1:6" ht="15" customHeight="1" x14ac:dyDescent="0.35">
      <c r="A521" s="56">
        <v>6019</v>
      </c>
      <c r="B521" s="41" t="s">
        <v>1460</v>
      </c>
      <c r="C521" s="41"/>
      <c r="D521" s="41" t="s">
        <v>1461</v>
      </c>
      <c r="E521" s="47">
        <v>45622</v>
      </c>
      <c r="F521" s="56" t="s">
        <v>1</v>
      </c>
    </row>
    <row r="522" spans="1:6" ht="15" customHeight="1" x14ac:dyDescent="0.35">
      <c r="A522" s="56">
        <v>6020</v>
      </c>
      <c r="B522" s="41" t="s">
        <v>1245</v>
      </c>
      <c r="C522" s="41" t="s">
        <v>299</v>
      </c>
      <c r="D522" s="41" t="s">
        <v>255</v>
      </c>
      <c r="E522" s="47">
        <v>45629</v>
      </c>
      <c r="F522" s="56" t="s">
        <v>1</v>
      </c>
    </row>
    <row r="523" spans="1:6" ht="15" customHeight="1" x14ac:dyDescent="0.35">
      <c r="A523" s="56">
        <v>6021</v>
      </c>
      <c r="B523" s="41" t="s">
        <v>1462</v>
      </c>
      <c r="C523" s="41" t="s">
        <v>362</v>
      </c>
      <c r="D523" s="41" t="s">
        <v>1463</v>
      </c>
      <c r="E523" s="47">
        <v>45625.637291666666</v>
      </c>
      <c r="F523" s="56" t="s">
        <v>1</v>
      </c>
    </row>
    <row r="524" spans="1:6" ht="15" customHeight="1" x14ac:dyDescent="0.35">
      <c r="A524" s="56">
        <v>6022</v>
      </c>
      <c r="B524" s="41"/>
      <c r="C524" s="41"/>
      <c r="D524" s="41"/>
      <c r="E524" s="47"/>
      <c r="F524" s="56"/>
    </row>
    <row r="525" spans="1:6" ht="15" customHeight="1" x14ac:dyDescent="0.35">
      <c r="A525" s="56">
        <v>6023</v>
      </c>
      <c r="B525" s="41" t="s">
        <v>41</v>
      </c>
      <c r="C525" s="41" t="s">
        <v>240</v>
      </c>
      <c r="D525" s="41" t="s">
        <v>1948</v>
      </c>
      <c r="E525" s="47">
        <v>45705</v>
      </c>
      <c r="F525" s="56" t="s">
        <v>4</v>
      </c>
    </row>
    <row r="526" spans="1:6" ht="15" customHeight="1" x14ac:dyDescent="0.35">
      <c r="A526" s="56">
        <v>6024</v>
      </c>
      <c r="B526" s="41" t="s">
        <v>1026</v>
      </c>
      <c r="C526" s="41" t="s">
        <v>1464</v>
      </c>
      <c r="D526" s="41" t="s">
        <v>1465</v>
      </c>
      <c r="E526" s="47">
        <v>45628</v>
      </c>
      <c r="F526" s="56" t="s">
        <v>1</v>
      </c>
    </row>
    <row r="527" spans="1:6" ht="15" customHeight="1" x14ac:dyDescent="0.35">
      <c r="A527" s="56">
        <v>6025</v>
      </c>
      <c r="B527" s="57" t="s">
        <v>1071</v>
      </c>
      <c r="C527" s="41" t="s">
        <v>277</v>
      </c>
      <c r="D527" s="41" t="s">
        <v>926</v>
      </c>
      <c r="E527" s="47">
        <v>45629</v>
      </c>
      <c r="F527" s="56" t="s">
        <v>1</v>
      </c>
    </row>
    <row r="528" spans="1:6" ht="15" customHeight="1" x14ac:dyDescent="0.35">
      <c r="A528" s="56">
        <v>6026</v>
      </c>
      <c r="B528" s="41" t="s">
        <v>1466</v>
      </c>
      <c r="C528" s="41" t="s">
        <v>986</v>
      </c>
      <c r="D528" s="41" t="s">
        <v>186</v>
      </c>
      <c r="E528" s="47">
        <v>45643</v>
      </c>
      <c r="F528" s="56" t="s">
        <v>6</v>
      </c>
    </row>
    <row r="529" spans="1:6" ht="15" customHeight="1" x14ac:dyDescent="0.35">
      <c r="A529" s="56">
        <v>6027</v>
      </c>
      <c r="B529" s="41" t="s">
        <v>205</v>
      </c>
      <c r="C529" s="41" t="s">
        <v>106</v>
      </c>
      <c r="D529" s="41" t="s">
        <v>1467</v>
      </c>
      <c r="E529" s="47">
        <v>45629</v>
      </c>
      <c r="F529" s="56" t="s">
        <v>3</v>
      </c>
    </row>
    <row r="530" spans="1:6" ht="15" customHeight="1" x14ac:dyDescent="0.35">
      <c r="A530" s="56">
        <v>6028</v>
      </c>
      <c r="B530" s="41" t="s">
        <v>74</v>
      </c>
      <c r="C530" s="41" t="s">
        <v>367</v>
      </c>
      <c r="D530" s="41" t="s">
        <v>1088</v>
      </c>
      <c r="E530" s="47">
        <v>45628</v>
      </c>
      <c r="F530" s="56" t="s">
        <v>3</v>
      </c>
    </row>
    <row r="531" spans="1:6" ht="15" customHeight="1" x14ac:dyDescent="0.35">
      <c r="A531" s="56">
        <v>6029</v>
      </c>
      <c r="B531" s="41" t="s">
        <v>195</v>
      </c>
      <c r="C531" s="41" t="s">
        <v>1468</v>
      </c>
      <c r="D531" s="41" t="s">
        <v>733</v>
      </c>
      <c r="E531" s="47">
        <v>45629</v>
      </c>
      <c r="F531" s="56" t="s">
        <v>1</v>
      </c>
    </row>
    <row r="532" spans="1:6" ht="15" customHeight="1" x14ac:dyDescent="0.35">
      <c r="A532" s="56">
        <v>6030</v>
      </c>
      <c r="B532" s="43" t="s">
        <v>74</v>
      </c>
      <c r="C532" s="43" t="s">
        <v>367</v>
      </c>
      <c r="D532" s="43" t="s">
        <v>784</v>
      </c>
      <c r="E532" s="49">
        <v>45635</v>
      </c>
      <c r="F532" s="56" t="s">
        <v>9</v>
      </c>
    </row>
    <row r="533" spans="1:6" ht="15" customHeight="1" x14ac:dyDescent="0.35">
      <c r="A533" s="56">
        <v>6031</v>
      </c>
      <c r="B533" s="41" t="s">
        <v>1454</v>
      </c>
      <c r="C533" s="41" t="s">
        <v>1131</v>
      </c>
      <c r="D533" s="41" t="s">
        <v>615</v>
      </c>
      <c r="E533" s="47">
        <v>45677</v>
      </c>
      <c r="F533" s="56" t="s">
        <v>1</v>
      </c>
    </row>
    <row r="534" spans="1:6" ht="15" customHeight="1" x14ac:dyDescent="0.35">
      <c r="A534" s="56">
        <v>6032</v>
      </c>
      <c r="B534" s="41" t="s">
        <v>1469</v>
      </c>
      <c r="C534" s="41" t="s">
        <v>685</v>
      </c>
      <c r="D534" s="41" t="s">
        <v>1470</v>
      </c>
      <c r="E534" s="47">
        <v>45643</v>
      </c>
      <c r="F534" s="56" t="s">
        <v>1</v>
      </c>
    </row>
    <row r="535" spans="1:6" ht="15" customHeight="1" x14ac:dyDescent="0.35">
      <c r="A535" s="56">
        <v>6033</v>
      </c>
      <c r="B535" s="41" t="s">
        <v>41</v>
      </c>
      <c r="C535" s="41"/>
      <c r="D535" s="41" t="s">
        <v>2805</v>
      </c>
      <c r="E535" s="47">
        <v>45922</v>
      </c>
      <c r="F535" s="56" t="s">
        <v>4</v>
      </c>
    </row>
    <row r="536" spans="1:6" ht="15" customHeight="1" x14ac:dyDescent="0.35">
      <c r="A536" s="56">
        <v>6034</v>
      </c>
      <c r="B536" s="41" t="s">
        <v>41</v>
      </c>
      <c r="C536" s="41" t="s">
        <v>2808</v>
      </c>
      <c r="D536" s="41" t="s">
        <v>98</v>
      </c>
      <c r="E536" s="47">
        <v>45922</v>
      </c>
      <c r="F536" s="56" t="s">
        <v>4</v>
      </c>
    </row>
    <row r="537" spans="1:6" ht="15" customHeight="1" x14ac:dyDescent="0.35">
      <c r="A537" s="56">
        <v>6035</v>
      </c>
      <c r="B537" s="41" t="s">
        <v>1471</v>
      </c>
      <c r="C537" s="41" t="s">
        <v>1472</v>
      </c>
      <c r="D537" s="41" t="s">
        <v>168</v>
      </c>
      <c r="E537" s="47">
        <v>45643</v>
      </c>
      <c r="F537" s="56" t="s">
        <v>1</v>
      </c>
    </row>
    <row r="538" spans="1:6" ht="15" customHeight="1" x14ac:dyDescent="0.35">
      <c r="A538" s="56">
        <v>6036</v>
      </c>
      <c r="B538" s="41" t="s">
        <v>1949</v>
      </c>
      <c r="C538" s="41" t="s">
        <v>831</v>
      </c>
      <c r="D538" s="41" t="s">
        <v>85</v>
      </c>
      <c r="E538" s="47">
        <v>45705</v>
      </c>
      <c r="F538" s="56" t="s">
        <v>1</v>
      </c>
    </row>
    <row r="539" spans="1:6" ht="15" customHeight="1" x14ac:dyDescent="0.35">
      <c r="A539" s="56">
        <v>6037</v>
      </c>
      <c r="B539" s="41"/>
      <c r="C539" s="41"/>
      <c r="D539" s="41"/>
      <c r="E539" s="47"/>
      <c r="F539" s="56"/>
    </row>
    <row r="540" spans="1:6" ht="15" customHeight="1" x14ac:dyDescent="0.35">
      <c r="A540" s="56">
        <v>6038</v>
      </c>
      <c r="B540" s="41" t="s">
        <v>1446</v>
      </c>
      <c r="C540" s="41" t="s">
        <v>1194</v>
      </c>
      <c r="D540" s="41" t="s">
        <v>255</v>
      </c>
      <c r="E540" s="47">
        <v>45712</v>
      </c>
      <c r="F540" s="56" t="s">
        <v>1</v>
      </c>
    </row>
    <row r="541" spans="1:6" ht="15" customHeight="1" x14ac:dyDescent="0.35">
      <c r="A541" s="56">
        <v>6039</v>
      </c>
      <c r="B541" s="41"/>
      <c r="C541" s="41"/>
      <c r="D541" s="41"/>
      <c r="E541" s="47"/>
      <c r="F541" s="56"/>
    </row>
    <row r="542" spans="1:6" ht="15" customHeight="1" x14ac:dyDescent="0.35">
      <c r="A542" s="56">
        <v>6040</v>
      </c>
      <c r="B542" s="41" t="s">
        <v>2009</v>
      </c>
      <c r="C542" s="41" t="s">
        <v>223</v>
      </c>
      <c r="D542" s="41" t="s">
        <v>2010</v>
      </c>
      <c r="E542" s="47">
        <v>45734</v>
      </c>
      <c r="F542" s="56" t="s">
        <v>1</v>
      </c>
    </row>
    <row r="543" spans="1:6" ht="15" customHeight="1" x14ac:dyDescent="0.35">
      <c r="A543" s="56">
        <v>6041</v>
      </c>
      <c r="B543" s="41" t="s">
        <v>1217</v>
      </c>
      <c r="C543" s="41" t="s">
        <v>453</v>
      </c>
      <c r="D543" s="41" t="s">
        <v>801</v>
      </c>
      <c r="E543" s="47">
        <v>45712</v>
      </c>
      <c r="F543" s="56" t="s">
        <v>1</v>
      </c>
    </row>
    <row r="544" spans="1:6" ht="15" customHeight="1" x14ac:dyDescent="0.35">
      <c r="A544" s="56">
        <v>6042</v>
      </c>
      <c r="B544" s="41" t="s">
        <v>1473</v>
      </c>
      <c r="C544" s="41" t="s">
        <v>495</v>
      </c>
      <c r="D544" s="41" t="s">
        <v>1377</v>
      </c>
      <c r="E544" s="47">
        <v>45684</v>
      </c>
      <c r="F544" s="56" t="s">
        <v>1</v>
      </c>
    </row>
    <row r="545" spans="1:6" ht="15" customHeight="1" x14ac:dyDescent="0.35">
      <c r="A545" s="56">
        <v>6043</v>
      </c>
      <c r="B545" s="41"/>
      <c r="C545" s="41"/>
      <c r="D545" s="41"/>
      <c r="E545" s="47"/>
      <c r="F545" s="56"/>
    </row>
    <row r="546" spans="1:6" ht="15" customHeight="1" x14ac:dyDescent="0.35">
      <c r="A546" s="56">
        <v>6044</v>
      </c>
      <c r="B546" s="41" t="s">
        <v>41</v>
      </c>
      <c r="C546" s="41" t="s">
        <v>1607</v>
      </c>
      <c r="D546" s="41" t="s">
        <v>2034</v>
      </c>
      <c r="E546" s="47">
        <v>45740.442442129628</v>
      </c>
      <c r="F546" s="56" t="s">
        <v>5</v>
      </c>
    </row>
    <row r="547" spans="1:6" ht="15" customHeight="1" x14ac:dyDescent="0.35">
      <c r="A547" s="56">
        <v>6045</v>
      </c>
      <c r="B547" s="41" t="s">
        <v>239</v>
      </c>
      <c r="C547" s="41" t="s">
        <v>546</v>
      </c>
      <c r="D547" s="41" t="s">
        <v>1404</v>
      </c>
      <c r="E547" s="47">
        <v>45680</v>
      </c>
      <c r="F547" s="56" t="s">
        <v>2</v>
      </c>
    </row>
    <row r="548" spans="1:6" ht="15" customHeight="1" x14ac:dyDescent="0.35">
      <c r="A548" s="56">
        <v>6046</v>
      </c>
      <c r="B548" s="41" t="s">
        <v>333</v>
      </c>
      <c r="C548" s="41" t="s">
        <v>334</v>
      </c>
      <c r="D548" s="41" t="s">
        <v>424</v>
      </c>
      <c r="E548" s="47">
        <v>45744</v>
      </c>
      <c r="F548" s="56" t="s">
        <v>6</v>
      </c>
    </row>
    <row r="549" spans="1:6" ht="15" customHeight="1" x14ac:dyDescent="0.35">
      <c r="A549" s="56">
        <v>6047</v>
      </c>
      <c r="B549" s="41" t="s">
        <v>1208</v>
      </c>
      <c r="C549" s="41" t="s">
        <v>2006</v>
      </c>
      <c r="D549" s="41" t="s">
        <v>85</v>
      </c>
      <c r="E549" s="47">
        <v>45734</v>
      </c>
      <c r="F549" s="56" t="s">
        <v>1</v>
      </c>
    </row>
    <row r="550" spans="1:6" ht="15" customHeight="1" x14ac:dyDescent="0.35">
      <c r="A550" s="56">
        <v>6048</v>
      </c>
      <c r="B550" s="41" t="s">
        <v>1471</v>
      </c>
      <c r="C550" s="41" t="s">
        <v>1472</v>
      </c>
      <c r="D550" s="41" t="s">
        <v>818</v>
      </c>
      <c r="E550" s="47">
        <v>45845</v>
      </c>
      <c r="F550" s="56" t="s">
        <v>1</v>
      </c>
    </row>
    <row r="551" spans="1:6" ht="15" customHeight="1" x14ac:dyDescent="0.35">
      <c r="A551" s="56">
        <v>6049</v>
      </c>
      <c r="B551" s="41" t="s">
        <v>1117</v>
      </c>
      <c r="C551" s="41" t="s">
        <v>1474</v>
      </c>
      <c r="D551" s="41" t="s">
        <v>755</v>
      </c>
      <c r="E551" s="47">
        <v>45681</v>
      </c>
      <c r="F551" s="56" t="s">
        <v>2</v>
      </c>
    </row>
    <row r="552" spans="1:6" ht="15" customHeight="1" x14ac:dyDescent="0.35">
      <c r="A552" s="56">
        <v>6050</v>
      </c>
      <c r="B552" s="41" t="s">
        <v>1432</v>
      </c>
      <c r="C552" s="41" t="s">
        <v>179</v>
      </c>
      <c r="D552" s="41" t="s">
        <v>992</v>
      </c>
      <c r="E552" s="47">
        <v>45922</v>
      </c>
      <c r="F552" s="56" t="s">
        <v>2077</v>
      </c>
    </row>
    <row r="553" spans="1:6" ht="15" customHeight="1" x14ac:dyDescent="0.35">
      <c r="A553" s="56">
        <v>6051</v>
      </c>
      <c r="B553" s="41" t="s">
        <v>1352</v>
      </c>
      <c r="C553" s="41" t="s">
        <v>1353</v>
      </c>
      <c r="D553" s="41" t="s">
        <v>2083</v>
      </c>
      <c r="E553" s="47">
        <v>45765</v>
      </c>
      <c r="F553" s="56" t="s">
        <v>1</v>
      </c>
    </row>
    <row r="554" spans="1:6" ht="15" customHeight="1" x14ac:dyDescent="0.35">
      <c r="A554" s="56">
        <v>6052</v>
      </c>
      <c r="B554" s="41" t="s">
        <v>509</v>
      </c>
      <c r="C554" s="41" t="s">
        <v>440</v>
      </c>
      <c r="D554" s="41" t="s">
        <v>1012</v>
      </c>
      <c r="E554" s="47">
        <v>45792</v>
      </c>
      <c r="F554" s="56" t="s">
        <v>18</v>
      </c>
    </row>
    <row r="555" spans="1:6" ht="15" customHeight="1" x14ac:dyDescent="0.35">
      <c r="A555" s="56">
        <v>6053</v>
      </c>
      <c r="B555" s="41" t="s">
        <v>1229</v>
      </c>
      <c r="C555" s="41" t="s">
        <v>1950</v>
      </c>
      <c r="D555" s="41" t="s">
        <v>1377</v>
      </c>
      <c r="E555" s="47">
        <v>45705</v>
      </c>
      <c r="F555" s="56" t="s">
        <v>1</v>
      </c>
    </row>
    <row r="556" spans="1:6" ht="15" customHeight="1" x14ac:dyDescent="0.35">
      <c r="A556" s="56">
        <v>6054</v>
      </c>
      <c r="B556" s="41" t="s">
        <v>239</v>
      </c>
      <c r="C556" s="41" t="s">
        <v>546</v>
      </c>
      <c r="D556" s="41" t="s">
        <v>1450</v>
      </c>
      <c r="E556" s="47">
        <v>45691</v>
      </c>
      <c r="F556" s="56" t="s">
        <v>2</v>
      </c>
    </row>
    <row r="557" spans="1:6" ht="15" customHeight="1" x14ac:dyDescent="0.35">
      <c r="A557" s="56">
        <v>6055</v>
      </c>
      <c r="B557" s="41" t="s">
        <v>1954</v>
      </c>
      <c r="C557" s="41" t="s">
        <v>408</v>
      </c>
      <c r="D557" s="41" t="s">
        <v>98</v>
      </c>
      <c r="E557" s="47">
        <v>45706</v>
      </c>
      <c r="F557" s="56" t="s">
        <v>4</v>
      </c>
    </row>
    <row r="558" spans="1:6" ht="15" customHeight="1" x14ac:dyDescent="0.35">
      <c r="A558" s="56">
        <v>6056</v>
      </c>
      <c r="B558" s="41"/>
      <c r="C558" s="41"/>
      <c r="D558" s="41"/>
      <c r="E558" s="47"/>
      <c r="F558" s="56"/>
    </row>
    <row r="559" spans="1:6" ht="15" customHeight="1" x14ac:dyDescent="0.35">
      <c r="A559" s="56">
        <v>6057</v>
      </c>
      <c r="B559" s="41" t="s">
        <v>1453</v>
      </c>
      <c r="C559" s="41" t="s">
        <v>179</v>
      </c>
      <c r="D559" s="41" t="s">
        <v>168</v>
      </c>
      <c r="E559" s="47">
        <v>45734</v>
      </c>
      <c r="F559" s="56" t="s">
        <v>1</v>
      </c>
    </row>
    <row r="560" spans="1:6" ht="15" customHeight="1" x14ac:dyDescent="0.35">
      <c r="A560" s="56">
        <v>6058</v>
      </c>
      <c r="B560" s="41" t="s">
        <v>1951</v>
      </c>
      <c r="C560" s="41" t="s">
        <v>718</v>
      </c>
      <c r="D560" s="41" t="s">
        <v>1952</v>
      </c>
      <c r="E560" s="47">
        <v>45705</v>
      </c>
      <c r="F560" s="56" t="s">
        <v>6</v>
      </c>
    </row>
    <row r="561" spans="1:6" ht="15" customHeight="1" x14ac:dyDescent="0.35">
      <c r="A561" s="56">
        <v>6059</v>
      </c>
      <c r="B561" s="41" t="s">
        <v>155</v>
      </c>
      <c r="C561" s="41" t="s">
        <v>1986</v>
      </c>
      <c r="D561" s="41" t="s">
        <v>121</v>
      </c>
      <c r="E561" s="47">
        <v>45729</v>
      </c>
      <c r="F561" s="56" t="s">
        <v>4</v>
      </c>
    </row>
    <row r="562" spans="1:6" ht="15" customHeight="1" x14ac:dyDescent="0.35">
      <c r="A562" s="56">
        <v>6060</v>
      </c>
      <c r="B562" s="41"/>
      <c r="C562" s="41"/>
      <c r="D562" s="41"/>
      <c r="E562" s="47"/>
      <c r="F562" s="56"/>
    </row>
    <row r="563" spans="1:6" ht="15" customHeight="1" x14ac:dyDescent="0.35">
      <c r="A563" s="56">
        <v>6061</v>
      </c>
      <c r="B563" s="41" t="s">
        <v>1217</v>
      </c>
      <c r="C563" s="41" t="s">
        <v>1336</v>
      </c>
      <c r="D563" s="41" t="s">
        <v>1010</v>
      </c>
      <c r="E563" s="47">
        <v>45712</v>
      </c>
      <c r="F563" s="56" t="s">
        <v>1</v>
      </c>
    </row>
    <row r="564" spans="1:6" ht="15" customHeight="1" x14ac:dyDescent="0.35">
      <c r="A564" s="56">
        <v>6062</v>
      </c>
      <c r="B564" s="41" t="s">
        <v>1953</v>
      </c>
      <c r="C564" s="41" t="s">
        <v>904</v>
      </c>
      <c r="D564" s="41" t="s">
        <v>1256</v>
      </c>
      <c r="E564" s="47">
        <v>45705</v>
      </c>
      <c r="F564" s="56" t="s">
        <v>1</v>
      </c>
    </row>
    <row r="565" spans="1:6" ht="15" customHeight="1" x14ac:dyDescent="0.35">
      <c r="A565" s="56">
        <v>6063</v>
      </c>
      <c r="B565" s="41" t="s">
        <v>1432</v>
      </c>
      <c r="C565" s="41" t="s">
        <v>179</v>
      </c>
      <c r="D565" s="41" t="s">
        <v>2384</v>
      </c>
      <c r="E565" s="47">
        <v>45922</v>
      </c>
      <c r="F565" s="56" t="s">
        <v>1</v>
      </c>
    </row>
    <row r="566" spans="1:6" ht="15" customHeight="1" x14ac:dyDescent="0.35">
      <c r="A566" s="56">
        <v>6064</v>
      </c>
      <c r="B566" s="41" t="s">
        <v>333</v>
      </c>
      <c r="C566" s="41" t="s">
        <v>1167</v>
      </c>
      <c r="D566" s="41" t="s">
        <v>85</v>
      </c>
      <c r="E566" s="47">
        <v>45743</v>
      </c>
      <c r="F566" s="56" t="s">
        <v>1</v>
      </c>
    </row>
    <row r="567" spans="1:6" ht="15" customHeight="1" x14ac:dyDescent="0.35">
      <c r="A567" s="56">
        <v>6065</v>
      </c>
      <c r="B567" s="41" t="s">
        <v>333</v>
      </c>
      <c r="C567" s="41" t="s">
        <v>133</v>
      </c>
      <c r="D567" s="41" t="s">
        <v>168</v>
      </c>
      <c r="E567" s="47">
        <v>45705</v>
      </c>
      <c r="F567" s="56" t="s">
        <v>1</v>
      </c>
    </row>
    <row r="568" spans="1:6" ht="15" customHeight="1" x14ac:dyDescent="0.35">
      <c r="A568" s="56">
        <v>6066</v>
      </c>
      <c r="B568" s="41"/>
      <c r="C568" s="41"/>
      <c r="D568" s="41"/>
      <c r="E568" s="47"/>
      <c r="F568" s="56"/>
    </row>
    <row r="569" spans="1:6" ht="15" customHeight="1" x14ac:dyDescent="0.35">
      <c r="A569" s="56">
        <v>6067</v>
      </c>
      <c r="B569" s="41" t="s">
        <v>1117</v>
      </c>
      <c r="C569" s="41" t="s">
        <v>32</v>
      </c>
      <c r="D569" s="41" t="s">
        <v>1982</v>
      </c>
      <c r="E569" s="47">
        <v>45720</v>
      </c>
      <c r="F569" s="56" t="s">
        <v>6</v>
      </c>
    </row>
    <row r="570" spans="1:6" ht="15" customHeight="1" x14ac:dyDescent="0.35">
      <c r="A570" s="56">
        <v>6068</v>
      </c>
      <c r="B570" s="41"/>
      <c r="C570" s="41"/>
      <c r="D570" s="41"/>
      <c r="E570" s="47"/>
      <c r="F570" s="56"/>
    </row>
    <row r="571" spans="1:6" ht="15" customHeight="1" x14ac:dyDescent="0.35">
      <c r="A571" s="56">
        <v>6070</v>
      </c>
      <c r="B571" s="57" t="s">
        <v>239</v>
      </c>
      <c r="C571" s="57" t="s">
        <v>546</v>
      </c>
      <c r="D571" s="57" t="s">
        <v>1957</v>
      </c>
      <c r="E571" s="47">
        <v>45706</v>
      </c>
      <c r="F571" s="56" t="s">
        <v>2</v>
      </c>
    </row>
    <row r="572" spans="1:6" ht="15" customHeight="1" x14ac:dyDescent="0.35">
      <c r="A572" s="56">
        <v>6071</v>
      </c>
      <c r="B572" s="57" t="s">
        <v>96</v>
      </c>
      <c r="C572" s="57" t="s">
        <v>179</v>
      </c>
      <c r="D572" s="57" t="s">
        <v>2076</v>
      </c>
      <c r="E572" s="47">
        <v>45758</v>
      </c>
      <c r="F572" s="56" t="s">
        <v>1</v>
      </c>
    </row>
    <row r="573" spans="1:6" ht="15" customHeight="1" x14ac:dyDescent="0.35">
      <c r="A573" s="56">
        <v>6073</v>
      </c>
      <c r="B573" s="57" t="s">
        <v>1217</v>
      </c>
      <c r="C573" s="57" t="s">
        <v>2075</v>
      </c>
      <c r="D573" s="57"/>
      <c r="E573" s="47">
        <v>45758</v>
      </c>
      <c r="F573" s="56" t="s">
        <v>1</v>
      </c>
    </row>
    <row r="574" spans="1:6" ht="15" customHeight="1" x14ac:dyDescent="0.35">
      <c r="A574" s="56">
        <v>6074</v>
      </c>
      <c r="B574" s="57" t="s">
        <v>1955</v>
      </c>
      <c r="C574" s="57" t="s">
        <v>1180</v>
      </c>
      <c r="D574" s="57" t="s">
        <v>1072</v>
      </c>
      <c r="E574" s="47">
        <v>45706</v>
      </c>
      <c r="F574" s="56" t="s">
        <v>1</v>
      </c>
    </row>
    <row r="575" spans="1:6" ht="15" customHeight="1" x14ac:dyDescent="0.35">
      <c r="A575" s="56">
        <v>6075</v>
      </c>
      <c r="B575" s="57" t="s">
        <v>1956</v>
      </c>
      <c r="C575" s="57" t="s">
        <v>444</v>
      </c>
      <c r="D575" s="57" t="s">
        <v>168</v>
      </c>
      <c r="E575" s="47">
        <v>45706</v>
      </c>
      <c r="F575" s="56" t="s">
        <v>1</v>
      </c>
    </row>
    <row r="576" spans="1:6" ht="15" customHeight="1" x14ac:dyDescent="0.35">
      <c r="A576" s="56">
        <v>6076</v>
      </c>
      <c r="B576" s="57" t="s">
        <v>1966</v>
      </c>
      <c r="C576" s="57" t="s">
        <v>1967</v>
      </c>
      <c r="D576" s="57" t="s">
        <v>168</v>
      </c>
      <c r="E576" s="47">
        <v>45712</v>
      </c>
      <c r="F576" s="56" t="s">
        <v>1</v>
      </c>
    </row>
    <row r="577" spans="1:6" ht="15" customHeight="1" x14ac:dyDescent="0.35">
      <c r="A577" s="56">
        <v>6077</v>
      </c>
      <c r="B577" s="57" t="s">
        <v>1071</v>
      </c>
      <c r="C577" s="57" t="s">
        <v>1206</v>
      </c>
      <c r="D577" s="57" t="s">
        <v>172</v>
      </c>
      <c r="E577" s="47">
        <v>45758</v>
      </c>
      <c r="F577" s="56" t="s">
        <v>1</v>
      </c>
    </row>
    <row r="578" spans="1:6" ht="15" customHeight="1" x14ac:dyDescent="0.35">
      <c r="A578" s="56">
        <v>6078</v>
      </c>
      <c r="B578" s="57" t="s">
        <v>1337</v>
      </c>
      <c r="C578" s="57" t="s">
        <v>1194</v>
      </c>
      <c r="D578" s="57" t="s">
        <v>592</v>
      </c>
      <c r="E578" s="47">
        <v>45748</v>
      </c>
      <c r="F578" s="56" t="s">
        <v>1</v>
      </c>
    </row>
    <row r="579" spans="1:6" ht="15" customHeight="1" x14ac:dyDescent="0.35">
      <c r="A579" s="56">
        <v>6079</v>
      </c>
      <c r="B579" s="57" t="s">
        <v>1171</v>
      </c>
      <c r="C579" s="57" t="s">
        <v>1279</v>
      </c>
      <c r="D579" s="57" t="s">
        <v>615</v>
      </c>
      <c r="E579" s="47">
        <v>45712</v>
      </c>
      <c r="F579" s="56" t="s">
        <v>1</v>
      </c>
    </row>
    <row r="580" spans="1:6" ht="15" customHeight="1" x14ac:dyDescent="0.35">
      <c r="A580" s="56">
        <v>6081</v>
      </c>
      <c r="B580" s="57" t="s">
        <v>1402</v>
      </c>
      <c r="C580" s="57" t="s">
        <v>1349</v>
      </c>
      <c r="D580" s="57" t="s">
        <v>1984</v>
      </c>
      <c r="E580" s="47">
        <v>45720</v>
      </c>
      <c r="F580" s="56" t="s">
        <v>1</v>
      </c>
    </row>
    <row r="581" spans="1:6" ht="15" customHeight="1" x14ac:dyDescent="0.35">
      <c r="A581" s="56">
        <v>6082</v>
      </c>
      <c r="B581" s="57" t="s">
        <v>1968</v>
      </c>
      <c r="C581" s="57" t="s">
        <v>138</v>
      </c>
      <c r="D581" s="57" t="s">
        <v>1148</v>
      </c>
      <c r="E581" s="47">
        <v>45715</v>
      </c>
      <c r="F581" s="56" t="s">
        <v>1</v>
      </c>
    </row>
    <row r="582" spans="1:6" ht="15" customHeight="1" x14ac:dyDescent="0.35">
      <c r="A582" s="56">
        <v>6083</v>
      </c>
      <c r="B582" s="57" t="s">
        <v>1352</v>
      </c>
      <c r="C582" s="57" t="s">
        <v>1353</v>
      </c>
      <c r="D582" s="57" t="s">
        <v>2074</v>
      </c>
      <c r="E582" s="47">
        <v>45758</v>
      </c>
      <c r="F582" s="56" t="s">
        <v>1</v>
      </c>
    </row>
    <row r="583" spans="1:6" ht="15" customHeight="1" x14ac:dyDescent="0.35">
      <c r="A583" s="56">
        <v>6084</v>
      </c>
      <c r="B583" s="57" t="s">
        <v>239</v>
      </c>
      <c r="C583" s="57" t="s">
        <v>546</v>
      </c>
      <c r="D583" s="57" t="s">
        <v>1969</v>
      </c>
      <c r="E583" s="47">
        <v>45716</v>
      </c>
      <c r="F583" s="56" t="s">
        <v>2</v>
      </c>
    </row>
    <row r="584" spans="1:6" ht="15" customHeight="1" x14ac:dyDescent="0.35">
      <c r="A584" s="56">
        <v>6085</v>
      </c>
      <c r="B584" s="92" t="s">
        <v>220</v>
      </c>
      <c r="C584" s="57" t="s">
        <v>2462</v>
      </c>
      <c r="D584" s="57" t="s">
        <v>85</v>
      </c>
      <c r="E584" s="47">
        <v>45797</v>
      </c>
      <c r="F584" s="56" t="s">
        <v>1</v>
      </c>
    </row>
    <row r="585" spans="1:6" ht="15" customHeight="1" x14ac:dyDescent="0.35">
      <c r="A585" s="91">
        <v>6086</v>
      </c>
      <c r="B585" s="92" t="s">
        <v>1099</v>
      </c>
      <c r="C585" s="57" t="s">
        <v>272</v>
      </c>
      <c r="D585" s="57" t="s">
        <v>1970</v>
      </c>
      <c r="E585" s="47">
        <v>45716</v>
      </c>
      <c r="F585" s="56" t="s">
        <v>2</v>
      </c>
    </row>
    <row r="586" spans="1:6" ht="15" customHeight="1" x14ac:dyDescent="0.35">
      <c r="A586" s="56">
        <v>6087</v>
      </c>
      <c r="B586" s="57" t="s">
        <v>333</v>
      </c>
      <c r="C586" s="57" t="s">
        <v>1167</v>
      </c>
      <c r="D586" s="57" t="s">
        <v>2008</v>
      </c>
      <c r="E586" s="47">
        <v>45734</v>
      </c>
      <c r="F586" s="56" t="s">
        <v>1</v>
      </c>
    </row>
    <row r="587" spans="1:6" ht="15" customHeight="1" x14ac:dyDescent="0.35">
      <c r="A587" s="56">
        <v>6088</v>
      </c>
      <c r="B587" s="57" t="s">
        <v>1099</v>
      </c>
      <c r="C587" s="57" t="s">
        <v>2011</v>
      </c>
      <c r="D587" s="57" t="s">
        <v>1047</v>
      </c>
      <c r="E587" s="47">
        <v>45734</v>
      </c>
      <c r="F587" s="56" t="s">
        <v>1</v>
      </c>
    </row>
    <row r="588" spans="1:6" ht="15" customHeight="1" x14ac:dyDescent="0.35">
      <c r="A588" s="56">
        <v>6089</v>
      </c>
      <c r="B588" s="57" t="s">
        <v>41</v>
      </c>
      <c r="C588" s="57" t="s">
        <v>2012</v>
      </c>
      <c r="D588" s="57" t="s">
        <v>2013</v>
      </c>
      <c r="E588" s="47">
        <v>45734</v>
      </c>
      <c r="F588" s="56" t="s">
        <v>4</v>
      </c>
    </row>
    <row r="589" spans="1:6" ht="15" customHeight="1" x14ac:dyDescent="0.35">
      <c r="A589" s="56">
        <v>6090</v>
      </c>
      <c r="B589" s="57" t="s">
        <v>1099</v>
      </c>
      <c r="C589" s="57" t="s">
        <v>362</v>
      </c>
      <c r="D589" s="57" t="s">
        <v>27</v>
      </c>
      <c r="E589" s="47">
        <v>45734</v>
      </c>
      <c r="F589" s="56" t="s">
        <v>1</v>
      </c>
    </row>
    <row r="590" spans="1:6" ht="15" customHeight="1" x14ac:dyDescent="0.35">
      <c r="A590" s="56">
        <v>6092</v>
      </c>
      <c r="B590" s="57" t="s">
        <v>1453</v>
      </c>
      <c r="C590" s="57" t="s">
        <v>912</v>
      </c>
      <c r="D590" s="57" t="s">
        <v>880</v>
      </c>
      <c r="E590" s="47">
        <v>45740</v>
      </c>
      <c r="F590" s="56" t="s">
        <v>1</v>
      </c>
    </row>
    <row r="591" spans="1:6" ht="15" customHeight="1" x14ac:dyDescent="0.35">
      <c r="A591" s="56">
        <v>6093</v>
      </c>
      <c r="B591" s="57" t="s">
        <v>333</v>
      </c>
      <c r="C591" s="57" t="s">
        <v>133</v>
      </c>
      <c r="D591" s="57" t="s">
        <v>168</v>
      </c>
      <c r="E591" s="47">
        <v>45734</v>
      </c>
      <c r="F591" s="56" t="s">
        <v>1</v>
      </c>
    </row>
    <row r="592" spans="1:6" ht="15" customHeight="1" x14ac:dyDescent="0.35">
      <c r="A592" s="56">
        <v>6094</v>
      </c>
      <c r="B592" s="57" t="s">
        <v>333</v>
      </c>
      <c r="C592" s="57" t="s">
        <v>1167</v>
      </c>
      <c r="D592" s="57" t="s">
        <v>415</v>
      </c>
      <c r="E592" s="47">
        <v>45743</v>
      </c>
      <c r="F592" s="56" t="s">
        <v>1</v>
      </c>
    </row>
    <row r="593" spans="1:6" ht="15" customHeight="1" x14ac:dyDescent="0.35">
      <c r="A593" s="56">
        <v>6098</v>
      </c>
      <c r="B593" s="57" t="s">
        <v>1171</v>
      </c>
      <c r="C593" s="57" t="s">
        <v>1279</v>
      </c>
      <c r="D593" s="57" t="s">
        <v>801</v>
      </c>
      <c r="E593" s="47">
        <v>45734</v>
      </c>
      <c r="F593" s="56" t="s">
        <v>1</v>
      </c>
    </row>
    <row r="594" spans="1:6" ht="15" customHeight="1" x14ac:dyDescent="0.35">
      <c r="A594" s="56">
        <v>6099</v>
      </c>
      <c r="B594" s="57" t="s">
        <v>1272</v>
      </c>
      <c r="C594" s="57" t="s">
        <v>2020</v>
      </c>
      <c r="D594" s="57" t="s">
        <v>2021</v>
      </c>
      <c r="E594" s="47">
        <v>45734</v>
      </c>
      <c r="F594" s="56" t="s">
        <v>1</v>
      </c>
    </row>
    <row r="595" spans="1:6" ht="15" customHeight="1" x14ac:dyDescent="0.35">
      <c r="A595" s="56">
        <v>6100</v>
      </c>
      <c r="B595" s="57" t="s">
        <v>74</v>
      </c>
      <c r="C595" s="57" t="s">
        <v>367</v>
      </c>
      <c r="D595" s="57" t="s">
        <v>58</v>
      </c>
      <c r="E595" s="47">
        <v>45743</v>
      </c>
      <c r="F595" s="56" t="s">
        <v>1</v>
      </c>
    </row>
    <row r="596" spans="1:6" ht="15" customHeight="1" x14ac:dyDescent="0.35">
      <c r="A596" s="56">
        <v>6101</v>
      </c>
      <c r="B596" s="57" t="s">
        <v>1446</v>
      </c>
      <c r="C596" s="57" t="s">
        <v>1194</v>
      </c>
      <c r="D596" s="57" t="s">
        <v>283</v>
      </c>
      <c r="E596" s="47">
        <v>45740</v>
      </c>
      <c r="F596" s="56" t="s">
        <v>1</v>
      </c>
    </row>
    <row r="597" spans="1:6" ht="15" customHeight="1" x14ac:dyDescent="0.35">
      <c r="A597" s="56">
        <v>6102</v>
      </c>
      <c r="B597" s="57" t="s">
        <v>1208</v>
      </c>
      <c r="C597" s="57" t="s">
        <v>2007</v>
      </c>
      <c r="D597" s="57" t="s">
        <v>85</v>
      </c>
      <c r="E597" s="47">
        <v>45734</v>
      </c>
      <c r="F597" s="56" t="s">
        <v>1</v>
      </c>
    </row>
    <row r="598" spans="1:6" ht="15" customHeight="1" x14ac:dyDescent="0.35">
      <c r="A598" s="56">
        <v>6103</v>
      </c>
      <c r="B598" s="57" t="s">
        <v>2016</v>
      </c>
      <c r="C598" s="57" t="s">
        <v>2017</v>
      </c>
      <c r="D598" s="57" t="s">
        <v>168</v>
      </c>
      <c r="E598" s="47">
        <v>45734</v>
      </c>
      <c r="F598" s="56" t="s">
        <v>1</v>
      </c>
    </row>
    <row r="599" spans="1:6" ht="15" customHeight="1" x14ac:dyDescent="0.35">
      <c r="A599" s="56">
        <v>6104</v>
      </c>
      <c r="B599" s="57" t="s">
        <v>239</v>
      </c>
      <c r="C599" s="57" t="s">
        <v>546</v>
      </c>
      <c r="D599" s="57" t="s">
        <v>1450</v>
      </c>
      <c r="E599" s="47">
        <v>45743</v>
      </c>
      <c r="F599" s="56" t="s">
        <v>2</v>
      </c>
    </row>
    <row r="600" spans="1:6" ht="15" customHeight="1" x14ac:dyDescent="0.35">
      <c r="A600" s="56">
        <v>6106</v>
      </c>
      <c r="B600" s="57" t="s">
        <v>1217</v>
      </c>
      <c r="C600" s="57" t="s">
        <v>718</v>
      </c>
      <c r="D600" s="57" t="s">
        <v>1261</v>
      </c>
      <c r="E600" s="47">
        <v>45743</v>
      </c>
      <c r="F600" s="56" t="s">
        <v>1</v>
      </c>
    </row>
    <row r="601" spans="1:6" ht="15" customHeight="1" x14ac:dyDescent="0.35">
      <c r="A601" s="56">
        <v>6107</v>
      </c>
      <c r="B601" s="57" t="s">
        <v>239</v>
      </c>
      <c r="C601" s="57" t="s">
        <v>546</v>
      </c>
      <c r="D601" s="57" t="s">
        <v>1467</v>
      </c>
      <c r="E601" s="47">
        <v>45743</v>
      </c>
      <c r="F601" s="56" t="s">
        <v>2</v>
      </c>
    </row>
    <row r="602" spans="1:6" ht="15" customHeight="1" x14ac:dyDescent="0.35">
      <c r="A602" s="56">
        <v>6108</v>
      </c>
      <c r="B602" s="92" t="s">
        <v>41</v>
      </c>
      <c r="C602" s="92" t="s">
        <v>2012</v>
      </c>
      <c r="D602" s="92" t="s">
        <v>2766</v>
      </c>
      <c r="E602" s="47">
        <v>45916</v>
      </c>
      <c r="F602" s="56" t="s">
        <v>4</v>
      </c>
    </row>
    <row r="603" spans="1:6" ht="15" customHeight="1" x14ac:dyDescent="0.35">
      <c r="A603" s="56">
        <v>6109</v>
      </c>
      <c r="B603" s="57" t="s">
        <v>2037</v>
      </c>
      <c r="C603" s="57" t="s">
        <v>2038</v>
      </c>
      <c r="D603" s="57" t="s">
        <v>27</v>
      </c>
      <c r="E603" s="47">
        <v>45740</v>
      </c>
      <c r="F603" s="56" t="s">
        <v>1</v>
      </c>
    </row>
    <row r="604" spans="1:6" ht="15" customHeight="1" x14ac:dyDescent="0.35">
      <c r="A604" s="56">
        <v>6110</v>
      </c>
      <c r="B604" s="57" t="s">
        <v>239</v>
      </c>
      <c r="C604" s="57" t="s">
        <v>546</v>
      </c>
      <c r="D604" s="57" t="s">
        <v>146</v>
      </c>
      <c r="E604" s="47">
        <v>45743</v>
      </c>
      <c r="F604" s="56" t="s">
        <v>2</v>
      </c>
    </row>
    <row r="605" spans="1:6" ht="15" customHeight="1" x14ac:dyDescent="0.35">
      <c r="A605" s="56">
        <v>6111</v>
      </c>
      <c r="B605" s="57" t="s">
        <v>239</v>
      </c>
      <c r="C605" s="57" t="s">
        <v>546</v>
      </c>
      <c r="D605" s="57" t="s">
        <v>2073</v>
      </c>
      <c r="E605" s="47">
        <v>45756</v>
      </c>
      <c r="F605" s="56" t="s">
        <v>3</v>
      </c>
    </row>
    <row r="606" spans="1:6" ht="15" customHeight="1" x14ac:dyDescent="0.35">
      <c r="A606" s="56">
        <v>6112</v>
      </c>
      <c r="B606" s="57" t="s">
        <v>1453</v>
      </c>
      <c r="C606" s="57" t="s">
        <v>2062</v>
      </c>
      <c r="D606" s="57" t="s">
        <v>1377</v>
      </c>
      <c r="E606" s="47">
        <v>45747</v>
      </c>
      <c r="F606" s="56" t="s">
        <v>1</v>
      </c>
    </row>
    <row r="607" spans="1:6" ht="15" customHeight="1" x14ac:dyDescent="0.35">
      <c r="A607" s="56">
        <v>6113</v>
      </c>
      <c r="B607" s="57" t="s">
        <v>1454</v>
      </c>
      <c r="C607" s="57" t="s">
        <v>179</v>
      </c>
      <c r="D607" s="57" t="s">
        <v>615</v>
      </c>
      <c r="E607" s="47">
        <v>45758</v>
      </c>
      <c r="F607" s="56" t="s">
        <v>1</v>
      </c>
    </row>
    <row r="608" spans="1:6" ht="15" customHeight="1" x14ac:dyDescent="0.35">
      <c r="A608" s="56">
        <v>6114</v>
      </c>
      <c r="B608" s="57" t="s">
        <v>195</v>
      </c>
      <c r="C608" s="57" t="s">
        <v>1468</v>
      </c>
      <c r="D608" s="57" t="s">
        <v>609</v>
      </c>
      <c r="E608" s="47">
        <v>45758</v>
      </c>
      <c r="F608" s="56" t="s">
        <v>1</v>
      </c>
    </row>
    <row r="609" spans="1:6" ht="15" customHeight="1" x14ac:dyDescent="0.35">
      <c r="A609" s="56">
        <v>6115</v>
      </c>
      <c r="B609" s="57"/>
      <c r="C609" s="57"/>
      <c r="D609" s="57"/>
      <c r="E609" s="47"/>
      <c r="F609" s="56"/>
    </row>
    <row r="610" spans="1:6" ht="15" customHeight="1" x14ac:dyDescent="0.35">
      <c r="A610" s="56">
        <v>6116</v>
      </c>
      <c r="B610" s="57" t="s">
        <v>1453</v>
      </c>
      <c r="C610" s="57" t="s">
        <v>912</v>
      </c>
      <c r="D610" s="57" t="s">
        <v>2080</v>
      </c>
      <c r="E610" s="47">
        <v>45764</v>
      </c>
      <c r="F610" s="56" t="s">
        <v>1</v>
      </c>
    </row>
    <row r="611" spans="1:6" ht="15" customHeight="1" x14ac:dyDescent="0.35">
      <c r="A611" s="56">
        <v>6117</v>
      </c>
      <c r="B611" s="57" t="s">
        <v>2016</v>
      </c>
      <c r="C611" s="57" t="s">
        <v>2396</v>
      </c>
      <c r="D611" s="57" t="s">
        <v>104</v>
      </c>
      <c r="E611" s="47">
        <v>45811</v>
      </c>
      <c r="F611" s="56" t="s">
        <v>1</v>
      </c>
    </row>
    <row r="612" spans="1:6" ht="15" customHeight="1" x14ac:dyDescent="0.35">
      <c r="A612" s="56">
        <v>6118</v>
      </c>
      <c r="B612" s="57" t="s">
        <v>239</v>
      </c>
      <c r="C612" s="57" t="s">
        <v>240</v>
      </c>
      <c r="D612" s="57" t="s">
        <v>2082</v>
      </c>
      <c r="E612" s="47">
        <v>45765</v>
      </c>
      <c r="F612" s="56" t="s">
        <v>1</v>
      </c>
    </row>
    <row r="613" spans="1:6" ht="15" customHeight="1" x14ac:dyDescent="0.35">
      <c r="A613" s="56">
        <v>6119</v>
      </c>
      <c r="B613" s="57" t="s">
        <v>1324</v>
      </c>
      <c r="C613" s="57" t="s">
        <v>1326</v>
      </c>
      <c r="D613" s="57" t="s">
        <v>2084</v>
      </c>
      <c r="E613" s="47">
        <v>45765</v>
      </c>
      <c r="F613" s="56" t="s">
        <v>1</v>
      </c>
    </row>
    <row r="614" spans="1:6" ht="15" customHeight="1" x14ac:dyDescent="0.35">
      <c r="A614" s="56">
        <v>6120</v>
      </c>
      <c r="B614" s="57"/>
      <c r="C614" s="57"/>
      <c r="D614" s="57"/>
      <c r="E614" s="47"/>
      <c r="F614" s="56"/>
    </row>
    <row r="615" spans="1:6" ht="15" customHeight="1" x14ac:dyDescent="0.35">
      <c r="A615" s="56">
        <v>6121</v>
      </c>
      <c r="B615" s="57" t="s">
        <v>41</v>
      </c>
      <c r="C615" s="57" t="s">
        <v>200</v>
      </c>
      <c r="D615" s="57" t="s">
        <v>1948</v>
      </c>
      <c r="E615" s="47">
        <v>45922</v>
      </c>
      <c r="F615" s="56" t="s">
        <v>4</v>
      </c>
    </row>
    <row r="616" spans="1:6" ht="15" customHeight="1" x14ac:dyDescent="0.35">
      <c r="A616" s="56">
        <v>6122</v>
      </c>
      <c r="B616" s="57" t="s">
        <v>360</v>
      </c>
      <c r="C616" s="57" t="s">
        <v>1318</v>
      </c>
      <c r="D616" s="57" t="s">
        <v>1547</v>
      </c>
      <c r="E616" s="47">
        <v>45797</v>
      </c>
      <c r="F616" s="56" t="s">
        <v>1</v>
      </c>
    </row>
    <row r="617" spans="1:6" ht="15" customHeight="1" x14ac:dyDescent="0.35">
      <c r="A617" s="56">
        <v>6123</v>
      </c>
      <c r="B617" s="57"/>
      <c r="C617" s="57"/>
      <c r="D617" s="57"/>
      <c r="E617" s="47"/>
      <c r="F617" s="56"/>
    </row>
    <row r="618" spans="1:6" ht="15" customHeight="1" x14ac:dyDescent="0.35">
      <c r="A618" s="56">
        <v>6124</v>
      </c>
      <c r="B618" s="57" t="s">
        <v>1966</v>
      </c>
      <c r="C618" s="57" t="s">
        <v>1226</v>
      </c>
      <c r="D618" s="57" t="s">
        <v>168</v>
      </c>
      <c r="E618" s="47">
        <v>45765</v>
      </c>
      <c r="F618" s="56" t="s">
        <v>1</v>
      </c>
    </row>
    <row r="619" spans="1:6" ht="15" customHeight="1" x14ac:dyDescent="0.35">
      <c r="A619" s="56">
        <v>6125</v>
      </c>
      <c r="B619" s="57" t="s">
        <v>2085</v>
      </c>
      <c r="C619" s="57" t="s">
        <v>249</v>
      </c>
      <c r="D619" s="57" t="s">
        <v>145</v>
      </c>
      <c r="E619" s="47">
        <v>45765</v>
      </c>
      <c r="F619" s="56" t="s">
        <v>1</v>
      </c>
    </row>
    <row r="620" spans="1:6" ht="15" customHeight="1" x14ac:dyDescent="0.35">
      <c r="A620" s="56">
        <v>6126</v>
      </c>
      <c r="B620" s="57" t="s">
        <v>1117</v>
      </c>
      <c r="C620" s="57" t="s">
        <v>32</v>
      </c>
      <c r="D620" s="57" t="s">
        <v>215</v>
      </c>
      <c r="E620" s="47">
        <v>45769</v>
      </c>
      <c r="F620" s="56" t="s">
        <v>2077</v>
      </c>
    </row>
    <row r="621" spans="1:6" ht="15" customHeight="1" x14ac:dyDescent="0.35">
      <c r="A621" s="56">
        <v>6127</v>
      </c>
      <c r="B621" s="57" t="s">
        <v>2079</v>
      </c>
      <c r="C621" s="57" t="s">
        <v>133</v>
      </c>
      <c r="D621" s="57" t="s">
        <v>145</v>
      </c>
      <c r="E621" s="47">
        <v>45764</v>
      </c>
      <c r="F621" s="56" t="s">
        <v>1</v>
      </c>
    </row>
    <row r="622" spans="1:6" ht="15" customHeight="1" x14ac:dyDescent="0.35">
      <c r="A622" s="56">
        <v>6128</v>
      </c>
      <c r="B622" s="57" t="s">
        <v>1446</v>
      </c>
      <c r="C622" s="57" t="s">
        <v>1194</v>
      </c>
      <c r="D622" s="57" t="s">
        <v>283</v>
      </c>
      <c r="E622" s="47">
        <v>45765</v>
      </c>
      <c r="F622" s="56" t="s">
        <v>1</v>
      </c>
    </row>
    <row r="623" spans="1:6" ht="15" customHeight="1" x14ac:dyDescent="0.35">
      <c r="A623" s="56">
        <v>6129</v>
      </c>
      <c r="B623" s="57"/>
      <c r="C623" s="57"/>
      <c r="D623" s="57"/>
      <c r="E623" s="47"/>
      <c r="F623" s="56"/>
    </row>
    <row r="624" spans="1:6" ht="15" customHeight="1" x14ac:dyDescent="0.35">
      <c r="A624" s="56">
        <v>6130</v>
      </c>
      <c r="B624" s="57" t="s">
        <v>1387</v>
      </c>
      <c r="C624" s="57" t="s">
        <v>1388</v>
      </c>
      <c r="D624" s="57" t="s">
        <v>2086</v>
      </c>
      <c r="E624" s="47">
        <v>45765</v>
      </c>
      <c r="F624" s="56" t="s">
        <v>1</v>
      </c>
    </row>
    <row r="625" spans="1:6" ht="15" customHeight="1" x14ac:dyDescent="0.35">
      <c r="A625" s="56">
        <v>6131</v>
      </c>
      <c r="B625" s="57" t="s">
        <v>74</v>
      </c>
      <c r="C625" s="57" t="s">
        <v>75</v>
      </c>
      <c r="D625" s="57" t="s">
        <v>1448</v>
      </c>
      <c r="E625" s="47">
        <v>45840</v>
      </c>
      <c r="F625" s="56" t="s">
        <v>1</v>
      </c>
    </row>
    <row r="626" spans="1:6" ht="15" customHeight="1" x14ac:dyDescent="0.35">
      <c r="A626" s="56">
        <v>6132</v>
      </c>
      <c r="B626" s="41" t="s">
        <v>509</v>
      </c>
      <c r="C626" s="41" t="s">
        <v>512</v>
      </c>
      <c r="D626" s="57"/>
      <c r="E626" s="47">
        <v>45765</v>
      </c>
      <c r="F626" s="56" t="s">
        <v>1</v>
      </c>
    </row>
    <row r="627" spans="1:6" ht="15" customHeight="1" x14ac:dyDescent="0.35">
      <c r="A627" s="56">
        <v>6133</v>
      </c>
      <c r="B627" s="57" t="s">
        <v>919</v>
      </c>
      <c r="C627" s="57" t="s">
        <v>179</v>
      </c>
      <c r="D627" s="57" t="s">
        <v>85</v>
      </c>
      <c r="E627" s="47">
        <v>45765</v>
      </c>
      <c r="F627" s="56" t="s">
        <v>1</v>
      </c>
    </row>
    <row r="628" spans="1:6" ht="15" customHeight="1" x14ac:dyDescent="0.35">
      <c r="A628" s="56">
        <v>6134</v>
      </c>
      <c r="B628" s="57" t="s">
        <v>309</v>
      </c>
      <c r="C628" s="57" t="s">
        <v>181</v>
      </c>
      <c r="D628" s="57"/>
      <c r="E628" s="47">
        <v>45765</v>
      </c>
      <c r="F628" s="56" t="s">
        <v>1</v>
      </c>
    </row>
    <row r="629" spans="1:6" ht="15" customHeight="1" x14ac:dyDescent="0.35">
      <c r="A629" s="56">
        <v>6135</v>
      </c>
      <c r="B629" s="57" t="s">
        <v>1217</v>
      </c>
      <c r="C629" s="57"/>
      <c r="D629" s="57" t="s">
        <v>1291</v>
      </c>
      <c r="E629" s="47">
        <v>45764</v>
      </c>
      <c r="F629" s="56" t="s">
        <v>1</v>
      </c>
    </row>
    <row r="630" spans="1:6" ht="15" customHeight="1" x14ac:dyDescent="0.35">
      <c r="A630" s="56">
        <v>6136</v>
      </c>
      <c r="B630" s="57" t="s">
        <v>1245</v>
      </c>
      <c r="C630" s="57" t="s">
        <v>299</v>
      </c>
      <c r="D630" s="57" t="s">
        <v>401</v>
      </c>
      <c r="E630" s="47">
        <v>45845</v>
      </c>
      <c r="F630" s="56" t="s">
        <v>1</v>
      </c>
    </row>
    <row r="631" spans="1:6" ht="15" customHeight="1" x14ac:dyDescent="0.35">
      <c r="A631" s="56">
        <v>6137</v>
      </c>
      <c r="B631" s="57" t="s">
        <v>1229</v>
      </c>
      <c r="C631" s="57" t="s">
        <v>179</v>
      </c>
      <c r="D631" s="57" t="s">
        <v>2081</v>
      </c>
      <c r="E631" s="47">
        <v>45765</v>
      </c>
      <c r="F631" s="56" t="s">
        <v>1</v>
      </c>
    </row>
    <row r="632" spans="1:6" ht="15" customHeight="1" x14ac:dyDescent="0.35">
      <c r="A632" s="56">
        <v>6138</v>
      </c>
      <c r="B632" s="57" t="s">
        <v>36</v>
      </c>
      <c r="C632" s="57" t="s">
        <v>930</v>
      </c>
      <c r="D632" s="57" t="s">
        <v>186</v>
      </c>
      <c r="E632" s="47">
        <v>45765</v>
      </c>
      <c r="F632" s="56" t="s">
        <v>3</v>
      </c>
    </row>
    <row r="633" spans="1:6" ht="15" customHeight="1" x14ac:dyDescent="0.35">
      <c r="A633" s="56">
        <v>6139</v>
      </c>
      <c r="B633" s="57" t="s">
        <v>1071</v>
      </c>
      <c r="C633" s="57" t="s">
        <v>227</v>
      </c>
      <c r="D633" s="57" t="s">
        <v>2087</v>
      </c>
      <c r="E633" s="47">
        <v>45765</v>
      </c>
      <c r="F633" s="56" t="s">
        <v>1</v>
      </c>
    </row>
    <row r="634" spans="1:6" ht="15" customHeight="1" x14ac:dyDescent="0.35">
      <c r="A634" s="56">
        <v>6140</v>
      </c>
      <c r="B634" s="57" t="s">
        <v>1352</v>
      </c>
      <c r="C634" s="57" t="s">
        <v>1353</v>
      </c>
      <c r="D634" s="57" t="s">
        <v>1045</v>
      </c>
      <c r="E634" s="47">
        <v>45771</v>
      </c>
      <c r="F634" s="56" t="s">
        <v>1</v>
      </c>
    </row>
    <row r="635" spans="1:6" ht="15" customHeight="1" x14ac:dyDescent="0.35">
      <c r="A635" s="56">
        <v>6141</v>
      </c>
      <c r="B635" s="57" t="s">
        <v>1453</v>
      </c>
      <c r="C635" s="57" t="s">
        <v>179</v>
      </c>
      <c r="D635" s="57" t="s">
        <v>168</v>
      </c>
      <c r="E635" s="47">
        <v>45764</v>
      </c>
      <c r="F635" s="56" t="s">
        <v>1</v>
      </c>
    </row>
    <row r="636" spans="1:6" ht="15" customHeight="1" x14ac:dyDescent="0.35">
      <c r="A636" s="56">
        <v>6142</v>
      </c>
      <c r="B636" s="57" t="s">
        <v>41</v>
      </c>
      <c r="C636" s="57" t="s">
        <v>287</v>
      </c>
      <c r="D636" s="57" t="s">
        <v>98</v>
      </c>
      <c r="E636" s="47">
        <v>45831</v>
      </c>
      <c r="F636" s="56" t="s">
        <v>4</v>
      </c>
    </row>
    <row r="637" spans="1:6" ht="15" customHeight="1" x14ac:dyDescent="0.35">
      <c r="A637" s="56">
        <v>6143</v>
      </c>
      <c r="B637" s="57" t="s">
        <v>2097</v>
      </c>
      <c r="C637" s="57" t="s">
        <v>912</v>
      </c>
      <c r="D637" s="57" t="s">
        <v>1144</v>
      </c>
      <c r="E637" s="47">
        <v>45770</v>
      </c>
      <c r="F637" s="56" t="s">
        <v>18</v>
      </c>
    </row>
    <row r="638" spans="1:6" ht="15" customHeight="1" x14ac:dyDescent="0.35">
      <c r="A638" s="56">
        <v>6144</v>
      </c>
      <c r="B638" s="57" t="s">
        <v>74</v>
      </c>
      <c r="C638" s="57" t="s">
        <v>367</v>
      </c>
      <c r="D638" s="57" t="s">
        <v>2767</v>
      </c>
      <c r="E638" s="47">
        <v>45916</v>
      </c>
      <c r="F638" s="56" t="s">
        <v>4</v>
      </c>
    </row>
    <row r="639" spans="1:6" ht="15" customHeight="1" x14ac:dyDescent="0.35">
      <c r="A639" s="56">
        <v>6145</v>
      </c>
      <c r="B639" s="57" t="s">
        <v>239</v>
      </c>
      <c r="C639" s="57" t="s">
        <v>546</v>
      </c>
      <c r="D639" s="57" t="s">
        <v>1467</v>
      </c>
      <c r="E639" s="47">
        <v>45782</v>
      </c>
      <c r="F639" s="56" t="s">
        <v>3</v>
      </c>
    </row>
    <row r="640" spans="1:6" ht="15" customHeight="1" x14ac:dyDescent="0.35">
      <c r="A640" s="56">
        <v>6146</v>
      </c>
      <c r="B640" s="57" t="s">
        <v>1247</v>
      </c>
      <c r="C640" s="57" t="s">
        <v>249</v>
      </c>
      <c r="D640" s="57" t="s">
        <v>145</v>
      </c>
      <c r="E640" s="47">
        <v>45771</v>
      </c>
      <c r="F640" s="56" t="s">
        <v>1</v>
      </c>
    </row>
    <row r="641" spans="1:6" ht="15" customHeight="1" x14ac:dyDescent="0.35">
      <c r="A641" s="56">
        <v>6147</v>
      </c>
      <c r="B641" s="57" t="s">
        <v>1949</v>
      </c>
      <c r="C641" s="57" t="s">
        <v>1228</v>
      </c>
      <c r="D641" s="57" t="s">
        <v>2100</v>
      </c>
      <c r="E641" s="47">
        <v>45771</v>
      </c>
      <c r="F641" s="56" t="s">
        <v>1</v>
      </c>
    </row>
    <row r="642" spans="1:6" ht="15" customHeight="1" x14ac:dyDescent="0.35">
      <c r="A642" s="56">
        <v>6148</v>
      </c>
      <c r="B642" s="57" t="s">
        <v>239</v>
      </c>
      <c r="C642" s="57" t="s">
        <v>240</v>
      </c>
      <c r="D642" s="57" t="s">
        <v>2139</v>
      </c>
      <c r="E642" s="47">
        <v>45782</v>
      </c>
      <c r="F642" s="56" t="s">
        <v>1</v>
      </c>
    </row>
    <row r="643" spans="1:6" ht="15" customHeight="1" x14ac:dyDescent="0.35">
      <c r="A643" s="56">
        <v>6149</v>
      </c>
      <c r="B643" s="57"/>
      <c r="C643" s="57"/>
      <c r="D643" s="57"/>
      <c r="E643" s="47"/>
      <c r="F643" s="56"/>
    </row>
    <row r="644" spans="1:6" ht="15" customHeight="1" x14ac:dyDescent="0.35">
      <c r="A644" s="56">
        <v>6150</v>
      </c>
      <c r="B644" s="57" t="s">
        <v>220</v>
      </c>
      <c r="C644" s="57" t="s">
        <v>2183</v>
      </c>
      <c r="D644" s="57" t="s">
        <v>85</v>
      </c>
      <c r="E644" s="47">
        <v>45797</v>
      </c>
      <c r="F644" s="56" t="s">
        <v>1</v>
      </c>
    </row>
    <row r="645" spans="1:6" ht="15" customHeight="1" x14ac:dyDescent="0.35">
      <c r="A645" s="56">
        <v>6151</v>
      </c>
      <c r="B645" s="41" t="s">
        <v>509</v>
      </c>
      <c r="C645" s="41" t="s">
        <v>2098</v>
      </c>
      <c r="D645" s="41" t="s">
        <v>2099</v>
      </c>
      <c r="E645" s="47">
        <v>45771</v>
      </c>
      <c r="F645" s="56" t="s">
        <v>1</v>
      </c>
    </row>
    <row r="646" spans="1:6" ht="15" customHeight="1" x14ac:dyDescent="0.35">
      <c r="A646" s="56">
        <v>6152</v>
      </c>
      <c r="B646" s="57" t="s">
        <v>1283</v>
      </c>
      <c r="C646" s="57" t="s">
        <v>32</v>
      </c>
      <c r="D646" s="57" t="s">
        <v>2184</v>
      </c>
      <c r="E646" s="47">
        <v>45797</v>
      </c>
      <c r="F646" s="56" t="s">
        <v>18</v>
      </c>
    </row>
    <row r="647" spans="1:6" ht="15" customHeight="1" x14ac:dyDescent="0.35">
      <c r="A647" s="56">
        <v>6153</v>
      </c>
      <c r="B647" s="57"/>
      <c r="C647" s="57"/>
      <c r="D647" s="57"/>
      <c r="E647" s="47"/>
      <c r="F647" s="56"/>
    </row>
    <row r="648" spans="1:6" ht="15" customHeight="1" x14ac:dyDescent="0.35">
      <c r="A648" s="56">
        <v>6154</v>
      </c>
      <c r="B648" s="57" t="s">
        <v>2079</v>
      </c>
      <c r="C648" s="57" t="s">
        <v>133</v>
      </c>
      <c r="D648" s="57" t="s">
        <v>927</v>
      </c>
      <c r="E648" s="47">
        <v>45771</v>
      </c>
      <c r="F648" s="56" t="s">
        <v>1</v>
      </c>
    </row>
    <row r="649" spans="1:6" ht="15" customHeight="1" x14ac:dyDescent="0.35">
      <c r="A649" s="56">
        <v>6155</v>
      </c>
      <c r="B649" s="57" t="s">
        <v>1348</v>
      </c>
      <c r="C649" s="57" t="s">
        <v>2185</v>
      </c>
      <c r="D649" s="57" t="s">
        <v>1394</v>
      </c>
      <c r="E649" s="47">
        <v>45797</v>
      </c>
      <c r="F649" s="56" t="s">
        <v>1</v>
      </c>
    </row>
    <row r="650" spans="1:6" ht="15" customHeight="1" x14ac:dyDescent="0.35">
      <c r="A650" s="56">
        <v>6156</v>
      </c>
      <c r="B650" s="57"/>
      <c r="C650" s="57"/>
      <c r="D650" s="57"/>
      <c r="E650" s="47"/>
      <c r="F650" s="56"/>
    </row>
    <row r="651" spans="1:6" ht="15" customHeight="1" x14ac:dyDescent="0.35">
      <c r="A651" s="56">
        <v>6157</v>
      </c>
      <c r="B651" s="57" t="s">
        <v>917</v>
      </c>
      <c r="C651" s="57" t="s">
        <v>133</v>
      </c>
      <c r="D651" s="57" t="s">
        <v>615</v>
      </c>
      <c r="E651" s="47">
        <v>45771</v>
      </c>
      <c r="F651" s="56" t="s">
        <v>1</v>
      </c>
    </row>
    <row r="652" spans="1:6" ht="15" customHeight="1" x14ac:dyDescent="0.35">
      <c r="A652" s="56">
        <v>6158</v>
      </c>
      <c r="B652" s="57" t="s">
        <v>591</v>
      </c>
      <c r="C652" s="57" t="s">
        <v>32</v>
      </c>
      <c r="D652" s="57" t="s">
        <v>2162</v>
      </c>
      <c r="E652" s="47">
        <v>45775</v>
      </c>
      <c r="F652" s="56" t="s">
        <v>4</v>
      </c>
    </row>
    <row r="653" spans="1:6" ht="15" customHeight="1" x14ac:dyDescent="0.35">
      <c r="A653" s="56">
        <v>6159</v>
      </c>
      <c r="B653" s="57" t="s">
        <v>41</v>
      </c>
      <c r="C653" s="57" t="s">
        <v>2809</v>
      </c>
      <c r="D653" s="57" t="s">
        <v>2810</v>
      </c>
      <c r="E653" s="47">
        <v>45922</v>
      </c>
      <c r="F653" s="56" t="s">
        <v>4</v>
      </c>
    </row>
    <row r="654" spans="1:6" ht="15" customHeight="1" x14ac:dyDescent="0.35">
      <c r="A654" s="56">
        <v>6160</v>
      </c>
      <c r="B654" s="57" t="s">
        <v>2481</v>
      </c>
      <c r="C654" s="57" t="s">
        <v>2482</v>
      </c>
      <c r="D654" s="57" t="s">
        <v>377</v>
      </c>
      <c r="E654" s="47">
        <v>45831</v>
      </c>
      <c r="F654" s="56" t="s">
        <v>1</v>
      </c>
    </row>
    <row r="655" spans="1:6" ht="15" customHeight="1" x14ac:dyDescent="0.35">
      <c r="A655" s="56">
        <v>6161</v>
      </c>
      <c r="B655" s="57" t="s">
        <v>1243</v>
      </c>
      <c r="C655" s="57" t="s">
        <v>293</v>
      </c>
      <c r="D655" s="57" t="s">
        <v>927</v>
      </c>
      <c r="E655" s="47">
        <v>45775</v>
      </c>
      <c r="F655" s="56" t="s">
        <v>1</v>
      </c>
    </row>
    <row r="656" spans="1:6" ht="15" customHeight="1" x14ac:dyDescent="0.35">
      <c r="A656" s="56">
        <v>6162</v>
      </c>
      <c r="B656" s="57" t="s">
        <v>1240</v>
      </c>
      <c r="C656" s="57" t="s">
        <v>1391</v>
      </c>
      <c r="D656" s="57" t="s">
        <v>1256</v>
      </c>
      <c r="E656" s="47">
        <v>45776</v>
      </c>
      <c r="F656" s="56" t="s">
        <v>1</v>
      </c>
    </row>
    <row r="657" spans="1:6" ht="15" customHeight="1" x14ac:dyDescent="0.35">
      <c r="A657" s="56">
        <v>6163</v>
      </c>
      <c r="B657" s="57"/>
      <c r="C657" s="57"/>
      <c r="D657" s="57"/>
      <c r="E657" s="47"/>
      <c r="F657" s="56"/>
    </row>
    <row r="658" spans="1:6" ht="15" customHeight="1" x14ac:dyDescent="0.35">
      <c r="A658" s="56">
        <v>6164</v>
      </c>
      <c r="B658" s="57"/>
      <c r="C658" s="57"/>
      <c r="D658" s="57"/>
      <c r="E658" s="47"/>
      <c r="F658" s="56"/>
    </row>
    <row r="659" spans="1:6" ht="15" customHeight="1" x14ac:dyDescent="0.35">
      <c r="A659" s="56">
        <v>6165</v>
      </c>
      <c r="B659" s="57" t="s">
        <v>1966</v>
      </c>
      <c r="C659" s="57" t="s">
        <v>1226</v>
      </c>
      <c r="D659" s="57" t="s">
        <v>85</v>
      </c>
      <c r="E659" s="47">
        <v>45783</v>
      </c>
      <c r="F659" s="56" t="s">
        <v>1</v>
      </c>
    </row>
    <row r="660" spans="1:6" ht="15" customHeight="1" x14ac:dyDescent="0.35">
      <c r="A660" s="56">
        <v>6166</v>
      </c>
      <c r="B660" s="57"/>
      <c r="C660" s="57"/>
      <c r="D660" s="57"/>
      <c r="E660" s="47"/>
      <c r="F660" s="56"/>
    </row>
    <row r="661" spans="1:6" ht="15" customHeight="1" x14ac:dyDescent="0.35">
      <c r="A661" s="56">
        <v>6167</v>
      </c>
      <c r="B661" s="57" t="s">
        <v>1263</v>
      </c>
      <c r="C661" s="57" t="s">
        <v>154</v>
      </c>
      <c r="D661" s="57" t="s">
        <v>1010</v>
      </c>
      <c r="E661" s="47">
        <v>45783</v>
      </c>
      <c r="F661" s="56" t="s">
        <v>1</v>
      </c>
    </row>
    <row r="662" spans="1:6" ht="15" customHeight="1" x14ac:dyDescent="0.35">
      <c r="A662" s="56">
        <v>6168</v>
      </c>
      <c r="B662" s="57" t="s">
        <v>2142</v>
      </c>
      <c r="C662" s="57" t="s">
        <v>1950</v>
      </c>
      <c r="D662" s="57" t="s">
        <v>1005</v>
      </c>
      <c r="E662" s="47">
        <v>45783</v>
      </c>
      <c r="F662" s="56" t="s">
        <v>1</v>
      </c>
    </row>
    <row r="663" spans="1:6" ht="15" customHeight="1" x14ac:dyDescent="0.35">
      <c r="A663" s="56">
        <v>6169</v>
      </c>
      <c r="B663" s="57" t="s">
        <v>1217</v>
      </c>
      <c r="C663" s="57" t="s">
        <v>453</v>
      </c>
      <c r="D663" s="57" t="s">
        <v>777</v>
      </c>
      <c r="E663" s="47">
        <v>45783</v>
      </c>
      <c r="F663" s="56" t="s">
        <v>1</v>
      </c>
    </row>
    <row r="664" spans="1:6" ht="15" customHeight="1" x14ac:dyDescent="0.35">
      <c r="A664" s="56">
        <v>6170</v>
      </c>
      <c r="B664" s="57" t="s">
        <v>2009</v>
      </c>
      <c r="C664" s="57"/>
      <c r="D664" s="57"/>
      <c r="E664" s="47">
        <v>45813</v>
      </c>
      <c r="F664" s="56" t="s">
        <v>1</v>
      </c>
    </row>
    <row r="665" spans="1:6" ht="15" customHeight="1" x14ac:dyDescent="0.35">
      <c r="A665" s="56">
        <v>6171</v>
      </c>
      <c r="B665" s="57" t="s">
        <v>2187</v>
      </c>
      <c r="C665" s="57" t="s">
        <v>161</v>
      </c>
      <c r="D665" s="57" t="s">
        <v>2188</v>
      </c>
      <c r="E665" s="47">
        <v>45797</v>
      </c>
      <c r="F665" s="56" t="s">
        <v>1</v>
      </c>
    </row>
    <row r="666" spans="1:6" ht="15" customHeight="1" x14ac:dyDescent="0.35">
      <c r="A666" s="56">
        <v>6172</v>
      </c>
      <c r="B666" s="57"/>
      <c r="C666" s="57"/>
      <c r="D666" s="57"/>
      <c r="E666" s="47"/>
      <c r="F666" s="56"/>
    </row>
    <row r="667" spans="1:6" ht="15" customHeight="1" x14ac:dyDescent="0.35">
      <c r="A667" s="56">
        <v>6173</v>
      </c>
      <c r="B667" s="57" t="s">
        <v>1201</v>
      </c>
      <c r="C667" s="57" t="s">
        <v>1202</v>
      </c>
      <c r="D667" s="57" t="s">
        <v>85</v>
      </c>
      <c r="E667" s="47">
        <v>45797</v>
      </c>
      <c r="F667" s="56" t="s">
        <v>1</v>
      </c>
    </row>
    <row r="668" spans="1:6" ht="15" customHeight="1" x14ac:dyDescent="0.35">
      <c r="A668" s="56">
        <v>6174</v>
      </c>
      <c r="B668" s="57" t="s">
        <v>1453</v>
      </c>
      <c r="C668" s="57" t="s">
        <v>179</v>
      </c>
      <c r="D668" s="57" t="s">
        <v>952</v>
      </c>
      <c r="E668" s="47">
        <v>45826</v>
      </c>
      <c r="F668" s="56" t="s">
        <v>1</v>
      </c>
    </row>
    <row r="669" spans="1:6" ht="15" customHeight="1" x14ac:dyDescent="0.35">
      <c r="A669" s="56">
        <v>6175</v>
      </c>
      <c r="B669" s="57"/>
      <c r="C669" s="57"/>
      <c r="D669" s="57"/>
      <c r="E669" s="47"/>
      <c r="F669" s="56"/>
    </row>
    <row r="670" spans="1:6" ht="15" customHeight="1" x14ac:dyDescent="0.35">
      <c r="A670" s="56">
        <v>6176</v>
      </c>
      <c r="B670" s="57" t="s">
        <v>1447</v>
      </c>
      <c r="C670" s="57" t="s">
        <v>133</v>
      </c>
      <c r="D670" s="57" t="s">
        <v>2143</v>
      </c>
      <c r="E670" s="47">
        <v>45783</v>
      </c>
      <c r="F670" s="56" t="s">
        <v>1</v>
      </c>
    </row>
    <row r="671" spans="1:6" ht="15" customHeight="1" x14ac:dyDescent="0.35">
      <c r="A671" s="56">
        <v>6177</v>
      </c>
      <c r="B671" s="57" t="s">
        <v>205</v>
      </c>
      <c r="C671" s="57" t="s">
        <v>924</v>
      </c>
      <c r="D671" s="57" t="s">
        <v>1573</v>
      </c>
      <c r="E671" s="47">
        <v>45826</v>
      </c>
      <c r="F671" s="56" t="s">
        <v>1</v>
      </c>
    </row>
    <row r="672" spans="1:6" ht="15" customHeight="1" x14ac:dyDescent="0.35">
      <c r="A672" s="56">
        <v>6178</v>
      </c>
      <c r="B672" s="57" t="s">
        <v>1324</v>
      </c>
      <c r="C672" s="57" t="s">
        <v>440</v>
      </c>
      <c r="D672" s="57" t="s">
        <v>2136</v>
      </c>
      <c r="E672" s="47">
        <v>45797</v>
      </c>
      <c r="F672" s="56" t="s">
        <v>1</v>
      </c>
    </row>
    <row r="673" spans="1:6" ht="15" customHeight="1" x14ac:dyDescent="0.35">
      <c r="A673" s="56">
        <v>6179</v>
      </c>
      <c r="B673" s="57" t="s">
        <v>1106</v>
      </c>
      <c r="C673" s="57" t="s">
        <v>181</v>
      </c>
      <c r="D673" s="57" t="s">
        <v>35</v>
      </c>
      <c r="E673" s="47">
        <v>45797</v>
      </c>
      <c r="F673" s="56" t="s">
        <v>1</v>
      </c>
    </row>
    <row r="674" spans="1:6" ht="15" customHeight="1" x14ac:dyDescent="0.35">
      <c r="A674" s="56">
        <v>6180</v>
      </c>
      <c r="B674" s="57"/>
      <c r="C674" s="57"/>
      <c r="D674" s="57"/>
      <c r="E674" s="47"/>
      <c r="F674" s="56"/>
    </row>
    <row r="675" spans="1:6" ht="15" customHeight="1" x14ac:dyDescent="0.35">
      <c r="A675" s="56">
        <v>6181</v>
      </c>
      <c r="B675" s="57" t="s">
        <v>1951</v>
      </c>
      <c r="C675" s="57" t="s">
        <v>453</v>
      </c>
      <c r="D675" s="57" t="s">
        <v>2189</v>
      </c>
      <c r="E675" s="47">
        <v>45797</v>
      </c>
      <c r="F675" s="56" t="s">
        <v>1</v>
      </c>
    </row>
    <row r="676" spans="1:6" ht="15" customHeight="1" x14ac:dyDescent="0.35">
      <c r="A676" s="56">
        <v>6182</v>
      </c>
      <c r="B676" s="57" t="s">
        <v>220</v>
      </c>
      <c r="C676" s="57" t="s">
        <v>2462</v>
      </c>
      <c r="D676" s="57" t="s">
        <v>2463</v>
      </c>
      <c r="E676" s="47">
        <v>45826</v>
      </c>
      <c r="F676" s="56" t="s">
        <v>1</v>
      </c>
    </row>
    <row r="677" spans="1:6" ht="15" customHeight="1" x14ac:dyDescent="0.35">
      <c r="A677" s="56">
        <v>6183</v>
      </c>
      <c r="B677" s="57" t="s">
        <v>62</v>
      </c>
      <c r="C677" s="57" t="s">
        <v>63</v>
      </c>
      <c r="D677" s="57" t="s">
        <v>1049</v>
      </c>
      <c r="E677" s="47">
        <v>45797</v>
      </c>
      <c r="F677" s="56" t="s">
        <v>1</v>
      </c>
    </row>
    <row r="678" spans="1:6" ht="15" customHeight="1" x14ac:dyDescent="0.35">
      <c r="A678" s="56">
        <v>6184</v>
      </c>
      <c r="B678" s="57" t="s">
        <v>2388</v>
      </c>
      <c r="C678" s="57" t="s">
        <v>66</v>
      </c>
      <c r="D678" s="57" t="s">
        <v>832</v>
      </c>
      <c r="E678" s="47">
        <v>45811</v>
      </c>
      <c r="F678" s="56" t="s">
        <v>1</v>
      </c>
    </row>
    <row r="679" spans="1:6" ht="15" customHeight="1" x14ac:dyDescent="0.35">
      <c r="A679" s="56">
        <v>6185</v>
      </c>
      <c r="B679" s="57" t="s">
        <v>1342</v>
      </c>
      <c r="C679" s="57" t="s">
        <v>1343</v>
      </c>
      <c r="D679" s="57" t="s">
        <v>113</v>
      </c>
      <c r="E679" s="47">
        <v>45811</v>
      </c>
      <c r="F679" s="56" t="s">
        <v>1</v>
      </c>
    </row>
    <row r="680" spans="1:6" ht="15" customHeight="1" x14ac:dyDescent="0.35">
      <c r="A680" s="56">
        <v>6186</v>
      </c>
      <c r="B680" s="57" t="s">
        <v>1352</v>
      </c>
      <c r="C680" s="57" t="s">
        <v>1353</v>
      </c>
      <c r="D680" s="57" t="s">
        <v>2389</v>
      </c>
      <c r="E680" s="47">
        <v>45811</v>
      </c>
      <c r="F680" s="56" t="s">
        <v>1</v>
      </c>
    </row>
    <row r="681" spans="1:6" ht="15" customHeight="1" x14ac:dyDescent="0.35">
      <c r="A681" s="56">
        <v>6187</v>
      </c>
      <c r="B681" s="57" t="s">
        <v>1966</v>
      </c>
      <c r="C681" s="57" t="s">
        <v>408</v>
      </c>
      <c r="D681" s="57" t="s">
        <v>505</v>
      </c>
      <c r="E681" s="47">
        <v>45826</v>
      </c>
      <c r="F681" s="56" t="s">
        <v>1</v>
      </c>
    </row>
    <row r="682" spans="1:6" ht="15" customHeight="1" x14ac:dyDescent="0.35">
      <c r="A682" s="56">
        <v>6188</v>
      </c>
      <c r="B682" s="57" t="s">
        <v>1312</v>
      </c>
      <c r="C682" s="57" t="s">
        <v>66</v>
      </c>
      <c r="D682" s="57" t="s">
        <v>153</v>
      </c>
      <c r="E682" s="47">
        <v>45831</v>
      </c>
      <c r="F682" s="56" t="s">
        <v>1</v>
      </c>
    </row>
    <row r="683" spans="1:6" ht="15" customHeight="1" x14ac:dyDescent="0.35">
      <c r="A683" s="56">
        <v>6189</v>
      </c>
      <c r="B683" s="57"/>
      <c r="C683" s="57"/>
      <c r="D683" s="57"/>
      <c r="E683" s="47"/>
      <c r="F683" s="56"/>
    </row>
    <row r="684" spans="1:6" ht="15" customHeight="1" x14ac:dyDescent="0.35">
      <c r="A684" s="56">
        <v>6190</v>
      </c>
      <c r="B684" s="57"/>
      <c r="C684" s="57"/>
      <c r="D684" s="57"/>
      <c r="E684" s="47"/>
      <c r="F684" s="56"/>
    </row>
    <row r="685" spans="1:6" ht="15" customHeight="1" x14ac:dyDescent="0.35">
      <c r="A685" s="56">
        <v>6191</v>
      </c>
      <c r="B685" s="57" t="s">
        <v>509</v>
      </c>
      <c r="C685" s="57" t="s">
        <v>2473</v>
      </c>
      <c r="D685" s="57" t="s">
        <v>121</v>
      </c>
      <c r="E685" s="47">
        <v>45827</v>
      </c>
      <c r="F685" s="56" t="s">
        <v>4</v>
      </c>
    </row>
    <row r="686" spans="1:6" ht="15" customHeight="1" x14ac:dyDescent="0.35">
      <c r="A686" s="56">
        <v>6192</v>
      </c>
      <c r="B686" s="57" t="s">
        <v>2187</v>
      </c>
      <c r="C686" s="57" t="s">
        <v>2390</v>
      </c>
      <c r="D686" s="57"/>
      <c r="E686" s="47">
        <v>45811</v>
      </c>
      <c r="F686" s="56" t="s">
        <v>1</v>
      </c>
    </row>
    <row r="687" spans="1:6" ht="15" customHeight="1" x14ac:dyDescent="0.35">
      <c r="A687" s="56">
        <v>6193</v>
      </c>
      <c r="B687" s="57" t="s">
        <v>1951</v>
      </c>
      <c r="C687" s="57" t="s">
        <v>453</v>
      </c>
      <c r="D687" s="57" t="s">
        <v>2391</v>
      </c>
      <c r="E687" s="47">
        <v>45811</v>
      </c>
      <c r="F687" s="56" t="s">
        <v>1</v>
      </c>
    </row>
    <row r="688" spans="1:6" ht="15" customHeight="1" x14ac:dyDescent="0.35">
      <c r="A688" s="56">
        <v>6194</v>
      </c>
      <c r="B688" s="57" t="s">
        <v>591</v>
      </c>
      <c r="C688" s="57" t="s">
        <v>32</v>
      </c>
      <c r="D688" s="57" t="s">
        <v>2392</v>
      </c>
      <c r="E688" s="47">
        <v>45811</v>
      </c>
      <c r="F688" s="56" t="s">
        <v>4</v>
      </c>
    </row>
    <row r="689" spans="1:6" ht="15" customHeight="1" x14ac:dyDescent="0.35">
      <c r="A689" s="56">
        <v>6195</v>
      </c>
      <c r="B689" s="57" t="s">
        <v>509</v>
      </c>
      <c r="C689" s="57" t="s">
        <v>227</v>
      </c>
      <c r="D689" s="57" t="s">
        <v>2393</v>
      </c>
      <c r="E689" s="47">
        <v>45811</v>
      </c>
      <c r="F689" s="56" t="s">
        <v>1</v>
      </c>
    </row>
    <row r="690" spans="1:6" ht="15" customHeight="1" x14ac:dyDescent="0.35">
      <c r="A690" s="56">
        <v>6196</v>
      </c>
      <c r="B690" s="57" t="s">
        <v>1283</v>
      </c>
      <c r="C690" s="57" t="s">
        <v>32</v>
      </c>
      <c r="D690" s="57" t="s">
        <v>2186</v>
      </c>
      <c r="E690" s="47">
        <v>45797</v>
      </c>
      <c r="F690" s="56" t="s">
        <v>1</v>
      </c>
    </row>
    <row r="691" spans="1:6" ht="15" customHeight="1" x14ac:dyDescent="0.35">
      <c r="A691" s="56">
        <v>6197</v>
      </c>
      <c r="B691" s="57" t="s">
        <v>1117</v>
      </c>
      <c r="C691" s="57" t="s">
        <v>544</v>
      </c>
      <c r="D691" s="57" t="s">
        <v>662</v>
      </c>
      <c r="E691" s="47">
        <v>45811</v>
      </c>
      <c r="F691" s="56" t="s">
        <v>1</v>
      </c>
    </row>
    <row r="692" spans="1:6" ht="15" customHeight="1" x14ac:dyDescent="0.35">
      <c r="A692" s="56">
        <v>6198</v>
      </c>
      <c r="B692" s="57" t="s">
        <v>1208</v>
      </c>
      <c r="C692" s="57" t="s">
        <v>2812</v>
      </c>
      <c r="D692" s="57" t="s">
        <v>1210</v>
      </c>
      <c r="E692" s="47">
        <v>45923</v>
      </c>
      <c r="F692" s="56" t="s">
        <v>1</v>
      </c>
    </row>
    <row r="693" spans="1:6" ht="15" customHeight="1" x14ac:dyDescent="0.35">
      <c r="A693" s="56">
        <v>6199</v>
      </c>
      <c r="B693" s="57"/>
      <c r="C693" s="57"/>
      <c r="D693" s="57"/>
      <c r="E693" s="47"/>
      <c r="F693" s="56"/>
    </row>
    <row r="694" spans="1:6" ht="15" customHeight="1" x14ac:dyDescent="0.35">
      <c r="A694" s="56">
        <v>6200</v>
      </c>
      <c r="B694" s="57" t="s">
        <v>2464</v>
      </c>
      <c r="C694" s="57" t="s">
        <v>161</v>
      </c>
      <c r="D694" s="57" t="s">
        <v>121</v>
      </c>
      <c r="E694" s="47">
        <v>45826</v>
      </c>
      <c r="F694" s="56" t="s">
        <v>4</v>
      </c>
    </row>
    <row r="695" spans="1:6" ht="15" customHeight="1" x14ac:dyDescent="0.35">
      <c r="A695" s="56">
        <v>6201</v>
      </c>
      <c r="B695" s="57" t="s">
        <v>2394</v>
      </c>
      <c r="C695" s="57" t="s">
        <v>2395</v>
      </c>
      <c r="D695" s="57" t="s">
        <v>121</v>
      </c>
      <c r="E695" s="47">
        <v>45811</v>
      </c>
      <c r="F695" s="56" t="s">
        <v>4</v>
      </c>
    </row>
    <row r="696" spans="1:6" ht="15" customHeight="1" x14ac:dyDescent="0.35">
      <c r="A696" s="56">
        <v>6202</v>
      </c>
      <c r="B696" s="57"/>
      <c r="C696" s="57"/>
      <c r="D696" s="57"/>
      <c r="E696" s="47"/>
      <c r="F696" s="56"/>
    </row>
    <row r="697" spans="1:6" ht="15" customHeight="1" x14ac:dyDescent="0.35">
      <c r="A697" s="56">
        <v>6203</v>
      </c>
      <c r="B697" s="57" t="s">
        <v>1951</v>
      </c>
      <c r="C697" s="57" t="s">
        <v>453</v>
      </c>
      <c r="D697" s="57" t="s">
        <v>2465</v>
      </c>
      <c r="E697" s="47">
        <v>45826</v>
      </c>
      <c r="F697" s="56" t="s">
        <v>1</v>
      </c>
    </row>
    <row r="698" spans="1:6" ht="15" customHeight="1" x14ac:dyDescent="0.35">
      <c r="A698" s="56">
        <v>6204</v>
      </c>
      <c r="B698" s="57" t="s">
        <v>1348</v>
      </c>
      <c r="C698" s="57" t="s">
        <v>2483</v>
      </c>
      <c r="D698" s="57" t="s">
        <v>720</v>
      </c>
      <c r="E698" s="47">
        <v>45831</v>
      </c>
      <c r="F698" s="56" t="s">
        <v>1</v>
      </c>
    </row>
    <row r="699" spans="1:6" ht="15" customHeight="1" x14ac:dyDescent="0.35">
      <c r="A699" s="56">
        <v>6205</v>
      </c>
      <c r="B699" s="57"/>
      <c r="C699" s="57"/>
      <c r="D699" s="57"/>
      <c r="E699" s="47"/>
      <c r="F699" s="56"/>
    </row>
    <row r="700" spans="1:6" ht="15" customHeight="1" x14ac:dyDescent="0.35">
      <c r="A700" s="56">
        <v>6206</v>
      </c>
      <c r="B700" s="57" t="s">
        <v>1339</v>
      </c>
      <c r="C700" s="57" t="s">
        <v>453</v>
      </c>
      <c r="D700" s="57" t="s">
        <v>172</v>
      </c>
      <c r="E700" s="47">
        <v>45826</v>
      </c>
      <c r="F700" s="56" t="s">
        <v>1</v>
      </c>
    </row>
    <row r="701" spans="1:6" ht="15" customHeight="1" x14ac:dyDescent="0.35">
      <c r="A701" s="56">
        <v>6207</v>
      </c>
      <c r="B701" s="57" t="s">
        <v>2397</v>
      </c>
      <c r="C701" s="57" t="s">
        <v>2398</v>
      </c>
      <c r="D701" s="57" t="s">
        <v>176</v>
      </c>
      <c r="E701" s="47">
        <v>45812</v>
      </c>
      <c r="F701" s="56" t="s">
        <v>1</v>
      </c>
    </row>
    <row r="702" spans="1:6" ht="15" customHeight="1" x14ac:dyDescent="0.35">
      <c r="A702" s="56">
        <v>6208</v>
      </c>
      <c r="B702" s="57" t="s">
        <v>1449</v>
      </c>
      <c r="C702" s="57" t="s">
        <v>133</v>
      </c>
      <c r="D702" s="57" t="s">
        <v>815</v>
      </c>
      <c r="E702" s="47">
        <v>45810</v>
      </c>
      <c r="F702" s="56" t="s">
        <v>1</v>
      </c>
    </row>
    <row r="703" spans="1:6" ht="15" customHeight="1" x14ac:dyDescent="0.35">
      <c r="A703" s="56">
        <v>6209</v>
      </c>
      <c r="B703" s="57" t="s">
        <v>2464</v>
      </c>
      <c r="C703" s="57" t="s">
        <v>161</v>
      </c>
      <c r="D703" s="57" t="s">
        <v>2466</v>
      </c>
      <c r="E703" s="47">
        <v>45826</v>
      </c>
      <c r="F703" s="56" t="s">
        <v>2</v>
      </c>
    </row>
    <row r="704" spans="1:6" ht="15" customHeight="1" x14ac:dyDescent="0.35">
      <c r="A704" s="56">
        <v>6210</v>
      </c>
      <c r="B704" s="57" t="s">
        <v>2261</v>
      </c>
      <c r="C704" s="57" t="s">
        <v>45</v>
      </c>
      <c r="D704" s="57" t="s">
        <v>1774</v>
      </c>
      <c r="E704" s="47">
        <v>45826</v>
      </c>
      <c r="F704" s="56" t="s">
        <v>2</v>
      </c>
    </row>
    <row r="705" spans="1:6" ht="15" customHeight="1" x14ac:dyDescent="0.35">
      <c r="A705" s="56">
        <v>6211</v>
      </c>
      <c r="B705" s="57" t="s">
        <v>205</v>
      </c>
      <c r="C705" s="57" t="s">
        <v>106</v>
      </c>
      <c r="D705" s="57" t="s">
        <v>2162</v>
      </c>
      <c r="E705" s="47">
        <v>45811</v>
      </c>
      <c r="F705" s="56" t="s">
        <v>1</v>
      </c>
    </row>
    <row r="706" spans="1:6" ht="15" customHeight="1" x14ac:dyDescent="0.35">
      <c r="A706" s="95">
        <v>6212</v>
      </c>
      <c r="B706" s="88" t="s">
        <v>2450</v>
      </c>
      <c r="C706" s="89" t="s">
        <v>2451</v>
      </c>
      <c r="D706" s="90" t="s">
        <v>27</v>
      </c>
      <c r="E706" s="52">
        <v>45826</v>
      </c>
      <c r="F706" s="30" t="s">
        <v>2</v>
      </c>
    </row>
    <row r="707" spans="1:6" ht="15" customHeight="1" x14ac:dyDescent="0.35">
      <c r="A707" s="56">
        <v>6213</v>
      </c>
      <c r="B707" s="57" t="s">
        <v>1247</v>
      </c>
      <c r="C707" s="57" t="s">
        <v>227</v>
      </c>
      <c r="D707" s="57" t="s">
        <v>98</v>
      </c>
      <c r="E707" s="47">
        <v>45932</v>
      </c>
      <c r="F707" s="56" t="s">
        <v>4</v>
      </c>
    </row>
    <row r="708" spans="1:6" ht="15" customHeight="1" x14ac:dyDescent="0.35">
      <c r="A708" s="56">
        <v>6214</v>
      </c>
      <c r="B708" s="57" t="s">
        <v>2689</v>
      </c>
      <c r="C708" s="57" t="s">
        <v>2690</v>
      </c>
      <c r="D708" s="57" t="s">
        <v>2691</v>
      </c>
      <c r="E708" s="47">
        <v>45875</v>
      </c>
      <c r="F708" s="56" t="s">
        <v>1</v>
      </c>
    </row>
    <row r="709" spans="1:6" ht="15" customHeight="1" x14ac:dyDescent="0.35">
      <c r="A709" s="56">
        <v>6215</v>
      </c>
      <c r="B709" s="57" t="s">
        <v>1414</v>
      </c>
      <c r="C709" s="57" t="s">
        <v>2470</v>
      </c>
      <c r="D709" s="57" t="s">
        <v>283</v>
      </c>
      <c r="E709" s="47">
        <v>45826</v>
      </c>
      <c r="F709" s="56" t="s">
        <v>1</v>
      </c>
    </row>
    <row r="710" spans="1:6" ht="15" customHeight="1" x14ac:dyDescent="0.35">
      <c r="A710" s="56">
        <v>6216</v>
      </c>
      <c r="B710" s="57"/>
      <c r="C710" s="57"/>
      <c r="D710" s="57"/>
      <c r="E710" s="47"/>
      <c r="F710" s="56"/>
    </row>
    <row r="711" spans="1:6" ht="15" customHeight="1" x14ac:dyDescent="0.35">
      <c r="A711" s="56">
        <v>6217</v>
      </c>
      <c r="B711" s="57" t="s">
        <v>509</v>
      </c>
      <c r="C711" s="57" t="s">
        <v>440</v>
      </c>
      <c r="D711" s="57" t="s">
        <v>2384</v>
      </c>
      <c r="E711" s="47">
        <v>45811</v>
      </c>
      <c r="F711" s="56" t="s">
        <v>2</v>
      </c>
    </row>
    <row r="712" spans="1:6" ht="15" customHeight="1" x14ac:dyDescent="0.35">
      <c r="A712" s="56">
        <v>6218</v>
      </c>
      <c r="B712" s="57" t="s">
        <v>1339</v>
      </c>
      <c r="C712" s="57" t="s">
        <v>453</v>
      </c>
      <c r="D712" s="57" t="s">
        <v>2573</v>
      </c>
      <c r="E712" s="47">
        <v>45841</v>
      </c>
      <c r="F712" s="56" t="s">
        <v>1</v>
      </c>
    </row>
    <row r="713" spans="1:6" ht="15" customHeight="1" x14ac:dyDescent="0.35">
      <c r="A713" s="56">
        <v>6219</v>
      </c>
      <c r="B713" s="57" t="s">
        <v>41</v>
      </c>
      <c r="C713" s="57" t="s">
        <v>227</v>
      </c>
      <c r="D713" s="57" t="s">
        <v>907</v>
      </c>
      <c r="E713" s="47">
        <v>45826</v>
      </c>
      <c r="F713" s="56" t="s">
        <v>18</v>
      </c>
    </row>
    <row r="714" spans="1:6" ht="15" customHeight="1" x14ac:dyDescent="0.35">
      <c r="A714" s="56">
        <v>6220</v>
      </c>
      <c r="B714" s="57" t="s">
        <v>611</v>
      </c>
      <c r="C714" s="57" t="s">
        <v>45</v>
      </c>
      <c r="D714" s="57" t="s">
        <v>1134</v>
      </c>
      <c r="E714" s="47">
        <v>45826</v>
      </c>
      <c r="F714" s="56" t="s">
        <v>1</v>
      </c>
    </row>
    <row r="715" spans="1:6" ht="15" customHeight="1" x14ac:dyDescent="0.35">
      <c r="A715" s="56">
        <v>6221</v>
      </c>
      <c r="B715" s="57" t="s">
        <v>36</v>
      </c>
      <c r="C715" s="57" t="s">
        <v>930</v>
      </c>
      <c r="D715" s="57" t="s">
        <v>1088</v>
      </c>
      <c r="E715" s="47">
        <v>45827</v>
      </c>
      <c r="F715" s="56" t="s">
        <v>3</v>
      </c>
    </row>
    <row r="716" spans="1:6" ht="15" customHeight="1" x14ac:dyDescent="0.35">
      <c r="A716" s="56">
        <v>6222</v>
      </c>
      <c r="B716" s="57"/>
      <c r="C716" s="57"/>
      <c r="D716" s="57"/>
      <c r="E716" s="47"/>
      <c r="F716" s="56"/>
    </row>
    <row r="717" spans="1:6" ht="15" customHeight="1" x14ac:dyDescent="0.35">
      <c r="A717" s="56">
        <v>6223</v>
      </c>
      <c r="B717" s="57" t="s">
        <v>36</v>
      </c>
      <c r="C717" s="57" t="s">
        <v>930</v>
      </c>
      <c r="D717" s="57" t="s">
        <v>2475</v>
      </c>
      <c r="E717" s="47">
        <v>45828</v>
      </c>
      <c r="F717" s="56" t="s">
        <v>18</v>
      </c>
    </row>
    <row r="718" spans="1:6" ht="15" customHeight="1" x14ac:dyDescent="0.35">
      <c r="A718" s="56">
        <v>6224</v>
      </c>
      <c r="B718" s="57"/>
      <c r="C718" s="57"/>
      <c r="D718" s="57"/>
      <c r="E718" s="47"/>
      <c r="F718" s="56"/>
    </row>
    <row r="719" spans="1:6" ht="15" customHeight="1" x14ac:dyDescent="0.35">
      <c r="A719" s="56">
        <v>6225</v>
      </c>
      <c r="B719" s="57"/>
      <c r="C719" s="57"/>
      <c r="D719" s="57"/>
      <c r="E719" s="47"/>
      <c r="F719" s="56"/>
    </row>
    <row r="720" spans="1:6" ht="15" customHeight="1" x14ac:dyDescent="0.35">
      <c r="A720" s="56">
        <v>6226</v>
      </c>
      <c r="B720" s="57" t="s">
        <v>36</v>
      </c>
      <c r="C720" s="57" t="s">
        <v>930</v>
      </c>
      <c r="D720" s="57" t="s">
        <v>2493</v>
      </c>
      <c r="E720" s="47">
        <v>45832</v>
      </c>
      <c r="F720" s="56" t="s">
        <v>3</v>
      </c>
    </row>
    <row r="721" spans="1:6" ht="15" customHeight="1" x14ac:dyDescent="0.35">
      <c r="A721" s="56">
        <v>6227</v>
      </c>
      <c r="B721" s="57" t="s">
        <v>1951</v>
      </c>
      <c r="C721" s="57"/>
      <c r="D721" s="57" t="s">
        <v>2472</v>
      </c>
      <c r="E721" s="47">
        <v>45826</v>
      </c>
      <c r="F721" s="56" t="s">
        <v>1</v>
      </c>
    </row>
    <row r="722" spans="1:6" ht="15" customHeight="1" x14ac:dyDescent="0.35">
      <c r="A722" s="56">
        <v>6228</v>
      </c>
      <c r="B722" s="57" t="s">
        <v>1106</v>
      </c>
      <c r="C722" s="57" t="s">
        <v>2574</v>
      </c>
      <c r="D722" s="57" t="s">
        <v>2575</v>
      </c>
      <c r="E722" s="47">
        <v>45841</v>
      </c>
      <c r="F722" s="56" t="s">
        <v>1</v>
      </c>
    </row>
    <row r="723" spans="1:6" ht="15" customHeight="1" x14ac:dyDescent="0.35">
      <c r="A723" s="56">
        <v>6229</v>
      </c>
      <c r="B723" s="57" t="s">
        <v>309</v>
      </c>
      <c r="C723" s="57" t="s">
        <v>133</v>
      </c>
      <c r="D723" s="57" t="s">
        <v>172</v>
      </c>
      <c r="E723" s="47">
        <v>45826</v>
      </c>
      <c r="F723" s="56" t="s">
        <v>1</v>
      </c>
    </row>
    <row r="724" spans="1:6" ht="15" customHeight="1" x14ac:dyDescent="0.35">
      <c r="A724" s="56">
        <v>6230</v>
      </c>
      <c r="B724" s="57" t="s">
        <v>509</v>
      </c>
      <c r="C724" s="57" t="s">
        <v>440</v>
      </c>
      <c r="D724" s="57" t="s">
        <v>2384</v>
      </c>
      <c r="E724" s="47">
        <v>45918</v>
      </c>
      <c r="F724" s="56" t="s">
        <v>2</v>
      </c>
    </row>
    <row r="725" spans="1:6" ht="15" customHeight="1" x14ac:dyDescent="0.35">
      <c r="A725" s="56">
        <v>6231</v>
      </c>
      <c r="B725" s="57" t="s">
        <v>2450</v>
      </c>
      <c r="C725" s="57" t="s">
        <v>2451</v>
      </c>
      <c r="D725" s="57" t="s">
        <v>1373</v>
      </c>
      <c r="E725" s="47">
        <v>45839</v>
      </c>
      <c r="F725" s="56" t="s">
        <v>2</v>
      </c>
    </row>
    <row r="726" spans="1:6" ht="15" customHeight="1" x14ac:dyDescent="0.35">
      <c r="A726" s="56">
        <v>6232</v>
      </c>
      <c r="B726" s="57"/>
      <c r="C726" s="57"/>
      <c r="D726" s="57"/>
      <c r="E726" s="47"/>
      <c r="F726" s="56"/>
    </row>
    <row r="727" spans="1:6" ht="15" customHeight="1" x14ac:dyDescent="0.35">
      <c r="A727" s="56">
        <v>6233</v>
      </c>
      <c r="B727" s="57"/>
      <c r="C727" s="57"/>
      <c r="D727" s="57"/>
      <c r="E727" s="47"/>
      <c r="F727" s="56"/>
    </row>
    <row r="728" spans="1:6" ht="15" customHeight="1" x14ac:dyDescent="0.35">
      <c r="A728" s="56">
        <v>6234</v>
      </c>
      <c r="B728" s="57"/>
      <c r="C728" s="57"/>
      <c r="D728" s="57"/>
      <c r="E728" s="47"/>
      <c r="F728" s="56"/>
    </row>
    <row r="729" spans="1:6" ht="15" customHeight="1" x14ac:dyDescent="0.35">
      <c r="A729" s="56">
        <v>6235</v>
      </c>
      <c r="B729" s="57"/>
      <c r="C729" s="57"/>
      <c r="D729" s="57"/>
      <c r="E729" s="47"/>
      <c r="F729" s="56"/>
    </row>
    <row r="730" spans="1:6" ht="15" customHeight="1" x14ac:dyDescent="0.35">
      <c r="A730" s="56">
        <v>6236</v>
      </c>
      <c r="B730" s="57" t="s">
        <v>195</v>
      </c>
      <c r="C730" s="57" t="s">
        <v>1429</v>
      </c>
      <c r="D730" s="57" t="s">
        <v>2479</v>
      </c>
      <c r="E730" s="47">
        <v>45831</v>
      </c>
      <c r="F730" s="56" t="s">
        <v>8</v>
      </c>
    </row>
    <row r="731" spans="1:6" ht="15" customHeight="1" x14ac:dyDescent="0.35">
      <c r="A731" s="56">
        <v>6237</v>
      </c>
      <c r="B731" s="57"/>
      <c r="C731" s="57"/>
      <c r="D731" s="57"/>
      <c r="E731" s="47"/>
      <c r="F731" s="56"/>
    </row>
    <row r="732" spans="1:6" ht="15" customHeight="1" x14ac:dyDescent="0.35">
      <c r="A732" s="56">
        <v>6238</v>
      </c>
      <c r="B732" s="57" t="s">
        <v>83</v>
      </c>
      <c r="C732" s="57" t="s">
        <v>331</v>
      </c>
      <c r="D732" s="57" t="s">
        <v>554</v>
      </c>
      <c r="E732" s="47">
        <v>45831</v>
      </c>
      <c r="F732" s="56" t="s">
        <v>1</v>
      </c>
    </row>
    <row r="733" spans="1:6" ht="15" customHeight="1" x14ac:dyDescent="0.35">
      <c r="A733" s="56">
        <v>6239</v>
      </c>
      <c r="B733" s="57" t="s">
        <v>96</v>
      </c>
      <c r="C733" s="57" t="s">
        <v>94</v>
      </c>
      <c r="D733" s="57" t="s">
        <v>615</v>
      </c>
      <c r="E733" s="47">
        <v>45831</v>
      </c>
      <c r="F733" s="56" t="s">
        <v>1</v>
      </c>
    </row>
    <row r="734" spans="1:6" ht="15" customHeight="1" x14ac:dyDescent="0.35">
      <c r="A734" s="56">
        <v>6240</v>
      </c>
      <c r="B734" s="57" t="s">
        <v>1454</v>
      </c>
      <c r="C734" s="57" t="s">
        <v>1206</v>
      </c>
      <c r="D734" s="57" t="s">
        <v>2480</v>
      </c>
      <c r="E734" s="47">
        <v>45831</v>
      </c>
      <c r="F734" s="56" t="s">
        <v>1</v>
      </c>
    </row>
    <row r="735" spans="1:6" ht="15" customHeight="1" x14ac:dyDescent="0.35">
      <c r="A735" s="56">
        <v>6241</v>
      </c>
      <c r="B735" s="57" t="s">
        <v>1243</v>
      </c>
      <c r="C735" s="57" t="s">
        <v>293</v>
      </c>
      <c r="D735" s="57" t="s">
        <v>1467</v>
      </c>
      <c r="E735" s="47">
        <v>45853</v>
      </c>
      <c r="F735" s="56" t="s">
        <v>1</v>
      </c>
    </row>
    <row r="736" spans="1:6" ht="15" customHeight="1" x14ac:dyDescent="0.35">
      <c r="A736" s="56">
        <v>6242</v>
      </c>
      <c r="B736" s="57"/>
      <c r="C736" s="57"/>
      <c r="D736" s="57"/>
      <c r="E736" s="47"/>
      <c r="F736" s="56"/>
    </row>
    <row r="737" spans="1:6" ht="15" customHeight="1" x14ac:dyDescent="0.35">
      <c r="A737" s="56">
        <v>6243</v>
      </c>
      <c r="B737" s="57" t="s">
        <v>41</v>
      </c>
      <c r="C737" s="57" t="s">
        <v>1282</v>
      </c>
      <c r="D737" s="57" t="s">
        <v>2811</v>
      </c>
      <c r="E737" s="47">
        <v>45922</v>
      </c>
      <c r="F737" s="56" t="s">
        <v>4</v>
      </c>
    </row>
    <row r="738" spans="1:6" ht="15" customHeight="1" x14ac:dyDescent="0.35">
      <c r="A738" s="56">
        <v>6244</v>
      </c>
      <c r="B738" s="57"/>
      <c r="C738" s="57"/>
      <c r="D738" s="57"/>
      <c r="E738" s="47"/>
      <c r="F738" s="56"/>
    </row>
    <row r="739" spans="1:6" ht="15" customHeight="1" x14ac:dyDescent="0.35">
      <c r="A739" s="56">
        <v>6245</v>
      </c>
      <c r="B739" s="57" t="s">
        <v>509</v>
      </c>
      <c r="C739" s="57" t="s">
        <v>223</v>
      </c>
      <c r="D739" s="57" t="s">
        <v>519</v>
      </c>
      <c r="E739" s="47">
        <v>45831</v>
      </c>
      <c r="F739" s="56" t="s">
        <v>1</v>
      </c>
    </row>
    <row r="740" spans="1:6" ht="15" customHeight="1" x14ac:dyDescent="0.35">
      <c r="A740" s="56">
        <v>6246</v>
      </c>
      <c r="B740" s="57" t="s">
        <v>41</v>
      </c>
      <c r="C740" s="57" t="s">
        <v>181</v>
      </c>
      <c r="D740" s="57" t="s">
        <v>2527</v>
      </c>
      <c r="E740" s="47">
        <v>45845</v>
      </c>
      <c r="F740" s="56" t="s">
        <v>2</v>
      </c>
    </row>
    <row r="741" spans="1:6" ht="15" customHeight="1" x14ac:dyDescent="0.35">
      <c r="A741" s="56">
        <v>6247</v>
      </c>
      <c r="B741" s="57" t="s">
        <v>195</v>
      </c>
      <c r="C741" s="57" t="s">
        <v>2590</v>
      </c>
      <c r="D741" s="57" t="s">
        <v>2025</v>
      </c>
      <c r="E741" s="47">
        <v>45845</v>
      </c>
      <c r="F741" s="56" t="s">
        <v>1</v>
      </c>
    </row>
    <row r="742" spans="1:6" ht="15" customHeight="1" x14ac:dyDescent="0.35">
      <c r="A742" s="56">
        <v>6248</v>
      </c>
      <c r="B742" s="57" t="s">
        <v>1951</v>
      </c>
      <c r="C742" s="57" t="s">
        <v>2590</v>
      </c>
      <c r="D742" s="57"/>
      <c r="E742" s="47">
        <v>45845</v>
      </c>
      <c r="F742" s="56" t="s">
        <v>1</v>
      </c>
    </row>
    <row r="743" spans="1:6" ht="15" customHeight="1" x14ac:dyDescent="0.35">
      <c r="A743" s="56">
        <v>6249</v>
      </c>
      <c r="B743" s="57" t="s">
        <v>41</v>
      </c>
      <c r="C743" s="57" t="s">
        <v>1607</v>
      </c>
      <c r="D743" s="57" t="s">
        <v>1608</v>
      </c>
      <c r="E743" s="47">
        <v>45828</v>
      </c>
      <c r="F743" s="56" t="s">
        <v>20</v>
      </c>
    </row>
    <row r="744" spans="1:6" ht="15" customHeight="1" x14ac:dyDescent="0.35">
      <c r="A744" s="56">
        <v>6250</v>
      </c>
      <c r="B744" s="57" t="s">
        <v>1462</v>
      </c>
      <c r="C744" s="57" t="s">
        <v>1320</v>
      </c>
      <c r="D744" s="57" t="s">
        <v>2591</v>
      </c>
      <c r="E744" s="47">
        <v>45845</v>
      </c>
      <c r="F744" s="56" t="s">
        <v>1</v>
      </c>
    </row>
    <row r="745" spans="1:6" ht="15" customHeight="1" x14ac:dyDescent="0.35">
      <c r="A745" s="56">
        <v>6251</v>
      </c>
      <c r="B745" s="57" t="s">
        <v>2464</v>
      </c>
      <c r="C745" s="57" t="s">
        <v>2610</v>
      </c>
      <c r="D745" s="57" t="s">
        <v>2611</v>
      </c>
      <c r="E745" s="47">
        <v>45848</v>
      </c>
      <c r="F745" s="56" t="s">
        <v>2</v>
      </c>
    </row>
    <row r="746" spans="1:6" ht="15" customHeight="1" x14ac:dyDescent="0.35">
      <c r="A746" s="56">
        <v>6252</v>
      </c>
      <c r="B746" s="57"/>
      <c r="C746" s="57"/>
      <c r="D746" s="57"/>
      <c r="E746" s="47"/>
      <c r="F746" s="56"/>
    </row>
    <row r="747" spans="1:6" ht="15" customHeight="1" x14ac:dyDescent="0.35">
      <c r="A747" s="56">
        <v>6253</v>
      </c>
      <c r="B747" s="57" t="s">
        <v>2589</v>
      </c>
      <c r="C747" s="57" t="s">
        <v>362</v>
      </c>
      <c r="D747" s="57" t="s">
        <v>1148</v>
      </c>
      <c r="E747" s="47">
        <v>45845</v>
      </c>
      <c r="F747" s="56" t="s">
        <v>1</v>
      </c>
    </row>
    <row r="748" spans="1:6" ht="15" customHeight="1" x14ac:dyDescent="0.35">
      <c r="A748" s="56">
        <v>6254</v>
      </c>
      <c r="B748" s="57"/>
      <c r="C748" s="57"/>
      <c r="D748" s="57"/>
      <c r="E748" s="47"/>
      <c r="F748" s="56"/>
    </row>
    <row r="749" spans="1:6" ht="15" customHeight="1" x14ac:dyDescent="0.35">
      <c r="A749" s="56">
        <v>6255</v>
      </c>
      <c r="B749" s="57" t="s">
        <v>1454</v>
      </c>
      <c r="C749" s="57" t="s">
        <v>1206</v>
      </c>
      <c r="D749" s="57" t="s">
        <v>1085</v>
      </c>
      <c r="E749" s="47">
        <v>45873</v>
      </c>
      <c r="F749" s="56" t="s">
        <v>1</v>
      </c>
    </row>
    <row r="750" spans="1:6" ht="15" customHeight="1" x14ac:dyDescent="0.35">
      <c r="A750" s="56">
        <v>6256</v>
      </c>
      <c r="B750" s="57"/>
      <c r="C750" s="57"/>
      <c r="D750" s="57"/>
      <c r="E750" s="47"/>
      <c r="F750" s="56"/>
    </row>
    <row r="751" spans="1:6" ht="15" customHeight="1" x14ac:dyDescent="0.35">
      <c r="A751" s="56">
        <v>6257</v>
      </c>
      <c r="B751" s="57" t="s">
        <v>2016</v>
      </c>
      <c r="C751" s="57" t="s">
        <v>2396</v>
      </c>
      <c r="D751" s="57" t="s">
        <v>615</v>
      </c>
      <c r="E751" s="47">
        <v>45845</v>
      </c>
      <c r="F751" s="56" t="s">
        <v>1</v>
      </c>
    </row>
    <row r="752" spans="1:6" ht="15" customHeight="1" x14ac:dyDescent="0.35">
      <c r="A752" s="56">
        <v>6258</v>
      </c>
      <c r="B752" s="57" t="s">
        <v>1117</v>
      </c>
      <c r="C752" s="57" t="s">
        <v>32</v>
      </c>
      <c r="D752" s="57" t="s">
        <v>146</v>
      </c>
      <c r="E752" s="47">
        <v>45845</v>
      </c>
      <c r="F752" s="56" t="s">
        <v>1</v>
      </c>
    </row>
    <row r="753" spans="1:6" ht="15" customHeight="1" x14ac:dyDescent="0.35">
      <c r="A753" s="56">
        <v>6259</v>
      </c>
      <c r="B753" s="57"/>
      <c r="C753" s="57"/>
      <c r="D753" s="57"/>
      <c r="E753" s="47"/>
      <c r="F753" s="56"/>
    </row>
    <row r="754" spans="1:6" ht="15" customHeight="1" x14ac:dyDescent="0.35">
      <c r="A754" s="56">
        <v>6260</v>
      </c>
      <c r="B754" s="57" t="s">
        <v>74</v>
      </c>
      <c r="C754" s="57" t="s">
        <v>249</v>
      </c>
      <c r="D754" s="57" t="s">
        <v>1049</v>
      </c>
      <c r="E754" s="47">
        <v>45845</v>
      </c>
      <c r="F754" s="56" t="s">
        <v>1</v>
      </c>
    </row>
    <row r="755" spans="1:6" ht="15" customHeight="1" x14ac:dyDescent="0.35">
      <c r="A755" s="56">
        <v>6261</v>
      </c>
      <c r="B755" s="57" t="s">
        <v>333</v>
      </c>
      <c r="C755" s="57" t="s">
        <v>334</v>
      </c>
      <c r="D755" s="57" t="s">
        <v>2592</v>
      </c>
      <c r="E755" s="47">
        <v>45845</v>
      </c>
      <c r="F755" s="56" t="s">
        <v>3</v>
      </c>
    </row>
    <row r="756" spans="1:6" ht="15" customHeight="1" x14ac:dyDescent="0.35">
      <c r="A756" s="56">
        <v>6262</v>
      </c>
      <c r="B756" s="57"/>
      <c r="C756" s="57"/>
      <c r="D756" s="57"/>
      <c r="E756" s="47"/>
      <c r="F756" s="56"/>
    </row>
    <row r="757" spans="1:6" ht="15" customHeight="1" x14ac:dyDescent="0.35">
      <c r="A757" s="56">
        <v>6263</v>
      </c>
      <c r="B757" s="57"/>
      <c r="C757" s="57"/>
      <c r="D757" s="57"/>
      <c r="E757" s="47"/>
      <c r="F757" s="56"/>
    </row>
    <row r="758" spans="1:6" ht="15" customHeight="1" x14ac:dyDescent="0.35">
      <c r="A758" s="56">
        <v>6264</v>
      </c>
      <c r="B758" s="57" t="s">
        <v>509</v>
      </c>
      <c r="C758" s="57" t="s">
        <v>440</v>
      </c>
      <c r="D758" s="57" t="s">
        <v>823</v>
      </c>
      <c r="E758" s="47">
        <v>45853</v>
      </c>
      <c r="F758" s="56" t="s">
        <v>3</v>
      </c>
    </row>
    <row r="759" spans="1:6" ht="15" customHeight="1" x14ac:dyDescent="0.35">
      <c r="A759" s="56">
        <v>6265</v>
      </c>
      <c r="B759" s="57" t="s">
        <v>333</v>
      </c>
      <c r="C759" s="57" t="s">
        <v>133</v>
      </c>
      <c r="D759" s="57" t="s">
        <v>952</v>
      </c>
      <c r="E759" s="47">
        <v>45853</v>
      </c>
      <c r="F759" s="56" t="s">
        <v>1</v>
      </c>
    </row>
    <row r="760" spans="1:6" ht="15" customHeight="1" x14ac:dyDescent="0.35">
      <c r="A760" s="56">
        <v>6266</v>
      </c>
      <c r="B760" s="57" t="s">
        <v>1240</v>
      </c>
      <c r="C760" s="57" t="s">
        <v>1391</v>
      </c>
      <c r="D760" s="57" t="s">
        <v>168</v>
      </c>
      <c r="E760" s="47">
        <v>45853</v>
      </c>
      <c r="F760" s="56" t="s">
        <v>1</v>
      </c>
    </row>
    <row r="761" spans="1:6" ht="15" customHeight="1" x14ac:dyDescent="0.35">
      <c r="A761" s="56">
        <v>6267</v>
      </c>
      <c r="B761" s="57" t="s">
        <v>1352</v>
      </c>
      <c r="C761" s="57" t="s">
        <v>1353</v>
      </c>
      <c r="D761" s="57" t="s">
        <v>146</v>
      </c>
      <c r="E761" s="47">
        <v>45853</v>
      </c>
      <c r="F761" s="56" t="s">
        <v>1</v>
      </c>
    </row>
    <row r="762" spans="1:6" ht="15" customHeight="1" x14ac:dyDescent="0.35">
      <c r="A762" s="56">
        <v>6268</v>
      </c>
      <c r="B762" s="57"/>
      <c r="C762" s="57"/>
      <c r="D762" s="57"/>
      <c r="E762" s="47"/>
      <c r="F762" s="56"/>
    </row>
    <row r="763" spans="1:6" ht="15" customHeight="1" x14ac:dyDescent="0.35">
      <c r="A763" s="56">
        <v>6269</v>
      </c>
      <c r="B763" s="57" t="s">
        <v>205</v>
      </c>
      <c r="C763" s="57" t="s">
        <v>106</v>
      </c>
      <c r="D763" s="57" t="s">
        <v>2352</v>
      </c>
      <c r="E763" s="47">
        <v>45916</v>
      </c>
      <c r="F763" s="56" t="s">
        <v>5</v>
      </c>
    </row>
    <row r="764" spans="1:6" ht="15" customHeight="1" x14ac:dyDescent="0.35">
      <c r="A764" s="56">
        <v>6270</v>
      </c>
      <c r="B764" s="57" t="s">
        <v>509</v>
      </c>
      <c r="C764" s="57" t="s">
        <v>440</v>
      </c>
      <c r="D764" s="57" t="s">
        <v>2352</v>
      </c>
      <c r="E764" s="47">
        <v>45916</v>
      </c>
      <c r="F764" s="56" t="s">
        <v>5</v>
      </c>
    </row>
    <row r="765" spans="1:6" ht="15" customHeight="1" x14ac:dyDescent="0.35">
      <c r="A765" s="56">
        <v>6271</v>
      </c>
      <c r="B765" s="57"/>
      <c r="C765" s="57"/>
      <c r="D765" s="57"/>
      <c r="E765" s="47"/>
      <c r="F765" s="56"/>
    </row>
    <row r="766" spans="1:6" ht="15" customHeight="1" x14ac:dyDescent="0.35">
      <c r="A766" s="56">
        <v>6272</v>
      </c>
      <c r="B766" s="57"/>
      <c r="C766" s="57"/>
      <c r="D766" s="57"/>
      <c r="E766" s="47"/>
      <c r="F766" s="56"/>
    </row>
    <row r="767" spans="1:6" ht="15" customHeight="1" x14ac:dyDescent="0.35">
      <c r="A767" s="56">
        <v>6273</v>
      </c>
      <c r="B767" s="57" t="s">
        <v>74</v>
      </c>
      <c r="C767" s="57" t="s">
        <v>444</v>
      </c>
      <c r="D767" s="57" t="s">
        <v>1049</v>
      </c>
      <c r="E767" s="47">
        <v>45845</v>
      </c>
      <c r="F767" s="56" t="s">
        <v>1</v>
      </c>
    </row>
    <row r="768" spans="1:6" ht="15" customHeight="1" x14ac:dyDescent="0.35">
      <c r="A768" s="56">
        <v>6274</v>
      </c>
      <c r="B768" s="57" t="s">
        <v>41</v>
      </c>
      <c r="C768" s="57" t="s">
        <v>2607</v>
      </c>
      <c r="D768" s="57" t="s">
        <v>425</v>
      </c>
      <c r="E768" s="47">
        <v>45930</v>
      </c>
      <c r="F768" s="56" t="s">
        <v>4</v>
      </c>
    </row>
    <row r="769" spans="1:6" ht="15" customHeight="1" x14ac:dyDescent="0.35">
      <c r="A769" s="56">
        <v>6275</v>
      </c>
      <c r="B769" s="57"/>
      <c r="C769" s="57"/>
      <c r="D769" s="57"/>
      <c r="E769" s="47"/>
      <c r="F769" s="56"/>
    </row>
    <row r="770" spans="1:6" ht="15" customHeight="1" x14ac:dyDescent="0.35">
      <c r="A770" s="56">
        <v>6276</v>
      </c>
      <c r="B770" s="57" t="s">
        <v>1234</v>
      </c>
      <c r="C770" s="57" t="s">
        <v>2668</v>
      </c>
      <c r="D770" s="57" t="s">
        <v>580</v>
      </c>
      <c r="E770" s="47">
        <v>45873</v>
      </c>
      <c r="F770" s="56" t="s">
        <v>1</v>
      </c>
    </row>
    <row r="771" spans="1:6" ht="15" customHeight="1" x14ac:dyDescent="0.35">
      <c r="A771" s="56">
        <v>6277</v>
      </c>
      <c r="B771" s="57" t="s">
        <v>1462</v>
      </c>
      <c r="C771" s="57" t="s">
        <v>2616</v>
      </c>
      <c r="D771" s="57" t="s">
        <v>2617</v>
      </c>
      <c r="E771" s="47">
        <v>45853</v>
      </c>
      <c r="F771" s="56" t="s">
        <v>1</v>
      </c>
    </row>
    <row r="772" spans="1:6" ht="15" customHeight="1" x14ac:dyDescent="0.35">
      <c r="A772" s="56">
        <v>6278</v>
      </c>
      <c r="B772" s="57" t="s">
        <v>1324</v>
      </c>
      <c r="C772" s="57" t="s">
        <v>440</v>
      </c>
      <c r="D772" s="57" t="s">
        <v>742</v>
      </c>
      <c r="E772" s="47">
        <v>45922</v>
      </c>
      <c r="F772" s="56" t="s">
        <v>1</v>
      </c>
    </row>
    <row r="773" spans="1:6" ht="15" customHeight="1" x14ac:dyDescent="0.35">
      <c r="A773" s="56">
        <v>6279</v>
      </c>
      <c r="B773" s="57"/>
      <c r="C773" s="57"/>
      <c r="D773" s="57"/>
      <c r="E773" s="47"/>
      <c r="F773" s="56"/>
    </row>
    <row r="774" spans="1:6" ht="15" customHeight="1" x14ac:dyDescent="0.35">
      <c r="A774" s="56">
        <v>6280</v>
      </c>
      <c r="B774" s="57" t="s">
        <v>239</v>
      </c>
      <c r="C774" s="57" t="s">
        <v>546</v>
      </c>
      <c r="D774" s="57" t="s">
        <v>2033</v>
      </c>
      <c r="E774" s="47">
        <v>45866</v>
      </c>
      <c r="F774" s="56" t="s">
        <v>3</v>
      </c>
    </row>
    <row r="775" spans="1:6" ht="15" customHeight="1" x14ac:dyDescent="0.35">
      <c r="A775" s="56">
        <v>6281</v>
      </c>
      <c r="B775" s="57"/>
      <c r="C775" s="57"/>
      <c r="D775" s="57"/>
      <c r="E775" s="47"/>
      <c r="F775" s="56"/>
    </row>
    <row r="776" spans="1:6" ht="15" customHeight="1" x14ac:dyDescent="0.35">
      <c r="A776" s="56">
        <v>6282</v>
      </c>
      <c r="B776" s="57"/>
      <c r="C776" s="57"/>
      <c r="D776" s="57"/>
      <c r="E776" s="47"/>
      <c r="F776" s="56"/>
    </row>
    <row r="777" spans="1:6" ht="15" customHeight="1" x14ac:dyDescent="0.35">
      <c r="A777" s="56">
        <v>6283</v>
      </c>
      <c r="B777" s="57" t="s">
        <v>1099</v>
      </c>
      <c r="C777" s="57" t="s">
        <v>362</v>
      </c>
      <c r="D777" s="57" t="s">
        <v>319</v>
      </c>
      <c r="E777" s="47">
        <v>45873</v>
      </c>
      <c r="F777" s="56" t="s">
        <v>1</v>
      </c>
    </row>
    <row r="778" spans="1:6" ht="15" customHeight="1" x14ac:dyDescent="0.35">
      <c r="A778" s="56">
        <v>6284</v>
      </c>
      <c r="B778" s="57" t="s">
        <v>2079</v>
      </c>
      <c r="C778" s="57" t="s">
        <v>1177</v>
      </c>
      <c r="D778" s="57" t="s">
        <v>2641</v>
      </c>
      <c r="E778" s="47">
        <v>45866</v>
      </c>
      <c r="F778" s="56" t="s">
        <v>1</v>
      </c>
    </row>
    <row r="779" spans="1:6" ht="15" customHeight="1" x14ac:dyDescent="0.35">
      <c r="A779" s="56">
        <v>6285</v>
      </c>
      <c r="B779" s="57"/>
      <c r="C779" s="57"/>
      <c r="D779" s="57"/>
      <c r="E779" s="47"/>
      <c r="F779" s="56"/>
    </row>
    <row r="780" spans="1:6" ht="15" customHeight="1" x14ac:dyDescent="0.35">
      <c r="A780" s="56">
        <v>6286</v>
      </c>
      <c r="B780" s="57" t="s">
        <v>1966</v>
      </c>
      <c r="C780" s="57" t="s">
        <v>408</v>
      </c>
      <c r="D780" s="57" t="s">
        <v>401</v>
      </c>
      <c r="E780" s="47">
        <v>45873</v>
      </c>
      <c r="F780" s="56" t="s">
        <v>1</v>
      </c>
    </row>
    <row r="781" spans="1:6" ht="15" customHeight="1" x14ac:dyDescent="0.35">
      <c r="A781" s="56">
        <v>6287</v>
      </c>
      <c r="B781" s="57" t="s">
        <v>1240</v>
      </c>
      <c r="C781" s="57" t="s">
        <v>1391</v>
      </c>
      <c r="D781" s="57" t="s">
        <v>168</v>
      </c>
      <c r="E781" s="47">
        <v>45873</v>
      </c>
      <c r="F781" s="56" t="s">
        <v>1</v>
      </c>
    </row>
    <row r="782" spans="1:6" ht="15" customHeight="1" x14ac:dyDescent="0.35">
      <c r="A782" s="56">
        <v>6288</v>
      </c>
      <c r="B782" s="57"/>
      <c r="C782" s="57"/>
      <c r="D782" s="57"/>
      <c r="E782" s="47"/>
      <c r="F782" s="56"/>
    </row>
    <row r="783" spans="1:6" ht="15" customHeight="1" x14ac:dyDescent="0.35">
      <c r="A783" s="56">
        <v>6289</v>
      </c>
      <c r="B783" s="57" t="s">
        <v>1117</v>
      </c>
      <c r="C783" s="57" t="s">
        <v>1177</v>
      </c>
      <c r="D783" s="57" t="s">
        <v>957</v>
      </c>
      <c r="E783" s="47">
        <v>45873</v>
      </c>
      <c r="F783" s="56" t="s">
        <v>1</v>
      </c>
    </row>
    <row r="784" spans="1:6" ht="15" customHeight="1" x14ac:dyDescent="0.35">
      <c r="A784" s="56">
        <v>6290</v>
      </c>
      <c r="B784" s="57"/>
      <c r="C784" s="57"/>
      <c r="D784" s="57"/>
      <c r="E784" s="47"/>
      <c r="F784" s="56"/>
    </row>
    <row r="785" spans="1:6" ht="15" customHeight="1" x14ac:dyDescent="0.35">
      <c r="A785" s="56">
        <v>6291</v>
      </c>
      <c r="B785" s="57" t="s">
        <v>1247</v>
      </c>
      <c r="C785" s="57" t="s">
        <v>249</v>
      </c>
      <c r="D785" s="57" t="s">
        <v>615</v>
      </c>
      <c r="E785" s="47">
        <v>45873</v>
      </c>
      <c r="F785" s="56" t="s">
        <v>1</v>
      </c>
    </row>
    <row r="786" spans="1:6" ht="15" customHeight="1" x14ac:dyDescent="0.35">
      <c r="A786" s="56">
        <v>6292</v>
      </c>
      <c r="B786" s="57" t="s">
        <v>1247</v>
      </c>
      <c r="C786" s="57"/>
      <c r="D786" s="57" t="s">
        <v>319</v>
      </c>
      <c r="E786" s="47">
        <v>45873</v>
      </c>
      <c r="F786" s="56" t="s">
        <v>1</v>
      </c>
    </row>
    <row r="787" spans="1:6" ht="15" customHeight="1" x14ac:dyDescent="0.35">
      <c r="A787" s="56">
        <v>6293</v>
      </c>
      <c r="B787" s="57" t="s">
        <v>2638</v>
      </c>
      <c r="C787" s="57" t="s">
        <v>2639</v>
      </c>
      <c r="D787" s="57" t="s">
        <v>2640</v>
      </c>
      <c r="E787" s="47">
        <v>45866</v>
      </c>
      <c r="F787" s="56" t="s">
        <v>1</v>
      </c>
    </row>
    <row r="788" spans="1:6" ht="15" customHeight="1" x14ac:dyDescent="0.35">
      <c r="A788" s="56">
        <v>6294</v>
      </c>
      <c r="B788" s="57"/>
      <c r="C788" s="57"/>
      <c r="D788" s="57"/>
      <c r="E788" s="47"/>
      <c r="F788" s="56"/>
    </row>
    <row r="789" spans="1:6" ht="15" customHeight="1" x14ac:dyDescent="0.35">
      <c r="A789" s="56">
        <v>6295</v>
      </c>
      <c r="B789" s="57" t="s">
        <v>220</v>
      </c>
      <c r="C789" s="57" t="s">
        <v>1200</v>
      </c>
      <c r="D789" s="57" t="s">
        <v>1210</v>
      </c>
      <c r="E789" s="47">
        <v>45922</v>
      </c>
      <c r="F789" s="56" t="s">
        <v>1</v>
      </c>
    </row>
    <row r="790" spans="1:6" ht="15" customHeight="1" x14ac:dyDescent="0.35">
      <c r="A790" s="56">
        <v>6296</v>
      </c>
      <c r="B790" s="57" t="s">
        <v>220</v>
      </c>
      <c r="C790" s="57" t="s">
        <v>1199</v>
      </c>
      <c r="D790" s="57" t="s">
        <v>1210</v>
      </c>
      <c r="E790" s="47">
        <v>45922</v>
      </c>
      <c r="F790" s="56" t="s">
        <v>1</v>
      </c>
    </row>
    <row r="791" spans="1:6" ht="15" customHeight="1" x14ac:dyDescent="0.35">
      <c r="A791" s="56">
        <v>6297</v>
      </c>
      <c r="B791" s="57" t="s">
        <v>220</v>
      </c>
      <c r="C791" s="57" t="s">
        <v>1410</v>
      </c>
      <c r="D791" s="57" t="s">
        <v>1210</v>
      </c>
      <c r="E791" s="47">
        <v>45922</v>
      </c>
      <c r="F791" s="56" t="s">
        <v>1</v>
      </c>
    </row>
    <row r="792" spans="1:6" ht="15" customHeight="1" x14ac:dyDescent="0.35">
      <c r="A792" s="56">
        <v>6298</v>
      </c>
      <c r="B792" s="57" t="s">
        <v>220</v>
      </c>
      <c r="C792" s="57" t="s">
        <v>1216</v>
      </c>
      <c r="D792" s="57" t="s">
        <v>1210</v>
      </c>
      <c r="E792" s="47">
        <v>45922</v>
      </c>
      <c r="F792" s="56" t="s">
        <v>1</v>
      </c>
    </row>
    <row r="793" spans="1:6" ht="15" customHeight="1" x14ac:dyDescent="0.35">
      <c r="A793" s="56">
        <v>6299</v>
      </c>
      <c r="B793" s="57"/>
      <c r="C793" s="57"/>
      <c r="D793" s="57"/>
      <c r="E793" s="47"/>
      <c r="F793" s="56"/>
    </row>
    <row r="794" spans="1:6" ht="15" customHeight="1" x14ac:dyDescent="0.35">
      <c r="A794" s="56">
        <v>6300</v>
      </c>
      <c r="B794" s="57" t="s">
        <v>41</v>
      </c>
      <c r="C794" s="57" t="s">
        <v>2671</v>
      </c>
      <c r="D794" s="57" t="s">
        <v>425</v>
      </c>
      <c r="E794" s="47">
        <v>45873</v>
      </c>
      <c r="F794" s="56" t="s">
        <v>4</v>
      </c>
    </row>
    <row r="795" spans="1:6" ht="15" customHeight="1" x14ac:dyDescent="0.35">
      <c r="A795" s="56">
        <v>6301</v>
      </c>
      <c r="B795" s="57" t="s">
        <v>2672</v>
      </c>
      <c r="C795" s="57" t="s">
        <v>1202</v>
      </c>
      <c r="D795" s="57" t="s">
        <v>207</v>
      </c>
      <c r="E795" s="47">
        <v>45873</v>
      </c>
      <c r="F795" s="56" t="s">
        <v>1</v>
      </c>
    </row>
    <row r="796" spans="1:6" ht="15" customHeight="1" x14ac:dyDescent="0.35">
      <c r="A796" s="56">
        <v>6302</v>
      </c>
      <c r="B796" s="57" t="s">
        <v>96</v>
      </c>
      <c r="C796" s="57" t="s">
        <v>718</v>
      </c>
      <c r="D796" s="57"/>
      <c r="E796" s="47">
        <v>45873</v>
      </c>
      <c r="F796" s="56" t="s">
        <v>1</v>
      </c>
    </row>
    <row r="797" spans="1:6" ht="15" customHeight="1" x14ac:dyDescent="0.35">
      <c r="A797" s="56">
        <v>6303</v>
      </c>
      <c r="B797" s="57"/>
      <c r="C797" s="57"/>
      <c r="D797" s="57"/>
      <c r="E797" s="47"/>
      <c r="F797" s="56"/>
    </row>
    <row r="798" spans="1:6" ht="15" customHeight="1" x14ac:dyDescent="0.35">
      <c r="A798" s="56">
        <v>6304</v>
      </c>
      <c r="B798" s="57"/>
      <c r="C798" s="57"/>
      <c r="D798" s="57"/>
      <c r="E798" s="47"/>
      <c r="F798" s="56"/>
    </row>
    <row r="799" spans="1:6" ht="15" customHeight="1" x14ac:dyDescent="0.35">
      <c r="A799" s="56">
        <v>6305</v>
      </c>
      <c r="B799" s="57" t="s">
        <v>1968</v>
      </c>
      <c r="C799" s="57" t="s">
        <v>2670</v>
      </c>
      <c r="D799" s="57" t="s">
        <v>927</v>
      </c>
      <c r="E799" s="47">
        <v>45873</v>
      </c>
      <c r="F799" s="56" t="s">
        <v>1</v>
      </c>
    </row>
    <row r="800" spans="1:6" ht="15" customHeight="1" x14ac:dyDescent="0.35">
      <c r="A800" s="56">
        <v>6306</v>
      </c>
      <c r="B800" s="57" t="s">
        <v>1432</v>
      </c>
      <c r="C800" s="57" t="s">
        <v>2669</v>
      </c>
      <c r="D800" s="57" t="s">
        <v>1049</v>
      </c>
      <c r="E800" s="47">
        <v>45873</v>
      </c>
      <c r="F800" s="56" t="s">
        <v>1</v>
      </c>
    </row>
    <row r="801" spans="1:6" ht="15" customHeight="1" x14ac:dyDescent="0.35">
      <c r="A801" s="56">
        <v>6307</v>
      </c>
      <c r="B801" s="57" t="s">
        <v>96</v>
      </c>
      <c r="C801" s="57" t="s">
        <v>179</v>
      </c>
      <c r="D801" s="57" t="s">
        <v>2051</v>
      </c>
      <c r="E801" s="47">
        <v>45873</v>
      </c>
      <c r="F801" s="56" t="s">
        <v>1</v>
      </c>
    </row>
    <row r="802" spans="1:6" ht="15" customHeight="1" x14ac:dyDescent="0.35">
      <c r="A802" s="56">
        <v>6308</v>
      </c>
      <c r="B802" s="57" t="s">
        <v>2588</v>
      </c>
      <c r="C802" s="57" t="s">
        <v>2666</v>
      </c>
      <c r="D802" s="57" t="s">
        <v>777</v>
      </c>
      <c r="E802" s="47">
        <v>45873</v>
      </c>
      <c r="F802" s="56" t="s">
        <v>1</v>
      </c>
    </row>
    <row r="803" spans="1:6" ht="15" customHeight="1" x14ac:dyDescent="0.35">
      <c r="A803" s="56">
        <v>6309</v>
      </c>
      <c r="B803" s="57"/>
      <c r="C803" s="57"/>
      <c r="D803" s="57"/>
      <c r="E803" s="47"/>
      <c r="F803" s="56"/>
    </row>
    <row r="804" spans="1:6" ht="15" customHeight="1" x14ac:dyDescent="0.35">
      <c r="A804" s="56">
        <v>6310</v>
      </c>
      <c r="B804" s="57" t="s">
        <v>220</v>
      </c>
      <c r="C804" s="57" t="s">
        <v>1379</v>
      </c>
      <c r="D804" s="57" t="s">
        <v>1210</v>
      </c>
      <c r="E804" s="47">
        <v>45923</v>
      </c>
      <c r="F804" s="56" t="s">
        <v>1</v>
      </c>
    </row>
    <row r="805" spans="1:6" ht="15" customHeight="1" x14ac:dyDescent="0.35">
      <c r="A805" s="56">
        <v>6311</v>
      </c>
      <c r="B805" s="57" t="s">
        <v>2464</v>
      </c>
      <c r="C805" s="57" t="s">
        <v>2673</v>
      </c>
      <c r="D805" s="57" t="s">
        <v>121</v>
      </c>
      <c r="E805" s="47">
        <v>45874</v>
      </c>
      <c r="F805" s="56" t="s">
        <v>4</v>
      </c>
    </row>
    <row r="806" spans="1:6" ht="15" customHeight="1" x14ac:dyDescent="0.35">
      <c r="A806" s="56">
        <v>6312</v>
      </c>
      <c r="B806" s="57"/>
      <c r="C806" s="57"/>
      <c r="D806" s="57"/>
      <c r="E806" s="47"/>
      <c r="F806" s="56"/>
    </row>
    <row r="807" spans="1:6" ht="15" customHeight="1" x14ac:dyDescent="0.35">
      <c r="A807" s="56">
        <v>6313</v>
      </c>
      <c r="B807" s="57" t="s">
        <v>191</v>
      </c>
      <c r="C807" s="57" t="s">
        <v>316</v>
      </c>
      <c r="D807" s="57" t="s">
        <v>27</v>
      </c>
      <c r="E807" s="47">
        <v>45905</v>
      </c>
      <c r="F807" s="56" t="s">
        <v>1</v>
      </c>
    </row>
    <row r="808" spans="1:6" ht="15" customHeight="1" x14ac:dyDescent="0.35">
      <c r="A808" s="56">
        <v>6314</v>
      </c>
      <c r="B808" s="57" t="s">
        <v>239</v>
      </c>
      <c r="C808" s="57" t="s">
        <v>546</v>
      </c>
      <c r="D808" s="57" t="s">
        <v>662</v>
      </c>
      <c r="E808" s="47">
        <v>45903</v>
      </c>
      <c r="F808" s="56" t="s">
        <v>3</v>
      </c>
    </row>
    <row r="809" spans="1:6" ht="15" customHeight="1" x14ac:dyDescent="0.35">
      <c r="A809" s="56">
        <v>6315</v>
      </c>
      <c r="B809" s="57" t="s">
        <v>239</v>
      </c>
      <c r="C809" s="57" t="s">
        <v>546</v>
      </c>
      <c r="D809" s="57" t="s">
        <v>2720</v>
      </c>
      <c r="E809" s="47">
        <v>45903</v>
      </c>
      <c r="F809" s="56" t="s">
        <v>3</v>
      </c>
    </row>
    <row r="810" spans="1:6" ht="15" customHeight="1" x14ac:dyDescent="0.35">
      <c r="A810" s="56">
        <v>6316</v>
      </c>
      <c r="B810" s="57" t="s">
        <v>239</v>
      </c>
      <c r="C810" s="57" t="s">
        <v>546</v>
      </c>
      <c r="D810" s="57" t="s">
        <v>2721</v>
      </c>
      <c r="E810" s="47">
        <v>45903</v>
      </c>
      <c r="F810" s="56" t="s">
        <v>3</v>
      </c>
    </row>
    <row r="811" spans="1:6" ht="15" customHeight="1" x14ac:dyDescent="0.35">
      <c r="A811" s="56">
        <v>6317</v>
      </c>
      <c r="B811" s="57"/>
      <c r="C811" s="57"/>
      <c r="D811" s="57"/>
      <c r="E811" s="47"/>
      <c r="F811" s="56"/>
    </row>
    <row r="812" spans="1:6" ht="15" customHeight="1" x14ac:dyDescent="0.35">
      <c r="A812" s="56">
        <v>6318</v>
      </c>
      <c r="B812" s="57"/>
      <c r="C812" s="57"/>
      <c r="D812" s="57"/>
      <c r="E812" s="47"/>
      <c r="F812" s="56"/>
    </row>
    <row r="813" spans="1:6" ht="15" customHeight="1" x14ac:dyDescent="0.35">
      <c r="A813" s="56">
        <v>6319</v>
      </c>
      <c r="B813" s="57" t="s">
        <v>1387</v>
      </c>
      <c r="C813" s="57" t="s">
        <v>1388</v>
      </c>
      <c r="D813" s="57" t="s">
        <v>145</v>
      </c>
      <c r="E813" s="47">
        <v>45923</v>
      </c>
      <c r="F813" s="56" t="s">
        <v>1</v>
      </c>
    </row>
    <row r="814" spans="1:6" ht="15" customHeight="1" x14ac:dyDescent="0.35">
      <c r="A814" s="56">
        <v>6320</v>
      </c>
      <c r="B814" s="57" t="s">
        <v>220</v>
      </c>
      <c r="C814" s="57" t="s">
        <v>2860</v>
      </c>
      <c r="D814" s="57" t="s">
        <v>2861</v>
      </c>
      <c r="E814" s="47">
        <v>45930</v>
      </c>
      <c r="F814" s="56" t="s">
        <v>1</v>
      </c>
    </row>
    <row r="815" spans="1:6" ht="15" customHeight="1" x14ac:dyDescent="0.35">
      <c r="A815" s="56">
        <v>6321</v>
      </c>
      <c r="B815" s="57" t="s">
        <v>74</v>
      </c>
      <c r="C815" s="57" t="s">
        <v>1053</v>
      </c>
      <c r="D815" s="57" t="s">
        <v>145</v>
      </c>
      <c r="E815" s="47">
        <v>45923</v>
      </c>
      <c r="F815" s="56" t="s">
        <v>1</v>
      </c>
    </row>
    <row r="816" spans="1:6" ht="15" customHeight="1" x14ac:dyDescent="0.35">
      <c r="A816" s="56">
        <v>6322</v>
      </c>
      <c r="B816" s="57" t="s">
        <v>74</v>
      </c>
      <c r="C816" s="57" t="s">
        <v>948</v>
      </c>
      <c r="D816" s="57" t="s">
        <v>145</v>
      </c>
      <c r="E816" s="47">
        <v>45923</v>
      </c>
      <c r="F816" s="56" t="s">
        <v>1</v>
      </c>
    </row>
    <row r="817" spans="1:6" ht="15" customHeight="1" x14ac:dyDescent="0.35">
      <c r="A817" s="56">
        <v>6323</v>
      </c>
      <c r="B817" s="57" t="s">
        <v>2476</v>
      </c>
      <c r="C817" s="57" t="s">
        <v>2477</v>
      </c>
      <c r="D817" s="57" t="s">
        <v>2478</v>
      </c>
      <c r="E817" s="47">
        <v>45831</v>
      </c>
      <c r="F817" s="56" t="s">
        <v>1</v>
      </c>
    </row>
    <row r="818" spans="1:6" ht="15" customHeight="1" x14ac:dyDescent="0.35">
      <c r="A818" s="56">
        <v>6324</v>
      </c>
      <c r="B818" s="57" t="s">
        <v>509</v>
      </c>
      <c r="C818" s="57" t="s">
        <v>440</v>
      </c>
      <c r="D818" s="57" t="s">
        <v>2788</v>
      </c>
      <c r="E818" s="47">
        <v>45918</v>
      </c>
      <c r="F818" s="56" t="s">
        <v>3</v>
      </c>
    </row>
    <row r="819" spans="1:6" ht="15" customHeight="1" x14ac:dyDescent="0.35">
      <c r="A819" s="56">
        <v>6325</v>
      </c>
      <c r="B819" s="57"/>
      <c r="C819" s="57"/>
      <c r="D819" s="57"/>
      <c r="E819" s="47"/>
      <c r="F819" s="56"/>
    </row>
    <row r="820" spans="1:6" ht="15" customHeight="1" x14ac:dyDescent="0.35">
      <c r="A820" s="56">
        <v>6326</v>
      </c>
      <c r="B820" s="57"/>
      <c r="C820" s="57"/>
      <c r="D820" s="57"/>
      <c r="E820" s="47"/>
      <c r="F820" s="56"/>
    </row>
    <row r="821" spans="1:6" ht="15" customHeight="1" x14ac:dyDescent="0.35">
      <c r="A821" s="56">
        <v>6327</v>
      </c>
      <c r="B821" s="57"/>
      <c r="C821" s="57"/>
      <c r="D821" s="57"/>
      <c r="E821" s="47"/>
      <c r="F821" s="56"/>
    </row>
    <row r="822" spans="1:6" ht="15" customHeight="1" x14ac:dyDescent="0.35">
      <c r="A822" s="56">
        <v>6328</v>
      </c>
      <c r="B822" s="57" t="s">
        <v>1966</v>
      </c>
      <c r="C822" s="57" t="s">
        <v>408</v>
      </c>
      <c r="D822" s="57" t="s">
        <v>615</v>
      </c>
      <c r="E822" s="47">
        <v>45923</v>
      </c>
      <c r="F822" s="56" t="s">
        <v>1</v>
      </c>
    </row>
    <row r="823" spans="1:6" ht="15" customHeight="1" x14ac:dyDescent="0.35">
      <c r="A823" s="56">
        <v>6329</v>
      </c>
      <c r="B823" s="57" t="s">
        <v>2816</v>
      </c>
      <c r="C823" s="57" t="s">
        <v>2817</v>
      </c>
      <c r="D823" s="57" t="s">
        <v>2818</v>
      </c>
      <c r="E823" s="47">
        <v>45923</v>
      </c>
      <c r="F823" s="56" t="s">
        <v>1</v>
      </c>
    </row>
    <row r="824" spans="1:6" ht="15" customHeight="1" x14ac:dyDescent="0.35">
      <c r="A824" s="56">
        <v>6330</v>
      </c>
      <c r="B824" s="57" t="s">
        <v>1956</v>
      </c>
      <c r="C824" s="57" t="s">
        <v>444</v>
      </c>
      <c r="D824" s="57" t="s">
        <v>168</v>
      </c>
      <c r="E824" s="47">
        <v>45923</v>
      </c>
      <c r="F824" s="56" t="s">
        <v>1</v>
      </c>
    </row>
    <row r="825" spans="1:6" ht="15" customHeight="1" x14ac:dyDescent="0.35">
      <c r="A825" s="56">
        <v>6331</v>
      </c>
      <c r="B825" s="57"/>
      <c r="C825" s="57"/>
      <c r="D825" s="57"/>
      <c r="E825" s="47"/>
      <c r="F825" s="56"/>
    </row>
    <row r="826" spans="1:6" ht="15" customHeight="1" x14ac:dyDescent="0.35">
      <c r="A826" s="56">
        <v>6332</v>
      </c>
      <c r="B826" s="57"/>
      <c r="C826" s="57"/>
      <c r="D826" s="57"/>
      <c r="E826" s="47"/>
      <c r="F826" s="56"/>
    </row>
    <row r="827" spans="1:6" ht="15" customHeight="1" x14ac:dyDescent="0.35">
      <c r="A827" s="56">
        <v>6333</v>
      </c>
      <c r="B827" s="57" t="s">
        <v>2813</v>
      </c>
      <c r="C827" s="57" t="s">
        <v>408</v>
      </c>
      <c r="D827" s="57" t="s">
        <v>615</v>
      </c>
      <c r="E827" s="47">
        <v>45923</v>
      </c>
      <c r="F827" s="56" t="s">
        <v>2</v>
      </c>
    </row>
    <row r="828" spans="1:6" ht="15" customHeight="1" x14ac:dyDescent="0.35">
      <c r="A828" s="56">
        <v>6334</v>
      </c>
      <c r="B828" s="57" t="s">
        <v>191</v>
      </c>
      <c r="C828" s="57" t="s">
        <v>316</v>
      </c>
      <c r="D828" s="57" t="s">
        <v>554</v>
      </c>
      <c r="E828" s="47">
        <v>45923</v>
      </c>
      <c r="F828" s="56" t="s">
        <v>1</v>
      </c>
    </row>
    <row r="829" spans="1:6" ht="15" customHeight="1" x14ac:dyDescent="0.35">
      <c r="A829" s="56">
        <v>6335</v>
      </c>
      <c r="B829" s="57"/>
      <c r="C829" s="57"/>
      <c r="D829" s="57"/>
      <c r="E829" s="47"/>
      <c r="F829" s="56"/>
    </row>
    <row r="830" spans="1:6" ht="15" customHeight="1" x14ac:dyDescent="0.35">
      <c r="A830" s="56">
        <v>6336</v>
      </c>
      <c r="B830" s="57"/>
      <c r="C830" s="57"/>
      <c r="D830" s="57"/>
      <c r="E830" s="47"/>
      <c r="F830" s="56"/>
    </row>
    <row r="831" spans="1:6" ht="15" customHeight="1" x14ac:dyDescent="0.35">
      <c r="A831" s="56">
        <v>6337</v>
      </c>
      <c r="B831" s="57"/>
      <c r="C831" s="57"/>
      <c r="D831" s="57"/>
      <c r="E831" s="47"/>
      <c r="F831" s="56"/>
    </row>
    <row r="832" spans="1:6" ht="15" customHeight="1" x14ac:dyDescent="0.35">
      <c r="A832" s="56">
        <v>6338</v>
      </c>
      <c r="B832" s="57"/>
      <c r="C832" s="57"/>
      <c r="D832" s="57"/>
      <c r="E832" s="47"/>
      <c r="F832" s="56"/>
    </row>
    <row r="833" spans="1:6" ht="15" customHeight="1" x14ac:dyDescent="0.35">
      <c r="A833" s="56">
        <v>6339</v>
      </c>
      <c r="B833" s="57" t="s">
        <v>41</v>
      </c>
      <c r="C833" s="57" t="s">
        <v>75</v>
      </c>
      <c r="D833" s="57" t="s">
        <v>2862</v>
      </c>
      <c r="E833" s="47">
        <v>45932</v>
      </c>
      <c r="F833" s="56" t="s">
        <v>18</v>
      </c>
    </row>
    <row r="834" spans="1:6" ht="15" customHeight="1" x14ac:dyDescent="0.35">
      <c r="A834" s="56">
        <v>6340</v>
      </c>
      <c r="B834" s="57"/>
      <c r="C834" s="57"/>
      <c r="D834" s="57"/>
      <c r="E834" s="47"/>
      <c r="F834" s="56"/>
    </row>
    <row r="835" spans="1:6" ht="15" customHeight="1" x14ac:dyDescent="0.35">
      <c r="A835" s="56">
        <v>6341</v>
      </c>
      <c r="B835" s="57"/>
      <c r="C835" s="57"/>
      <c r="D835" s="57"/>
      <c r="E835" s="47"/>
      <c r="F835" s="56"/>
    </row>
    <row r="836" spans="1:6" ht="15" customHeight="1" x14ac:dyDescent="0.35">
      <c r="A836" s="56">
        <v>6342</v>
      </c>
      <c r="B836" s="57" t="s">
        <v>1071</v>
      </c>
      <c r="C836" s="57" t="s">
        <v>1206</v>
      </c>
      <c r="D836" s="57" t="s">
        <v>2232</v>
      </c>
      <c r="E836" s="47">
        <v>45931</v>
      </c>
      <c r="F836" s="56" t="s">
        <v>1</v>
      </c>
    </row>
    <row r="837" spans="1:6" ht="15" customHeight="1" x14ac:dyDescent="0.35">
      <c r="A837" s="56">
        <v>6343</v>
      </c>
      <c r="B837" s="57"/>
      <c r="C837" s="57"/>
      <c r="D837" s="57"/>
      <c r="E837" s="47"/>
      <c r="F837" s="56"/>
    </row>
    <row r="838" spans="1:6" ht="15" customHeight="1" x14ac:dyDescent="0.35">
      <c r="A838" s="56">
        <v>6344</v>
      </c>
      <c r="B838" s="57"/>
      <c r="C838" s="57"/>
      <c r="D838" s="57"/>
      <c r="E838" s="47"/>
      <c r="F838" s="56"/>
    </row>
    <row r="839" spans="1:6" ht="15" customHeight="1" x14ac:dyDescent="0.35">
      <c r="A839" s="56">
        <v>6345</v>
      </c>
      <c r="B839" s="57"/>
      <c r="C839" s="57"/>
      <c r="D839" s="57"/>
      <c r="E839" s="47"/>
      <c r="F839" s="56"/>
    </row>
    <row r="840" spans="1:6" ht="15" customHeight="1" x14ac:dyDescent="0.35">
      <c r="A840" s="56">
        <v>6346</v>
      </c>
      <c r="B840" s="57"/>
      <c r="C840" s="57"/>
      <c r="D840" s="57"/>
      <c r="E840" s="47"/>
      <c r="F840" s="56"/>
    </row>
    <row r="841" spans="1:6" ht="15" customHeight="1" x14ac:dyDescent="0.35">
      <c r="A841" s="56">
        <v>6347</v>
      </c>
      <c r="B841" s="57"/>
      <c r="C841" s="57"/>
      <c r="D841" s="57"/>
      <c r="E841" s="47"/>
      <c r="F841" s="56"/>
    </row>
    <row r="842" spans="1:6" ht="15" customHeight="1" x14ac:dyDescent="0.35">
      <c r="A842" s="56">
        <v>6348</v>
      </c>
      <c r="B842" s="57"/>
      <c r="C842" s="57"/>
      <c r="D842" s="57"/>
      <c r="E842" s="47"/>
      <c r="F842" s="56"/>
    </row>
    <row r="843" spans="1:6" ht="15" customHeight="1" x14ac:dyDescent="0.35">
      <c r="A843" s="56">
        <v>6349</v>
      </c>
      <c r="B843" s="57"/>
      <c r="C843" s="57"/>
      <c r="D843" s="57"/>
      <c r="E843" s="47"/>
      <c r="F843" s="56"/>
    </row>
    <row r="844" spans="1:6" ht="15" customHeight="1" x14ac:dyDescent="0.35">
      <c r="A844" s="56">
        <v>6350</v>
      </c>
      <c r="B844" s="57"/>
      <c r="C844" s="57"/>
      <c r="D844" s="57"/>
      <c r="E844" s="47"/>
      <c r="F844" s="56"/>
    </row>
    <row r="845" spans="1:6" ht="15" customHeight="1" x14ac:dyDescent="0.35">
      <c r="A845" s="56">
        <v>6351</v>
      </c>
      <c r="B845" s="57"/>
      <c r="C845" s="57"/>
      <c r="D845" s="57"/>
      <c r="E845" s="47"/>
      <c r="F845" s="56"/>
    </row>
    <row r="846" spans="1:6" ht="15" customHeight="1" x14ac:dyDescent="0.35">
      <c r="A846" s="56">
        <v>6352</v>
      </c>
      <c r="B846" s="57"/>
      <c r="C846" s="57"/>
      <c r="D846" s="57"/>
      <c r="E846" s="47"/>
      <c r="F846" s="56"/>
    </row>
    <row r="847" spans="1:6" ht="15" customHeight="1" x14ac:dyDescent="0.35">
      <c r="A847" s="56">
        <v>6353</v>
      </c>
      <c r="B847" s="57"/>
      <c r="C847" s="57"/>
      <c r="D847" s="57"/>
      <c r="E847" s="47"/>
      <c r="F847" s="56"/>
    </row>
    <row r="848" spans="1:6" ht="15" customHeight="1" x14ac:dyDescent="0.35">
      <c r="A848" s="56">
        <v>6354</v>
      </c>
      <c r="B848" s="57"/>
      <c r="C848" s="57"/>
      <c r="D848" s="57"/>
      <c r="E848" s="47"/>
      <c r="F848" s="56"/>
    </row>
    <row r="849" spans="1:6" ht="15" customHeight="1" x14ac:dyDescent="0.35">
      <c r="A849" s="56">
        <v>6355</v>
      </c>
      <c r="B849" s="57"/>
      <c r="C849" s="57"/>
      <c r="D849" s="57"/>
      <c r="E849" s="47"/>
      <c r="F849" s="56"/>
    </row>
    <row r="850" spans="1:6" ht="15" customHeight="1" x14ac:dyDescent="0.35">
      <c r="A850" s="56">
        <v>6356</v>
      </c>
      <c r="B850" s="57"/>
      <c r="C850" s="57"/>
      <c r="D850" s="57"/>
      <c r="E850" s="47"/>
      <c r="F850" s="56"/>
    </row>
    <row r="851" spans="1:6" ht="15" customHeight="1" x14ac:dyDescent="0.35">
      <c r="A851" s="56">
        <v>6357</v>
      </c>
      <c r="B851" s="57"/>
      <c r="C851" s="57"/>
      <c r="D851" s="57"/>
      <c r="E851" s="47"/>
      <c r="F851" s="56"/>
    </row>
    <row r="852" spans="1:6" ht="15" customHeight="1" x14ac:dyDescent="0.35">
      <c r="A852" s="56">
        <v>6358</v>
      </c>
      <c r="B852" s="57"/>
      <c r="C852" s="57"/>
      <c r="D852" s="57"/>
      <c r="E852" s="47"/>
      <c r="F852" s="56"/>
    </row>
    <row r="853" spans="1:6" ht="15" customHeight="1" x14ac:dyDescent="0.35">
      <c r="A853" s="56">
        <v>6359</v>
      </c>
      <c r="B853" s="57"/>
      <c r="C853" s="57"/>
      <c r="D853" s="57"/>
      <c r="E853" s="47"/>
      <c r="F853" s="56"/>
    </row>
    <row r="854" spans="1:6" ht="15" customHeight="1" x14ac:dyDescent="0.35">
      <c r="A854" s="56">
        <v>6360</v>
      </c>
      <c r="B854" s="57"/>
      <c r="C854" s="57"/>
      <c r="D854" s="57"/>
      <c r="E854" s="47"/>
      <c r="F854" s="56"/>
    </row>
    <row r="855" spans="1:6" ht="15" customHeight="1" x14ac:dyDescent="0.35">
      <c r="A855" s="56">
        <v>6361</v>
      </c>
      <c r="B855" s="57"/>
      <c r="C855" s="57"/>
      <c r="D855" s="57"/>
      <c r="E855" s="47"/>
      <c r="F855" s="56"/>
    </row>
    <row r="856" spans="1:6" ht="15" customHeight="1" x14ac:dyDescent="0.35">
      <c r="A856" s="56">
        <v>6362</v>
      </c>
      <c r="B856" s="57"/>
      <c r="C856" s="57"/>
      <c r="D856" s="57"/>
      <c r="E856" s="47"/>
      <c r="F856" s="56"/>
    </row>
    <row r="857" spans="1:6" ht="15" customHeight="1" x14ac:dyDescent="0.35">
      <c r="A857" s="56">
        <v>6363</v>
      </c>
      <c r="B857" s="57"/>
      <c r="C857" s="57"/>
      <c r="D857" s="57"/>
      <c r="E857" s="47"/>
      <c r="F857" s="56"/>
    </row>
    <row r="858" spans="1:6" ht="15" customHeight="1" x14ac:dyDescent="0.35">
      <c r="A858" s="56">
        <v>6364</v>
      </c>
      <c r="B858" s="57"/>
      <c r="C858" s="57"/>
      <c r="D858" s="57"/>
      <c r="E858" s="47"/>
      <c r="F858" s="56"/>
    </row>
    <row r="859" spans="1:6" ht="15" customHeight="1" x14ac:dyDescent="0.35">
      <c r="A859" s="56">
        <v>6365</v>
      </c>
      <c r="B859" s="57"/>
      <c r="C859" s="57"/>
      <c r="D859" s="57"/>
      <c r="E859" s="47"/>
      <c r="F859" s="56"/>
    </row>
    <row r="860" spans="1:6" ht="15" customHeight="1" x14ac:dyDescent="0.35">
      <c r="A860" s="56">
        <v>6366</v>
      </c>
      <c r="B860" s="57"/>
      <c r="C860" s="57"/>
      <c r="D860" s="57"/>
      <c r="E860" s="47"/>
      <c r="F860" s="56"/>
    </row>
    <row r="861" spans="1:6" ht="15" customHeight="1" x14ac:dyDescent="0.35">
      <c r="A861" s="56">
        <v>6367</v>
      </c>
      <c r="B861" s="57"/>
      <c r="C861" s="57"/>
      <c r="D861" s="57"/>
      <c r="E861" s="47"/>
      <c r="F861" s="56"/>
    </row>
    <row r="862" spans="1:6" ht="15" customHeight="1" x14ac:dyDescent="0.35">
      <c r="A862" s="56">
        <v>6368</v>
      </c>
      <c r="B862" s="57"/>
      <c r="C862" s="57"/>
      <c r="D862" s="57"/>
      <c r="E862" s="47"/>
      <c r="F862" s="56"/>
    </row>
    <row r="863" spans="1:6" ht="15" customHeight="1" x14ac:dyDescent="0.35">
      <c r="A863" s="56">
        <v>6369</v>
      </c>
      <c r="B863" s="57"/>
      <c r="C863" s="57"/>
      <c r="D863" s="57"/>
      <c r="E863" s="47"/>
      <c r="F863" s="56"/>
    </row>
    <row r="864" spans="1:6" ht="15" customHeight="1" x14ac:dyDescent="0.35">
      <c r="A864" s="56">
        <v>6370</v>
      </c>
      <c r="B864" s="57"/>
      <c r="C864" s="57"/>
      <c r="D864" s="57"/>
      <c r="E864" s="47"/>
      <c r="F864" s="56"/>
    </row>
    <row r="865" spans="1:6" ht="15" customHeight="1" x14ac:dyDescent="0.35">
      <c r="A865" s="56">
        <v>6371</v>
      </c>
      <c r="B865" s="57"/>
      <c r="C865" s="57"/>
      <c r="D865" s="57"/>
      <c r="E865" s="47"/>
      <c r="F865" s="56"/>
    </row>
    <row r="866" spans="1:6" ht="15" customHeight="1" x14ac:dyDescent="0.35">
      <c r="A866" s="56">
        <v>6372</v>
      </c>
      <c r="B866" s="57"/>
      <c r="C866" s="57"/>
      <c r="D866" s="57"/>
      <c r="E866" s="47"/>
      <c r="F866" s="56"/>
    </row>
    <row r="867" spans="1:6" ht="15" customHeight="1" x14ac:dyDescent="0.35">
      <c r="A867" s="56">
        <v>6373</v>
      </c>
      <c r="B867" s="57"/>
      <c r="C867" s="57"/>
      <c r="D867" s="57"/>
      <c r="E867" s="47"/>
      <c r="F867" s="56"/>
    </row>
    <row r="868" spans="1:6" ht="15" customHeight="1" x14ac:dyDescent="0.35">
      <c r="A868" s="56">
        <v>6374</v>
      </c>
      <c r="B868" s="57"/>
      <c r="C868" s="57"/>
      <c r="D868" s="57"/>
      <c r="E868" s="47"/>
      <c r="F868" s="56"/>
    </row>
    <row r="869" spans="1:6" ht="15" customHeight="1" x14ac:dyDescent="0.35">
      <c r="A869" s="56">
        <v>6375</v>
      </c>
      <c r="B869" s="57"/>
      <c r="C869" s="57"/>
      <c r="D869" s="57"/>
      <c r="E869" s="47"/>
      <c r="F869" s="56"/>
    </row>
    <row r="870" spans="1:6" ht="15" customHeight="1" x14ac:dyDescent="0.35">
      <c r="A870" s="56">
        <v>6376</v>
      </c>
      <c r="B870" s="57"/>
      <c r="C870" s="57"/>
      <c r="D870" s="57"/>
      <c r="E870" s="47"/>
      <c r="F870" s="56"/>
    </row>
    <row r="871" spans="1:6" ht="15" customHeight="1" x14ac:dyDescent="0.35">
      <c r="A871" s="56">
        <v>6377</v>
      </c>
      <c r="B871" s="57"/>
      <c r="C871" s="57"/>
      <c r="D871" s="57"/>
      <c r="E871" s="47"/>
      <c r="F871" s="56"/>
    </row>
    <row r="872" spans="1:6" ht="15" customHeight="1" x14ac:dyDescent="0.35">
      <c r="A872" s="56">
        <v>6378</v>
      </c>
      <c r="B872" s="57"/>
      <c r="C872" s="57"/>
      <c r="D872" s="57"/>
      <c r="E872" s="47"/>
      <c r="F872" s="56"/>
    </row>
    <row r="873" spans="1:6" ht="15" customHeight="1" x14ac:dyDescent="0.35">
      <c r="A873" s="56">
        <v>6379</v>
      </c>
      <c r="B873" s="57"/>
      <c r="C873" s="57"/>
      <c r="D873" s="57"/>
      <c r="E873" s="47"/>
      <c r="F873" s="56"/>
    </row>
    <row r="874" spans="1:6" ht="15" customHeight="1" x14ac:dyDescent="0.35">
      <c r="A874" s="56">
        <v>6380</v>
      </c>
      <c r="B874" s="57"/>
      <c r="C874" s="57"/>
      <c r="D874" s="57"/>
      <c r="E874" s="47"/>
      <c r="F874" s="56"/>
    </row>
    <row r="875" spans="1:6" ht="15" customHeight="1" x14ac:dyDescent="0.35">
      <c r="A875" s="56">
        <v>6381</v>
      </c>
      <c r="B875" s="57"/>
      <c r="C875" s="57"/>
      <c r="D875" s="57"/>
      <c r="E875" s="47"/>
      <c r="F875" s="56"/>
    </row>
    <row r="876" spans="1:6" ht="15" customHeight="1" x14ac:dyDescent="0.35">
      <c r="A876" s="56">
        <v>6382</v>
      </c>
      <c r="B876" s="57"/>
      <c r="C876" s="57"/>
      <c r="D876" s="57"/>
      <c r="E876" s="47"/>
      <c r="F876" s="56"/>
    </row>
    <row r="877" spans="1:6" ht="15" customHeight="1" x14ac:dyDescent="0.35">
      <c r="A877" s="56">
        <v>6383</v>
      </c>
      <c r="B877" s="57"/>
      <c r="C877" s="57"/>
      <c r="D877" s="57"/>
      <c r="E877" s="47"/>
      <c r="F877" s="56"/>
    </row>
    <row r="878" spans="1:6" ht="15" customHeight="1" x14ac:dyDescent="0.35">
      <c r="A878" s="56">
        <v>6384</v>
      </c>
      <c r="B878" s="57"/>
      <c r="C878" s="57"/>
      <c r="D878" s="57"/>
      <c r="E878" s="47"/>
      <c r="F878" s="56"/>
    </row>
    <row r="879" spans="1:6" ht="15" customHeight="1" x14ac:dyDescent="0.35">
      <c r="A879" s="56">
        <v>6385</v>
      </c>
      <c r="B879" s="57"/>
      <c r="C879" s="57"/>
      <c r="D879" s="57"/>
      <c r="E879" s="47"/>
      <c r="F879" s="56"/>
    </row>
    <row r="880" spans="1:6" ht="15" customHeight="1" x14ac:dyDescent="0.35">
      <c r="A880" s="56">
        <v>6386</v>
      </c>
      <c r="B880" s="57"/>
      <c r="C880" s="57"/>
      <c r="D880" s="57"/>
      <c r="E880" s="47"/>
      <c r="F880" s="56"/>
    </row>
    <row r="881" spans="1:6" ht="15" customHeight="1" x14ac:dyDescent="0.35">
      <c r="A881" s="56">
        <v>6387</v>
      </c>
      <c r="B881" s="57"/>
      <c r="C881" s="57"/>
      <c r="D881" s="57"/>
      <c r="E881" s="47"/>
      <c r="F881" s="56"/>
    </row>
    <row r="882" spans="1:6" ht="15" customHeight="1" x14ac:dyDescent="0.35">
      <c r="A882" s="56">
        <v>6388</v>
      </c>
      <c r="B882" s="57"/>
      <c r="C882" s="57"/>
      <c r="D882" s="57"/>
      <c r="E882" s="47"/>
      <c r="F882" s="56"/>
    </row>
    <row r="883" spans="1:6" ht="15" customHeight="1" x14ac:dyDescent="0.35">
      <c r="A883" s="56">
        <v>6389</v>
      </c>
      <c r="B883" s="57"/>
      <c r="C883" s="57"/>
      <c r="D883" s="57"/>
      <c r="E883" s="47"/>
      <c r="F883" s="56"/>
    </row>
    <row r="884" spans="1:6" ht="15" customHeight="1" x14ac:dyDescent="0.35">
      <c r="A884" s="56">
        <v>6390</v>
      </c>
      <c r="B884" s="57"/>
      <c r="C884" s="57"/>
      <c r="D884" s="57"/>
      <c r="E884" s="47"/>
      <c r="F884" s="56"/>
    </row>
    <row r="885" spans="1:6" ht="15" customHeight="1" x14ac:dyDescent="0.35">
      <c r="A885" s="56">
        <v>6391</v>
      </c>
      <c r="B885" s="57"/>
      <c r="C885" s="57"/>
      <c r="D885" s="57"/>
      <c r="E885" s="47"/>
      <c r="F885" s="56"/>
    </row>
    <row r="886" spans="1:6" ht="15" customHeight="1" x14ac:dyDescent="0.35">
      <c r="A886" s="56">
        <v>6392</v>
      </c>
      <c r="B886" s="57"/>
      <c r="C886" s="57"/>
      <c r="D886" s="57"/>
      <c r="E886" s="47"/>
      <c r="F886" s="56"/>
    </row>
    <row r="887" spans="1:6" ht="15" customHeight="1" x14ac:dyDescent="0.35">
      <c r="A887" s="56">
        <v>6393</v>
      </c>
      <c r="B887" s="57"/>
      <c r="C887" s="57"/>
      <c r="D887" s="57"/>
      <c r="E887" s="47"/>
      <c r="F887" s="56"/>
    </row>
    <row r="888" spans="1:6" ht="15" customHeight="1" x14ac:dyDescent="0.35">
      <c r="A888" s="56">
        <v>6394</v>
      </c>
      <c r="B888" s="57"/>
      <c r="C888" s="57"/>
      <c r="D888" s="57"/>
      <c r="E888" s="47"/>
      <c r="F888" s="56"/>
    </row>
    <row r="889" spans="1:6" ht="15" customHeight="1" x14ac:dyDescent="0.35">
      <c r="A889" s="56">
        <v>6395</v>
      </c>
      <c r="B889" s="57"/>
      <c r="C889" s="57"/>
      <c r="D889" s="57"/>
      <c r="E889" s="47"/>
      <c r="F889" s="56"/>
    </row>
    <row r="890" spans="1:6" ht="15" customHeight="1" x14ac:dyDescent="0.35">
      <c r="A890" s="56">
        <v>6396</v>
      </c>
      <c r="B890" s="57"/>
      <c r="C890" s="57"/>
      <c r="D890" s="57"/>
      <c r="E890" s="47"/>
      <c r="F890" s="56"/>
    </row>
    <row r="891" spans="1:6" ht="15" customHeight="1" x14ac:dyDescent="0.35">
      <c r="A891" s="56">
        <v>6397</v>
      </c>
      <c r="B891" s="57"/>
      <c r="C891" s="57"/>
      <c r="D891" s="57"/>
      <c r="E891" s="47"/>
      <c r="F891" s="56"/>
    </row>
    <row r="892" spans="1:6" ht="15" customHeight="1" x14ac:dyDescent="0.35">
      <c r="A892" s="56">
        <v>6398</v>
      </c>
      <c r="B892" s="57"/>
      <c r="C892" s="57"/>
      <c r="D892" s="57"/>
      <c r="E892" s="47"/>
      <c r="F892" s="56"/>
    </row>
    <row r="893" spans="1:6" ht="15" customHeight="1" x14ac:dyDescent="0.35">
      <c r="A893" s="56">
        <v>6399</v>
      </c>
      <c r="B893" s="57"/>
      <c r="C893" s="57"/>
      <c r="D893" s="57"/>
      <c r="E893" s="47"/>
      <c r="F893" s="56"/>
    </row>
    <row r="894" spans="1:6" ht="15" customHeight="1" x14ac:dyDescent="0.35">
      <c r="A894" s="56">
        <v>6400</v>
      </c>
      <c r="B894" s="57"/>
      <c r="C894" s="57"/>
      <c r="D894" s="57"/>
      <c r="E894" s="47"/>
      <c r="F894" s="56"/>
    </row>
    <row r="895" spans="1:6" ht="15" customHeight="1" x14ac:dyDescent="0.35">
      <c r="A895" s="56">
        <v>6401</v>
      </c>
      <c r="B895" s="57"/>
      <c r="C895" s="57"/>
      <c r="D895" s="57"/>
      <c r="E895" s="47"/>
      <c r="F895" s="56"/>
    </row>
    <row r="896" spans="1:6" ht="15" customHeight="1" x14ac:dyDescent="0.35">
      <c r="A896" s="56">
        <v>6402</v>
      </c>
      <c r="B896" s="57"/>
      <c r="C896" s="57"/>
      <c r="D896" s="57"/>
      <c r="E896" s="47"/>
      <c r="F896" s="56"/>
    </row>
    <row r="897" spans="1:6" ht="15" customHeight="1" x14ac:dyDescent="0.35">
      <c r="A897" s="56">
        <v>6403</v>
      </c>
      <c r="B897" s="57"/>
      <c r="C897" s="57"/>
      <c r="D897" s="57"/>
      <c r="E897" s="47"/>
      <c r="F897" s="56"/>
    </row>
    <row r="898" spans="1:6" ht="15" customHeight="1" x14ac:dyDescent="0.35">
      <c r="A898" s="56">
        <v>6404</v>
      </c>
      <c r="B898" s="57"/>
      <c r="C898" s="57"/>
      <c r="D898" s="57"/>
      <c r="E898" s="47"/>
      <c r="F898" s="56"/>
    </row>
    <row r="899" spans="1:6" ht="15" customHeight="1" x14ac:dyDescent="0.35">
      <c r="A899" s="56">
        <v>6405</v>
      </c>
      <c r="B899" s="57"/>
      <c r="C899" s="57"/>
      <c r="D899" s="57"/>
      <c r="E899" s="47"/>
      <c r="F899" s="56"/>
    </row>
    <row r="900" spans="1:6" ht="15" customHeight="1" x14ac:dyDescent="0.35">
      <c r="A900" s="56">
        <v>6406</v>
      </c>
      <c r="B900" s="57"/>
      <c r="C900" s="57"/>
      <c r="D900" s="57"/>
      <c r="E900" s="47"/>
      <c r="F900" s="56"/>
    </row>
    <row r="901" spans="1:6" ht="15" customHeight="1" x14ac:dyDescent="0.35">
      <c r="A901" s="56">
        <v>6407</v>
      </c>
      <c r="B901" s="57"/>
      <c r="C901" s="57"/>
      <c r="D901" s="57"/>
      <c r="E901" s="47"/>
      <c r="F901" s="56"/>
    </row>
    <row r="902" spans="1:6" ht="15" customHeight="1" x14ac:dyDescent="0.35">
      <c r="A902" s="56">
        <v>6408</v>
      </c>
      <c r="B902" s="57"/>
      <c r="C902" s="57"/>
      <c r="D902" s="57"/>
      <c r="E902" s="47"/>
      <c r="F902" s="56"/>
    </row>
    <row r="903" spans="1:6" ht="15" customHeight="1" x14ac:dyDescent="0.35">
      <c r="A903" s="56">
        <v>6409</v>
      </c>
      <c r="B903" s="57"/>
      <c r="C903" s="57"/>
      <c r="D903" s="57"/>
      <c r="E903" s="47"/>
      <c r="F903" s="56"/>
    </row>
    <row r="904" spans="1:6" ht="15" customHeight="1" x14ac:dyDescent="0.35">
      <c r="A904" s="56">
        <v>6410</v>
      </c>
      <c r="B904" s="57"/>
      <c r="C904" s="57"/>
      <c r="D904" s="57"/>
      <c r="E904" s="47"/>
      <c r="F904" s="56"/>
    </row>
    <row r="905" spans="1:6" ht="15" customHeight="1" x14ac:dyDescent="0.35">
      <c r="A905" s="56">
        <v>6411</v>
      </c>
      <c r="B905" s="57"/>
      <c r="C905" s="57"/>
      <c r="D905" s="57"/>
      <c r="E905" s="47"/>
      <c r="F905" s="56"/>
    </row>
    <row r="906" spans="1:6" ht="15" customHeight="1" x14ac:dyDescent="0.35">
      <c r="A906" s="56">
        <v>6412</v>
      </c>
      <c r="B906" s="57"/>
      <c r="C906" s="57"/>
      <c r="D906" s="57"/>
      <c r="E906" s="47"/>
      <c r="F906" s="56"/>
    </row>
    <row r="907" spans="1:6" ht="15" customHeight="1" x14ac:dyDescent="0.35">
      <c r="A907" s="56">
        <v>6413</v>
      </c>
      <c r="B907" s="57"/>
      <c r="C907" s="57"/>
      <c r="D907" s="57"/>
      <c r="E907" s="47"/>
      <c r="F907" s="56"/>
    </row>
    <row r="908" spans="1:6" ht="15" customHeight="1" x14ac:dyDescent="0.35">
      <c r="A908" s="56">
        <v>6414</v>
      </c>
      <c r="B908" s="57"/>
      <c r="C908" s="57"/>
      <c r="D908" s="57"/>
      <c r="E908" s="47"/>
      <c r="F908" s="56"/>
    </row>
    <row r="909" spans="1:6" ht="15" customHeight="1" x14ac:dyDescent="0.35">
      <c r="A909" s="56">
        <v>6415</v>
      </c>
      <c r="B909" s="57"/>
      <c r="C909" s="57"/>
      <c r="D909" s="57"/>
      <c r="E909" s="47"/>
      <c r="F909" s="56"/>
    </row>
    <row r="910" spans="1:6" ht="15" customHeight="1" x14ac:dyDescent="0.35">
      <c r="A910" s="56">
        <v>6416</v>
      </c>
      <c r="B910" s="57"/>
      <c r="C910" s="57"/>
      <c r="D910" s="57"/>
      <c r="E910" s="47"/>
      <c r="F910" s="56"/>
    </row>
    <row r="911" spans="1:6" ht="15" customHeight="1" x14ac:dyDescent="0.35">
      <c r="A911" s="56">
        <v>6417</v>
      </c>
      <c r="B911" s="57"/>
      <c r="C911" s="57"/>
      <c r="D911" s="57"/>
      <c r="E911" s="47"/>
      <c r="F911" s="56"/>
    </row>
    <row r="912" spans="1:6" ht="15" customHeight="1" x14ac:dyDescent="0.35">
      <c r="A912" s="56">
        <v>6418</v>
      </c>
      <c r="B912" s="57"/>
      <c r="C912" s="57"/>
      <c r="D912" s="57"/>
      <c r="E912" s="47"/>
      <c r="F912" s="56"/>
    </row>
    <row r="913" spans="1:6" ht="15" customHeight="1" x14ac:dyDescent="0.35">
      <c r="A913" s="56">
        <v>6419</v>
      </c>
      <c r="B913" s="57"/>
      <c r="C913" s="57"/>
      <c r="D913" s="57"/>
      <c r="E913" s="47"/>
      <c r="F913" s="56"/>
    </row>
    <row r="914" spans="1:6" ht="15" customHeight="1" x14ac:dyDescent="0.35">
      <c r="A914" s="56">
        <v>6420</v>
      </c>
      <c r="B914" s="57"/>
      <c r="C914" s="57"/>
      <c r="D914" s="57"/>
      <c r="E914" s="47"/>
      <c r="F914" s="56"/>
    </row>
    <row r="915" spans="1:6" ht="15" customHeight="1" x14ac:dyDescent="0.35">
      <c r="A915" s="56">
        <v>6421</v>
      </c>
      <c r="B915" s="57"/>
      <c r="C915" s="57"/>
      <c r="D915" s="57"/>
      <c r="E915" s="47"/>
      <c r="F915" s="56"/>
    </row>
    <row r="916" spans="1:6" ht="15" customHeight="1" x14ac:dyDescent="0.35">
      <c r="A916" s="56">
        <v>6422</v>
      </c>
      <c r="B916" s="57"/>
      <c r="C916" s="57"/>
      <c r="D916" s="57"/>
      <c r="E916" s="47"/>
      <c r="F916" s="56"/>
    </row>
    <row r="917" spans="1:6" ht="15" customHeight="1" x14ac:dyDescent="0.35">
      <c r="A917" s="56">
        <v>6423</v>
      </c>
      <c r="B917" s="57"/>
      <c r="C917" s="57"/>
      <c r="D917" s="57"/>
      <c r="E917" s="47"/>
      <c r="F917" s="56"/>
    </row>
    <row r="918" spans="1:6" ht="15" customHeight="1" x14ac:dyDescent="0.35">
      <c r="A918" s="56">
        <v>6424</v>
      </c>
      <c r="B918" s="57"/>
      <c r="C918" s="57"/>
      <c r="D918" s="57"/>
      <c r="E918" s="47"/>
      <c r="F918" s="56"/>
    </row>
    <row r="919" spans="1:6" ht="15" customHeight="1" x14ac:dyDescent="0.35">
      <c r="A919" s="56">
        <v>6425</v>
      </c>
      <c r="B919" s="57"/>
      <c r="C919" s="57"/>
      <c r="D919" s="57"/>
      <c r="E919" s="47"/>
      <c r="F919" s="56"/>
    </row>
    <row r="920" spans="1:6" ht="15" customHeight="1" x14ac:dyDescent="0.35">
      <c r="A920" s="56">
        <v>6426</v>
      </c>
      <c r="B920" s="57"/>
      <c r="C920" s="57"/>
      <c r="D920" s="57"/>
      <c r="E920" s="47"/>
      <c r="F920" s="56"/>
    </row>
    <row r="921" spans="1:6" ht="15" customHeight="1" x14ac:dyDescent="0.35">
      <c r="A921" s="56">
        <v>6427</v>
      </c>
      <c r="B921" s="57"/>
      <c r="C921" s="57"/>
      <c r="D921" s="57"/>
      <c r="E921" s="47"/>
      <c r="F921" s="56"/>
    </row>
    <row r="922" spans="1:6" ht="15" customHeight="1" x14ac:dyDescent="0.35">
      <c r="A922" s="56">
        <v>6428</v>
      </c>
      <c r="B922" s="57"/>
      <c r="C922" s="57"/>
      <c r="D922" s="57"/>
      <c r="E922" s="47"/>
      <c r="F922" s="56"/>
    </row>
    <row r="923" spans="1:6" ht="15" customHeight="1" x14ac:dyDescent="0.35">
      <c r="A923" s="56">
        <v>6429</v>
      </c>
      <c r="B923" s="57"/>
      <c r="C923" s="57"/>
      <c r="D923" s="57"/>
      <c r="E923" s="47"/>
      <c r="F923" s="56"/>
    </row>
    <row r="924" spans="1:6" ht="15" customHeight="1" x14ac:dyDescent="0.35">
      <c r="A924" s="56">
        <v>6430</v>
      </c>
      <c r="B924" s="57"/>
      <c r="C924" s="57"/>
      <c r="D924" s="57"/>
      <c r="E924" s="47"/>
      <c r="F924" s="56"/>
    </row>
    <row r="925" spans="1:6" ht="15" customHeight="1" x14ac:dyDescent="0.35">
      <c r="A925" s="56">
        <v>6431</v>
      </c>
      <c r="B925" s="57"/>
      <c r="C925" s="57"/>
      <c r="D925" s="57"/>
      <c r="E925" s="47"/>
      <c r="F925" s="56"/>
    </row>
    <row r="926" spans="1:6" ht="15" customHeight="1" x14ac:dyDescent="0.35">
      <c r="A926" s="56">
        <v>6432</v>
      </c>
      <c r="B926" s="57"/>
      <c r="C926" s="57"/>
      <c r="D926" s="57"/>
      <c r="E926" s="47"/>
      <c r="F926" s="56"/>
    </row>
    <row r="927" spans="1:6" ht="15" customHeight="1" x14ac:dyDescent="0.35">
      <c r="A927" s="56">
        <v>6433</v>
      </c>
      <c r="B927" s="57"/>
      <c r="C927" s="57"/>
      <c r="D927" s="57"/>
      <c r="E927" s="47"/>
      <c r="F927" s="56"/>
    </row>
    <row r="928" spans="1:6" ht="15" customHeight="1" x14ac:dyDescent="0.35">
      <c r="A928" s="56">
        <v>6434</v>
      </c>
      <c r="B928" s="57"/>
      <c r="C928" s="57"/>
      <c r="D928" s="57"/>
      <c r="E928" s="47"/>
      <c r="F928" s="56"/>
    </row>
    <row r="929" spans="1:6" ht="15" customHeight="1" x14ac:dyDescent="0.35">
      <c r="A929" s="56">
        <v>6435</v>
      </c>
      <c r="B929" s="57"/>
      <c r="C929" s="57"/>
      <c r="D929" s="57"/>
      <c r="E929" s="47"/>
      <c r="F929" s="56"/>
    </row>
    <row r="930" spans="1:6" ht="15" customHeight="1" x14ac:dyDescent="0.35">
      <c r="A930" s="56">
        <v>6436</v>
      </c>
      <c r="B930" s="57"/>
      <c r="C930" s="57"/>
      <c r="D930" s="57"/>
      <c r="E930" s="47"/>
      <c r="F930" s="56"/>
    </row>
    <row r="931" spans="1:6" ht="15" customHeight="1" x14ac:dyDescent="0.35">
      <c r="A931" s="56">
        <v>6437</v>
      </c>
      <c r="B931" s="57"/>
      <c r="C931" s="57"/>
      <c r="D931" s="57"/>
      <c r="E931" s="47"/>
      <c r="F931" s="56"/>
    </row>
    <row r="932" spans="1:6" ht="15" customHeight="1" x14ac:dyDescent="0.35">
      <c r="A932" s="56">
        <v>6438</v>
      </c>
      <c r="B932" s="57"/>
      <c r="C932" s="57"/>
      <c r="D932" s="57"/>
      <c r="E932" s="47"/>
      <c r="F932" s="56"/>
    </row>
    <row r="933" spans="1:6" ht="15" customHeight="1" x14ac:dyDescent="0.35">
      <c r="A933" s="56">
        <v>6439</v>
      </c>
      <c r="B933" s="57"/>
      <c r="C933" s="57"/>
      <c r="D933" s="57"/>
      <c r="E933" s="47"/>
      <c r="F933" s="56"/>
    </row>
    <row r="934" spans="1:6" ht="15" customHeight="1" x14ac:dyDescent="0.35">
      <c r="A934" s="56">
        <v>6440</v>
      </c>
      <c r="B934" s="57"/>
      <c r="C934" s="57"/>
      <c r="D934" s="57"/>
      <c r="E934" s="47"/>
      <c r="F934" s="56"/>
    </row>
    <row r="935" spans="1:6" ht="15" customHeight="1" x14ac:dyDescent="0.35">
      <c r="A935" s="56">
        <v>6441</v>
      </c>
      <c r="B935" s="57"/>
      <c r="C935" s="57"/>
      <c r="D935" s="57"/>
      <c r="E935" s="47"/>
      <c r="F935" s="56"/>
    </row>
    <row r="936" spans="1:6" ht="15" customHeight="1" x14ac:dyDescent="0.35">
      <c r="A936" s="56">
        <v>6442</v>
      </c>
      <c r="B936" s="57"/>
      <c r="C936" s="57"/>
      <c r="D936" s="57"/>
      <c r="E936" s="47"/>
      <c r="F936" s="56"/>
    </row>
    <row r="937" spans="1:6" ht="15" customHeight="1" x14ac:dyDescent="0.35">
      <c r="A937" s="56">
        <v>6443</v>
      </c>
      <c r="B937" s="57"/>
      <c r="C937" s="57"/>
      <c r="D937" s="57"/>
      <c r="E937" s="47"/>
      <c r="F937" s="56"/>
    </row>
    <row r="938" spans="1:6" ht="15" customHeight="1" x14ac:dyDescent="0.35">
      <c r="A938" s="56">
        <v>6444</v>
      </c>
      <c r="B938" s="57"/>
      <c r="C938" s="57"/>
      <c r="D938" s="57"/>
      <c r="E938" s="47"/>
      <c r="F938" s="56"/>
    </row>
    <row r="939" spans="1:6" ht="15" customHeight="1" x14ac:dyDescent="0.35">
      <c r="A939" s="56">
        <v>6445</v>
      </c>
      <c r="B939" s="57"/>
      <c r="C939" s="57"/>
      <c r="D939" s="57"/>
      <c r="E939" s="47"/>
      <c r="F939" s="56"/>
    </row>
    <row r="940" spans="1:6" ht="15" customHeight="1" x14ac:dyDescent="0.35">
      <c r="A940" s="56">
        <v>6446</v>
      </c>
      <c r="B940" s="57"/>
      <c r="C940" s="57"/>
      <c r="D940" s="57"/>
      <c r="E940" s="47"/>
      <c r="F940" s="56"/>
    </row>
    <row r="941" spans="1:6" ht="15" customHeight="1" x14ac:dyDescent="0.35">
      <c r="A941" s="56">
        <v>6447</v>
      </c>
      <c r="B941" s="57"/>
      <c r="C941" s="57"/>
      <c r="D941" s="57"/>
      <c r="E941" s="47"/>
      <c r="F941" s="56"/>
    </row>
    <row r="942" spans="1:6" ht="15" customHeight="1" x14ac:dyDescent="0.35">
      <c r="A942" s="56">
        <v>6448</v>
      </c>
      <c r="B942" s="57"/>
      <c r="C942" s="57"/>
      <c r="D942" s="57"/>
      <c r="E942" s="47"/>
      <c r="F942" s="56"/>
    </row>
    <row r="943" spans="1:6" ht="15" customHeight="1" x14ac:dyDescent="0.35">
      <c r="A943" s="56">
        <v>6449</v>
      </c>
      <c r="B943" s="57"/>
      <c r="C943" s="57"/>
      <c r="D943" s="57"/>
      <c r="E943" s="47"/>
      <c r="F943" s="56"/>
    </row>
    <row r="944" spans="1:6" ht="15" customHeight="1" x14ac:dyDescent="0.35">
      <c r="A944" s="56">
        <v>6450</v>
      </c>
      <c r="B944" s="57"/>
      <c r="C944" s="57"/>
      <c r="D944" s="57"/>
      <c r="E944" s="47"/>
      <c r="F944" s="56"/>
    </row>
    <row r="945" spans="1:6" ht="15" customHeight="1" x14ac:dyDescent="0.35">
      <c r="A945" s="56">
        <v>6451</v>
      </c>
      <c r="B945" s="57"/>
      <c r="C945" s="57"/>
      <c r="D945" s="57"/>
      <c r="E945" s="47"/>
      <c r="F945" s="56"/>
    </row>
    <row r="946" spans="1:6" ht="15" customHeight="1" x14ac:dyDescent="0.35">
      <c r="A946" s="56">
        <v>6452</v>
      </c>
      <c r="B946" s="57"/>
      <c r="C946" s="57"/>
      <c r="D946" s="57"/>
      <c r="E946" s="47"/>
      <c r="F946" s="56"/>
    </row>
    <row r="947" spans="1:6" ht="15" customHeight="1" x14ac:dyDescent="0.35">
      <c r="A947" s="56">
        <v>6453</v>
      </c>
      <c r="B947" s="57"/>
      <c r="C947" s="57"/>
      <c r="D947" s="57"/>
      <c r="E947" s="47"/>
      <c r="F947" s="56"/>
    </row>
    <row r="948" spans="1:6" ht="15" customHeight="1" x14ac:dyDescent="0.35">
      <c r="A948" s="56">
        <v>6454</v>
      </c>
      <c r="B948" s="57"/>
      <c r="C948" s="57"/>
      <c r="D948" s="57"/>
      <c r="E948" s="47"/>
      <c r="F948" s="56"/>
    </row>
    <row r="949" spans="1:6" ht="15" customHeight="1" x14ac:dyDescent="0.35">
      <c r="A949" s="56">
        <v>6455</v>
      </c>
      <c r="B949" s="57"/>
      <c r="C949" s="57"/>
      <c r="D949" s="57"/>
      <c r="E949" s="47"/>
      <c r="F949" s="56"/>
    </row>
    <row r="950" spans="1:6" ht="15" customHeight="1" x14ac:dyDescent="0.35">
      <c r="A950" s="56">
        <v>6456</v>
      </c>
      <c r="B950" s="57"/>
      <c r="C950" s="57"/>
      <c r="D950" s="57"/>
      <c r="E950" s="47"/>
      <c r="F950" s="56"/>
    </row>
    <row r="951" spans="1:6" ht="15" customHeight="1" x14ac:dyDescent="0.35">
      <c r="A951" s="56">
        <v>6457</v>
      </c>
      <c r="B951" s="57"/>
      <c r="C951" s="57"/>
      <c r="D951" s="57"/>
      <c r="E951" s="47"/>
      <c r="F951" s="56"/>
    </row>
    <row r="952" spans="1:6" ht="15" customHeight="1" x14ac:dyDescent="0.35">
      <c r="A952" s="56">
        <v>6458</v>
      </c>
      <c r="B952" s="57"/>
      <c r="C952" s="57"/>
      <c r="D952" s="57"/>
      <c r="E952" s="47"/>
      <c r="F952" s="56"/>
    </row>
    <row r="953" spans="1:6" ht="15" customHeight="1" x14ac:dyDescent="0.35">
      <c r="A953" s="56">
        <v>6459</v>
      </c>
      <c r="B953" s="57"/>
      <c r="C953" s="57"/>
      <c r="D953" s="57"/>
      <c r="E953" s="47"/>
      <c r="F953" s="56"/>
    </row>
    <row r="954" spans="1:6" ht="15" customHeight="1" x14ac:dyDescent="0.35">
      <c r="A954" s="56">
        <v>6460</v>
      </c>
      <c r="B954" s="57"/>
      <c r="C954" s="57"/>
      <c r="D954" s="57"/>
      <c r="E954" s="47"/>
      <c r="F954" s="56"/>
    </row>
    <row r="955" spans="1:6" ht="15" customHeight="1" x14ac:dyDescent="0.35">
      <c r="A955" s="56">
        <v>6461</v>
      </c>
      <c r="B955" s="57"/>
      <c r="C955" s="57"/>
      <c r="D955" s="57"/>
      <c r="E955" s="47"/>
      <c r="F955" s="56"/>
    </row>
    <row r="956" spans="1:6" ht="15" customHeight="1" x14ac:dyDescent="0.35">
      <c r="A956" s="56">
        <v>6462</v>
      </c>
      <c r="B956" s="57"/>
      <c r="C956" s="57"/>
      <c r="D956" s="57"/>
      <c r="E956" s="47"/>
      <c r="F956" s="56"/>
    </row>
    <row r="957" spans="1:6" ht="15" customHeight="1" x14ac:dyDescent="0.35">
      <c r="A957" s="56">
        <v>6463</v>
      </c>
      <c r="B957" s="57"/>
      <c r="C957" s="57"/>
      <c r="D957" s="57"/>
      <c r="E957" s="47"/>
      <c r="F957" s="56"/>
    </row>
    <row r="958" spans="1:6" ht="15" customHeight="1" x14ac:dyDescent="0.35">
      <c r="A958" s="56">
        <v>6464</v>
      </c>
      <c r="B958" s="57"/>
      <c r="C958" s="57"/>
      <c r="D958" s="57"/>
      <c r="E958" s="47"/>
      <c r="F958" s="56"/>
    </row>
    <row r="959" spans="1:6" ht="15" customHeight="1" x14ac:dyDescent="0.35">
      <c r="A959" s="56">
        <v>6465</v>
      </c>
      <c r="B959" s="57"/>
      <c r="C959" s="57"/>
      <c r="D959" s="57"/>
      <c r="E959" s="47"/>
      <c r="F959" s="56"/>
    </row>
    <row r="960" spans="1:6" ht="15" customHeight="1" x14ac:dyDescent="0.35">
      <c r="A960" s="56">
        <v>6466</v>
      </c>
      <c r="B960" s="57"/>
      <c r="C960" s="57"/>
      <c r="D960" s="57"/>
      <c r="E960" s="47"/>
      <c r="F960" s="56"/>
    </row>
    <row r="961" spans="1:6" ht="15" customHeight="1" x14ac:dyDescent="0.35">
      <c r="A961" s="56">
        <v>6467</v>
      </c>
      <c r="B961" s="57"/>
      <c r="C961" s="57"/>
      <c r="D961" s="57"/>
      <c r="E961" s="47"/>
      <c r="F961" s="56"/>
    </row>
    <row r="962" spans="1:6" ht="15" customHeight="1" x14ac:dyDescent="0.35">
      <c r="A962" s="56">
        <v>6468</v>
      </c>
      <c r="B962" s="57"/>
      <c r="C962" s="57"/>
      <c r="D962" s="57"/>
      <c r="E962" s="47"/>
      <c r="F962" s="56"/>
    </row>
    <row r="963" spans="1:6" ht="15" customHeight="1" x14ac:dyDescent="0.35">
      <c r="A963" s="56">
        <v>6469</v>
      </c>
      <c r="B963" s="57"/>
      <c r="C963" s="57"/>
      <c r="D963" s="57"/>
      <c r="E963" s="47"/>
      <c r="F963" s="56"/>
    </row>
    <row r="964" spans="1:6" ht="15" customHeight="1" x14ac:dyDescent="0.35">
      <c r="A964" s="56">
        <v>6470</v>
      </c>
      <c r="B964" s="57"/>
      <c r="C964" s="57"/>
      <c r="D964" s="57"/>
      <c r="E964" s="47"/>
      <c r="F964" s="56"/>
    </row>
    <row r="965" spans="1:6" ht="15" customHeight="1" x14ac:dyDescent="0.35">
      <c r="A965" s="56">
        <v>6471</v>
      </c>
      <c r="B965" s="57"/>
      <c r="C965" s="57"/>
      <c r="D965" s="57"/>
      <c r="E965" s="47"/>
      <c r="F965" s="56"/>
    </row>
    <row r="966" spans="1:6" ht="15" customHeight="1" x14ac:dyDescent="0.35">
      <c r="A966" s="56">
        <v>6472</v>
      </c>
      <c r="B966" s="57"/>
      <c r="C966" s="57"/>
      <c r="D966" s="57"/>
      <c r="E966" s="47"/>
      <c r="F966" s="56"/>
    </row>
    <row r="967" spans="1:6" ht="15" customHeight="1" x14ac:dyDescent="0.35">
      <c r="A967" s="56">
        <v>6473</v>
      </c>
      <c r="B967" s="57"/>
      <c r="C967" s="57"/>
      <c r="D967" s="57"/>
      <c r="E967" s="47"/>
      <c r="F967" s="56"/>
    </row>
    <row r="968" spans="1:6" ht="15" customHeight="1" x14ac:dyDescent="0.35">
      <c r="A968" s="56">
        <v>6474</v>
      </c>
      <c r="B968" s="57"/>
      <c r="C968" s="57"/>
      <c r="D968" s="57"/>
      <c r="E968" s="47"/>
      <c r="F968" s="56"/>
    </row>
    <row r="969" spans="1:6" ht="15" customHeight="1" x14ac:dyDescent="0.35">
      <c r="A969" s="56">
        <v>6475</v>
      </c>
      <c r="B969" s="57"/>
      <c r="C969" s="57"/>
      <c r="D969" s="57"/>
      <c r="E969" s="47"/>
      <c r="F969" s="56"/>
    </row>
    <row r="970" spans="1:6" ht="15" customHeight="1" x14ac:dyDescent="0.35">
      <c r="A970" s="56">
        <v>6476</v>
      </c>
      <c r="B970" s="57"/>
      <c r="C970" s="57"/>
      <c r="D970" s="57"/>
      <c r="E970" s="47"/>
      <c r="F970" s="56"/>
    </row>
    <row r="971" spans="1:6" ht="15" customHeight="1" x14ac:dyDescent="0.35">
      <c r="A971" s="56">
        <v>6477</v>
      </c>
      <c r="B971" s="57"/>
      <c r="C971" s="57"/>
      <c r="D971" s="57"/>
      <c r="E971" s="47"/>
      <c r="F971" s="56"/>
    </row>
    <row r="972" spans="1:6" ht="15" customHeight="1" x14ac:dyDescent="0.35">
      <c r="A972" s="56">
        <v>6478</v>
      </c>
      <c r="B972" s="57"/>
      <c r="C972" s="57"/>
      <c r="D972" s="57"/>
      <c r="E972" s="47"/>
      <c r="F972" s="56"/>
    </row>
    <row r="973" spans="1:6" ht="15" customHeight="1" x14ac:dyDescent="0.35">
      <c r="A973" s="56">
        <v>6479</v>
      </c>
      <c r="B973" s="57"/>
      <c r="C973" s="57"/>
      <c r="D973" s="57"/>
      <c r="E973" s="47"/>
      <c r="F973" s="56"/>
    </row>
    <row r="974" spans="1:6" ht="15" customHeight="1" x14ac:dyDescent="0.35">
      <c r="A974" s="56">
        <v>6480</v>
      </c>
      <c r="B974" s="57"/>
      <c r="C974" s="57"/>
      <c r="D974" s="57"/>
      <c r="E974" s="47"/>
      <c r="F974" s="56"/>
    </row>
    <row r="975" spans="1:6" ht="15" customHeight="1" x14ac:dyDescent="0.35">
      <c r="A975" s="56">
        <v>6481</v>
      </c>
      <c r="B975" s="57"/>
      <c r="C975" s="57"/>
      <c r="D975" s="57"/>
      <c r="E975" s="47"/>
      <c r="F975" s="56"/>
    </row>
    <row r="976" spans="1:6" ht="15" customHeight="1" x14ac:dyDescent="0.35">
      <c r="A976" s="56">
        <v>6482</v>
      </c>
      <c r="B976" s="57"/>
      <c r="C976" s="57"/>
      <c r="D976" s="57"/>
      <c r="E976" s="47"/>
      <c r="F976" s="56"/>
    </row>
    <row r="977" spans="1:6" ht="15" customHeight="1" x14ac:dyDescent="0.35">
      <c r="A977" s="56">
        <v>6483</v>
      </c>
      <c r="B977" s="57"/>
      <c r="C977" s="57"/>
      <c r="D977" s="57"/>
      <c r="E977" s="47"/>
      <c r="F977" s="56"/>
    </row>
    <row r="978" spans="1:6" ht="15" customHeight="1" x14ac:dyDescent="0.35">
      <c r="A978" s="56">
        <v>6484</v>
      </c>
      <c r="B978" s="57"/>
      <c r="C978" s="57"/>
      <c r="D978" s="57"/>
      <c r="E978" s="47"/>
      <c r="F978" s="56"/>
    </row>
    <row r="979" spans="1:6" ht="15" customHeight="1" x14ac:dyDescent="0.35">
      <c r="A979" s="56">
        <v>6485</v>
      </c>
      <c r="B979" s="57"/>
      <c r="C979" s="57"/>
      <c r="D979" s="57"/>
      <c r="E979" s="47"/>
      <c r="F979" s="56"/>
    </row>
    <row r="980" spans="1:6" ht="15" customHeight="1" x14ac:dyDescent="0.35">
      <c r="A980" s="56">
        <v>6486</v>
      </c>
      <c r="B980" s="57"/>
      <c r="C980" s="57"/>
      <c r="D980" s="57"/>
      <c r="E980" s="47"/>
      <c r="F980" s="56"/>
    </row>
    <row r="981" spans="1:6" ht="15" customHeight="1" x14ac:dyDescent="0.35">
      <c r="A981" s="56">
        <v>6487</v>
      </c>
      <c r="B981" s="57"/>
      <c r="C981" s="57"/>
      <c r="D981" s="57"/>
      <c r="E981" s="47"/>
      <c r="F981" s="56"/>
    </row>
    <row r="982" spans="1:6" ht="15" customHeight="1" x14ac:dyDescent="0.35">
      <c r="A982" s="56">
        <v>6488</v>
      </c>
      <c r="B982" s="57"/>
      <c r="C982" s="57"/>
      <c r="D982" s="57"/>
      <c r="E982" s="47"/>
      <c r="F982" s="56"/>
    </row>
    <row r="983" spans="1:6" ht="15" customHeight="1" x14ac:dyDescent="0.35">
      <c r="A983" s="56">
        <v>6489</v>
      </c>
      <c r="B983" s="57"/>
      <c r="C983" s="57"/>
      <c r="D983" s="57"/>
      <c r="E983" s="47"/>
      <c r="F983" s="56"/>
    </row>
    <row r="984" spans="1:6" ht="15" customHeight="1" x14ac:dyDescent="0.35">
      <c r="A984" s="56">
        <v>6490</v>
      </c>
      <c r="B984" s="57"/>
      <c r="C984" s="57"/>
      <c r="D984" s="57"/>
      <c r="E984" s="47"/>
      <c r="F984" s="56"/>
    </row>
    <row r="985" spans="1:6" ht="15" customHeight="1" x14ac:dyDescent="0.35">
      <c r="A985" s="56">
        <v>6491</v>
      </c>
      <c r="B985" s="57"/>
      <c r="C985" s="57"/>
      <c r="D985" s="57"/>
      <c r="E985" s="47"/>
      <c r="F985" s="56"/>
    </row>
    <row r="986" spans="1:6" ht="15" customHeight="1" x14ac:dyDescent="0.35">
      <c r="A986" s="56">
        <v>6492</v>
      </c>
      <c r="B986" s="57"/>
      <c r="C986" s="57"/>
      <c r="D986" s="57"/>
      <c r="E986" s="47"/>
      <c r="F986" s="56"/>
    </row>
    <row r="987" spans="1:6" ht="15" customHeight="1" x14ac:dyDescent="0.35">
      <c r="A987" s="56">
        <v>6493</v>
      </c>
      <c r="B987" s="57"/>
      <c r="C987" s="57"/>
      <c r="D987" s="57"/>
      <c r="E987" s="47"/>
      <c r="F987" s="56"/>
    </row>
    <row r="988" spans="1:6" ht="15" customHeight="1" x14ac:dyDescent="0.35">
      <c r="A988" s="56">
        <v>6494</v>
      </c>
      <c r="B988" s="57"/>
      <c r="C988" s="57"/>
      <c r="D988" s="57"/>
      <c r="E988" s="47"/>
      <c r="F988" s="56"/>
    </row>
    <row r="989" spans="1:6" ht="15" customHeight="1" x14ac:dyDescent="0.35">
      <c r="A989" s="56">
        <v>6495</v>
      </c>
      <c r="B989" s="57"/>
      <c r="C989" s="57"/>
      <c r="D989" s="57"/>
      <c r="E989" s="47"/>
      <c r="F989" s="56"/>
    </row>
    <row r="990" spans="1:6" ht="15" customHeight="1" x14ac:dyDescent="0.35">
      <c r="A990" s="56">
        <v>6496</v>
      </c>
      <c r="B990" s="57"/>
      <c r="C990" s="57"/>
      <c r="D990" s="57"/>
      <c r="E990" s="47"/>
      <c r="F990" s="56"/>
    </row>
    <row r="991" spans="1:6" ht="15" customHeight="1" x14ac:dyDescent="0.35">
      <c r="A991" s="56">
        <v>6497</v>
      </c>
      <c r="B991" s="57"/>
      <c r="C991" s="57"/>
      <c r="D991" s="57"/>
      <c r="E991" s="47"/>
      <c r="F991" s="56"/>
    </row>
    <row r="992" spans="1:6" ht="15" customHeight="1" x14ac:dyDescent="0.35">
      <c r="A992" s="56">
        <v>6498</v>
      </c>
      <c r="B992" s="57"/>
      <c r="C992" s="57"/>
      <c r="D992" s="57"/>
      <c r="E992" s="47"/>
      <c r="F992" s="56"/>
    </row>
    <row r="993" spans="1:6" ht="15" customHeight="1" x14ac:dyDescent="0.35">
      <c r="A993" s="56">
        <v>6499</v>
      </c>
      <c r="B993" s="57"/>
      <c r="C993" s="57"/>
      <c r="D993" s="57"/>
      <c r="E993" s="47"/>
      <c r="F993" s="56"/>
    </row>
    <row r="994" spans="1:6" ht="15" customHeight="1" x14ac:dyDescent="0.35">
      <c r="A994" s="56">
        <v>6500</v>
      </c>
      <c r="B994" s="57"/>
      <c r="C994" s="57"/>
      <c r="D994" s="57"/>
      <c r="E994" s="47"/>
      <c r="F994" s="56"/>
    </row>
    <row r="995" spans="1:6" ht="15" customHeight="1" x14ac:dyDescent="0.35">
      <c r="A995" s="56">
        <v>6501</v>
      </c>
      <c r="B995" s="57"/>
      <c r="C995" s="57"/>
      <c r="D995" s="57"/>
      <c r="E995" s="47"/>
      <c r="F995" s="56"/>
    </row>
    <row r="996" spans="1:6" ht="15" customHeight="1" x14ac:dyDescent="0.35">
      <c r="A996" s="56">
        <v>6502</v>
      </c>
      <c r="B996" s="57"/>
      <c r="C996" s="57"/>
      <c r="D996" s="57"/>
      <c r="E996" s="47"/>
      <c r="F996" s="56"/>
    </row>
    <row r="997" spans="1:6" ht="15" customHeight="1" x14ac:dyDescent="0.35">
      <c r="A997" s="56">
        <v>6503</v>
      </c>
      <c r="B997" s="57"/>
      <c r="C997" s="57"/>
      <c r="D997" s="57"/>
      <c r="E997" s="47"/>
      <c r="F997" s="56"/>
    </row>
    <row r="998" spans="1:6" ht="15" customHeight="1" x14ac:dyDescent="0.35">
      <c r="A998" s="56">
        <v>6504</v>
      </c>
      <c r="B998" s="57"/>
      <c r="C998" s="57"/>
      <c r="D998" s="57"/>
      <c r="E998" s="47"/>
      <c r="F998" s="56"/>
    </row>
    <row r="999" spans="1:6" ht="15" customHeight="1" x14ac:dyDescent="0.35">
      <c r="A999" s="56">
        <v>6505</v>
      </c>
      <c r="B999" s="57"/>
      <c r="C999" s="57"/>
      <c r="D999" s="57"/>
      <c r="E999" s="47"/>
      <c r="F999" s="56"/>
    </row>
    <row r="1000" spans="1:6" ht="15" customHeight="1" x14ac:dyDescent="0.35">
      <c r="A1000" s="56">
        <v>6506</v>
      </c>
      <c r="B1000" s="57"/>
      <c r="C1000" s="57"/>
      <c r="D1000" s="57"/>
      <c r="E1000" s="47"/>
      <c r="F1000" s="56"/>
    </row>
    <row r="1001" spans="1:6" ht="15" customHeight="1" x14ac:dyDescent="0.35">
      <c r="A1001" s="56">
        <v>6507</v>
      </c>
      <c r="B1001" s="57"/>
      <c r="C1001" s="57"/>
      <c r="D1001" s="57"/>
      <c r="E1001" s="47"/>
      <c r="F1001" s="56"/>
    </row>
    <row r="1002" spans="1:6" ht="15" customHeight="1" x14ac:dyDescent="0.35">
      <c r="A1002" s="56">
        <v>6508</v>
      </c>
      <c r="B1002" s="57"/>
      <c r="C1002" s="57"/>
      <c r="D1002" s="57"/>
      <c r="E1002" s="47"/>
      <c r="F1002" s="56"/>
    </row>
    <row r="1003" spans="1:6" ht="15" customHeight="1" x14ac:dyDescent="0.35">
      <c r="A1003" s="56">
        <v>6509</v>
      </c>
      <c r="B1003" s="57"/>
      <c r="C1003" s="57"/>
      <c r="D1003" s="57"/>
      <c r="E1003" s="47"/>
      <c r="F1003" s="56"/>
    </row>
    <row r="1004" spans="1:6" ht="15" customHeight="1" x14ac:dyDescent="0.35">
      <c r="A1004" s="56">
        <v>6510</v>
      </c>
      <c r="B1004" s="57"/>
      <c r="C1004" s="57"/>
      <c r="D1004" s="57"/>
      <c r="E1004" s="47"/>
      <c r="F1004" s="56"/>
    </row>
    <row r="1005" spans="1:6" ht="15" customHeight="1" x14ac:dyDescent="0.35">
      <c r="A1005" s="56">
        <v>6511</v>
      </c>
      <c r="B1005" s="57"/>
      <c r="C1005" s="57"/>
      <c r="D1005" s="57"/>
      <c r="E1005" s="47"/>
      <c r="F1005" s="56"/>
    </row>
    <row r="1006" spans="1:6" ht="15" customHeight="1" x14ac:dyDescent="0.35">
      <c r="A1006" s="56">
        <v>6512</v>
      </c>
      <c r="B1006" s="57"/>
      <c r="C1006" s="57"/>
      <c r="D1006" s="57"/>
      <c r="E1006" s="47"/>
      <c r="F1006" s="56"/>
    </row>
    <row r="1007" spans="1:6" ht="15" customHeight="1" x14ac:dyDescent="0.35">
      <c r="A1007" s="56">
        <v>6513</v>
      </c>
      <c r="B1007" s="57"/>
      <c r="C1007" s="57"/>
      <c r="D1007" s="57"/>
      <c r="E1007" s="47"/>
      <c r="F1007" s="56"/>
    </row>
    <row r="1008" spans="1:6" ht="15" customHeight="1" x14ac:dyDescent="0.35">
      <c r="A1008" s="56">
        <v>6514</v>
      </c>
      <c r="B1008" s="57"/>
      <c r="C1008" s="57"/>
      <c r="D1008" s="57"/>
      <c r="E1008" s="47"/>
      <c r="F1008" s="56"/>
    </row>
    <row r="1009" spans="1:6" ht="15" customHeight="1" x14ac:dyDescent="0.35">
      <c r="A1009" s="56">
        <v>6515</v>
      </c>
      <c r="B1009" s="57"/>
      <c r="C1009" s="57"/>
      <c r="D1009" s="57"/>
      <c r="E1009" s="47"/>
      <c r="F1009" s="56"/>
    </row>
    <row r="1010" spans="1:6" ht="15" customHeight="1" x14ac:dyDescent="0.35">
      <c r="A1010" s="56">
        <v>6516</v>
      </c>
      <c r="B1010" s="57"/>
      <c r="C1010" s="57"/>
      <c r="D1010" s="57"/>
      <c r="E1010" s="47"/>
      <c r="F1010" s="56"/>
    </row>
    <row r="1011" spans="1:6" ht="15" customHeight="1" x14ac:dyDescent="0.35">
      <c r="A1011" s="56">
        <v>6517</v>
      </c>
      <c r="B1011" s="57"/>
      <c r="C1011" s="57"/>
      <c r="D1011" s="57"/>
      <c r="E1011" s="47"/>
      <c r="F1011" s="56"/>
    </row>
    <row r="1012" spans="1:6" ht="15" customHeight="1" x14ac:dyDescent="0.35">
      <c r="A1012" s="56">
        <v>6518</v>
      </c>
      <c r="B1012" s="57"/>
      <c r="C1012" s="57"/>
      <c r="D1012" s="57"/>
      <c r="E1012" s="47"/>
      <c r="F1012" s="56"/>
    </row>
    <row r="1013" spans="1:6" ht="15" customHeight="1" x14ac:dyDescent="0.35">
      <c r="A1013" s="56">
        <v>6519</v>
      </c>
      <c r="B1013" s="57"/>
      <c r="C1013" s="57"/>
      <c r="D1013" s="57"/>
      <c r="E1013" s="47"/>
      <c r="F1013" s="56"/>
    </row>
    <row r="1014" spans="1:6" ht="15" customHeight="1" x14ac:dyDescent="0.35">
      <c r="A1014" s="56">
        <v>6520</v>
      </c>
      <c r="B1014" s="57"/>
      <c r="C1014" s="57"/>
      <c r="D1014" s="57"/>
      <c r="E1014" s="47"/>
      <c r="F1014" s="56"/>
    </row>
    <row r="1015" spans="1:6" ht="15" customHeight="1" x14ac:dyDescent="0.35">
      <c r="A1015" s="56">
        <v>6521</v>
      </c>
      <c r="B1015" s="57"/>
      <c r="C1015" s="57"/>
      <c r="D1015" s="57"/>
      <c r="E1015" s="47"/>
      <c r="F1015" s="56"/>
    </row>
    <row r="1016" spans="1:6" ht="15" customHeight="1" x14ac:dyDescent="0.35">
      <c r="A1016" s="56">
        <v>6522</v>
      </c>
      <c r="B1016" s="57"/>
      <c r="C1016" s="57"/>
      <c r="D1016" s="57"/>
      <c r="E1016" s="47"/>
      <c r="F1016" s="56"/>
    </row>
    <row r="1017" spans="1:6" ht="15" customHeight="1" x14ac:dyDescent="0.35">
      <c r="A1017" s="56">
        <v>6523</v>
      </c>
      <c r="B1017" s="57"/>
      <c r="C1017" s="57"/>
      <c r="D1017" s="57"/>
      <c r="E1017" s="47"/>
      <c r="F1017" s="56"/>
    </row>
    <row r="1018" spans="1:6" ht="15" customHeight="1" x14ac:dyDescent="0.35">
      <c r="A1018" s="56">
        <v>6524</v>
      </c>
      <c r="B1018" s="57"/>
      <c r="C1018" s="57"/>
      <c r="D1018" s="57"/>
      <c r="E1018" s="47"/>
      <c r="F1018" s="56"/>
    </row>
    <row r="1019" spans="1:6" ht="15" customHeight="1" x14ac:dyDescent="0.35">
      <c r="A1019" s="56">
        <v>6525</v>
      </c>
      <c r="B1019" s="57"/>
      <c r="C1019" s="57"/>
      <c r="D1019" s="57"/>
      <c r="E1019" s="47"/>
      <c r="F1019" s="56"/>
    </row>
    <row r="1020" spans="1:6" ht="15" customHeight="1" x14ac:dyDescent="0.35">
      <c r="A1020" s="56">
        <v>6526</v>
      </c>
      <c r="B1020" s="57"/>
      <c r="C1020" s="57"/>
      <c r="D1020" s="57"/>
      <c r="E1020" s="47"/>
      <c r="F1020" s="56"/>
    </row>
    <row r="1021" spans="1:6" ht="15" customHeight="1" x14ac:dyDescent="0.35">
      <c r="A1021" s="56">
        <v>6527</v>
      </c>
      <c r="B1021" s="57"/>
      <c r="C1021" s="57"/>
      <c r="D1021" s="57"/>
      <c r="E1021" s="47"/>
      <c r="F1021" s="56"/>
    </row>
    <row r="1022" spans="1:6" ht="15" customHeight="1" x14ac:dyDescent="0.35">
      <c r="A1022" s="56">
        <v>6528</v>
      </c>
      <c r="B1022" s="57"/>
      <c r="C1022" s="57"/>
      <c r="D1022" s="57"/>
      <c r="E1022" s="47"/>
      <c r="F1022" s="56"/>
    </row>
    <row r="1023" spans="1:6" ht="15" customHeight="1" x14ac:dyDescent="0.35">
      <c r="A1023" s="56">
        <v>6529</v>
      </c>
      <c r="B1023" s="57"/>
      <c r="C1023" s="57"/>
      <c r="D1023" s="57"/>
      <c r="E1023" s="47"/>
      <c r="F1023" s="56"/>
    </row>
    <row r="1024" spans="1:6" ht="15" customHeight="1" x14ac:dyDescent="0.35">
      <c r="A1024" s="56">
        <v>6530</v>
      </c>
      <c r="B1024" s="57"/>
      <c r="C1024" s="57"/>
      <c r="D1024" s="57"/>
      <c r="E1024" s="47"/>
      <c r="F1024" s="56"/>
    </row>
    <row r="1025" spans="1:6" ht="15" customHeight="1" x14ac:dyDescent="0.35">
      <c r="A1025" s="56">
        <v>6531</v>
      </c>
      <c r="B1025" s="57"/>
      <c r="C1025" s="57"/>
      <c r="D1025" s="57"/>
      <c r="E1025" s="47"/>
      <c r="F1025" s="56"/>
    </row>
    <row r="1026" spans="1:6" ht="15" customHeight="1" x14ac:dyDescent="0.35">
      <c r="A1026" s="56">
        <v>6532</v>
      </c>
      <c r="B1026" s="57"/>
      <c r="C1026" s="57"/>
      <c r="D1026" s="57"/>
      <c r="E1026" s="47"/>
      <c r="F1026" s="56"/>
    </row>
    <row r="1027" spans="1:6" ht="15" customHeight="1" x14ac:dyDescent="0.35">
      <c r="A1027" s="56">
        <v>6533</v>
      </c>
      <c r="B1027" s="57"/>
      <c r="C1027" s="57"/>
      <c r="D1027" s="57"/>
      <c r="E1027" s="47"/>
      <c r="F1027" s="56"/>
    </row>
    <row r="1028" spans="1:6" ht="15" customHeight="1" x14ac:dyDescent="0.35">
      <c r="A1028" s="56">
        <v>6534</v>
      </c>
      <c r="B1028" s="57"/>
      <c r="C1028" s="57"/>
      <c r="D1028" s="57"/>
      <c r="E1028" s="47"/>
      <c r="F1028" s="56"/>
    </row>
    <row r="1029" spans="1:6" ht="15" customHeight="1" x14ac:dyDescent="0.35">
      <c r="A1029" s="56">
        <v>6535</v>
      </c>
      <c r="B1029" s="57"/>
      <c r="C1029" s="57"/>
      <c r="D1029" s="57"/>
      <c r="E1029" s="47"/>
      <c r="F1029" s="56"/>
    </row>
    <row r="1030" spans="1:6" ht="15" customHeight="1" x14ac:dyDescent="0.35">
      <c r="A1030" s="56">
        <v>6536</v>
      </c>
      <c r="B1030" s="57"/>
      <c r="C1030" s="57"/>
      <c r="D1030" s="57"/>
      <c r="E1030" s="47"/>
      <c r="F1030" s="56"/>
    </row>
    <row r="1031" spans="1:6" ht="15" customHeight="1" x14ac:dyDescent="0.35">
      <c r="A1031" s="56">
        <v>6537</v>
      </c>
      <c r="B1031" s="57"/>
      <c r="C1031" s="57"/>
      <c r="D1031" s="57"/>
      <c r="E1031" s="47"/>
      <c r="F1031" s="56"/>
    </row>
    <row r="1032" spans="1:6" ht="15" customHeight="1" x14ac:dyDescent="0.35">
      <c r="A1032" s="56">
        <v>6538</v>
      </c>
      <c r="B1032" s="57"/>
      <c r="C1032" s="57"/>
      <c r="D1032" s="57"/>
      <c r="E1032" s="47"/>
      <c r="F1032" s="56"/>
    </row>
    <row r="1033" spans="1:6" ht="15" customHeight="1" x14ac:dyDescent="0.35">
      <c r="A1033" s="56">
        <v>6539</v>
      </c>
      <c r="B1033" s="57"/>
      <c r="C1033" s="57"/>
      <c r="D1033" s="57"/>
      <c r="E1033" s="47"/>
      <c r="F1033" s="56"/>
    </row>
    <row r="1034" spans="1:6" ht="15" customHeight="1" x14ac:dyDescent="0.35">
      <c r="A1034" s="56">
        <v>6540</v>
      </c>
      <c r="B1034" s="57"/>
      <c r="C1034" s="57"/>
      <c r="D1034" s="57"/>
      <c r="E1034" s="47"/>
      <c r="F1034" s="56"/>
    </row>
    <row r="1035" spans="1:6" ht="15" customHeight="1" x14ac:dyDescent="0.35">
      <c r="A1035" s="56">
        <v>6541</v>
      </c>
      <c r="B1035" s="57"/>
      <c r="C1035" s="57"/>
      <c r="D1035" s="57"/>
      <c r="E1035" s="47"/>
      <c r="F1035" s="56"/>
    </row>
    <row r="1036" spans="1:6" ht="15" customHeight="1" x14ac:dyDescent="0.35">
      <c r="A1036" s="56">
        <v>6542</v>
      </c>
      <c r="B1036" s="57"/>
      <c r="C1036" s="57"/>
      <c r="D1036" s="57"/>
      <c r="E1036" s="47"/>
      <c r="F1036" s="56"/>
    </row>
    <row r="1037" spans="1:6" ht="15" customHeight="1" x14ac:dyDescent="0.35">
      <c r="A1037" s="56">
        <v>6543</v>
      </c>
      <c r="B1037" s="57"/>
      <c r="C1037" s="57"/>
      <c r="D1037" s="57"/>
      <c r="E1037" s="47"/>
      <c r="F1037" s="56"/>
    </row>
    <row r="1038" spans="1:6" ht="15" customHeight="1" x14ac:dyDescent="0.35">
      <c r="A1038" s="56">
        <v>6544</v>
      </c>
      <c r="B1038" s="57"/>
      <c r="C1038" s="57"/>
      <c r="D1038" s="57"/>
      <c r="E1038" s="47"/>
      <c r="F1038" s="56"/>
    </row>
    <row r="1039" spans="1:6" ht="15" customHeight="1" x14ac:dyDescent="0.35">
      <c r="A1039" s="56">
        <v>6545</v>
      </c>
      <c r="B1039" s="57"/>
      <c r="C1039" s="57"/>
      <c r="D1039" s="57"/>
      <c r="E1039" s="47"/>
      <c r="F1039" s="56"/>
    </row>
    <row r="1040" spans="1:6" ht="15" customHeight="1" x14ac:dyDescent="0.35">
      <c r="A1040" s="56">
        <v>6546</v>
      </c>
      <c r="B1040" s="57"/>
      <c r="C1040" s="57"/>
      <c r="D1040" s="57"/>
      <c r="E1040" s="47"/>
      <c r="F1040" s="56"/>
    </row>
    <row r="1041" spans="1:6" ht="15" customHeight="1" x14ac:dyDescent="0.35">
      <c r="A1041" s="56">
        <v>6547</v>
      </c>
      <c r="B1041" s="57"/>
      <c r="C1041" s="57"/>
      <c r="D1041" s="57"/>
      <c r="E1041" s="47"/>
      <c r="F1041" s="56"/>
    </row>
    <row r="1042" spans="1:6" ht="15" customHeight="1" x14ac:dyDescent="0.35">
      <c r="A1042" s="56">
        <v>6548</v>
      </c>
      <c r="B1042" s="57"/>
      <c r="C1042" s="57"/>
      <c r="D1042" s="57"/>
      <c r="E1042" s="47"/>
      <c r="F1042" s="56"/>
    </row>
    <row r="1043" spans="1:6" ht="15" customHeight="1" x14ac:dyDescent="0.35">
      <c r="A1043" s="56">
        <v>6549</v>
      </c>
      <c r="B1043" s="57"/>
      <c r="C1043" s="57"/>
      <c r="D1043" s="57"/>
      <c r="E1043" s="47"/>
      <c r="F1043" s="56"/>
    </row>
    <row r="1044" spans="1:6" ht="15" customHeight="1" x14ac:dyDescent="0.35">
      <c r="A1044" s="56">
        <v>6550</v>
      </c>
      <c r="B1044" s="57"/>
      <c r="C1044" s="57"/>
      <c r="D1044" s="57"/>
      <c r="E1044" s="47"/>
      <c r="F1044" s="56"/>
    </row>
    <row r="1045" spans="1:6" ht="15" customHeight="1" x14ac:dyDescent="0.35">
      <c r="A1045" s="56">
        <v>6551</v>
      </c>
      <c r="B1045" s="57"/>
      <c r="C1045" s="57"/>
      <c r="D1045" s="57"/>
      <c r="E1045" s="47"/>
      <c r="F1045" s="56"/>
    </row>
    <row r="1046" spans="1:6" ht="15" customHeight="1" x14ac:dyDescent="0.35">
      <c r="A1046" s="56">
        <v>6552</v>
      </c>
      <c r="B1046" s="57"/>
      <c r="C1046" s="57"/>
      <c r="D1046" s="57"/>
      <c r="E1046" s="47"/>
      <c r="F1046" s="56"/>
    </row>
    <row r="1047" spans="1:6" ht="15" customHeight="1" x14ac:dyDescent="0.35">
      <c r="A1047" s="56">
        <v>6553</v>
      </c>
      <c r="B1047" s="57"/>
      <c r="C1047" s="57"/>
      <c r="D1047" s="57"/>
      <c r="E1047" s="47"/>
      <c r="F1047" s="56"/>
    </row>
    <row r="1048" spans="1:6" ht="15" customHeight="1" x14ac:dyDescent="0.35">
      <c r="A1048" s="56">
        <v>6554</v>
      </c>
      <c r="B1048" s="57"/>
      <c r="C1048" s="57"/>
      <c r="D1048" s="57"/>
      <c r="E1048" s="47"/>
      <c r="F1048" s="56"/>
    </row>
    <row r="1049" spans="1:6" ht="15" customHeight="1" x14ac:dyDescent="0.35">
      <c r="A1049" s="56">
        <v>6555</v>
      </c>
      <c r="B1049" s="57"/>
      <c r="C1049" s="57"/>
      <c r="D1049" s="57"/>
      <c r="E1049" s="47"/>
      <c r="F1049" s="56"/>
    </row>
    <row r="1050" spans="1:6" ht="15" customHeight="1" x14ac:dyDescent="0.35">
      <c r="A1050" s="56">
        <v>6556</v>
      </c>
      <c r="B1050" s="57"/>
      <c r="C1050" s="57"/>
      <c r="D1050" s="57"/>
      <c r="E1050" s="47"/>
      <c r="F1050" s="56"/>
    </row>
    <row r="1051" spans="1:6" ht="15" customHeight="1" x14ac:dyDescent="0.35">
      <c r="A1051" s="56">
        <v>6557</v>
      </c>
      <c r="B1051" s="57"/>
      <c r="C1051" s="57"/>
      <c r="D1051" s="57"/>
      <c r="E1051" s="47"/>
      <c r="F1051" s="56"/>
    </row>
    <row r="1052" spans="1:6" ht="15" customHeight="1" x14ac:dyDescent="0.35">
      <c r="A1052" s="56">
        <v>6558</v>
      </c>
      <c r="B1052" s="57"/>
      <c r="C1052" s="57"/>
      <c r="D1052" s="57"/>
      <c r="E1052" s="47"/>
      <c r="F1052" s="56"/>
    </row>
    <row r="1053" spans="1:6" ht="15" customHeight="1" x14ac:dyDescent="0.35">
      <c r="A1053" s="56">
        <v>6559</v>
      </c>
      <c r="B1053" s="57"/>
      <c r="C1053" s="57"/>
      <c r="D1053" s="57"/>
      <c r="E1053" s="47"/>
      <c r="F1053" s="56"/>
    </row>
    <row r="1054" spans="1:6" ht="15" customHeight="1" x14ac:dyDescent="0.35">
      <c r="A1054" s="56">
        <v>6560</v>
      </c>
      <c r="B1054" s="57"/>
      <c r="C1054" s="57"/>
      <c r="D1054" s="57"/>
      <c r="E1054" s="47"/>
      <c r="F1054" s="56"/>
    </row>
    <row r="1055" spans="1:6" ht="15" customHeight="1" x14ac:dyDescent="0.35">
      <c r="A1055" s="56">
        <v>6561</v>
      </c>
      <c r="B1055" s="57"/>
      <c r="C1055" s="57"/>
      <c r="D1055" s="57"/>
      <c r="E1055" s="47"/>
      <c r="F1055" s="56"/>
    </row>
    <row r="1056" spans="1:6" ht="15" customHeight="1" x14ac:dyDescent="0.35">
      <c r="A1056" s="56">
        <v>6562</v>
      </c>
      <c r="B1056" s="57"/>
      <c r="C1056" s="57"/>
      <c r="D1056" s="57"/>
      <c r="E1056" s="47"/>
      <c r="F1056" s="56"/>
    </row>
    <row r="1057" spans="1:6" ht="15" customHeight="1" x14ac:dyDescent="0.35">
      <c r="A1057" s="56">
        <v>6563</v>
      </c>
      <c r="B1057" s="57"/>
      <c r="C1057" s="57"/>
      <c r="D1057" s="57"/>
      <c r="E1057" s="47"/>
      <c r="F1057" s="56"/>
    </row>
    <row r="1058" spans="1:6" ht="15" customHeight="1" x14ac:dyDescent="0.35">
      <c r="A1058" s="56">
        <v>6564</v>
      </c>
      <c r="B1058" s="57"/>
      <c r="C1058" s="57"/>
      <c r="D1058" s="57"/>
      <c r="E1058" s="47"/>
      <c r="F1058" s="56"/>
    </row>
    <row r="1059" spans="1:6" ht="15" customHeight="1" x14ac:dyDescent="0.35">
      <c r="A1059" s="56">
        <v>6565</v>
      </c>
      <c r="B1059" s="57"/>
      <c r="C1059" s="57"/>
      <c r="D1059" s="57"/>
      <c r="E1059" s="47"/>
      <c r="F1059" s="56"/>
    </row>
    <row r="1060" spans="1:6" ht="15" customHeight="1" x14ac:dyDescent="0.35">
      <c r="A1060" s="56">
        <v>6566</v>
      </c>
      <c r="B1060" s="57"/>
      <c r="C1060" s="57"/>
      <c r="D1060" s="57"/>
      <c r="E1060" s="47"/>
      <c r="F1060" s="56"/>
    </row>
    <row r="1061" spans="1:6" ht="15" customHeight="1" x14ac:dyDescent="0.35">
      <c r="A1061" s="56">
        <v>6567</v>
      </c>
      <c r="B1061" s="57"/>
      <c r="C1061" s="57"/>
      <c r="D1061" s="57"/>
      <c r="E1061" s="47"/>
      <c r="F1061" s="56"/>
    </row>
    <row r="1062" spans="1:6" ht="15" customHeight="1" x14ac:dyDescent="0.35">
      <c r="A1062" s="56">
        <v>6568</v>
      </c>
      <c r="B1062" s="57"/>
      <c r="C1062" s="57"/>
      <c r="D1062" s="57"/>
      <c r="E1062" s="47"/>
      <c r="F1062" s="56"/>
    </row>
    <row r="1063" spans="1:6" ht="15" customHeight="1" x14ac:dyDescent="0.35">
      <c r="A1063" s="56">
        <v>6569</v>
      </c>
      <c r="B1063" s="57"/>
      <c r="C1063" s="57"/>
      <c r="D1063" s="57"/>
      <c r="E1063" s="47"/>
      <c r="F1063" s="56"/>
    </row>
    <row r="1064" spans="1:6" ht="15" customHeight="1" x14ac:dyDescent="0.35">
      <c r="A1064" s="56">
        <v>6570</v>
      </c>
      <c r="B1064" s="57"/>
      <c r="C1064" s="57"/>
      <c r="D1064" s="57"/>
      <c r="E1064" s="47"/>
      <c r="F1064" s="56"/>
    </row>
    <row r="1065" spans="1:6" ht="15" customHeight="1" x14ac:dyDescent="0.35">
      <c r="A1065" s="56">
        <v>6571</v>
      </c>
      <c r="B1065" s="57"/>
      <c r="C1065" s="57"/>
      <c r="D1065" s="57"/>
      <c r="E1065" s="47"/>
      <c r="F1065" s="56"/>
    </row>
    <row r="1066" spans="1:6" ht="15" customHeight="1" x14ac:dyDescent="0.35">
      <c r="A1066" s="56">
        <v>6572</v>
      </c>
      <c r="B1066" s="57"/>
      <c r="C1066" s="57"/>
      <c r="D1066" s="57"/>
      <c r="E1066" s="47"/>
      <c r="F1066" s="56"/>
    </row>
    <row r="1067" spans="1:6" ht="15" customHeight="1" x14ac:dyDescent="0.35">
      <c r="A1067" s="56">
        <v>6573</v>
      </c>
      <c r="B1067" s="57"/>
      <c r="C1067" s="57"/>
      <c r="D1067" s="57"/>
      <c r="E1067" s="47"/>
      <c r="F1067" s="56"/>
    </row>
    <row r="1068" spans="1:6" ht="15" customHeight="1" x14ac:dyDescent="0.35">
      <c r="A1068" s="56">
        <v>6574</v>
      </c>
      <c r="B1068" s="57"/>
      <c r="C1068" s="57"/>
      <c r="D1068" s="57"/>
      <c r="E1068" s="47"/>
      <c r="F1068" s="56"/>
    </row>
    <row r="1069" spans="1:6" ht="15" customHeight="1" x14ac:dyDescent="0.35">
      <c r="A1069" s="56">
        <v>6575</v>
      </c>
      <c r="B1069" s="57"/>
      <c r="C1069" s="57"/>
      <c r="D1069" s="57"/>
      <c r="E1069" s="47"/>
      <c r="F1069" s="56"/>
    </row>
    <row r="1070" spans="1:6" ht="15" customHeight="1" x14ac:dyDescent="0.35">
      <c r="A1070" s="56">
        <v>6576</v>
      </c>
      <c r="B1070" s="57"/>
      <c r="C1070" s="57"/>
      <c r="D1070" s="57"/>
      <c r="E1070" s="47"/>
      <c r="F1070" s="56"/>
    </row>
    <row r="1071" spans="1:6" ht="15" customHeight="1" x14ac:dyDescent="0.35">
      <c r="A1071" s="56">
        <v>6577</v>
      </c>
      <c r="B1071" s="57"/>
      <c r="C1071" s="57"/>
      <c r="D1071" s="57"/>
      <c r="E1071" s="47"/>
      <c r="F1071" s="56"/>
    </row>
    <row r="1072" spans="1:6" ht="15" customHeight="1" x14ac:dyDescent="0.35">
      <c r="A1072" s="56">
        <v>6578</v>
      </c>
      <c r="B1072" s="57"/>
      <c r="C1072" s="57"/>
      <c r="D1072" s="57"/>
      <c r="E1072" s="47"/>
      <c r="F1072" s="56"/>
    </row>
    <row r="1073" spans="1:6" ht="15" customHeight="1" x14ac:dyDescent="0.35">
      <c r="A1073" s="56">
        <v>6579</v>
      </c>
      <c r="B1073" s="57"/>
      <c r="C1073" s="57"/>
      <c r="D1073" s="57"/>
      <c r="E1073" s="47"/>
      <c r="F1073" s="56"/>
    </row>
    <row r="1074" spans="1:6" ht="15" customHeight="1" x14ac:dyDescent="0.35">
      <c r="A1074" s="56">
        <v>6580</v>
      </c>
      <c r="B1074" s="57"/>
      <c r="C1074" s="57"/>
      <c r="D1074" s="57"/>
      <c r="E1074" s="47"/>
      <c r="F1074" s="56"/>
    </row>
    <row r="1075" spans="1:6" ht="15" customHeight="1" x14ac:dyDescent="0.35">
      <c r="A1075" s="56">
        <v>6581</v>
      </c>
      <c r="B1075" s="57"/>
      <c r="C1075" s="57"/>
      <c r="D1075" s="57"/>
      <c r="E1075" s="47"/>
      <c r="F1075" s="56"/>
    </row>
    <row r="1076" spans="1:6" ht="15" customHeight="1" x14ac:dyDescent="0.35">
      <c r="A1076" s="56">
        <v>6582</v>
      </c>
      <c r="B1076" s="57"/>
      <c r="C1076" s="57"/>
      <c r="D1076" s="57"/>
      <c r="E1076" s="47"/>
      <c r="F1076" s="56"/>
    </row>
    <row r="1077" spans="1:6" ht="15" customHeight="1" x14ac:dyDescent="0.35">
      <c r="A1077" s="56">
        <v>6583</v>
      </c>
      <c r="B1077" s="57"/>
      <c r="C1077" s="57"/>
      <c r="D1077" s="57"/>
      <c r="E1077" s="47"/>
      <c r="F1077" s="56"/>
    </row>
    <row r="1078" spans="1:6" ht="15" customHeight="1" x14ac:dyDescent="0.35">
      <c r="A1078" s="56">
        <v>6584</v>
      </c>
      <c r="B1078" s="57"/>
      <c r="C1078" s="57"/>
      <c r="D1078" s="57"/>
      <c r="E1078" s="47"/>
      <c r="F1078" s="56"/>
    </row>
    <row r="1079" spans="1:6" ht="15" customHeight="1" x14ac:dyDescent="0.35">
      <c r="A1079" s="56">
        <v>6585</v>
      </c>
      <c r="B1079" s="57"/>
      <c r="C1079" s="57"/>
      <c r="D1079" s="57"/>
      <c r="E1079" s="47"/>
      <c r="F1079" s="56"/>
    </row>
    <row r="1080" spans="1:6" ht="15" customHeight="1" x14ac:dyDescent="0.35">
      <c r="A1080" s="56">
        <v>6586</v>
      </c>
      <c r="B1080" s="57"/>
      <c r="C1080" s="57"/>
      <c r="D1080" s="57"/>
      <c r="E1080" s="47"/>
      <c r="F1080" s="56"/>
    </row>
    <row r="1081" spans="1:6" ht="15" customHeight="1" x14ac:dyDescent="0.35">
      <c r="A1081" s="56">
        <v>6587</v>
      </c>
      <c r="B1081" s="57"/>
      <c r="C1081" s="57"/>
      <c r="D1081" s="57"/>
      <c r="E1081" s="47"/>
      <c r="F1081" s="56"/>
    </row>
    <row r="1082" spans="1:6" ht="15" customHeight="1" x14ac:dyDescent="0.35">
      <c r="A1082" s="56">
        <v>6588</v>
      </c>
      <c r="B1082" s="57"/>
      <c r="C1082" s="57"/>
      <c r="D1082" s="57"/>
      <c r="E1082" s="47"/>
      <c r="F1082" s="56"/>
    </row>
    <row r="1083" spans="1:6" ht="15" customHeight="1" x14ac:dyDescent="0.35">
      <c r="A1083" s="56">
        <v>6589</v>
      </c>
      <c r="B1083" s="57"/>
      <c r="C1083" s="57"/>
      <c r="D1083" s="57"/>
      <c r="E1083" s="47"/>
      <c r="F1083" s="56"/>
    </row>
    <row r="1084" spans="1:6" ht="15" customHeight="1" x14ac:dyDescent="0.35">
      <c r="A1084" s="56">
        <v>6590</v>
      </c>
      <c r="B1084" s="57"/>
      <c r="C1084" s="57"/>
      <c r="D1084" s="57"/>
      <c r="E1084" s="47"/>
      <c r="F1084" s="56"/>
    </row>
    <row r="1085" spans="1:6" ht="15" customHeight="1" x14ac:dyDescent="0.35">
      <c r="A1085" s="56">
        <v>6591</v>
      </c>
      <c r="B1085" s="57"/>
      <c r="C1085" s="57"/>
      <c r="D1085" s="57"/>
      <c r="E1085" s="47"/>
      <c r="F1085" s="56"/>
    </row>
    <row r="1086" spans="1:6" ht="15" customHeight="1" x14ac:dyDescent="0.35">
      <c r="A1086" s="56">
        <v>6592</v>
      </c>
      <c r="B1086" s="57"/>
      <c r="C1086" s="57"/>
      <c r="D1086" s="57"/>
      <c r="E1086" s="47"/>
      <c r="F1086" s="56"/>
    </row>
    <row r="1087" spans="1:6" ht="15" customHeight="1" x14ac:dyDescent="0.35">
      <c r="A1087" s="56">
        <v>6593</v>
      </c>
      <c r="B1087" s="57"/>
      <c r="C1087" s="57"/>
      <c r="D1087" s="57"/>
      <c r="E1087" s="47"/>
      <c r="F1087" s="56"/>
    </row>
    <row r="1088" spans="1:6" ht="15" customHeight="1" x14ac:dyDescent="0.35">
      <c r="A1088" s="56">
        <v>6594</v>
      </c>
      <c r="B1088" s="57"/>
      <c r="C1088" s="57"/>
      <c r="D1088" s="57"/>
      <c r="E1088" s="47"/>
      <c r="F1088" s="56"/>
    </row>
    <row r="1089" spans="1:6" ht="15" customHeight="1" x14ac:dyDescent="0.35">
      <c r="A1089" s="56">
        <v>6595</v>
      </c>
      <c r="B1089" s="57"/>
      <c r="C1089" s="57"/>
      <c r="D1089" s="57"/>
      <c r="E1089" s="47"/>
      <c r="F1089" s="56"/>
    </row>
    <row r="1090" spans="1:6" ht="15" customHeight="1" x14ac:dyDescent="0.35">
      <c r="A1090" s="56">
        <v>6596</v>
      </c>
      <c r="B1090" s="57"/>
      <c r="C1090" s="57"/>
      <c r="D1090" s="57"/>
      <c r="E1090" s="47"/>
      <c r="F1090" s="56"/>
    </row>
    <row r="1091" spans="1:6" ht="15" customHeight="1" x14ac:dyDescent="0.35">
      <c r="A1091" s="56">
        <v>6597</v>
      </c>
      <c r="B1091" s="57"/>
      <c r="C1091" s="57"/>
      <c r="D1091" s="57"/>
      <c r="E1091" s="47"/>
      <c r="F1091" s="56"/>
    </row>
    <row r="1092" spans="1:6" ht="15" customHeight="1" x14ac:dyDescent="0.35">
      <c r="A1092" s="56">
        <v>6598</v>
      </c>
      <c r="B1092" s="57"/>
      <c r="C1092" s="57"/>
      <c r="D1092" s="57"/>
      <c r="E1092" s="47"/>
      <c r="F1092" s="56"/>
    </row>
    <row r="1093" spans="1:6" ht="15" customHeight="1" x14ac:dyDescent="0.35">
      <c r="A1093" s="56">
        <v>6599</v>
      </c>
      <c r="B1093" s="57"/>
      <c r="C1093" s="57"/>
      <c r="D1093" s="57"/>
      <c r="E1093" s="47"/>
      <c r="F1093" s="56"/>
    </row>
    <row r="1094" spans="1:6" ht="15" customHeight="1" x14ac:dyDescent="0.35">
      <c r="A1094" s="56">
        <v>6600</v>
      </c>
      <c r="B1094" s="57"/>
      <c r="C1094" s="57"/>
      <c r="D1094" s="57"/>
      <c r="E1094" s="47"/>
      <c r="F1094" s="56"/>
    </row>
    <row r="1095" spans="1:6" ht="15" customHeight="1" x14ac:dyDescent="0.35">
      <c r="A1095" s="56">
        <v>6601</v>
      </c>
      <c r="B1095" s="57"/>
      <c r="C1095" s="57"/>
      <c r="D1095" s="57"/>
      <c r="E1095" s="47"/>
      <c r="F1095" s="56"/>
    </row>
    <row r="1096" spans="1:6" ht="15" customHeight="1" x14ac:dyDescent="0.35">
      <c r="A1096" s="56">
        <v>6602</v>
      </c>
      <c r="B1096" s="57"/>
      <c r="C1096" s="57"/>
      <c r="D1096" s="57"/>
      <c r="E1096" s="47"/>
      <c r="F1096" s="56"/>
    </row>
    <row r="1097" spans="1:6" ht="15" customHeight="1" x14ac:dyDescent="0.35">
      <c r="A1097" s="56">
        <v>6603</v>
      </c>
      <c r="B1097" s="57"/>
      <c r="C1097" s="57"/>
      <c r="D1097" s="57"/>
      <c r="E1097" s="47"/>
      <c r="F1097" s="56"/>
    </row>
    <row r="1098" spans="1:6" ht="15" customHeight="1" x14ac:dyDescent="0.35">
      <c r="A1098" s="56">
        <v>6604</v>
      </c>
      <c r="B1098" s="57"/>
      <c r="C1098" s="57"/>
      <c r="D1098" s="57"/>
      <c r="E1098" s="47"/>
      <c r="F1098" s="56"/>
    </row>
    <row r="1099" spans="1:6" ht="15" customHeight="1" x14ac:dyDescent="0.35">
      <c r="A1099" s="56">
        <v>6605</v>
      </c>
      <c r="B1099" s="57"/>
      <c r="C1099" s="57"/>
      <c r="D1099" s="57"/>
      <c r="E1099" s="47"/>
      <c r="F1099" s="56"/>
    </row>
    <row r="1100" spans="1:6" ht="15" customHeight="1" x14ac:dyDescent="0.35">
      <c r="A1100" s="56">
        <v>6606</v>
      </c>
      <c r="B1100" s="57"/>
      <c r="C1100" s="57"/>
      <c r="D1100" s="57"/>
      <c r="E1100" s="47"/>
      <c r="F1100" s="56"/>
    </row>
    <row r="1101" spans="1:6" ht="15" customHeight="1" x14ac:dyDescent="0.35">
      <c r="A1101" s="56">
        <v>6607</v>
      </c>
      <c r="B1101" s="57"/>
      <c r="C1101" s="57"/>
      <c r="D1101" s="57"/>
      <c r="E1101" s="47"/>
      <c r="F1101" s="56"/>
    </row>
    <row r="1102" spans="1:6" ht="15" customHeight="1" x14ac:dyDescent="0.35">
      <c r="A1102" s="56">
        <v>6608</v>
      </c>
      <c r="B1102" s="57"/>
      <c r="C1102" s="57"/>
      <c r="D1102" s="57"/>
      <c r="E1102" s="47"/>
      <c r="F1102" s="56"/>
    </row>
    <row r="1103" spans="1:6" ht="15" customHeight="1" x14ac:dyDescent="0.35">
      <c r="A1103" s="56">
        <v>6609</v>
      </c>
      <c r="B1103" s="57"/>
      <c r="C1103" s="57"/>
      <c r="D1103" s="57"/>
      <c r="E1103" s="47"/>
      <c r="F1103" s="56"/>
    </row>
    <row r="1104" spans="1:6" ht="15" customHeight="1" x14ac:dyDescent="0.35">
      <c r="A1104" s="56">
        <v>6610</v>
      </c>
      <c r="B1104" s="57"/>
      <c r="C1104" s="57"/>
      <c r="D1104" s="57"/>
      <c r="E1104" s="47"/>
      <c r="F1104" s="56"/>
    </row>
    <row r="1105" spans="1:6" ht="15" customHeight="1" x14ac:dyDescent="0.35">
      <c r="A1105" s="56">
        <v>6611</v>
      </c>
      <c r="B1105" s="57"/>
      <c r="C1105" s="57"/>
      <c r="D1105" s="57"/>
      <c r="E1105" s="47"/>
      <c r="F1105" s="56"/>
    </row>
    <row r="1106" spans="1:6" ht="15" customHeight="1" x14ac:dyDescent="0.35">
      <c r="A1106" s="56">
        <v>6612</v>
      </c>
      <c r="B1106" s="57"/>
      <c r="C1106" s="57"/>
      <c r="D1106" s="57"/>
      <c r="E1106" s="47"/>
      <c r="F1106" s="56"/>
    </row>
    <row r="1107" spans="1:6" ht="15" customHeight="1" x14ac:dyDescent="0.35">
      <c r="A1107" s="56">
        <v>6613</v>
      </c>
      <c r="B1107" s="57"/>
      <c r="C1107" s="57"/>
      <c r="D1107" s="57"/>
      <c r="E1107" s="47"/>
      <c r="F1107" s="56"/>
    </row>
    <row r="1108" spans="1:6" ht="15" customHeight="1" x14ac:dyDescent="0.35">
      <c r="A1108" s="56">
        <v>6614</v>
      </c>
      <c r="B1108" s="57"/>
      <c r="C1108" s="57"/>
      <c r="D1108" s="57"/>
      <c r="E1108" s="47"/>
      <c r="F1108" s="56"/>
    </row>
    <row r="1109" spans="1:6" ht="15" customHeight="1" x14ac:dyDescent="0.35">
      <c r="A1109" s="56">
        <v>6615</v>
      </c>
      <c r="B1109" s="57"/>
      <c r="C1109" s="57"/>
      <c r="D1109" s="57"/>
      <c r="E1109" s="47"/>
      <c r="F1109" s="56"/>
    </row>
    <row r="1110" spans="1:6" ht="15" customHeight="1" x14ac:dyDescent="0.35">
      <c r="A1110" s="56">
        <v>6616</v>
      </c>
      <c r="B1110" s="57"/>
      <c r="C1110" s="57"/>
      <c r="D1110" s="57"/>
      <c r="E1110" s="47"/>
      <c r="F1110" s="56"/>
    </row>
    <row r="1111" spans="1:6" ht="15" customHeight="1" x14ac:dyDescent="0.35">
      <c r="A1111" s="56">
        <v>6617</v>
      </c>
      <c r="B1111" s="57"/>
      <c r="C1111" s="57"/>
      <c r="D1111" s="57"/>
      <c r="E1111" s="47"/>
      <c r="F1111" s="56"/>
    </row>
    <row r="1112" spans="1:6" ht="15" customHeight="1" x14ac:dyDescent="0.35">
      <c r="A1112" s="56">
        <v>6618</v>
      </c>
      <c r="B1112" s="57"/>
      <c r="C1112" s="57"/>
      <c r="D1112" s="57"/>
      <c r="E1112" s="47"/>
      <c r="F1112" s="56"/>
    </row>
    <row r="1113" spans="1:6" ht="15" customHeight="1" x14ac:dyDescent="0.35">
      <c r="A1113" s="56">
        <v>6619</v>
      </c>
      <c r="B1113" s="57"/>
      <c r="C1113" s="57"/>
      <c r="D1113" s="57"/>
      <c r="E1113" s="47"/>
      <c r="F1113" s="56"/>
    </row>
    <row r="1114" spans="1:6" ht="15" customHeight="1" x14ac:dyDescent="0.35">
      <c r="A1114" s="56">
        <v>6620</v>
      </c>
      <c r="B1114" s="57"/>
      <c r="C1114" s="57"/>
      <c r="D1114" s="57"/>
      <c r="E1114" s="47"/>
      <c r="F1114" s="56"/>
    </row>
    <row r="1115" spans="1:6" ht="15" customHeight="1" x14ac:dyDescent="0.35">
      <c r="A1115" s="56">
        <v>6621</v>
      </c>
      <c r="B1115" s="57"/>
      <c r="C1115" s="57"/>
      <c r="D1115" s="57"/>
      <c r="E1115" s="47"/>
      <c r="F1115" s="56"/>
    </row>
    <row r="1116" spans="1:6" ht="15" customHeight="1" x14ac:dyDescent="0.35">
      <c r="A1116" s="56">
        <v>6622</v>
      </c>
      <c r="B1116" s="57"/>
      <c r="C1116" s="57"/>
      <c r="D1116" s="57"/>
      <c r="E1116" s="47"/>
      <c r="F1116" s="56"/>
    </row>
    <row r="1117" spans="1:6" ht="15" customHeight="1" x14ac:dyDescent="0.35">
      <c r="A1117" s="56">
        <v>6623</v>
      </c>
      <c r="B1117" s="57"/>
      <c r="C1117" s="57"/>
      <c r="D1117" s="57"/>
      <c r="E1117" s="47"/>
      <c r="F1117" s="56"/>
    </row>
    <row r="1118" spans="1:6" ht="15" customHeight="1" x14ac:dyDescent="0.35">
      <c r="A1118" s="56">
        <v>6624</v>
      </c>
      <c r="B1118" s="57"/>
      <c r="C1118" s="57"/>
      <c r="D1118" s="57"/>
      <c r="E1118" s="47"/>
      <c r="F1118" s="56"/>
    </row>
    <row r="1119" spans="1:6" ht="15" customHeight="1" x14ac:dyDescent="0.35">
      <c r="A1119" s="56">
        <v>6625</v>
      </c>
      <c r="B1119" s="57"/>
      <c r="C1119" s="57"/>
      <c r="D1119" s="57"/>
      <c r="E1119" s="47"/>
      <c r="F1119" s="56"/>
    </row>
    <row r="1120" spans="1:6" ht="15" customHeight="1" x14ac:dyDescent="0.35">
      <c r="A1120" s="56">
        <v>6626</v>
      </c>
      <c r="B1120" s="57"/>
      <c r="C1120" s="57"/>
      <c r="D1120" s="57"/>
      <c r="E1120" s="47"/>
      <c r="F1120" s="56"/>
    </row>
    <row r="1121" spans="1:6" ht="15" customHeight="1" x14ac:dyDescent="0.35">
      <c r="A1121" s="56">
        <v>6627</v>
      </c>
      <c r="B1121" s="57"/>
      <c r="C1121" s="57"/>
      <c r="D1121" s="57"/>
      <c r="E1121" s="47"/>
      <c r="F1121" s="56"/>
    </row>
    <row r="1122" spans="1:6" ht="15" customHeight="1" x14ac:dyDescent="0.35">
      <c r="A1122" s="56">
        <v>6628</v>
      </c>
      <c r="B1122" s="57"/>
      <c r="C1122" s="57"/>
      <c r="D1122" s="57"/>
      <c r="E1122" s="47"/>
      <c r="F1122" s="56"/>
    </row>
    <row r="1123" spans="1:6" ht="15" customHeight="1" x14ac:dyDescent="0.35">
      <c r="A1123" s="56">
        <v>6629</v>
      </c>
      <c r="B1123" s="57"/>
      <c r="C1123" s="57"/>
      <c r="D1123" s="57"/>
      <c r="E1123" s="47"/>
      <c r="F1123" s="56"/>
    </row>
    <row r="1124" spans="1:6" ht="15" customHeight="1" x14ac:dyDescent="0.35">
      <c r="A1124" s="56">
        <v>6630</v>
      </c>
      <c r="B1124" s="57"/>
      <c r="C1124" s="57"/>
      <c r="D1124" s="57"/>
      <c r="E1124" s="47"/>
      <c r="F1124" s="56"/>
    </row>
    <row r="1125" spans="1:6" ht="15" customHeight="1" x14ac:dyDescent="0.35">
      <c r="A1125" s="56">
        <v>6631</v>
      </c>
      <c r="B1125" s="57"/>
      <c r="C1125" s="57"/>
      <c r="D1125" s="57"/>
      <c r="E1125" s="47"/>
      <c r="F1125" s="56"/>
    </row>
    <row r="1126" spans="1:6" ht="15" customHeight="1" x14ac:dyDescent="0.35">
      <c r="A1126" s="56">
        <v>6632</v>
      </c>
      <c r="B1126" s="57"/>
      <c r="C1126" s="57"/>
      <c r="D1126" s="57"/>
      <c r="E1126" s="47"/>
      <c r="F1126" s="56"/>
    </row>
    <row r="1127" spans="1:6" ht="15" customHeight="1" x14ac:dyDescent="0.35">
      <c r="A1127" s="56">
        <v>6633</v>
      </c>
      <c r="B1127" s="57"/>
      <c r="C1127" s="57"/>
      <c r="D1127" s="57"/>
      <c r="E1127" s="47"/>
      <c r="F1127" s="56"/>
    </row>
    <row r="1128" spans="1:6" ht="15" customHeight="1" x14ac:dyDescent="0.35">
      <c r="A1128" s="56">
        <v>6634</v>
      </c>
      <c r="B1128" s="57"/>
      <c r="C1128" s="57"/>
      <c r="D1128" s="57"/>
      <c r="E1128" s="47"/>
      <c r="F1128" s="56"/>
    </row>
    <row r="1129" spans="1:6" ht="15" customHeight="1" x14ac:dyDescent="0.35">
      <c r="A1129" s="56">
        <v>6635</v>
      </c>
      <c r="B1129" s="57"/>
      <c r="C1129" s="57"/>
      <c r="D1129" s="57"/>
      <c r="E1129" s="47"/>
      <c r="F1129" s="56"/>
    </row>
    <row r="1130" spans="1:6" ht="15" customHeight="1" x14ac:dyDescent="0.35">
      <c r="A1130" s="56">
        <v>6636</v>
      </c>
      <c r="B1130" s="57"/>
      <c r="C1130" s="57"/>
      <c r="D1130" s="57"/>
      <c r="E1130" s="47"/>
      <c r="F1130" s="56"/>
    </row>
    <row r="1131" spans="1:6" ht="15" customHeight="1" x14ac:dyDescent="0.35">
      <c r="A1131" s="56">
        <v>6637</v>
      </c>
      <c r="B1131" s="57"/>
      <c r="C1131" s="57"/>
      <c r="D1131" s="57"/>
      <c r="E1131" s="47"/>
      <c r="F1131" s="56"/>
    </row>
    <row r="1132" spans="1:6" ht="15" customHeight="1" x14ac:dyDescent="0.35">
      <c r="A1132" s="56">
        <v>6638</v>
      </c>
      <c r="B1132" s="57"/>
      <c r="C1132" s="57"/>
      <c r="D1132" s="57"/>
      <c r="E1132" s="47"/>
      <c r="F1132" s="56"/>
    </row>
    <row r="1133" spans="1:6" ht="15" customHeight="1" x14ac:dyDescent="0.35">
      <c r="A1133" s="56">
        <v>6639</v>
      </c>
      <c r="B1133" s="57"/>
      <c r="C1133" s="57"/>
      <c r="D1133" s="57"/>
      <c r="E1133" s="47"/>
      <c r="F1133" s="56"/>
    </row>
    <row r="1134" spans="1:6" ht="15" customHeight="1" x14ac:dyDescent="0.35">
      <c r="A1134" s="56">
        <v>6640</v>
      </c>
      <c r="B1134" s="57"/>
      <c r="C1134" s="57"/>
      <c r="D1134" s="57"/>
      <c r="E1134" s="47"/>
      <c r="F1134" s="56"/>
    </row>
    <row r="1135" spans="1:6" ht="15" customHeight="1" x14ac:dyDescent="0.35">
      <c r="A1135" s="56">
        <v>6641</v>
      </c>
      <c r="B1135" s="57"/>
      <c r="C1135" s="57"/>
      <c r="D1135" s="57"/>
      <c r="E1135" s="47"/>
      <c r="F1135" s="56"/>
    </row>
    <row r="1136" spans="1:6" ht="15" customHeight="1" x14ac:dyDescent="0.35">
      <c r="A1136" s="56">
        <v>6642</v>
      </c>
      <c r="B1136" s="57"/>
      <c r="C1136" s="57"/>
      <c r="D1136" s="57"/>
      <c r="E1136" s="47"/>
      <c r="F1136" s="56"/>
    </row>
    <row r="1137" spans="1:6" ht="15" customHeight="1" x14ac:dyDescent="0.35">
      <c r="A1137" s="56">
        <v>6643</v>
      </c>
      <c r="B1137" s="57"/>
      <c r="C1137" s="57"/>
      <c r="D1137" s="57"/>
      <c r="E1137" s="47"/>
      <c r="F1137" s="56"/>
    </row>
    <row r="1138" spans="1:6" ht="15" customHeight="1" x14ac:dyDescent="0.35">
      <c r="A1138" s="56">
        <v>6644</v>
      </c>
      <c r="B1138" s="57"/>
      <c r="C1138" s="57"/>
      <c r="D1138" s="57"/>
      <c r="E1138" s="47"/>
      <c r="F1138" s="56"/>
    </row>
    <row r="1139" spans="1:6" ht="15" customHeight="1" x14ac:dyDescent="0.35">
      <c r="A1139" s="56">
        <v>6645</v>
      </c>
      <c r="B1139" s="57"/>
      <c r="C1139" s="57"/>
      <c r="D1139" s="57"/>
      <c r="E1139" s="47"/>
      <c r="F1139" s="56"/>
    </row>
    <row r="1140" spans="1:6" ht="15" customHeight="1" x14ac:dyDescent="0.35">
      <c r="A1140" s="56">
        <v>6646</v>
      </c>
      <c r="B1140" s="57"/>
      <c r="C1140" s="57"/>
      <c r="D1140" s="57"/>
      <c r="E1140" s="47"/>
      <c r="F1140" s="56"/>
    </row>
    <row r="1141" spans="1:6" ht="15" customHeight="1" x14ac:dyDescent="0.35">
      <c r="A1141" s="56">
        <v>6647</v>
      </c>
      <c r="B1141" s="57"/>
      <c r="C1141" s="57"/>
      <c r="D1141" s="57"/>
      <c r="E1141" s="47"/>
      <c r="F1141" s="56"/>
    </row>
    <row r="1142" spans="1:6" ht="15" customHeight="1" x14ac:dyDescent="0.35">
      <c r="A1142" s="56">
        <v>6648</v>
      </c>
      <c r="B1142" s="57"/>
      <c r="C1142" s="57"/>
      <c r="D1142" s="57"/>
      <c r="E1142" s="47"/>
      <c r="F1142" s="56"/>
    </row>
    <row r="1143" spans="1:6" ht="15" customHeight="1" x14ac:dyDescent="0.35">
      <c r="A1143" s="56">
        <v>6649</v>
      </c>
      <c r="B1143" s="57"/>
      <c r="C1143" s="57"/>
      <c r="D1143" s="57"/>
      <c r="E1143" s="47"/>
      <c r="F1143" s="56"/>
    </row>
    <row r="1144" spans="1:6" ht="15" customHeight="1" x14ac:dyDescent="0.35">
      <c r="A1144" s="56">
        <v>6650</v>
      </c>
      <c r="B1144" s="57"/>
      <c r="C1144" s="57"/>
      <c r="D1144" s="57"/>
      <c r="E1144" s="47"/>
      <c r="F1144" s="56"/>
    </row>
    <row r="1145" spans="1:6" ht="15" customHeight="1" x14ac:dyDescent="0.35">
      <c r="A1145" s="56">
        <v>6651</v>
      </c>
      <c r="B1145" s="57"/>
      <c r="C1145" s="57"/>
      <c r="D1145" s="57"/>
      <c r="E1145" s="47"/>
      <c r="F1145" s="56"/>
    </row>
    <row r="1146" spans="1:6" ht="15" customHeight="1" x14ac:dyDescent="0.35">
      <c r="A1146" s="56">
        <v>6652</v>
      </c>
      <c r="B1146" s="57"/>
      <c r="C1146" s="57"/>
      <c r="D1146" s="57"/>
      <c r="E1146" s="47"/>
      <c r="F1146" s="56"/>
    </row>
    <row r="1147" spans="1:6" ht="15" customHeight="1" x14ac:dyDescent="0.35">
      <c r="A1147" s="56">
        <v>6653</v>
      </c>
      <c r="B1147" s="57"/>
      <c r="C1147" s="57"/>
      <c r="D1147" s="57"/>
      <c r="E1147" s="47"/>
      <c r="F1147" s="56"/>
    </row>
    <row r="1148" spans="1:6" ht="15" customHeight="1" x14ac:dyDescent="0.35">
      <c r="A1148" s="56">
        <v>6654</v>
      </c>
      <c r="B1148" s="57"/>
      <c r="C1148" s="57"/>
      <c r="D1148" s="57"/>
      <c r="E1148" s="47"/>
      <c r="F1148" s="56"/>
    </row>
    <row r="1149" spans="1:6" ht="15" customHeight="1" x14ac:dyDescent="0.35">
      <c r="A1149" s="56">
        <v>6655</v>
      </c>
      <c r="B1149" s="57"/>
      <c r="C1149" s="57"/>
      <c r="D1149" s="57"/>
      <c r="E1149" s="47"/>
      <c r="F1149" s="56"/>
    </row>
    <row r="1150" spans="1:6" ht="15" customHeight="1" x14ac:dyDescent="0.35">
      <c r="A1150" s="56">
        <v>6656</v>
      </c>
      <c r="B1150" s="57"/>
      <c r="C1150" s="57"/>
      <c r="D1150" s="57"/>
      <c r="E1150" s="47"/>
      <c r="F1150" s="56"/>
    </row>
    <row r="1151" spans="1:6" ht="15" customHeight="1" x14ac:dyDescent="0.35">
      <c r="A1151" s="56">
        <v>6657</v>
      </c>
      <c r="B1151" s="57"/>
      <c r="C1151" s="57"/>
      <c r="D1151" s="57"/>
      <c r="E1151" s="47"/>
      <c r="F1151" s="56"/>
    </row>
    <row r="1152" spans="1:6" ht="15" customHeight="1" x14ac:dyDescent="0.35">
      <c r="A1152" s="56">
        <v>6658</v>
      </c>
      <c r="B1152" s="57"/>
      <c r="C1152" s="57"/>
      <c r="D1152" s="57"/>
      <c r="E1152" s="47"/>
      <c r="F1152" s="56"/>
    </row>
    <row r="1153" spans="1:6" ht="15" customHeight="1" x14ac:dyDescent="0.35">
      <c r="A1153" s="56">
        <v>6659</v>
      </c>
      <c r="B1153" s="57"/>
      <c r="C1153" s="57"/>
      <c r="D1153" s="57"/>
      <c r="E1153" s="47"/>
      <c r="F1153" s="56"/>
    </row>
    <row r="1154" spans="1:6" ht="15" customHeight="1" x14ac:dyDescent="0.35">
      <c r="A1154" s="56">
        <v>6660</v>
      </c>
      <c r="B1154" s="57"/>
      <c r="C1154" s="57"/>
      <c r="D1154" s="57"/>
      <c r="E1154" s="47"/>
      <c r="F1154" s="56"/>
    </row>
    <row r="1155" spans="1:6" ht="15" customHeight="1" x14ac:dyDescent="0.35">
      <c r="A1155" s="56">
        <v>6661</v>
      </c>
      <c r="B1155" s="57"/>
      <c r="C1155" s="57"/>
      <c r="D1155" s="57"/>
      <c r="E1155" s="47"/>
      <c r="F1155" s="56"/>
    </row>
    <row r="1156" spans="1:6" ht="15" customHeight="1" x14ac:dyDescent="0.35">
      <c r="A1156" s="56">
        <v>6662</v>
      </c>
      <c r="B1156" s="57"/>
      <c r="C1156" s="57"/>
      <c r="D1156" s="57"/>
      <c r="E1156" s="47"/>
      <c r="F1156" s="56"/>
    </row>
    <row r="1157" spans="1:6" ht="15" customHeight="1" x14ac:dyDescent="0.35">
      <c r="A1157" s="56">
        <v>6663</v>
      </c>
      <c r="B1157" s="57"/>
      <c r="C1157" s="57"/>
      <c r="D1157" s="57"/>
      <c r="E1157" s="47"/>
      <c r="F1157" s="56"/>
    </row>
    <row r="1158" spans="1:6" ht="15" customHeight="1" x14ac:dyDescent="0.35">
      <c r="A1158" s="56">
        <v>6664</v>
      </c>
      <c r="B1158" s="57"/>
      <c r="C1158" s="57"/>
      <c r="D1158" s="57"/>
      <c r="E1158" s="47"/>
      <c r="F1158" s="56"/>
    </row>
    <row r="1159" spans="1:6" ht="15" customHeight="1" x14ac:dyDescent="0.35">
      <c r="A1159" s="56">
        <v>6665</v>
      </c>
      <c r="B1159" s="57"/>
      <c r="C1159" s="57"/>
      <c r="D1159" s="57"/>
      <c r="E1159" s="47"/>
      <c r="F1159" s="56"/>
    </row>
    <row r="1160" spans="1:6" ht="15" customHeight="1" x14ac:dyDescent="0.35">
      <c r="A1160" s="56">
        <v>6666</v>
      </c>
      <c r="B1160" s="57"/>
      <c r="C1160" s="57"/>
      <c r="D1160" s="57"/>
      <c r="E1160" s="47"/>
      <c r="F1160" s="56"/>
    </row>
    <row r="1161" spans="1:6" ht="15" customHeight="1" x14ac:dyDescent="0.35">
      <c r="A1161" s="56">
        <v>6667</v>
      </c>
      <c r="B1161" s="57"/>
      <c r="C1161" s="57"/>
      <c r="D1161" s="57"/>
      <c r="E1161" s="47"/>
      <c r="F1161" s="56"/>
    </row>
    <row r="1162" spans="1:6" ht="15" customHeight="1" x14ac:dyDescent="0.35">
      <c r="A1162" s="56">
        <v>6668</v>
      </c>
      <c r="B1162" s="57"/>
      <c r="C1162" s="57"/>
      <c r="D1162" s="57"/>
      <c r="E1162" s="47"/>
      <c r="F1162" s="56"/>
    </row>
    <row r="1163" spans="1:6" ht="15" customHeight="1" x14ac:dyDescent="0.35">
      <c r="A1163" s="56">
        <v>6669</v>
      </c>
      <c r="B1163" s="57"/>
      <c r="C1163" s="57"/>
      <c r="D1163" s="57"/>
      <c r="E1163" s="47"/>
      <c r="F1163" s="56"/>
    </row>
    <row r="1164" spans="1:6" ht="15" customHeight="1" x14ac:dyDescent="0.35">
      <c r="A1164" s="56">
        <v>6670</v>
      </c>
      <c r="B1164" s="57"/>
      <c r="C1164" s="57"/>
      <c r="D1164" s="57"/>
      <c r="E1164" s="47"/>
      <c r="F1164" s="56"/>
    </row>
    <row r="1165" spans="1:6" ht="15" customHeight="1" x14ac:dyDescent="0.35">
      <c r="A1165" s="56">
        <v>6671</v>
      </c>
      <c r="B1165" s="57"/>
      <c r="C1165" s="57"/>
      <c r="D1165" s="57"/>
      <c r="E1165" s="47"/>
      <c r="F1165" s="56"/>
    </row>
    <row r="1166" spans="1:6" ht="15" customHeight="1" x14ac:dyDescent="0.35">
      <c r="A1166" s="56">
        <v>6672</v>
      </c>
      <c r="B1166" s="57"/>
      <c r="C1166" s="57"/>
      <c r="D1166" s="57"/>
      <c r="E1166" s="47"/>
      <c r="F1166" s="56"/>
    </row>
    <row r="1167" spans="1:6" ht="15" customHeight="1" x14ac:dyDescent="0.35">
      <c r="A1167" s="56">
        <v>6673</v>
      </c>
      <c r="B1167" s="57"/>
      <c r="C1167" s="57"/>
      <c r="D1167" s="57"/>
      <c r="E1167" s="47"/>
      <c r="F1167" s="56"/>
    </row>
    <row r="1168" spans="1:6" ht="15" customHeight="1" x14ac:dyDescent="0.35">
      <c r="A1168" s="56">
        <v>6674</v>
      </c>
      <c r="B1168" s="57"/>
      <c r="C1168" s="57"/>
      <c r="D1168" s="57"/>
      <c r="E1168" s="47"/>
      <c r="F1168" s="56"/>
    </row>
    <row r="1169" spans="1:6" ht="15" customHeight="1" x14ac:dyDescent="0.35">
      <c r="A1169" s="56">
        <v>6675</v>
      </c>
      <c r="B1169" s="57"/>
      <c r="C1169" s="57"/>
      <c r="D1169" s="57"/>
      <c r="E1169" s="47"/>
      <c r="F1169" s="56"/>
    </row>
    <row r="1170" spans="1:6" ht="15" customHeight="1" x14ac:dyDescent="0.35">
      <c r="A1170" s="56">
        <v>6676</v>
      </c>
      <c r="B1170" s="57"/>
      <c r="C1170" s="57"/>
      <c r="D1170" s="57"/>
      <c r="E1170" s="47"/>
      <c r="F1170" s="56"/>
    </row>
    <row r="1171" spans="1:6" ht="15" customHeight="1" x14ac:dyDescent="0.35">
      <c r="A1171" s="56">
        <v>6677</v>
      </c>
      <c r="B1171" s="57"/>
      <c r="C1171" s="57"/>
      <c r="D1171" s="57"/>
      <c r="E1171" s="47"/>
      <c r="F1171" s="56"/>
    </row>
    <row r="1172" spans="1:6" ht="15" customHeight="1" x14ac:dyDescent="0.35">
      <c r="A1172" s="56">
        <v>6678</v>
      </c>
      <c r="B1172" s="57"/>
      <c r="C1172" s="57"/>
      <c r="D1172" s="57"/>
      <c r="E1172" s="47"/>
      <c r="F1172" s="56"/>
    </row>
    <row r="1173" spans="1:6" ht="15" customHeight="1" x14ac:dyDescent="0.35">
      <c r="A1173" s="56">
        <v>6679</v>
      </c>
      <c r="B1173" s="57"/>
      <c r="C1173" s="57"/>
      <c r="D1173" s="57"/>
      <c r="E1173" s="47"/>
      <c r="F1173" s="56"/>
    </row>
    <row r="1174" spans="1:6" ht="15" customHeight="1" x14ac:dyDescent="0.35">
      <c r="A1174" s="56">
        <v>6680</v>
      </c>
      <c r="B1174" s="57"/>
      <c r="C1174" s="57"/>
      <c r="D1174" s="57"/>
      <c r="E1174" s="47"/>
      <c r="F1174" s="56"/>
    </row>
    <row r="1175" spans="1:6" ht="15" customHeight="1" x14ac:dyDescent="0.35">
      <c r="A1175" s="56">
        <v>6681</v>
      </c>
      <c r="B1175" s="57"/>
      <c r="C1175" s="57"/>
      <c r="D1175" s="57"/>
      <c r="E1175" s="47"/>
      <c r="F1175" s="56"/>
    </row>
    <row r="1176" spans="1:6" ht="15" customHeight="1" x14ac:dyDescent="0.35">
      <c r="A1176" s="56">
        <v>6682</v>
      </c>
      <c r="B1176" s="57"/>
      <c r="C1176" s="57"/>
      <c r="D1176" s="57"/>
      <c r="E1176" s="47"/>
      <c r="F1176" s="56"/>
    </row>
    <row r="1177" spans="1:6" ht="15" customHeight="1" x14ac:dyDescent="0.35">
      <c r="A1177" s="56">
        <v>6683</v>
      </c>
      <c r="B1177" s="57"/>
      <c r="C1177" s="57"/>
      <c r="D1177" s="57"/>
      <c r="E1177" s="47"/>
      <c r="F1177" s="56"/>
    </row>
    <row r="1178" spans="1:6" ht="15" customHeight="1" x14ac:dyDescent="0.35">
      <c r="A1178" s="56">
        <v>6684</v>
      </c>
      <c r="B1178" s="57"/>
      <c r="C1178" s="57"/>
      <c r="D1178" s="57"/>
      <c r="E1178" s="47"/>
      <c r="F1178" s="56"/>
    </row>
    <row r="1179" spans="1:6" ht="15" customHeight="1" x14ac:dyDescent="0.35">
      <c r="A1179" s="56">
        <v>6685</v>
      </c>
      <c r="B1179" s="57"/>
      <c r="C1179" s="57"/>
      <c r="D1179" s="57"/>
      <c r="E1179" s="47"/>
      <c r="F1179" s="56"/>
    </row>
    <row r="1180" spans="1:6" ht="15" customHeight="1" x14ac:dyDescent="0.35">
      <c r="A1180" s="56">
        <v>6686</v>
      </c>
      <c r="B1180" s="57"/>
      <c r="C1180" s="57"/>
      <c r="D1180" s="57"/>
      <c r="E1180" s="47"/>
      <c r="F1180" s="56"/>
    </row>
    <row r="1181" spans="1:6" ht="15" customHeight="1" x14ac:dyDescent="0.35">
      <c r="A1181" s="56">
        <v>6687</v>
      </c>
      <c r="B1181" s="57"/>
      <c r="C1181" s="57"/>
      <c r="D1181" s="57"/>
      <c r="E1181" s="47"/>
      <c r="F1181" s="56"/>
    </row>
    <row r="1182" spans="1:6" ht="15" customHeight="1" x14ac:dyDescent="0.35">
      <c r="A1182" s="56">
        <v>6688</v>
      </c>
      <c r="B1182" s="57"/>
      <c r="C1182" s="57"/>
      <c r="D1182" s="57"/>
      <c r="E1182" s="47"/>
      <c r="F1182" s="56"/>
    </row>
    <row r="1183" spans="1:6" ht="15" customHeight="1" x14ac:dyDescent="0.35">
      <c r="A1183" s="56">
        <v>6689</v>
      </c>
      <c r="B1183" s="57"/>
      <c r="C1183" s="57"/>
      <c r="D1183" s="57"/>
      <c r="E1183" s="47"/>
      <c r="F1183" s="56"/>
    </row>
    <row r="1184" spans="1:6" ht="15" customHeight="1" x14ac:dyDescent="0.35">
      <c r="A1184" s="56">
        <v>6690</v>
      </c>
      <c r="B1184" s="57"/>
      <c r="C1184" s="57"/>
      <c r="D1184" s="57"/>
      <c r="E1184" s="47"/>
      <c r="F1184" s="56"/>
    </row>
    <row r="1185" spans="1:6" ht="15" customHeight="1" x14ac:dyDescent="0.35">
      <c r="A1185" s="56">
        <v>6691</v>
      </c>
      <c r="B1185" s="57"/>
      <c r="C1185" s="57"/>
      <c r="D1185" s="57"/>
      <c r="E1185" s="47"/>
      <c r="F1185" s="56"/>
    </row>
    <row r="1186" spans="1:6" ht="15" customHeight="1" x14ac:dyDescent="0.35">
      <c r="A1186" s="56">
        <v>6692</v>
      </c>
      <c r="B1186" s="57"/>
      <c r="C1186" s="57"/>
      <c r="D1186" s="57"/>
      <c r="E1186" s="47"/>
      <c r="F1186" s="56"/>
    </row>
    <row r="1187" spans="1:6" ht="15" customHeight="1" x14ac:dyDescent="0.35">
      <c r="A1187" s="56">
        <v>6693</v>
      </c>
      <c r="B1187" s="57"/>
      <c r="C1187" s="57"/>
      <c r="D1187" s="57"/>
      <c r="E1187" s="47"/>
      <c r="F1187" s="56"/>
    </row>
    <row r="1188" spans="1:6" ht="15" customHeight="1" x14ac:dyDescent="0.35">
      <c r="A1188" s="56">
        <v>6694</v>
      </c>
      <c r="B1188" s="57"/>
      <c r="C1188" s="57"/>
      <c r="D1188" s="57"/>
      <c r="E1188" s="47"/>
      <c r="F1188" s="56"/>
    </row>
    <row r="1189" spans="1:6" ht="15" customHeight="1" x14ac:dyDescent="0.35">
      <c r="A1189" s="56">
        <v>6695</v>
      </c>
      <c r="B1189" s="57"/>
      <c r="C1189" s="57"/>
      <c r="D1189" s="57"/>
      <c r="E1189" s="47"/>
      <c r="F1189" s="56"/>
    </row>
    <row r="1190" spans="1:6" ht="15" customHeight="1" x14ac:dyDescent="0.35">
      <c r="A1190" s="56">
        <v>6696</v>
      </c>
      <c r="B1190" s="57"/>
      <c r="C1190" s="57"/>
      <c r="D1190" s="57"/>
      <c r="E1190" s="47"/>
      <c r="F1190" s="56"/>
    </row>
    <row r="1191" spans="1:6" ht="15" customHeight="1" x14ac:dyDescent="0.35">
      <c r="A1191" s="56">
        <v>6697</v>
      </c>
      <c r="B1191" s="57"/>
      <c r="C1191" s="57"/>
      <c r="D1191" s="57"/>
      <c r="E1191" s="47"/>
      <c r="F1191" s="56"/>
    </row>
    <row r="1192" spans="1:6" ht="15" customHeight="1" x14ac:dyDescent="0.35">
      <c r="A1192" s="56">
        <v>6698</v>
      </c>
      <c r="B1192" s="57"/>
      <c r="C1192" s="57"/>
      <c r="D1192" s="57"/>
      <c r="E1192" s="47"/>
      <c r="F1192" s="56"/>
    </row>
    <row r="1193" spans="1:6" ht="15" customHeight="1" x14ac:dyDescent="0.35">
      <c r="A1193" s="56">
        <v>6699</v>
      </c>
      <c r="B1193" s="57"/>
      <c r="C1193" s="57"/>
      <c r="D1193" s="57"/>
      <c r="E1193" s="47"/>
      <c r="F1193" s="56"/>
    </row>
    <row r="1194" spans="1:6" ht="15" customHeight="1" x14ac:dyDescent="0.35">
      <c r="A1194" s="56">
        <v>6700</v>
      </c>
      <c r="B1194" s="57"/>
      <c r="C1194" s="57"/>
      <c r="D1194" s="57"/>
      <c r="E1194" s="47"/>
      <c r="F1194" s="56"/>
    </row>
    <row r="1195" spans="1:6" ht="15" customHeight="1" x14ac:dyDescent="0.35">
      <c r="A1195" s="56">
        <v>6701</v>
      </c>
      <c r="B1195" s="57"/>
      <c r="C1195" s="57"/>
      <c r="D1195" s="57"/>
      <c r="E1195" s="47"/>
      <c r="F1195" s="56"/>
    </row>
    <row r="1196" spans="1:6" ht="15" customHeight="1" x14ac:dyDescent="0.35">
      <c r="A1196" s="56">
        <v>6702</v>
      </c>
      <c r="B1196" s="57"/>
      <c r="C1196" s="57"/>
      <c r="D1196" s="57"/>
      <c r="E1196" s="47"/>
      <c r="F1196" s="56"/>
    </row>
    <row r="1197" spans="1:6" ht="15" customHeight="1" x14ac:dyDescent="0.35">
      <c r="A1197" s="56">
        <v>6703</v>
      </c>
      <c r="B1197" s="57"/>
      <c r="C1197" s="57"/>
      <c r="D1197" s="57"/>
      <c r="E1197" s="47"/>
      <c r="F1197" s="56"/>
    </row>
    <row r="1198" spans="1:6" ht="15" customHeight="1" x14ac:dyDescent="0.35">
      <c r="A1198" s="56">
        <v>6704</v>
      </c>
      <c r="B1198" s="57"/>
      <c r="C1198" s="57"/>
      <c r="D1198" s="57"/>
      <c r="E1198" s="47"/>
      <c r="F1198" s="56"/>
    </row>
    <row r="1199" spans="1:6" ht="15" customHeight="1" x14ac:dyDescent="0.35">
      <c r="A1199" s="56">
        <v>6705</v>
      </c>
      <c r="B1199" s="57"/>
      <c r="C1199" s="57"/>
      <c r="D1199" s="57"/>
      <c r="E1199" s="47"/>
      <c r="F1199" s="56"/>
    </row>
    <row r="1200" spans="1:6" ht="15" customHeight="1" x14ac:dyDescent="0.35">
      <c r="A1200" s="56">
        <v>6706</v>
      </c>
      <c r="B1200" s="57"/>
      <c r="C1200" s="57"/>
      <c r="D1200" s="57"/>
      <c r="E1200" s="47"/>
      <c r="F1200" s="56"/>
    </row>
    <row r="1201" spans="1:6" ht="15" customHeight="1" x14ac:dyDescent="0.35">
      <c r="A1201" s="56">
        <v>6707</v>
      </c>
      <c r="B1201" s="57"/>
      <c r="C1201" s="57"/>
      <c r="D1201" s="57"/>
      <c r="E1201" s="47"/>
      <c r="F1201" s="56"/>
    </row>
    <row r="1202" spans="1:6" ht="15" customHeight="1" x14ac:dyDescent="0.35">
      <c r="A1202" s="56">
        <v>6708</v>
      </c>
      <c r="B1202" s="57"/>
      <c r="C1202" s="57"/>
      <c r="D1202" s="57"/>
      <c r="E1202" s="47"/>
      <c r="F1202" s="56"/>
    </row>
    <row r="1203" spans="1:6" ht="15" customHeight="1" x14ac:dyDescent="0.35">
      <c r="A1203" s="56">
        <v>6709</v>
      </c>
      <c r="B1203" s="57"/>
      <c r="C1203" s="57"/>
      <c r="D1203" s="57"/>
      <c r="E1203" s="47"/>
      <c r="F1203" s="56"/>
    </row>
    <row r="1204" spans="1:6" ht="15" customHeight="1" x14ac:dyDescent="0.35">
      <c r="A1204" s="56">
        <v>6710</v>
      </c>
      <c r="B1204" s="57"/>
      <c r="C1204" s="57"/>
      <c r="D1204" s="57"/>
      <c r="E1204" s="47"/>
      <c r="F1204" s="56"/>
    </row>
    <row r="1205" spans="1:6" ht="15" customHeight="1" x14ac:dyDescent="0.35">
      <c r="A1205" s="56">
        <v>6711</v>
      </c>
      <c r="B1205" s="57"/>
      <c r="C1205" s="57"/>
      <c r="D1205" s="57"/>
      <c r="E1205" s="47"/>
      <c r="F1205" s="56"/>
    </row>
    <row r="1206" spans="1:6" ht="15" customHeight="1" x14ac:dyDescent="0.35">
      <c r="A1206" s="56">
        <v>6712</v>
      </c>
      <c r="B1206" s="57"/>
      <c r="C1206" s="57"/>
      <c r="D1206" s="57"/>
      <c r="E1206" s="47"/>
      <c r="F1206" s="56"/>
    </row>
    <row r="1207" spans="1:6" ht="15" customHeight="1" x14ac:dyDescent="0.35">
      <c r="A1207" s="56">
        <v>6713</v>
      </c>
      <c r="B1207" s="57"/>
      <c r="C1207" s="57"/>
      <c r="D1207" s="57"/>
      <c r="E1207" s="47"/>
      <c r="F1207" s="56"/>
    </row>
    <row r="1208" spans="1:6" ht="15" customHeight="1" x14ac:dyDescent="0.35">
      <c r="A1208" s="56">
        <v>6714</v>
      </c>
      <c r="B1208" s="57"/>
      <c r="C1208" s="57"/>
      <c r="D1208" s="57"/>
      <c r="E1208" s="47"/>
      <c r="F1208" s="56"/>
    </row>
    <row r="1209" spans="1:6" ht="15" customHeight="1" x14ac:dyDescent="0.35">
      <c r="A1209" s="56">
        <v>6715</v>
      </c>
      <c r="B1209" s="57"/>
      <c r="C1209" s="57"/>
      <c r="D1209" s="57"/>
      <c r="E1209" s="47"/>
      <c r="F1209" s="56"/>
    </row>
    <row r="1210" spans="1:6" ht="15" customHeight="1" x14ac:dyDescent="0.35">
      <c r="A1210" s="56">
        <v>6716</v>
      </c>
      <c r="B1210" s="57"/>
      <c r="C1210" s="57"/>
      <c r="D1210" s="57"/>
      <c r="E1210" s="47"/>
      <c r="F1210" s="56"/>
    </row>
    <row r="1211" spans="1:6" ht="15" customHeight="1" x14ac:dyDescent="0.35">
      <c r="A1211" s="56">
        <v>6717</v>
      </c>
      <c r="B1211" s="57"/>
      <c r="C1211" s="57"/>
      <c r="D1211" s="57"/>
      <c r="E1211" s="47"/>
      <c r="F1211" s="56"/>
    </row>
    <row r="1212" spans="1:6" ht="15" customHeight="1" x14ac:dyDescent="0.35">
      <c r="A1212" s="56">
        <v>6718</v>
      </c>
      <c r="B1212" s="57"/>
      <c r="C1212" s="57"/>
      <c r="D1212" s="57"/>
      <c r="E1212" s="47"/>
      <c r="F1212" s="56"/>
    </row>
    <row r="1213" spans="1:6" ht="15" customHeight="1" x14ac:dyDescent="0.35">
      <c r="A1213" s="56">
        <v>6719</v>
      </c>
      <c r="B1213" s="57"/>
      <c r="C1213" s="57"/>
      <c r="D1213" s="57"/>
      <c r="E1213" s="47"/>
      <c r="F1213" s="56"/>
    </row>
    <row r="1214" spans="1:6" ht="15" customHeight="1" x14ac:dyDescent="0.35">
      <c r="A1214" s="56">
        <v>6720</v>
      </c>
      <c r="B1214" s="57"/>
      <c r="C1214" s="57"/>
      <c r="D1214" s="57"/>
      <c r="E1214" s="47"/>
      <c r="F1214" s="56"/>
    </row>
    <row r="1215" spans="1:6" ht="15" customHeight="1" x14ac:dyDescent="0.35">
      <c r="A1215" s="56">
        <v>6721</v>
      </c>
      <c r="B1215" s="57"/>
      <c r="C1215" s="57"/>
      <c r="D1215" s="57"/>
      <c r="E1215" s="47"/>
      <c r="F1215" s="56"/>
    </row>
    <row r="1216" spans="1:6" ht="15" customHeight="1" x14ac:dyDescent="0.35">
      <c r="A1216" s="56">
        <v>6722</v>
      </c>
      <c r="B1216" s="57"/>
      <c r="C1216" s="57"/>
      <c r="D1216" s="57"/>
      <c r="E1216" s="47"/>
      <c r="F1216" s="56"/>
    </row>
    <row r="1217" spans="1:6" ht="15" customHeight="1" x14ac:dyDescent="0.35">
      <c r="A1217" s="56">
        <v>6723</v>
      </c>
      <c r="B1217" s="57"/>
      <c r="C1217" s="57"/>
      <c r="D1217" s="57"/>
      <c r="E1217" s="47"/>
      <c r="F1217" s="56"/>
    </row>
    <row r="1218" spans="1:6" ht="15" customHeight="1" x14ac:dyDescent="0.35">
      <c r="A1218" s="56">
        <v>6724</v>
      </c>
      <c r="B1218" s="57"/>
      <c r="C1218" s="57"/>
      <c r="D1218" s="57"/>
      <c r="E1218" s="47"/>
      <c r="F1218" s="56"/>
    </row>
    <row r="1219" spans="1:6" ht="15" customHeight="1" x14ac:dyDescent="0.35">
      <c r="A1219" s="56">
        <v>6725</v>
      </c>
      <c r="B1219" s="57"/>
      <c r="C1219" s="57"/>
      <c r="D1219" s="57"/>
      <c r="E1219" s="47"/>
      <c r="F1219" s="56"/>
    </row>
    <row r="1220" spans="1:6" ht="15" customHeight="1" x14ac:dyDescent="0.35">
      <c r="A1220" s="56">
        <v>6726</v>
      </c>
      <c r="B1220" s="57"/>
      <c r="C1220" s="57"/>
      <c r="D1220" s="57"/>
      <c r="E1220" s="47"/>
      <c r="F1220" s="56"/>
    </row>
    <row r="1221" spans="1:6" ht="15" customHeight="1" x14ac:dyDescent="0.35">
      <c r="A1221" s="56">
        <v>6727</v>
      </c>
      <c r="B1221" s="57"/>
      <c r="C1221" s="57"/>
      <c r="D1221" s="57"/>
      <c r="E1221" s="47"/>
      <c r="F1221" s="56"/>
    </row>
    <row r="1222" spans="1:6" ht="15" customHeight="1" x14ac:dyDescent="0.35">
      <c r="A1222" s="56">
        <v>6728</v>
      </c>
      <c r="B1222" s="57"/>
      <c r="C1222" s="57"/>
      <c r="D1222" s="57"/>
      <c r="E1222" s="47"/>
      <c r="F1222" s="56"/>
    </row>
    <row r="1223" spans="1:6" ht="15" customHeight="1" x14ac:dyDescent="0.35">
      <c r="A1223" s="56">
        <v>6729</v>
      </c>
      <c r="B1223" s="57"/>
      <c r="C1223" s="57"/>
      <c r="D1223" s="57"/>
      <c r="E1223" s="47"/>
      <c r="F1223" s="56"/>
    </row>
    <row r="1224" spans="1:6" ht="15" customHeight="1" x14ac:dyDescent="0.35">
      <c r="A1224" s="56">
        <v>6730</v>
      </c>
      <c r="B1224" s="57"/>
      <c r="C1224" s="57"/>
      <c r="D1224" s="57"/>
      <c r="E1224" s="47"/>
      <c r="F1224" s="56"/>
    </row>
    <row r="1225" spans="1:6" ht="15" customHeight="1" x14ac:dyDescent="0.35">
      <c r="A1225" s="56">
        <v>6731</v>
      </c>
      <c r="B1225" s="57"/>
      <c r="C1225" s="57"/>
      <c r="D1225" s="57"/>
      <c r="E1225" s="47"/>
      <c r="F1225" s="56"/>
    </row>
    <row r="1226" spans="1:6" ht="15" customHeight="1" x14ac:dyDescent="0.35">
      <c r="A1226" s="56">
        <v>6732</v>
      </c>
      <c r="B1226" s="57"/>
      <c r="C1226" s="57"/>
      <c r="D1226" s="57"/>
      <c r="E1226" s="47"/>
      <c r="F1226" s="56"/>
    </row>
    <row r="1227" spans="1:6" ht="15" customHeight="1" x14ac:dyDescent="0.35">
      <c r="A1227" s="56">
        <v>6733</v>
      </c>
      <c r="B1227" s="57"/>
      <c r="C1227" s="57"/>
      <c r="D1227" s="57"/>
      <c r="E1227" s="47"/>
      <c r="F1227" s="56"/>
    </row>
    <row r="1228" spans="1:6" ht="15" customHeight="1" x14ac:dyDescent="0.35">
      <c r="A1228" s="56">
        <v>6734</v>
      </c>
      <c r="B1228" s="57"/>
      <c r="C1228" s="57"/>
      <c r="D1228" s="57"/>
      <c r="E1228" s="47"/>
      <c r="F1228" s="56"/>
    </row>
    <row r="1229" spans="1:6" ht="15" customHeight="1" x14ac:dyDescent="0.35">
      <c r="A1229" s="56">
        <v>6735</v>
      </c>
      <c r="B1229" s="57"/>
      <c r="C1229" s="57"/>
      <c r="D1229" s="57"/>
      <c r="E1229" s="47"/>
      <c r="F1229" s="56"/>
    </row>
    <row r="1230" spans="1:6" ht="15" customHeight="1" x14ac:dyDescent="0.35">
      <c r="A1230" s="56">
        <v>6736</v>
      </c>
      <c r="B1230" s="57"/>
      <c r="C1230" s="57"/>
      <c r="D1230" s="57"/>
      <c r="E1230" s="47"/>
      <c r="F1230" s="56"/>
    </row>
    <row r="1231" spans="1:6" ht="15" customHeight="1" x14ac:dyDescent="0.35">
      <c r="A1231" s="56">
        <v>6737</v>
      </c>
      <c r="B1231" s="57"/>
      <c r="C1231" s="57"/>
      <c r="D1231" s="57"/>
      <c r="E1231" s="47"/>
      <c r="F1231" s="56"/>
    </row>
    <row r="1232" spans="1:6" ht="15" customHeight="1" x14ac:dyDescent="0.35">
      <c r="A1232" s="56">
        <v>6738</v>
      </c>
      <c r="B1232" s="57"/>
      <c r="C1232" s="57"/>
      <c r="D1232" s="57"/>
      <c r="E1232" s="47"/>
      <c r="F1232" s="56"/>
    </row>
    <row r="1233" spans="1:6" ht="15" customHeight="1" x14ac:dyDescent="0.35">
      <c r="A1233" s="56">
        <v>6739</v>
      </c>
      <c r="B1233" s="57"/>
      <c r="C1233" s="57"/>
      <c r="D1233" s="57"/>
      <c r="E1233" s="47"/>
      <c r="F1233" s="56"/>
    </row>
    <row r="1234" spans="1:6" ht="15" customHeight="1" x14ac:dyDescent="0.35">
      <c r="A1234" s="56">
        <v>6740</v>
      </c>
      <c r="B1234" s="57"/>
      <c r="C1234" s="57"/>
      <c r="D1234" s="57"/>
      <c r="E1234" s="47"/>
      <c r="F1234" s="56"/>
    </row>
    <row r="1235" spans="1:6" ht="15" customHeight="1" x14ac:dyDescent="0.35">
      <c r="A1235" s="56">
        <v>6741</v>
      </c>
      <c r="B1235" s="57"/>
      <c r="C1235" s="57"/>
      <c r="D1235" s="57"/>
      <c r="E1235" s="47"/>
      <c r="F1235" s="56"/>
    </row>
    <row r="1236" spans="1:6" ht="15" customHeight="1" x14ac:dyDescent="0.35">
      <c r="A1236" s="56">
        <v>6742</v>
      </c>
      <c r="B1236" s="57"/>
      <c r="C1236" s="57"/>
      <c r="D1236" s="57"/>
      <c r="E1236" s="47"/>
      <c r="F1236" s="56"/>
    </row>
    <row r="1237" spans="1:6" ht="15" customHeight="1" x14ac:dyDescent="0.35">
      <c r="A1237" s="56">
        <v>6743</v>
      </c>
      <c r="B1237" s="57"/>
      <c r="C1237" s="57"/>
      <c r="D1237" s="57"/>
      <c r="E1237" s="47"/>
      <c r="F1237" s="56"/>
    </row>
    <row r="1238" spans="1:6" ht="15" customHeight="1" x14ac:dyDescent="0.35">
      <c r="A1238" s="56">
        <v>6744</v>
      </c>
      <c r="B1238" s="57"/>
      <c r="C1238" s="57"/>
      <c r="D1238" s="57"/>
      <c r="E1238" s="47"/>
      <c r="F1238" s="56"/>
    </row>
    <row r="1239" spans="1:6" ht="15" customHeight="1" x14ac:dyDescent="0.35">
      <c r="A1239" s="56">
        <v>6745</v>
      </c>
      <c r="B1239" s="57"/>
      <c r="C1239" s="57"/>
      <c r="D1239" s="57"/>
      <c r="E1239" s="47"/>
      <c r="F1239" s="56"/>
    </row>
    <row r="1240" spans="1:6" ht="15" customHeight="1" x14ac:dyDescent="0.35">
      <c r="A1240" s="56">
        <v>6746</v>
      </c>
      <c r="B1240" s="57"/>
      <c r="C1240" s="57"/>
      <c r="D1240" s="57"/>
      <c r="E1240" s="47"/>
      <c r="F1240" s="56"/>
    </row>
    <row r="1241" spans="1:6" ht="15" customHeight="1" x14ac:dyDescent="0.35">
      <c r="A1241" s="56">
        <v>6747</v>
      </c>
      <c r="B1241" s="57"/>
      <c r="C1241" s="57"/>
      <c r="D1241" s="57"/>
      <c r="E1241" s="47"/>
      <c r="F1241" s="56"/>
    </row>
    <row r="1242" spans="1:6" ht="15" customHeight="1" x14ac:dyDescent="0.35">
      <c r="A1242" s="56">
        <v>6748</v>
      </c>
      <c r="B1242" s="57"/>
      <c r="C1242" s="57"/>
      <c r="D1242" s="57"/>
      <c r="E1242" s="47"/>
      <c r="F1242" s="56"/>
    </row>
    <row r="1243" spans="1:6" ht="15" customHeight="1" x14ac:dyDescent="0.35">
      <c r="A1243" s="56">
        <v>6749</v>
      </c>
      <c r="B1243" s="57"/>
      <c r="C1243" s="57"/>
      <c r="D1243" s="57"/>
      <c r="E1243" s="47"/>
      <c r="F1243" s="56"/>
    </row>
    <row r="1244" spans="1:6" ht="15" customHeight="1" x14ac:dyDescent="0.35">
      <c r="A1244" s="56">
        <v>6750</v>
      </c>
      <c r="B1244" s="57"/>
      <c r="C1244" s="57"/>
      <c r="D1244" s="57"/>
      <c r="E1244" s="47"/>
      <c r="F1244" s="56"/>
    </row>
    <row r="1245" spans="1:6" ht="15" customHeight="1" x14ac:dyDescent="0.35">
      <c r="A1245" s="56">
        <v>6751</v>
      </c>
      <c r="B1245" s="57"/>
      <c r="C1245" s="57"/>
      <c r="D1245" s="57"/>
      <c r="E1245" s="47"/>
      <c r="F1245" s="56"/>
    </row>
    <row r="1246" spans="1:6" ht="15" customHeight="1" x14ac:dyDescent="0.35">
      <c r="A1246" s="56">
        <v>6752</v>
      </c>
      <c r="B1246" s="57"/>
      <c r="C1246" s="57"/>
      <c r="D1246" s="57"/>
      <c r="E1246" s="47"/>
      <c r="F1246" s="56"/>
    </row>
    <row r="1247" spans="1:6" ht="15" customHeight="1" x14ac:dyDescent="0.35">
      <c r="A1247" s="56">
        <v>6753</v>
      </c>
      <c r="B1247" s="57"/>
      <c r="C1247" s="57"/>
      <c r="D1247" s="57"/>
      <c r="E1247" s="47"/>
      <c r="F1247" s="56"/>
    </row>
    <row r="1248" spans="1:6" ht="15" customHeight="1" x14ac:dyDescent="0.35">
      <c r="A1248" s="56">
        <v>6754</v>
      </c>
      <c r="B1248" s="57"/>
      <c r="C1248" s="57"/>
      <c r="D1248" s="57"/>
      <c r="E1248" s="47"/>
      <c r="F1248" s="56"/>
    </row>
    <row r="1249" spans="1:6" ht="15" customHeight="1" x14ac:dyDescent="0.35">
      <c r="A1249" s="56">
        <v>6755</v>
      </c>
      <c r="B1249" s="57"/>
      <c r="C1249" s="57"/>
      <c r="D1249" s="57"/>
      <c r="E1249" s="47"/>
      <c r="F1249" s="56"/>
    </row>
    <row r="1250" spans="1:6" ht="15" customHeight="1" x14ac:dyDescent="0.35">
      <c r="A1250" s="56">
        <v>6756</v>
      </c>
      <c r="B1250" s="57"/>
      <c r="C1250" s="57"/>
      <c r="D1250" s="57"/>
      <c r="E1250" s="47"/>
      <c r="F1250" s="56"/>
    </row>
    <row r="1251" spans="1:6" ht="15" customHeight="1" x14ac:dyDescent="0.35">
      <c r="A1251" s="56">
        <v>6757</v>
      </c>
      <c r="B1251" s="57"/>
      <c r="C1251" s="57"/>
      <c r="D1251" s="57"/>
      <c r="E1251" s="47"/>
      <c r="F1251" s="56"/>
    </row>
    <row r="1252" spans="1:6" ht="15" customHeight="1" x14ac:dyDescent="0.35">
      <c r="A1252" s="56">
        <v>6758</v>
      </c>
      <c r="B1252" s="57"/>
      <c r="C1252" s="57"/>
      <c r="D1252" s="57"/>
      <c r="E1252" s="47"/>
      <c r="F1252" s="56"/>
    </row>
    <row r="1253" spans="1:6" ht="15" customHeight="1" x14ac:dyDescent="0.35">
      <c r="A1253" s="56">
        <v>6759</v>
      </c>
      <c r="B1253" s="57"/>
      <c r="C1253" s="57"/>
      <c r="D1253" s="57"/>
      <c r="E1253" s="47"/>
      <c r="F1253" s="56"/>
    </row>
    <row r="1254" spans="1:6" ht="15" customHeight="1" x14ac:dyDescent="0.35">
      <c r="A1254" s="56">
        <v>6760</v>
      </c>
      <c r="B1254" s="57"/>
      <c r="C1254" s="57"/>
      <c r="D1254" s="57"/>
      <c r="E1254" s="47"/>
      <c r="F1254" s="56"/>
    </row>
    <row r="1255" spans="1:6" ht="15" customHeight="1" x14ac:dyDescent="0.35">
      <c r="A1255" s="56">
        <v>6761</v>
      </c>
      <c r="B1255" s="57"/>
      <c r="C1255" s="57"/>
      <c r="D1255" s="57"/>
      <c r="E1255" s="47"/>
      <c r="F1255" s="56"/>
    </row>
    <row r="1256" spans="1:6" ht="15" customHeight="1" x14ac:dyDescent="0.35">
      <c r="A1256" s="56">
        <v>6762</v>
      </c>
      <c r="B1256" s="57"/>
      <c r="C1256" s="57"/>
      <c r="D1256" s="57"/>
      <c r="E1256" s="47"/>
      <c r="F1256" s="56"/>
    </row>
    <row r="1257" spans="1:6" ht="15" customHeight="1" x14ac:dyDescent="0.35">
      <c r="A1257" s="56">
        <v>6763</v>
      </c>
      <c r="B1257" s="57"/>
      <c r="C1257" s="57"/>
      <c r="D1257" s="57"/>
      <c r="E1257" s="47"/>
      <c r="F1257" s="56"/>
    </row>
    <row r="1258" spans="1:6" ht="15" customHeight="1" x14ac:dyDescent="0.35">
      <c r="A1258" s="56">
        <v>6764</v>
      </c>
      <c r="B1258" s="57"/>
      <c r="C1258" s="57"/>
      <c r="D1258" s="57"/>
      <c r="E1258" s="47"/>
      <c r="F1258" s="56"/>
    </row>
    <row r="1259" spans="1:6" ht="15" customHeight="1" x14ac:dyDescent="0.35">
      <c r="A1259" s="56">
        <v>6765</v>
      </c>
      <c r="B1259" s="57"/>
      <c r="C1259" s="57"/>
      <c r="D1259" s="57"/>
      <c r="E1259" s="47"/>
      <c r="F1259" s="56"/>
    </row>
    <row r="1260" spans="1:6" ht="15" customHeight="1" x14ac:dyDescent="0.35">
      <c r="A1260" s="56">
        <v>6766</v>
      </c>
      <c r="B1260" s="57"/>
      <c r="C1260" s="57"/>
      <c r="D1260" s="57"/>
      <c r="E1260" s="47"/>
      <c r="F1260" s="56"/>
    </row>
    <row r="1261" spans="1:6" ht="15" customHeight="1" x14ac:dyDescent="0.35">
      <c r="A1261" s="56">
        <v>6767</v>
      </c>
      <c r="B1261" s="57"/>
      <c r="C1261" s="57"/>
      <c r="D1261" s="57"/>
      <c r="E1261" s="47"/>
      <c r="F1261" s="56"/>
    </row>
    <row r="1262" spans="1:6" ht="15" customHeight="1" x14ac:dyDescent="0.35">
      <c r="A1262" s="56">
        <v>6768</v>
      </c>
      <c r="B1262" s="57"/>
      <c r="C1262" s="57"/>
      <c r="D1262" s="57"/>
      <c r="E1262" s="47"/>
      <c r="F1262" s="56"/>
    </row>
    <row r="1263" spans="1:6" ht="15" customHeight="1" x14ac:dyDescent="0.35">
      <c r="A1263" s="56">
        <v>6769</v>
      </c>
      <c r="B1263" s="57"/>
      <c r="C1263" s="57"/>
      <c r="D1263" s="57"/>
      <c r="E1263" s="47"/>
      <c r="F1263" s="56"/>
    </row>
    <row r="1264" spans="1:6" ht="15" customHeight="1" x14ac:dyDescent="0.35">
      <c r="A1264" s="56">
        <v>6770</v>
      </c>
      <c r="B1264" s="57"/>
      <c r="C1264" s="57"/>
      <c r="D1264" s="57"/>
      <c r="E1264" s="47"/>
      <c r="F1264" s="56"/>
    </row>
    <row r="1265" spans="1:6" ht="15" customHeight="1" x14ac:dyDescent="0.35">
      <c r="A1265" s="56">
        <v>6771</v>
      </c>
      <c r="B1265" s="57"/>
      <c r="C1265" s="57"/>
      <c r="D1265" s="57"/>
      <c r="E1265" s="47"/>
      <c r="F1265" s="56"/>
    </row>
    <row r="1266" spans="1:6" ht="15" customHeight="1" x14ac:dyDescent="0.35">
      <c r="A1266" s="56">
        <v>6772</v>
      </c>
      <c r="B1266" s="57"/>
      <c r="C1266" s="57"/>
      <c r="D1266" s="57"/>
      <c r="E1266" s="47"/>
      <c r="F1266" s="56"/>
    </row>
    <row r="1267" spans="1:6" ht="15" customHeight="1" x14ac:dyDescent="0.35">
      <c r="A1267" s="56">
        <v>6773</v>
      </c>
      <c r="B1267" s="57"/>
      <c r="C1267" s="57"/>
      <c r="D1267" s="57"/>
      <c r="E1267" s="47"/>
      <c r="F1267" s="56"/>
    </row>
    <row r="1268" spans="1:6" ht="15" customHeight="1" x14ac:dyDescent="0.35">
      <c r="A1268" s="56">
        <v>6774</v>
      </c>
      <c r="B1268" s="57"/>
      <c r="C1268" s="57"/>
      <c r="D1268" s="57"/>
      <c r="E1268" s="47"/>
      <c r="F1268" s="56"/>
    </row>
    <row r="1269" spans="1:6" ht="15" customHeight="1" x14ac:dyDescent="0.35">
      <c r="A1269" s="56">
        <v>6775</v>
      </c>
      <c r="B1269" s="57"/>
      <c r="C1269" s="57"/>
      <c r="D1269" s="57"/>
      <c r="E1269" s="47"/>
      <c r="F1269" s="56"/>
    </row>
    <row r="1270" spans="1:6" ht="15" customHeight="1" x14ac:dyDescent="0.35">
      <c r="A1270" s="56">
        <v>6776</v>
      </c>
      <c r="B1270" s="57"/>
      <c r="C1270" s="57"/>
      <c r="D1270" s="57"/>
      <c r="E1270" s="47"/>
      <c r="F1270" s="56"/>
    </row>
    <row r="1271" spans="1:6" ht="15" customHeight="1" x14ac:dyDescent="0.35">
      <c r="A1271" s="56">
        <v>6777</v>
      </c>
      <c r="B1271" s="57"/>
      <c r="C1271" s="57"/>
      <c r="D1271" s="57"/>
      <c r="E1271" s="47"/>
      <c r="F1271" s="56"/>
    </row>
    <row r="1272" spans="1:6" ht="15" customHeight="1" x14ac:dyDescent="0.35">
      <c r="A1272" s="56">
        <v>6778</v>
      </c>
      <c r="B1272" s="57"/>
      <c r="C1272" s="57"/>
      <c r="D1272" s="57"/>
      <c r="E1272" s="47"/>
      <c r="F1272" s="56"/>
    </row>
    <row r="1273" spans="1:6" ht="15" customHeight="1" x14ac:dyDescent="0.35">
      <c r="A1273" s="56">
        <v>6779</v>
      </c>
      <c r="B1273" s="57"/>
      <c r="C1273" s="57"/>
      <c r="D1273" s="57"/>
      <c r="E1273" s="47"/>
      <c r="F1273" s="56"/>
    </row>
    <row r="1274" spans="1:6" ht="15" customHeight="1" x14ac:dyDescent="0.35">
      <c r="A1274" s="56">
        <v>6780</v>
      </c>
      <c r="B1274" s="57"/>
      <c r="C1274" s="57"/>
      <c r="D1274" s="57"/>
      <c r="E1274" s="47"/>
      <c r="F1274" s="56"/>
    </row>
    <row r="1275" spans="1:6" ht="15" customHeight="1" x14ac:dyDescent="0.35">
      <c r="A1275" s="56">
        <v>6781</v>
      </c>
      <c r="B1275" s="57"/>
      <c r="C1275" s="57"/>
      <c r="D1275" s="57"/>
      <c r="E1275" s="47"/>
      <c r="F1275" s="56"/>
    </row>
    <row r="1276" spans="1:6" ht="15" customHeight="1" x14ac:dyDescent="0.35">
      <c r="A1276" s="56">
        <v>6782</v>
      </c>
      <c r="B1276" s="57"/>
      <c r="C1276" s="57"/>
      <c r="D1276" s="57"/>
      <c r="E1276" s="47"/>
      <c r="F1276" s="56"/>
    </row>
    <row r="1277" spans="1:6" ht="15" customHeight="1" x14ac:dyDescent="0.35">
      <c r="A1277" s="56">
        <v>6783</v>
      </c>
      <c r="B1277" s="57"/>
      <c r="C1277" s="57"/>
      <c r="D1277" s="57"/>
      <c r="E1277" s="47"/>
      <c r="F1277" s="56"/>
    </row>
    <row r="1278" spans="1:6" ht="15" customHeight="1" x14ac:dyDescent="0.35">
      <c r="A1278" s="56">
        <v>6784</v>
      </c>
      <c r="B1278" s="57"/>
      <c r="C1278" s="57"/>
      <c r="D1278" s="57"/>
      <c r="E1278" s="47"/>
      <c r="F1278" s="56"/>
    </row>
    <row r="1279" spans="1:6" ht="15" customHeight="1" x14ac:dyDescent="0.35">
      <c r="A1279" s="56">
        <v>6785</v>
      </c>
      <c r="B1279" s="57"/>
      <c r="C1279" s="57"/>
      <c r="D1279" s="57"/>
      <c r="E1279" s="47"/>
      <c r="F1279" s="56"/>
    </row>
    <row r="1280" spans="1:6" ht="15" customHeight="1" x14ac:dyDescent="0.35">
      <c r="A1280" s="56">
        <v>6786</v>
      </c>
      <c r="B1280" s="57"/>
      <c r="C1280" s="57"/>
      <c r="D1280" s="57"/>
      <c r="E1280" s="47"/>
      <c r="F1280" s="56"/>
    </row>
    <row r="1281" spans="1:6" ht="15" customHeight="1" x14ac:dyDescent="0.35">
      <c r="A1281" s="56">
        <v>6787</v>
      </c>
      <c r="B1281" s="57"/>
      <c r="C1281" s="57"/>
      <c r="D1281" s="57"/>
      <c r="E1281" s="47"/>
      <c r="F1281" s="56"/>
    </row>
    <row r="1282" spans="1:6" ht="15" customHeight="1" x14ac:dyDescent="0.35">
      <c r="A1282" s="56">
        <v>6788</v>
      </c>
      <c r="B1282" s="57"/>
      <c r="C1282" s="57"/>
      <c r="D1282" s="57"/>
      <c r="E1282" s="47"/>
      <c r="F1282" s="56"/>
    </row>
    <row r="1283" spans="1:6" ht="15" customHeight="1" x14ac:dyDescent="0.35">
      <c r="A1283" s="56">
        <v>6789</v>
      </c>
      <c r="B1283" s="57"/>
      <c r="C1283" s="57"/>
      <c r="D1283" s="57"/>
      <c r="E1283" s="47"/>
      <c r="F1283" s="56"/>
    </row>
    <row r="1284" spans="1:6" ht="15" customHeight="1" x14ac:dyDescent="0.35">
      <c r="A1284" s="56">
        <v>6790</v>
      </c>
      <c r="B1284" s="57"/>
      <c r="C1284" s="57"/>
      <c r="D1284" s="57"/>
      <c r="E1284" s="47"/>
      <c r="F1284" s="56"/>
    </row>
    <row r="1285" spans="1:6" ht="15" customHeight="1" x14ac:dyDescent="0.35">
      <c r="A1285" s="56">
        <v>6791</v>
      </c>
      <c r="B1285" s="57"/>
      <c r="C1285" s="57"/>
      <c r="D1285" s="57"/>
      <c r="E1285" s="47"/>
      <c r="F1285" s="56"/>
    </row>
    <row r="1286" spans="1:6" ht="15" customHeight="1" x14ac:dyDescent="0.35">
      <c r="A1286" s="56">
        <v>6792</v>
      </c>
      <c r="B1286" s="57"/>
      <c r="C1286" s="57"/>
      <c r="D1286" s="57"/>
      <c r="E1286" s="47"/>
      <c r="F1286" s="56"/>
    </row>
    <row r="1287" spans="1:6" ht="15" customHeight="1" x14ac:dyDescent="0.35">
      <c r="A1287" s="56">
        <v>6793</v>
      </c>
      <c r="B1287" s="57"/>
      <c r="C1287" s="57"/>
      <c r="D1287" s="57"/>
      <c r="E1287" s="47"/>
      <c r="F1287" s="56"/>
    </row>
    <row r="1288" spans="1:6" ht="15" customHeight="1" x14ac:dyDescent="0.35">
      <c r="A1288" s="56">
        <v>6794</v>
      </c>
      <c r="B1288" s="57"/>
      <c r="C1288" s="57"/>
      <c r="D1288" s="57"/>
      <c r="E1288" s="47"/>
      <c r="F1288" s="56"/>
    </row>
    <row r="1289" spans="1:6" ht="15" customHeight="1" x14ac:dyDescent="0.35">
      <c r="A1289" s="56">
        <v>6795</v>
      </c>
      <c r="B1289" s="57"/>
      <c r="C1289" s="57"/>
      <c r="D1289" s="57"/>
      <c r="E1289" s="47"/>
      <c r="F1289" s="56"/>
    </row>
    <row r="1290" spans="1:6" ht="15" customHeight="1" x14ac:dyDescent="0.35">
      <c r="A1290" s="56">
        <v>6796</v>
      </c>
      <c r="B1290" s="57"/>
      <c r="C1290" s="57"/>
      <c r="D1290" s="57"/>
      <c r="E1290" s="47"/>
      <c r="F1290" s="56"/>
    </row>
    <row r="1291" spans="1:6" ht="15" customHeight="1" x14ac:dyDescent="0.35">
      <c r="A1291" s="56">
        <v>6797</v>
      </c>
      <c r="B1291" s="57"/>
      <c r="C1291" s="57"/>
      <c r="D1291" s="57"/>
      <c r="E1291" s="47"/>
      <c r="F1291" s="56"/>
    </row>
    <row r="1292" spans="1:6" ht="15" customHeight="1" x14ac:dyDescent="0.35">
      <c r="A1292" s="56">
        <v>6798</v>
      </c>
      <c r="B1292" s="57"/>
      <c r="C1292" s="57"/>
      <c r="D1292" s="57"/>
      <c r="E1292" s="47"/>
      <c r="F1292" s="56"/>
    </row>
    <row r="1293" spans="1:6" ht="15" customHeight="1" x14ac:dyDescent="0.35">
      <c r="A1293" s="56">
        <v>6799</v>
      </c>
      <c r="B1293" s="57"/>
      <c r="C1293" s="57"/>
      <c r="D1293" s="57"/>
      <c r="E1293" s="47"/>
      <c r="F1293" s="56"/>
    </row>
    <row r="1294" spans="1:6" ht="15" customHeight="1" x14ac:dyDescent="0.35">
      <c r="A1294" s="56">
        <v>6800</v>
      </c>
      <c r="B1294" s="57"/>
      <c r="C1294" s="57"/>
      <c r="D1294" s="57"/>
      <c r="E1294" s="47"/>
      <c r="F1294" s="56"/>
    </row>
    <row r="1295" spans="1:6" ht="15" customHeight="1" x14ac:dyDescent="0.35">
      <c r="A1295" s="56">
        <v>6801</v>
      </c>
      <c r="B1295" s="57"/>
      <c r="C1295" s="57"/>
      <c r="D1295" s="57"/>
      <c r="E1295" s="47"/>
      <c r="F1295" s="56"/>
    </row>
    <row r="1296" spans="1:6" ht="15" customHeight="1" x14ac:dyDescent="0.35">
      <c r="A1296" s="56">
        <v>6802</v>
      </c>
      <c r="B1296" s="57"/>
      <c r="C1296" s="57"/>
      <c r="D1296" s="57"/>
      <c r="E1296" s="47"/>
      <c r="F1296" s="56"/>
    </row>
    <row r="1297" spans="1:6" ht="15" customHeight="1" x14ac:dyDescent="0.35">
      <c r="A1297" s="56">
        <v>6803</v>
      </c>
      <c r="B1297" s="57"/>
      <c r="C1297" s="57"/>
      <c r="D1297" s="57"/>
      <c r="E1297" s="47"/>
      <c r="F1297" s="56"/>
    </row>
    <row r="1298" spans="1:6" ht="15" customHeight="1" x14ac:dyDescent="0.35">
      <c r="A1298" s="56">
        <v>6804</v>
      </c>
      <c r="B1298" s="57"/>
      <c r="C1298" s="57"/>
      <c r="D1298" s="57"/>
      <c r="E1298" s="47"/>
      <c r="F1298" s="56"/>
    </row>
    <row r="1299" spans="1:6" ht="15" customHeight="1" x14ac:dyDescent="0.35">
      <c r="A1299" s="56">
        <v>6805</v>
      </c>
      <c r="B1299" s="57"/>
      <c r="C1299" s="57"/>
      <c r="D1299" s="57"/>
      <c r="E1299" s="47"/>
      <c r="F1299" s="56"/>
    </row>
    <row r="1300" spans="1:6" ht="15" customHeight="1" x14ac:dyDescent="0.35">
      <c r="A1300" s="56">
        <v>6806</v>
      </c>
      <c r="B1300" s="57"/>
      <c r="C1300" s="57"/>
      <c r="D1300" s="57"/>
      <c r="E1300" s="47"/>
      <c r="F1300" s="56"/>
    </row>
    <row r="1301" spans="1:6" ht="15" customHeight="1" x14ac:dyDescent="0.35">
      <c r="A1301" s="56">
        <v>6807</v>
      </c>
      <c r="B1301" s="57"/>
      <c r="C1301" s="57"/>
      <c r="D1301" s="57"/>
      <c r="E1301" s="47"/>
      <c r="F1301" s="56"/>
    </row>
    <row r="1302" spans="1:6" ht="15" customHeight="1" x14ac:dyDescent="0.35">
      <c r="A1302" s="56">
        <v>6808</v>
      </c>
      <c r="B1302" s="57"/>
      <c r="C1302" s="57"/>
      <c r="D1302" s="57"/>
      <c r="E1302" s="47"/>
      <c r="F1302" s="56"/>
    </row>
    <row r="1303" spans="1:6" ht="15" customHeight="1" x14ac:dyDescent="0.35">
      <c r="A1303" s="56">
        <v>6809</v>
      </c>
      <c r="B1303" s="57"/>
      <c r="C1303" s="57"/>
      <c r="D1303" s="57"/>
      <c r="E1303" s="47"/>
      <c r="F1303" s="56"/>
    </row>
    <row r="1304" spans="1:6" ht="15" customHeight="1" x14ac:dyDescent="0.35">
      <c r="A1304" s="56">
        <v>6810</v>
      </c>
      <c r="B1304" s="57"/>
      <c r="C1304" s="57"/>
      <c r="D1304" s="57"/>
      <c r="E1304" s="47"/>
      <c r="F1304" s="56"/>
    </row>
    <row r="1305" spans="1:6" ht="15" customHeight="1" x14ac:dyDescent="0.35">
      <c r="A1305" s="56">
        <v>6811</v>
      </c>
      <c r="B1305" s="57"/>
      <c r="C1305" s="57"/>
      <c r="D1305" s="57"/>
      <c r="E1305" s="47"/>
      <c r="F1305" s="56"/>
    </row>
    <row r="1306" spans="1:6" ht="15" customHeight="1" x14ac:dyDescent="0.35">
      <c r="A1306" s="56">
        <v>6812</v>
      </c>
      <c r="B1306" s="57"/>
      <c r="C1306" s="57"/>
      <c r="D1306" s="57"/>
      <c r="E1306" s="47"/>
      <c r="F1306" s="56"/>
    </row>
    <row r="1307" spans="1:6" ht="15" customHeight="1" x14ac:dyDescent="0.35">
      <c r="A1307" s="56">
        <v>6813</v>
      </c>
      <c r="B1307" s="57"/>
      <c r="C1307" s="57"/>
      <c r="D1307" s="57"/>
      <c r="E1307" s="47"/>
      <c r="F1307" s="56"/>
    </row>
    <row r="1308" spans="1:6" ht="15" customHeight="1" x14ac:dyDescent="0.35">
      <c r="A1308" s="56">
        <v>6814</v>
      </c>
      <c r="B1308" s="57"/>
      <c r="C1308" s="57"/>
      <c r="D1308" s="57"/>
      <c r="E1308" s="47"/>
      <c r="F1308" s="56"/>
    </row>
    <row r="1309" spans="1:6" ht="15" customHeight="1" x14ac:dyDescent="0.35">
      <c r="A1309" s="56">
        <v>6815</v>
      </c>
      <c r="B1309" s="57"/>
      <c r="C1309" s="57"/>
      <c r="D1309" s="57"/>
      <c r="E1309" s="47"/>
      <c r="F1309" s="56"/>
    </row>
    <row r="1310" spans="1:6" ht="15" customHeight="1" x14ac:dyDescent="0.35">
      <c r="A1310" s="56">
        <v>6816</v>
      </c>
      <c r="B1310" s="57"/>
      <c r="C1310" s="57"/>
      <c r="D1310" s="57"/>
      <c r="E1310" s="47"/>
      <c r="F1310" s="56"/>
    </row>
    <row r="1311" spans="1:6" ht="15" customHeight="1" x14ac:dyDescent="0.35">
      <c r="A1311" s="56">
        <v>6817</v>
      </c>
      <c r="B1311" s="57"/>
      <c r="C1311" s="57"/>
      <c r="D1311" s="57"/>
      <c r="E1311" s="47"/>
      <c r="F1311" s="56"/>
    </row>
    <row r="1312" spans="1:6" ht="15" customHeight="1" x14ac:dyDescent="0.35">
      <c r="A1312" s="56">
        <v>6818</v>
      </c>
      <c r="B1312" s="57"/>
      <c r="C1312" s="57"/>
      <c r="D1312" s="57"/>
      <c r="E1312" s="47"/>
      <c r="F1312" s="56"/>
    </row>
    <row r="1313" spans="1:6" ht="15" customHeight="1" x14ac:dyDescent="0.35">
      <c r="A1313" s="56">
        <v>6819</v>
      </c>
      <c r="B1313" s="57"/>
      <c r="C1313" s="57"/>
      <c r="D1313" s="57"/>
      <c r="E1313" s="47"/>
      <c r="F1313" s="56"/>
    </row>
    <row r="1314" spans="1:6" ht="15" customHeight="1" x14ac:dyDescent="0.35">
      <c r="A1314" s="56">
        <v>6820</v>
      </c>
      <c r="B1314" s="57"/>
      <c r="C1314" s="57"/>
      <c r="D1314" s="57"/>
      <c r="E1314" s="47"/>
      <c r="F1314" s="56"/>
    </row>
    <row r="1315" spans="1:6" ht="15" customHeight="1" x14ac:dyDescent="0.35">
      <c r="A1315" s="56">
        <v>6821</v>
      </c>
      <c r="B1315" s="57"/>
      <c r="C1315" s="57"/>
      <c r="D1315" s="57"/>
      <c r="E1315" s="47"/>
      <c r="F1315" s="56"/>
    </row>
    <row r="1316" spans="1:6" ht="15" customHeight="1" x14ac:dyDescent="0.35">
      <c r="A1316" s="56">
        <v>6822</v>
      </c>
      <c r="B1316" s="57"/>
      <c r="C1316" s="57"/>
      <c r="D1316" s="57"/>
      <c r="E1316" s="47"/>
      <c r="F1316" s="56"/>
    </row>
    <row r="1317" spans="1:6" ht="15" customHeight="1" x14ac:dyDescent="0.35">
      <c r="A1317" s="56">
        <v>6823</v>
      </c>
      <c r="B1317" s="57"/>
      <c r="C1317" s="57"/>
      <c r="D1317" s="57"/>
      <c r="E1317" s="47"/>
      <c r="F1317" s="56"/>
    </row>
    <row r="1318" spans="1:6" ht="15" customHeight="1" x14ac:dyDescent="0.35">
      <c r="A1318" s="56">
        <v>6824</v>
      </c>
      <c r="B1318" s="57"/>
      <c r="C1318" s="57"/>
      <c r="D1318" s="57"/>
      <c r="E1318" s="47"/>
      <c r="F1318" s="56"/>
    </row>
    <row r="1319" spans="1:6" ht="15" customHeight="1" x14ac:dyDescent="0.35">
      <c r="A1319" s="56">
        <v>6825</v>
      </c>
      <c r="B1319" s="57"/>
      <c r="C1319" s="57"/>
      <c r="D1319" s="57"/>
      <c r="E1319" s="47"/>
      <c r="F1319" s="56"/>
    </row>
    <row r="1320" spans="1:6" ht="15" customHeight="1" x14ac:dyDescent="0.35">
      <c r="A1320" s="56">
        <v>6826</v>
      </c>
      <c r="B1320" s="57"/>
      <c r="C1320" s="57"/>
      <c r="D1320" s="57"/>
      <c r="E1320" s="47"/>
      <c r="F1320" s="56"/>
    </row>
    <row r="1321" spans="1:6" ht="15" customHeight="1" x14ac:dyDescent="0.35">
      <c r="A1321" s="56">
        <v>6827</v>
      </c>
      <c r="B1321" s="57"/>
      <c r="C1321" s="57"/>
      <c r="D1321" s="57"/>
      <c r="E1321" s="47"/>
      <c r="F1321" s="56"/>
    </row>
    <row r="1322" spans="1:6" ht="15" customHeight="1" x14ac:dyDescent="0.35">
      <c r="A1322" s="56">
        <v>6828</v>
      </c>
      <c r="B1322" s="57"/>
      <c r="C1322" s="57"/>
      <c r="D1322" s="57"/>
      <c r="E1322" s="47"/>
      <c r="F1322" s="56"/>
    </row>
    <row r="1323" spans="1:6" ht="15" customHeight="1" x14ac:dyDescent="0.35">
      <c r="A1323" s="56">
        <v>6829</v>
      </c>
      <c r="B1323" s="57"/>
      <c r="C1323" s="57"/>
      <c r="D1323" s="57"/>
      <c r="E1323" s="47"/>
      <c r="F1323" s="56"/>
    </row>
    <row r="1324" spans="1:6" ht="15" customHeight="1" x14ac:dyDescent="0.35">
      <c r="A1324" s="56">
        <v>6830</v>
      </c>
      <c r="B1324" s="57"/>
      <c r="C1324" s="57"/>
      <c r="D1324" s="57"/>
      <c r="E1324" s="47"/>
      <c r="F1324" s="56"/>
    </row>
    <row r="1325" spans="1:6" ht="15" customHeight="1" x14ac:dyDescent="0.35">
      <c r="A1325" s="56">
        <v>6831</v>
      </c>
      <c r="B1325" s="57"/>
      <c r="C1325" s="57"/>
      <c r="D1325" s="57"/>
      <c r="E1325" s="47"/>
      <c r="F1325" s="56"/>
    </row>
    <row r="1326" spans="1:6" ht="15" customHeight="1" x14ac:dyDescent="0.35">
      <c r="A1326" s="56">
        <v>6832</v>
      </c>
      <c r="B1326" s="57"/>
      <c r="C1326" s="57"/>
      <c r="D1326" s="57"/>
      <c r="E1326" s="47"/>
      <c r="F1326" s="56"/>
    </row>
    <row r="1327" spans="1:6" ht="15" customHeight="1" x14ac:dyDescent="0.35">
      <c r="A1327" s="56">
        <v>6833</v>
      </c>
      <c r="B1327" s="57"/>
      <c r="C1327" s="57"/>
      <c r="D1327" s="57"/>
      <c r="E1327" s="47"/>
      <c r="F1327" s="56"/>
    </row>
    <row r="1328" spans="1:6" ht="15" customHeight="1" x14ac:dyDescent="0.35">
      <c r="A1328" s="56">
        <v>6834</v>
      </c>
      <c r="B1328" s="57"/>
      <c r="C1328" s="57"/>
      <c r="D1328" s="57"/>
      <c r="E1328" s="47"/>
      <c r="F1328" s="56"/>
    </row>
    <row r="1329" spans="1:6" ht="15" customHeight="1" x14ac:dyDescent="0.35">
      <c r="A1329" s="56">
        <v>6835</v>
      </c>
      <c r="B1329" s="57"/>
      <c r="C1329" s="57"/>
      <c r="D1329" s="57"/>
      <c r="E1329" s="47"/>
      <c r="F1329" s="56"/>
    </row>
    <row r="1330" spans="1:6" ht="15" customHeight="1" x14ac:dyDescent="0.35">
      <c r="A1330" s="56">
        <v>6836</v>
      </c>
      <c r="B1330" s="57"/>
      <c r="C1330" s="57"/>
      <c r="D1330" s="57"/>
      <c r="E1330" s="47"/>
      <c r="F1330" s="56"/>
    </row>
    <row r="1331" spans="1:6" ht="15" customHeight="1" x14ac:dyDescent="0.35">
      <c r="A1331" s="56">
        <v>6837</v>
      </c>
      <c r="B1331" s="57"/>
      <c r="C1331" s="57"/>
      <c r="D1331" s="57"/>
      <c r="E1331" s="47"/>
      <c r="F1331" s="56"/>
    </row>
    <row r="1332" spans="1:6" ht="15" customHeight="1" x14ac:dyDescent="0.35">
      <c r="A1332" s="56">
        <v>6838</v>
      </c>
      <c r="B1332" s="57"/>
      <c r="C1332" s="57"/>
      <c r="D1332" s="57"/>
      <c r="E1332" s="47"/>
      <c r="F1332" s="56"/>
    </row>
    <row r="1333" spans="1:6" ht="15" customHeight="1" x14ac:dyDescent="0.35">
      <c r="A1333" s="56">
        <v>6839</v>
      </c>
      <c r="B1333" s="57"/>
      <c r="C1333" s="57"/>
      <c r="D1333" s="57"/>
      <c r="E1333" s="47"/>
      <c r="F1333" s="56"/>
    </row>
    <row r="1334" spans="1:6" ht="15" customHeight="1" x14ac:dyDescent="0.35">
      <c r="A1334" s="56">
        <v>6840</v>
      </c>
      <c r="B1334" s="57"/>
      <c r="C1334" s="57"/>
      <c r="D1334" s="57"/>
      <c r="E1334" s="47"/>
      <c r="F1334" s="56"/>
    </row>
    <row r="1335" spans="1:6" ht="15" customHeight="1" x14ac:dyDescent="0.35">
      <c r="A1335" s="56">
        <v>6841</v>
      </c>
      <c r="B1335" s="57"/>
      <c r="C1335" s="57"/>
      <c r="D1335" s="57"/>
      <c r="E1335" s="47"/>
      <c r="F1335" s="56"/>
    </row>
    <row r="1336" spans="1:6" ht="15" customHeight="1" x14ac:dyDescent="0.35">
      <c r="A1336" s="56">
        <v>6842</v>
      </c>
      <c r="B1336" s="57"/>
      <c r="C1336" s="57"/>
      <c r="D1336" s="57"/>
      <c r="E1336" s="47"/>
      <c r="F1336" s="56"/>
    </row>
    <row r="1337" spans="1:6" ht="15" customHeight="1" x14ac:dyDescent="0.35">
      <c r="A1337" s="56">
        <v>6843</v>
      </c>
      <c r="B1337" s="57"/>
      <c r="C1337" s="57"/>
      <c r="D1337" s="57"/>
      <c r="E1337" s="47"/>
      <c r="F1337" s="56"/>
    </row>
    <row r="1338" spans="1:6" ht="15" customHeight="1" x14ac:dyDescent="0.35">
      <c r="A1338" s="56">
        <v>6844</v>
      </c>
      <c r="B1338" s="57"/>
      <c r="C1338" s="57"/>
      <c r="D1338" s="57"/>
      <c r="E1338" s="47"/>
      <c r="F1338" s="56"/>
    </row>
    <row r="1339" spans="1:6" ht="15" customHeight="1" x14ac:dyDescent="0.35">
      <c r="A1339" s="56">
        <v>6845</v>
      </c>
      <c r="B1339" s="57"/>
      <c r="C1339" s="57"/>
      <c r="D1339" s="57"/>
      <c r="E1339" s="47"/>
      <c r="F1339" s="56"/>
    </row>
    <row r="1340" spans="1:6" ht="15" customHeight="1" x14ac:dyDescent="0.35">
      <c r="A1340" s="56">
        <v>6846</v>
      </c>
      <c r="B1340" s="57"/>
      <c r="C1340" s="57"/>
      <c r="D1340" s="57"/>
      <c r="E1340" s="47"/>
      <c r="F1340" s="56"/>
    </row>
    <row r="1341" spans="1:6" ht="15" customHeight="1" x14ac:dyDescent="0.35">
      <c r="A1341" s="56">
        <v>6847</v>
      </c>
      <c r="B1341" s="57"/>
      <c r="C1341" s="57"/>
      <c r="D1341" s="57"/>
      <c r="E1341" s="47"/>
      <c r="F1341" s="56"/>
    </row>
    <row r="1342" spans="1:6" ht="15" customHeight="1" x14ac:dyDescent="0.35">
      <c r="A1342" s="56">
        <v>6848</v>
      </c>
      <c r="B1342" s="57"/>
      <c r="C1342" s="57"/>
      <c r="D1342" s="57"/>
      <c r="E1342" s="47"/>
      <c r="F1342" s="56"/>
    </row>
    <row r="1343" spans="1:6" ht="15" customHeight="1" x14ac:dyDescent="0.35">
      <c r="A1343" s="56">
        <v>6849</v>
      </c>
      <c r="B1343" s="57"/>
      <c r="C1343" s="57"/>
      <c r="D1343" s="57"/>
      <c r="E1343" s="47"/>
      <c r="F1343" s="56"/>
    </row>
    <row r="1344" spans="1:6" ht="15" customHeight="1" x14ac:dyDescent="0.35">
      <c r="A1344" s="56">
        <v>6850</v>
      </c>
      <c r="B1344" s="57"/>
      <c r="C1344" s="57"/>
      <c r="D1344" s="57"/>
      <c r="E1344" s="47"/>
      <c r="F1344" s="56"/>
    </row>
    <row r="1345" spans="1:6" ht="15" customHeight="1" x14ac:dyDescent="0.35">
      <c r="A1345" s="56">
        <v>6851</v>
      </c>
      <c r="B1345" s="57"/>
      <c r="C1345" s="57"/>
      <c r="D1345" s="57"/>
      <c r="E1345" s="47"/>
      <c r="F1345" s="56"/>
    </row>
    <row r="1346" spans="1:6" ht="15" customHeight="1" x14ac:dyDescent="0.35">
      <c r="A1346" s="56">
        <v>6852</v>
      </c>
      <c r="B1346" s="57"/>
      <c r="C1346" s="57"/>
      <c r="D1346" s="57"/>
      <c r="E1346" s="47"/>
      <c r="F1346" s="56"/>
    </row>
    <row r="1347" spans="1:6" ht="15" customHeight="1" x14ac:dyDescent="0.35">
      <c r="A1347" s="56">
        <v>6853</v>
      </c>
      <c r="B1347" s="57"/>
      <c r="C1347" s="57"/>
      <c r="D1347" s="57"/>
      <c r="E1347" s="47"/>
      <c r="F1347" s="56"/>
    </row>
    <row r="1348" spans="1:6" ht="15" customHeight="1" x14ac:dyDescent="0.35">
      <c r="A1348" s="56">
        <v>6854</v>
      </c>
      <c r="B1348" s="57"/>
      <c r="C1348" s="57"/>
      <c r="D1348" s="57"/>
      <c r="E1348" s="47"/>
      <c r="F1348" s="56"/>
    </row>
    <row r="1349" spans="1:6" ht="15" customHeight="1" x14ac:dyDescent="0.35">
      <c r="A1349" s="56">
        <v>6855</v>
      </c>
      <c r="B1349" s="57"/>
      <c r="C1349" s="57"/>
      <c r="D1349" s="57"/>
      <c r="E1349" s="47"/>
      <c r="F1349" s="56"/>
    </row>
    <row r="1350" spans="1:6" ht="15" customHeight="1" x14ac:dyDescent="0.35">
      <c r="A1350" s="56">
        <v>6856</v>
      </c>
      <c r="B1350" s="57"/>
      <c r="C1350" s="57"/>
      <c r="D1350" s="57"/>
      <c r="E1350" s="47"/>
      <c r="F1350" s="56"/>
    </row>
    <row r="1351" spans="1:6" ht="15" customHeight="1" x14ac:dyDescent="0.35">
      <c r="A1351" s="56">
        <v>6857</v>
      </c>
      <c r="B1351" s="57"/>
      <c r="C1351" s="57"/>
      <c r="D1351" s="57"/>
      <c r="E1351" s="47"/>
      <c r="F1351" s="56"/>
    </row>
    <row r="1352" spans="1:6" ht="15" customHeight="1" x14ac:dyDescent="0.35">
      <c r="A1352" s="56">
        <v>6858</v>
      </c>
      <c r="B1352" s="57"/>
      <c r="C1352" s="57"/>
      <c r="D1352" s="57"/>
      <c r="E1352" s="47"/>
      <c r="F1352" s="56"/>
    </row>
    <row r="1353" spans="1:6" ht="15" customHeight="1" x14ac:dyDescent="0.35">
      <c r="A1353" s="56">
        <v>6859</v>
      </c>
      <c r="B1353" s="57"/>
      <c r="C1353" s="57"/>
      <c r="D1353" s="57"/>
      <c r="E1353" s="47"/>
      <c r="F1353" s="56"/>
    </row>
    <row r="1354" spans="1:6" ht="15" customHeight="1" x14ac:dyDescent="0.35">
      <c r="A1354" s="56">
        <v>6860</v>
      </c>
      <c r="B1354" s="57"/>
      <c r="C1354" s="57"/>
      <c r="D1354" s="57"/>
      <c r="E1354" s="47"/>
      <c r="F1354" s="56"/>
    </row>
    <row r="1355" spans="1:6" ht="15" customHeight="1" x14ac:dyDescent="0.35">
      <c r="A1355" s="56">
        <v>6861</v>
      </c>
      <c r="B1355" s="57"/>
      <c r="C1355" s="57"/>
      <c r="D1355" s="57"/>
      <c r="E1355" s="47"/>
      <c r="F1355" s="56"/>
    </row>
    <row r="1356" spans="1:6" ht="15" customHeight="1" x14ac:dyDescent="0.35">
      <c r="A1356" s="56">
        <v>6862</v>
      </c>
      <c r="B1356" s="57"/>
      <c r="C1356" s="57"/>
      <c r="D1356" s="57"/>
      <c r="E1356" s="47"/>
      <c r="F1356" s="56"/>
    </row>
    <row r="1357" spans="1:6" ht="15" customHeight="1" x14ac:dyDescent="0.35">
      <c r="A1357" s="56">
        <v>6863</v>
      </c>
      <c r="B1357" s="57"/>
      <c r="C1357" s="57"/>
      <c r="D1357" s="57"/>
      <c r="E1357" s="47"/>
      <c r="F1357" s="56"/>
    </row>
    <row r="1358" spans="1:6" ht="15" customHeight="1" x14ac:dyDescent="0.35">
      <c r="A1358" s="56">
        <v>6864</v>
      </c>
      <c r="B1358" s="57"/>
      <c r="C1358" s="57"/>
      <c r="D1358" s="57"/>
      <c r="E1358" s="47"/>
      <c r="F1358" s="56"/>
    </row>
    <row r="1359" spans="1:6" ht="15" customHeight="1" x14ac:dyDescent="0.35">
      <c r="A1359" s="56">
        <v>6865</v>
      </c>
      <c r="B1359" s="57"/>
      <c r="C1359" s="57"/>
      <c r="D1359" s="57"/>
      <c r="E1359" s="47"/>
      <c r="F1359" s="56"/>
    </row>
    <row r="1360" spans="1:6" ht="15" customHeight="1" x14ac:dyDescent="0.35">
      <c r="A1360" s="56">
        <v>6866</v>
      </c>
      <c r="B1360" s="57"/>
      <c r="C1360" s="57"/>
      <c r="D1360" s="57"/>
      <c r="E1360" s="47"/>
      <c r="F1360" s="56"/>
    </row>
    <row r="1361" spans="1:6" ht="15" customHeight="1" x14ac:dyDescent="0.35">
      <c r="A1361" s="56">
        <v>6867</v>
      </c>
      <c r="B1361" s="57"/>
      <c r="C1361" s="57"/>
      <c r="D1361" s="57"/>
      <c r="E1361" s="47"/>
      <c r="F1361" s="56"/>
    </row>
    <row r="1362" spans="1:6" ht="15" customHeight="1" x14ac:dyDescent="0.35">
      <c r="A1362" s="56">
        <v>6868</v>
      </c>
      <c r="B1362" s="57"/>
      <c r="C1362" s="57"/>
      <c r="D1362" s="57"/>
      <c r="E1362" s="47"/>
      <c r="F1362" s="56"/>
    </row>
    <row r="1363" spans="1:6" ht="15" customHeight="1" x14ac:dyDescent="0.35">
      <c r="A1363" s="56">
        <v>6869</v>
      </c>
      <c r="B1363" s="57"/>
      <c r="C1363" s="57"/>
      <c r="D1363" s="57"/>
      <c r="E1363" s="47"/>
      <c r="F1363" s="56"/>
    </row>
    <row r="1364" spans="1:6" ht="15" customHeight="1" x14ac:dyDescent="0.35">
      <c r="A1364" s="56">
        <v>6870</v>
      </c>
      <c r="B1364" s="57"/>
      <c r="C1364" s="57"/>
      <c r="D1364" s="57"/>
      <c r="E1364" s="47"/>
      <c r="F1364" s="56"/>
    </row>
    <row r="1365" spans="1:6" ht="15" customHeight="1" x14ac:dyDescent="0.35">
      <c r="A1365" s="56">
        <v>6871</v>
      </c>
      <c r="B1365" s="57"/>
      <c r="C1365" s="57"/>
      <c r="D1365" s="57"/>
      <c r="E1365" s="47"/>
      <c r="F1365" s="56"/>
    </row>
    <row r="1366" spans="1:6" ht="15" customHeight="1" x14ac:dyDescent="0.35">
      <c r="A1366" s="56">
        <v>6872</v>
      </c>
      <c r="B1366" s="57"/>
      <c r="C1366" s="57"/>
      <c r="D1366" s="57"/>
      <c r="E1366" s="47"/>
      <c r="F1366" s="56"/>
    </row>
    <row r="1367" spans="1:6" ht="15" customHeight="1" x14ac:dyDescent="0.35">
      <c r="A1367" s="56">
        <v>6873</v>
      </c>
      <c r="B1367" s="57"/>
      <c r="C1367" s="57"/>
      <c r="D1367" s="57"/>
      <c r="E1367" s="47"/>
      <c r="F1367" s="56"/>
    </row>
    <row r="1368" spans="1:6" ht="15" customHeight="1" x14ac:dyDescent="0.35">
      <c r="A1368" s="56">
        <v>6874</v>
      </c>
      <c r="B1368" s="57"/>
      <c r="C1368" s="57"/>
      <c r="D1368" s="57"/>
      <c r="E1368" s="47"/>
      <c r="F1368" s="56"/>
    </row>
    <row r="1369" spans="1:6" ht="15" customHeight="1" x14ac:dyDescent="0.35">
      <c r="A1369" s="56">
        <v>6875</v>
      </c>
      <c r="B1369" s="57"/>
      <c r="C1369" s="57"/>
      <c r="D1369" s="57"/>
      <c r="E1369" s="47"/>
      <c r="F1369" s="56"/>
    </row>
    <row r="1370" spans="1:6" ht="15" customHeight="1" x14ac:dyDescent="0.35">
      <c r="A1370" s="56">
        <v>6876</v>
      </c>
      <c r="B1370" s="57"/>
      <c r="C1370" s="57"/>
      <c r="D1370" s="57"/>
      <c r="E1370" s="47"/>
      <c r="F1370" s="56"/>
    </row>
    <row r="1371" spans="1:6" ht="15" customHeight="1" x14ac:dyDescent="0.35">
      <c r="A1371" s="56">
        <v>6877</v>
      </c>
      <c r="B1371" s="57"/>
      <c r="C1371" s="57"/>
      <c r="D1371" s="57"/>
      <c r="E1371" s="47"/>
      <c r="F1371" s="56"/>
    </row>
    <row r="1372" spans="1:6" ht="15" customHeight="1" x14ac:dyDescent="0.35">
      <c r="A1372" s="56">
        <v>6878</v>
      </c>
      <c r="B1372" s="57"/>
      <c r="C1372" s="57"/>
      <c r="D1372" s="57"/>
      <c r="E1372" s="47"/>
      <c r="F1372" s="56"/>
    </row>
    <row r="1373" spans="1:6" ht="15" customHeight="1" x14ac:dyDescent="0.35">
      <c r="A1373" s="56">
        <v>6879</v>
      </c>
      <c r="B1373" s="57"/>
      <c r="C1373" s="57"/>
      <c r="D1373" s="57"/>
      <c r="E1373" s="47"/>
      <c r="F1373" s="56"/>
    </row>
    <row r="1374" spans="1:6" ht="15" customHeight="1" x14ac:dyDescent="0.35">
      <c r="A1374" s="56">
        <v>6880</v>
      </c>
      <c r="B1374" s="57"/>
      <c r="C1374" s="57"/>
      <c r="D1374" s="57"/>
      <c r="E1374" s="47"/>
      <c r="F1374" s="56"/>
    </row>
    <row r="1375" spans="1:6" ht="15" customHeight="1" x14ac:dyDescent="0.35">
      <c r="A1375" s="56">
        <v>6881</v>
      </c>
      <c r="B1375" s="57"/>
      <c r="C1375" s="57"/>
      <c r="D1375" s="57"/>
      <c r="E1375" s="47"/>
      <c r="F1375" s="56"/>
    </row>
    <row r="1376" spans="1:6" ht="15" customHeight="1" x14ac:dyDescent="0.35">
      <c r="A1376" s="56">
        <v>6882</v>
      </c>
      <c r="B1376" s="57"/>
      <c r="C1376" s="57"/>
      <c r="D1376" s="57"/>
      <c r="E1376" s="47"/>
      <c r="F1376" s="56"/>
    </row>
    <row r="1377" spans="1:6" ht="15" customHeight="1" x14ac:dyDescent="0.35">
      <c r="A1377" s="56">
        <v>6883</v>
      </c>
      <c r="B1377" s="57"/>
      <c r="C1377" s="57"/>
      <c r="D1377" s="57"/>
      <c r="E1377" s="47"/>
      <c r="F1377" s="56"/>
    </row>
    <row r="1378" spans="1:6" ht="15" customHeight="1" x14ac:dyDescent="0.35">
      <c r="A1378" s="56">
        <v>6884</v>
      </c>
      <c r="B1378" s="57"/>
      <c r="C1378" s="57"/>
      <c r="D1378" s="57"/>
      <c r="E1378" s="47"/>
      <c r="F1378" s="56"/>
    </row>
    <row r="1379" spans="1:6" ht="15" customHeight="1" x14ac:dyDescent="0.35">
      <c r="A1379" s="56">
        <v>6885</v>
      </c>
      <c r="B1379" s="57"/>
      <c r="C1379" s="57"/>
      <c r="D1379" s="57"/>
      <c r="E1379" s="47"/>
      <c r="F1379" s="56"/>
    </row>
    <row r="1380" spans="1:6" ht="15" customHeight="1" x14ac:dyDescent="0.35">
      <c r="A1380" s="56">
        <v>6886</v>
      </c>
      <c r="B1380" s="57"/>
      <c r="C1380" s="57"/>
      <c r="D1380" s="57"/>
      <c r="E1380" s="47"/>
      <c r="F1380" s="56"/>
    </row>
    <row r="1381" spans="1:6" ht="15" customHeight="1" x14ac:dyDescent="0.35">
      <c r="A1381" s="56">
        <v>6887</v>
      </c>
      <c r="B1381" s="57"/>
      <c r="C1381" s="57"/>
      <c r="D1381" s="57"/>
      <c r="E1381" s="47"/>
      <c r="F1381" s="56"/>
    </row>
    <row r="1382" spans="1:6" ht="15" customHeight="1" x14ac:dyDescent="0.35">
      <c r="A1382" s="56">
        <v>6888</v>
      </c>
      <c r="B1382" s="57"/>
      <c r="C1382" s="57"/>
      <c r="D1382" s="57"/>
      <c r="E1382" s="47"/>
      <c r="F1382" s="56"/>
    </row>
    <row r="1383" spans="1:6" ht="15" customHeight="1" x14ac:dyDescent="0.35">
      <c r="A1383" s="56">
        <v>6889</v>
      </c>
      <c r="B1383" s="57"/>
      <c r="C1383" s="57"/>
      <c r="D1383" s="57"/>
      <c r="E1383" s="47"/>
      <c r="F1383" s="56"/>
    </row>
    <row r="1384" spans="1:6" ht="15" customHeight="1" x14ac:dyDescent="0.35">
      <c r="A1384" s="56">
        <v>6890</v>
      </c>
      <c r="B1384" s="57"/>
      <c r="C1384" s="57"/>
      <c r="D1384" s="57"/>
      <c r="E1384" s="47"/>
      <c r="F1384" s="56"/>
    </row>
    <row r="1385" spans="1:6" ht="15" customHeight="1" x14ac:dyDescent="0.35">
      <c r="A1385" s="56">
        <v>6891</v>
      </c>
      <c r="B1385" s="57"/>
      <c r="C1385" s="57"/>
      <c r="D1385" s="57"/>
      <c r="E1385" s="47"/>
      <c r="F1385" s="56"/>
    </row>
    <row r="1386" spans="1:6" ht="15" customHeight="1" x14ac:dyDescent="0.35">
      <c r="A1386" s="56">
        <v>6892</v>
      </c>
      <c r="B1386" s="57"/>
      <c r="C1386" s="57"/>
      <c r="D1386" s="57"/>
      <c r="E1386" s="47"/>
      <c r="F1386" s="56"/>
    </row>
    <row r="1387" spans="1:6" ht="15" customHeight="1" x14ac:dyDescent="0.35">
      <c r="A1387" s="56">
        <v>6893</v>
      </c>
      <c r="B1387" s="57"/>
      <c r="C1387" s="57"/>
      <c r="D1387" s="57"/>
      <c r="E1387" s="47"/>
      <c r="F1387" s="56"/>
    </row>
    <row r="1388" spans="1:6" ht="15" customHeight="1" x14ac:dyDescent="0.35">
      <c r="A1388" s="56">
        <v>6894</v>
      </c>
      <c r="B1388" s="57"/>
      <c r="C1388" s="57"/>
      <c r="D1388" s="57"/>
      <c r="E1388" s="47"/>
      <c r="F1388" s="56"/>
    </row>
    <row r="1389" spans="1:6" ht="15" customHeight="1" x14ac:dyDescent="0.35">
      <c r="A1389" s="56">
        <v>6895</v>
      </c>
      <c r="B1389" s="57"/>
      <c r="C1389" s="57"/>
      <c r="D1389" s="57"/>
      <c r="E1389" s="47"/>
      <c r="F1389" s="56"/>
    </row>
    <row r="1390" spans="1:6" ht="15" customHeight="1" x14ac:dyDescent="0.35">
      <c r="A1390" s="56">
        <v>6896</v>
      </c>
      <c r="B1390" s="57"/>
      <c r="C1390" s="57"/>
      <c r="D1390" s="57"/>
      <c r="E1390" s="47"/>
      <c r="F1390" s="56"/>
    </row>
    <row r="1391" spans="1:6" ht="15" customHeight="1" x14ac:dyDescent="0.35">
      <c r="A1391" s="56">
        <v>6897</v>
      </c>
      <c r="B1391" s="57"/>
      <c r="C1391" s="57"/>
      <c r="D1391" s="57"/>
      <c r="E1391" s="47"/>
      <c r="F1391" s="56"/>
    </row>
    <row r="1392" spans="1:6" ht="15" customHeight="1" x14ac:dyDescent="0.35">
      <c r="A1392" s="56">
        <v>6898</v>
      </c>
      <c r="B1392" s="57"/>
      <c r="C1392" s="57"/>
      <c r="D1392" s="57"/>
      <c r="E1392" s="47"/>
      <c r="F1392" s="56"/>
    </row>
    <row r="1393" spans="1:6" ht="15" customHeight="1" x14ac:dyDescent="0.35">
      <c r="A1393" s="56">
        <v>6899</v>
      </c>
      <c r="B1393" s="57"/>
      <c r="C1393" s="57"/>
      <c r="D1393" s="57"/>
      <c r="E1393" s="47"/>
      <c r="F1393" s="56"/>
    </row>
    <row r="1394" spans="1:6" ht="15" customHeight="1" x14ac:dyDescent="0.35">
      <c r="A1394" s="56">
        <v>6900</v>
      </c>
      <c r="B1394" s="57"/>
      <c r="C1394" s="57"/>
      <c r="D1394" s="57"/>
      <c r="E1394" s="47"/>
      <c r="F1394" s="56"/>
    </row>
    <row r="1395" spans="1:6" ht="15" customHeight="1" x14ac:dyDescent="0.35">
      <c r="A1395" s="56">
        <v>6901</v>
      </c>
      <c r="B1395" s="57"/>
      <c r="C1395" s="57"/>
      <c r="D1395" s="57"/>
      <c r="E1395" s="47"/>
      <c r="F1395" s="56"/>
    </row>
    <row r="1396" spans="1:6" ht="15" customHeight="1" x14ac:dyDescent="0.35">
      <c r="A1396" s="56">
        <v>6902</v>
      </c>
      <c r="B1396" s="57"/>
      <c r="C1396" s="57"/>
      <c r="D1396" s="57"/>
      <c r="E1396" s="47"/>
      <c r="F1396" s="56"/>
    </row>
    <row r="1397" spans="1:6" ht="15" customHeight="1" x14ac:dyDescent="0.35">
      <c r="A1397" s="56">
        <v>6903</v>
      </c>
      <c r="B1397" s="57"/>
      <c r="C1397" s="57"/>
      <c r="D1397" s="57"/>
      <c r="E1397" s="47"/>
      <c r="F1397" s="56"/>
    </row>
    <row r="1398" spans="1:6" ht="15" customHeight="1" x14ac:dyDescent="0.35">
      <c r="A1398" s="56">
        <v>6904</v>
      </c>
      <c r="B1398" s="57"/>
      <c r="C1398" s="57"/>
      <c r="D1398" s="57"/>
      <c r="E1398" s="47"/>
      <c r="F1398" s="56"/>
    </row>
    <row r="1399" spans="1:6" ht="15" customHeight="1" x14ac:dyDescent="0.35">
      <c r="A1399" s="56">
        <v>6905</v>
      </c>
      <c r="B1399" s="57"/>
      <c r="C1399" s="57"/>
      <c r="D1399" s="57"/>
      <c r="E1399" s="47"/>
      <c r="F1399" s="56"/>
    </row>
    <row r="1400" spans="1:6" ht="15" customHeight="1" x14ac:dyDescent="0.35">
      <c r="A1400" s="56">
        <v>6906</v>
      </c>
      <c r="B1400" s="57"/>
      <c r="C1400" s="57"/>
      <c r="D1400" s="57"/>
      <c r="E1400" s="47"/>
      <c r="F1400" s="56"/>
    </row>
    <row r="1401" spans="1:6" ht="15" customHeight="1" x14ac:dyDescent="0.35">
      <c r="A1401" s="56">
        <v>6907</v>
      </c>
      <c r="B1401" s="57"/>
      <c r="C1401" s="57"/>
      <c r="D1401" s="57"/>
      <c r="E1401" s="47"/>
      <c r="F1401" s="56"/>
    </row>
    <row r="1402" spans="1:6" ht="15" customHeight="1" x14ac:dyDescent="0.35">
      <c r="A1402" s="56">
        <v>6908</v>
      </c>
      <c r="B1402" s="57"/>
      <c r="C1402" s="57"/>
      <c r="D1402" s="57"/>
      <c r="E1402" s="47"/>
      <c r="F1402" s="56"/>
    </row>
    <row r="1403" spans="1:6" ht="15" customHeight="1" x14ac:dyDescent="0.35">
      <c r="A1403" s="56">
        <v>6909</v>
      </c>
      <c r="B1403" s="57"/>
      <c r="C1403" s="57"/>
      <c r="D1403" s="57"/>
      <c r="E1403" s="47"/>
      <c r="F1403" s="56"/>
    </row>
    <row r="1404" spans="1:6" ht="15" customHeight="1" x14ac:dyDescent="0.35">
      <c r="A1404" s="56">
        <v>6910</v>
      </c>
      <c r="B1404" s="57"/>
      <c r="C1404" s="57"/>
      <c r="D1404" s="57"/>
      <c r="E1404" s="47"/>
      <c r="F1404" s="56"/>
    </row>
    <row r="1405" spans="1:6" ht="15" customHeight="1" x14ac:dyDescent="0.35">
      <c r="A1405" s="56">
        <v>6911</v>
      </c>
      <c r="B1405" s="57"/>
      <c r="C1405" s="57"/>
      <c r="D1405" s="57"/>
      <c r="E1405" s="47"/>
      <c r="F1405" s="56"/>
    </row>
    <row r="1406" spans="1:6" ht="15" customHeight="1" x14ac:dyDescent="0.35">
      <c r="A1406" s="56">
        <v>6912</v>
      </c>
      <c r="B1406" s="57"/>
      <c r="C1406" s="57"/>
      <c r="D1406" s="57"/>
      <c r="E1406" s="47"/>
      <c r="F1406" s="56"/>
    </row>
    <row r="1407" spans="1:6" ht="15" customHeight="1" x14ac:dyDescent="0.35">
      <c r="A1407" s="56">
        <v>6913</v>
      </c>
      <c r="B1407" s="57"/>
      <c r="C1407" s="57"/>
      <c r="D1407" s="57"/>
      <c r="E1407" s="47"/>
      <c r="F1407" s="56"/>
    </row>
    <row r="1408" spans="1:6" ht="15" customHeight="1" x14ac:dyDescent="0.35">
      <c r="A1408" s="56">
        <v>6914</v>
      </c>
      <c r="B1408" s="57"/>
      <c r="C1408" s="57"/>
      <c r="D1408" s="57"/>
      <c r="E1408" s="47"/>
      <c r="F1408" s="56"/>
    </row>
    <row r="1409" spans="1:6" ht="15" customHeight="1" x14ac:dyDescent="0.35">
      <c r="A1409" s="56">
        <v>6915</v>
      </c>
      <c r="B1409" s="57"/>
      <c r="C1409" s="57"/>
      <c r="D1409" s="57"/>
      <c r="E1409" s="47"/>
      <c r="F1409" s="56"/>
    </row>
    <row r="1410" spans="1:6" ht="15" customHeight="1" x14ac:dyDescent="0.35">
      <c r="A1410" s="56">
        <v>6916</v>
      </c>
      <c r="B1410" s="57"/>
      <c r="C1410" s="57"/>
      <c r="D1410" s="57"/>
      <c r="E1410" s="47"/>
      <c r="F1410" s="56"/>
    </row>
    <row r="1411" spans="1:6" ht="15" customHeight="1" x14ac:dyDescent="0.35">
      <c r="A1411" s="56">
        <v>6917</v>
      </c>
      <c r="B1411" s="57"/>
      <c r="C1411" s="57"/>
      <c r="D1411" s="57"/>
      <c r="E1411" s="47"/>
      <c r="F1411" s="56"/>
    </row>
    <row r="1412" spans="1:6" ht="15" customHeight="1" x14ac:dyDescent="0.35">
      <c r="A1412" s="56">
        <v>6918</v>
      </c>
      <c r="B1412" s="57"/>
      <c r="C1412" s="57"/>
      <c r="D1412" s="57"/>
      <c r="E1412" s="47"/>
      <c r="F1412" s="56"/>
    </row>
    <row r="1413" spans="1:6" ht="15" customHeight="1" x14ac:dyDescent="0.35">
      <c r="A1413" s="56">
        <v>6919</v>
      </c>
      <c r="B1413" s="57"/>
      <c r="C1413" s="57"/>
      <c r="D1413" s="57"/>
      <c r="E1413" s="47"/>
      <c r="F1413" s="56"/>
    </row>
    <row r="1414" spans="1:6" ht="15" customHeight="1" x14ac:dyDescent="0.35">
      <c r="A1414" s="56">
        <v>6920</v>
      </c>
      <c r="B1414" s="57"/>
      <c r="C1414" s="57"/>
      <c r="D1414" s="57"/>
      <c r="E1414" s="47"/>
      <c r="F1414" s="56"/>
    </row>
    <row r="1415" spans="1:6" ht="15" customHeight="1" x14ac:dyDescent="0.35">
      <c r="A1415" s="56">
        <v>6921</v>
      </c>
      <c r="B1415" s="57"/>
      <c r="C1415" s="57"/>
      <c r="D1415" s="57"/>
      <c r="E1415" s="47"/>
      <c r="F1415" s="56"/>
    </row>
    <row r="1416" spans="1:6" ht="15" customHeight="1" x14ac:dyDescent="0.35">
      <c r="A1416" s="56">
        <v>6922</v>
      </c>
      <c r="B1416" s="57"/>
      <c r="C1416" s="57"/>
      <c r="D1416" s="57"/>
      <c r="E1416" s="47"/>
      <c r="F1416" s="56"/>
    </row>
    <row r="1417" spans="1:6" ht="15" customHeight="1" x14ac:dyDescent="0.35">
      <c r="A1417" s="56">
        <v>6923</v>
      </c>
      <c r="B1417" s="57"/>
      <c r="C1417" s="57"/>
      <c r="D1417" s="57"/>
      <c r="E1417" s="47"/>
      <c r="F1417" s="56"/>
    </row>
    <row r="1418" spans="1:6" ht="15" customHeight="1" x14ac:dyDescent="0.35">
      <c r="A1418" s="56">
        <v>6924</v>
      </c>
      <c r="B1418" s="57"/>
      <c r="C1418" s="57"/>
      <c r="D1418" s="57"/>
      <c r="E1418" s="47"/>
      <c r="F1418" s="56"/>
    </row>
    <row r="1419" spans="1:6" ht="15" customHeight="1" x14ac:dyDescent="0.35">
      <c r="A1419" s="56">
        <v>6925</v>
      </c>
      <c r="B1419" s="57"/>
      <c r="C1419" s="57"/>
      <c r="D1419" s="57"/>
      <c r="E1419" s="47"/>
      <c r="F1419" s="56"/>
    </row>
    <row r="1420" spans="1:6" ht="15" customHeight="1" x14ac:dyDescent="0.35">
      <c r="A1420" s="56">
        <v>6926</v>
      </c>
      <c r="B1420" s="57"/>
      <c r="C1420" s="57"/>
      <c r="D1420" s="57"/>
      <c r="E1420" s="47"/>
      <c r="F1420" s="56"/>
    </row>
    <row r="1421" spans="1:6" ht="15" customHeight="1" x14ac:dyDescent="0.35">
      <c r="A1421" s="56">
        <v>6927</v>
      </c>
      <c r="B1421" s="57"/>
      <c r="C1421" s="57"/>
      <c r="D1421" s="57"/>
      <c r="E1421" s="47"/>
      <c r="F1421" s="56"/>
    </row>
    <row r="1422" spans="1:6" ht="15" customHeight="1" x14ac:dyDescent="0.35">
      <c r="A1422" s="56">
        <v>6928</v>
      </c>
      <c r="B1422" s="57"/>
      <c r="C1422" s="57"/>
      <c r="D1422" s="57"/>
      <c r="E1422" s="47"/>
      <c r="F1422" s="56"/>
    </row>
    <row r="1423" spans="1:6" ht="15" customHeight="1" x14ac:dyDescent="0.35">
      <c r="A1423" s="56">
        <v>6929</v>
      </c>
      <c r="B1423" s="57"/>
      <c r="C1423" s="57"/>
      <c r="D1423" s="57"/>
      <c r="E1423" s="47"/>
      <c r="F1423" s="56"/>
    </row>
    <row r="1424" spans="1:6" ht="15" customHeight="1" x14ac:dyDescent="0.35">
      <c r="A1424" s="56">
        <v>6930</v>
      </c>
      <c r="B1424" s="57"/>
      <c r="C1424" s="57"/>
      <c r="D1424" s="57"/>
      <c r="E1424" s="47"/>
      <c r="F1424" s="56"/>
    </row>
    <row r="1425" spans="1:6" ht="15" customHeight="1" x14ac:dyDescent="0.35">
      <c r="A1425" s="56">
        <v>6931</v>
      </c>
      <c r="B1425" s="57"/>
      <c r="C1425" s="57"/>
      <c r="D1425" s="57"/>
      <c r="E1425" s="47"/>
      <c r="F1425" s="56"/>
    </row>
    <row r="1426" spans="1:6" ht="15" customHeight="1" x14ac:dyDescent="0.35">
      <c r="A1426" s="56">
        <v>6932</v>
      </c>
      <c r="B1426" s="57"/>
      <c r="C1426" s="57"/>
      <c r="D1426" s="57"/>
      <c r="E1426" s="47"/>
      <c r="F1426" s="56"/>
    </row>
    <row r="1427" spans="1:6" ht="15" customHeight="1" x14ac:dyDescent="0.35">
      <c r="A1427" s="56">
        <v>6933</v>
      </c>
      <c r="B1427" s="57"/>
      <c r="C1427" s="57"/>
      <c r="D1427" s="57"/>
      <c r="E1427" s="47"/>
      <c r="F1427" s="56"/>
    </row>
    <row r="1428" spans="1:6" ht="15" customHeight="1" x14ac:dyDescent="0.35">
      <c r="A1428" s="56">
        <v>6934</v>
      </c>
      <c r="B1428" s="57"/>
      <c r="C1428" s="57"/>
      <c r="D1428" s="57"/>
      <c r="E1428" s="47"/>
      <c r="F1428" s="56"/>
    </row>
    <row r="1429" spans="1:6" ht="15" customHeight="1" x14ac:dyDescent="0.35">
      <c r="A1429" s="56">
        <v>6935</v>
      </c>
      <c r="B1429" s="57"/>
      <c r="C1429" s="57"/>
      <c r="D1429" s="57"/>
      <c r="E1429" s="47"/>
      <c r="F1429" s="56"/>
    </row>
    <row r="1430" spans="1:6" ht="15" customHeight="1" x14ac:dyDescent="0.35">
      <c r="A1430" s="56">
        <v>6936</v>
      </c>
      <c r="B1430" s="57"/>
      <c r="C1430" s="57"/>
      <c r="D1430" s="57"/>
      <c r="E1430" s="47"/>
      <c r="F1430" s="56"/>
    </row>
    <row r="1431" spans="1:6" ht="15" customHeight="1" x14ac:dyDescent="0.35">
      <c r="A1431" s="56">
        <v>6937</v>
      </c>
      <c r="B1431" s="57"/>
      <c r="C1431" s="57"/>
      <c r="D1431" s="57"/>
      <c r="E1431" s="47"/>
      <c r="F1431" s="56"/>
    </row>
    <row r="1432" spans="1:6" ht="15" customHeight="1" x14ac:dyDescent="0.35">
      <c r="A1432" s="56">
        <v>6938</v>
      </c>
      <c r="B1432" s="57"/>
      <c r="C1432" s="57"/>
      <c r="D1432" s="57"/>
      <c r="E1432" s="47"/>
      <c r="F1432" s="56"/>
    </row>
    <row r="1433" spans="1:6" ht="15" customHeight="1" x14ac:dyDescent="0.35">
      <c r="A1433" s="56">
        <v>6939</v>
      </c>
      <c r="B1433" s="57"/>
      <c r="C1433" s="57"/>
      <c r="D1433" s="57"/>
      <c r="E1433" s="47"/>
      <c r="F1433" s="56"/>
    </row>
    <row r="1434" spans="1:6" ht="15" customHeight="1" x14ac:dyDescent="0.35">
      <c r="A1434" s="56">
        <v>6940</v>
      </c>
      <c r="B1434" s="57"/>
      <c r="C1434" s="57"/>
      <c r="D1434" s="57"/>
      <c r="E1434" s="47"/>
      <c r="F1434" s="56"/>
    </row>
    <row r="1435" spans="1:6" ht="15" customHeight="1" x14ac:dyDescent="0.35">
      <c r="A1435" s="56">
        <v>6941</v>
      </c>
      <c r="B1435" s="57"/>
      <c r="C1435" s="57"/>
      <c r="D1435" s="57"/>
      <c r="E1435" s="47"/>
      <c r="F1435" s="56"/>
    </row>
    <row r="1436" spans="1:6" ht="15" customHeight="1" x14ac:dyDescent="0.35">
      <c r="A1436" s="56">
        <v>6942</v>
      </c>
      <c r="B1436" s="57"/>
      <c r="C1436" s="57"/>
      <c r="D1436" s="57"/>
      <c r="E1436" s="47"/>
      <c r="F1436" s="56"/>
    </row>
    <row r="1437" spans="1:6" ht="15" customHeight="1" x14ac:dyDescent="0.35">
      <c r="A1437" s="56">
        <v>6943</v>
      </c>
      <c r="B1437" s="57"/>
      <c r="C1437" s="57"/>
      <c r="D1437" s="57"/>
      <c r="E1437" s="47"/>
      <c r="F1437" s="56"/>
    </row>
    <row r="1438" spans="1:6" ht="15" customHeight="1" x14ac:dyDescent="0.35">
      <c r="A1438" s="56">
        <v>6944</v>
      </c>
      <c r="B1438" s="57"/>
      <c r="C1438" s="57"/>
      <c r="D1438" s="57"/>
      <c r="E1438" s="47"/>
      <c r="F1438" s="56"/>
    </row>
    <row r="1439" spans="1:6" ht="15" customHeight="1" x14ac:dyDescent="0.35">
      <c r="A1439" s="56">
        <v>6945</v>
      </c>
      <c r="B1439" s="57"/>
      <c r="C1439" s="57"/>
      <c r="D1439" s="57"/>
      <c r="E1439" s="47"/>
      <c r="F1439" s="56"/>
    </row>
    <row r="1440" spans="1:6" ht="15" customHeight="1" x14ac:dyDescent="0.35">
      <c r="A1440" s="56">
        <v>6946</v>
      </c>
      <c r="B1440" s="57"/>
      <c r="C1440" s="57"/>
      <c r="D1440" s="57"/>
      <c r="E1440" s="47"/>
      <c r="F1440" s="56"/>
    </row>
    <row r="1441" spans="1:6" ht="15" customHeight="1" x14ac:dyDescent="0.35">
      <c r="A1441" s="56">
        <v>6947</v>
      </c>
      <c r="B1441" s="57"/>
      <c r="C1441" s="57"/>
      <c r="D1441" s="57"/>
      <c r="E1441" s="47"/>
      <c r="F1441" s="56"/>
    </row>
    <row r="1442" spans="1:6" ht="15" customHeight="1" x14ac:dyDescent="0.35">
      <c r="A1442" s="56">
        <v>6948</v>
      </c>
      <c r="B1442" s="57"/>
      <c r="C1442" s="57"/>
      <c r="D1442" s="57"/>
      <c r="E1442" s="47"/>
      <c r="F1442" s="56"/>
    </row>
    <row r="1443" spans="1:6" ht="15" customHeight="1" x14ac:dyDescent="0.35">
      <c r="A1443" s="56">
        <v>6949</v>
      </c>
      <c r="B1443" s="57"/>
      <c r="C1443" s="57"/>
      <c r="D1443" s="57"/>
      <c r="E1443" s="47"/>
      <c r="F1443" s="56"/>
    </row>
    <row r="1444" spans="1:6" ht="15" customHeight="1" x14ac:dyDescent="0.35">
      <c r="A1444" s="56">
        <v>6950</v>
      </c>
      <c r="B1444" s="57"/>
      <c r="C1444" s="57"/>
      <c r="D1444" s="57"/>
      <c r="E1444" s="47"/>
      <c r="F1444" s="56"/>
    </row>
    <row r="1445" spans="1:6" ht="15" customHeight="1" x14ac:dyDescent="0.35">
      <c r="A1445" s="56">
        <v>6951</v>
      </c>
      <c r="B1445" s="57"/>
      <c r="C1445" s="57"/>
      <c r="D1445" s="57"/>
      <c r="E1445" s="47"/>
      <c r="F1445" s="56"/>
    </row>
    <row r="1446" spans="1:6" ht="15" customHeight="1" x14ac:dyDescent="0.35">
      <c r="A1446" s="56">
        <v>6952</v>
      </c>
      <c r="B1446" s="57"/>
      <c r="C1446" s="57"/>
      <c r="D1446" s="57"/>
      <c r="E1446" s="47"/>
      <c r="F1446" s="56"/>
    </row>
    <row r="1447" spans="1:6" ht="15" customHeight="1" x14ac:dyDescent="0.35">
      <c r="A1447" s="56">
        <v>6953</v>
      </c>
      <c r="B1447" s="57"/>
      <c r="C1447" s="57"/>
      <c r="D1447" s="57"/>
      <c r="E1447" s="47"/>
      <c r="F1447" s="56"/>
    </row>
    <row r="1448" spans="1:6" ht="15" customHeight="1" x14ac:dyDescent="0.35">
      <c r="A1448" s="56">
        <v>6954</v>
      </c>
      <c r="B1448" s="57"/>
      <c r="C1448" s="57"/>
      <c r="D1448" s="57"/>
      <c r="E1448" s="47"/>
      <c r="F1448" s="56"/>
    </row>
    <row r="1449" spans="1:6" ht="15" customHeight="1" x14ac:dyDescent="0.35">
      <c r="A1449" s="56">
        <v>6955</v>
      </c>
      <c r="B1449" s="57"/>
      <c r="C1449" s="57"/>
      <c r="D1449" s="57"/>
      <c r="E1449" s="47"/>
      <c r="F1449" s="56"/>
    </row>
    <row r="1450" spans="1:6" ht="15" customHeight="1" x14ac:dyDescent="0.35">
      <c r="A1450" s="56">
        <v>6956</v>
      </c>
      <c r="B1450" s="57"/>
      <c r="C1450" s="57"/>
      <c r="D1450" s="57"/>
      <c r="E1450" s="47"/>
      <c r="F1450" s="56"/>
    </row>
    <row r="1451" spans="1:6" ht="15" customHeight="1" x14ac:dyDescent="0.35">
      <c r="A1451" s="56">
        <v>6957</v>
      </c>
      <c r="B1451" s="57"/>
      <c r="C1451" s="57"/>
      <c r="D1451" s="57"/>
      <c r="E1451" s="47"/>
      <c r="F1451" s="56"/>
    </row>
    <row r="1452" spans="1:6" ht="15" customHeight="1" x14ac:dyDescent="0.35">
      <c r="A1452" s="56">
        <v>6958</v>
      </c>
      <c r="B1452" s="57"/>
      <c r="C1452" s="57"/>
      <c r="D1452" s="57"/>
      <c r="E1452" s="47"/>
      <c r="F1452" s="56"/>
    </row>
    <row r="1453" spans="1:6" ht="15" customHeight="1" x14ac:dyDescent="0.35">
      <c r="A1453" s="56">
        <v>6959</v>
      </c>
      <c r="B1453" s="57"/>
      <c r="C1453" s="57"/>
      <c r="D1453" s="57"/>
      <c r="E1453" s="47"/>
      <c r="F1453" s="56"/>
    </row>
    <row r="1454" spans="1:6" ht="15" customHeight="1" x14ac:dyDescent="0.35">
      <c r="A1454" s="56">
        <v>6960</v>
      </c>
      <c r="B1454" s="57"/>
      <c r="C1454" s="57"/>
      <c r="D1454" s="57"/>
      <c r="E1454" s="47"/>
      <c r="F1454" s="56"/>
    </row>
    <row r="1455" spans="1:6" ht="15" customHeight="1" x14ac:dyDescent="0.35">
      <c r="A1455" s="56">
        <v>6961</v>
      </c>
      <c r="B1455" s="57"/>
      <c r="C1455" s="57"/>
      <c r="D1455" s="57"/>
      <c r="E1455" s="47"/>
      <c r="F1455" s="56"/>
    </row>
    <row r="1456" spans="1:6" ht="15" customHeight="1" x14ac:dyDescent="0.35">
      <c r="A1456" s="56">
        <v>6962</v>
      </c>
      <c r="B1456" s="57"/>
      <c r="C1456" s="57"/>
      <c r="D1456" s="57"/>
      <c r="E1456" s="47"/>
      <c r="F1456" s="56"/>
    </row>
    <row r="1457" spans="1:6" ht="15" customHeight="1" x14ac:dyDescent="0.35">
      <c r="A1457" s="56">
        <v>6963</v>
      </c>
      <c r="B1457" s="57"/>
      <c r="C1457" s="57"/>
      <c r="D1457" s="57"/>
      <c r="E1457" s="47"/>
      <c r="F1457" s="56"/>
    </row>
    <row r="1458" spans="1:6" ht="15" customHeight="1" x14ac:dyDescent="0.35">
      <c r="A1458" s="56">
        <v>6964</v>
      </c>
      <c r="B1458" s="57"/>
      <c r="C1458" s="57"/>
      <c r="D1458" s="57"/>
      <c r="E1458" s="47"/>
      <c r="F1458" s="56"/>
    </row>
    <row r="1459" spans="1:6" ht="15" customHeight="1" x14ac:dyDescent="0.35">
      <c r="A1459" s="56">
        <v>6965</v>
      </c>
      <c r="B1459" s="57"/>
      <c r="C1459" s="57"/>
      <c r="D1459" s="57"/>
      <c r="E1459" s="47"/>
      <c r="F1459" s="56"/>
    </row>
    <row r="1460" spans="1:6" ht="15" customHeight="1" x14ac:dyDescent="0.35">
      <c r="A1460" s="56">
        <v>6966</v>
      </c>
      <c r="B1460" s="57"/>
      <c r="C1460" s="57"/>
      <c r="D1460" s="57"/>
      <c r="E1460" s="47"/>
      <c r="F1460" s="56"/>
    </row>
    <row r="1461" spans="1:6" ht="15" customHeight="1" x14ac:dyDescent="0.35">
      <c r="A1461" s="56">
        <v>6967</v>
      </c>
      <c r="B1461" s="57"/>
      <c r="C1461" s="57"/>
      <c r="D1461" s="57"/>
      <c r="E1461" s="47"/>
      <c r="F1461" s="56"/>
    </row>
    <row r="1462" spans="1:6" ht="15" customHeight="1" x14ac:dyDescent="0.35">
      <c r="A1462" s="56">
        <v>6968</v>
      </c>
      <c r="B1462" s="57"/>
      <c r="C1462" s="57"/>
      <c r="D1462" s="57"/>
      <c r="E1462" s="47"/>
      <c r="F1462" s="56"/>
    </row>
    <row r="1463" spans="1:6" ht="15" customHeight="1" x14ac:dyDescent="0.35">
      <c r="A1463" s="56">
        <v>6969</v>
      </c>
      <c r="B1463" s="57"/>
      <c r="C1463" s="57"/>
      <c r="D1463" s="57"/>
      <c r="E1463" s="47"/>
      <c r="F1463" s="56"/>
    </row>
    <row r="1464" spans="1:6" ht="15" customHeight="1" x14ac:dyDescent="0.35">
      <c r="A1464" s="56">
        <v>6970</v>
      </c>
      <c r="B1464" s="57"/>
      <c r="C1464" s="57"/>
      <c r="D1464" s="57"/>
      <c r="E1464" s="47"/>
      <c r="F1464" s="56"/>
    </row>
    <row r="1465" spans="1:6" ht="15" customHeight="1" x14ac:dyDescent="0.35">
      <c r="A1465" s="56">
        <v>6971</v>
      </c>
      <c r="B1465" s="57"/>
      <c r="C1465" s="57"/>
      <c r="D1465" s="57"/>
      <c r="E1465" s="47"/>
      <c r="F1465" s="56"/>
    </row>
    <row r="1466" spans="1:6" ht="15" customHeight="1" x14ac:dyDescent="0.35">
      <c r="A1466" s="56">
        <v>6972</v>
      </c>
      <c r="B1466" s="57"/>
      <c r="C1466" s="57"/>
      <c r="D1466" s="57"/>
      <c r="E1466" s="47"/>
      <c r="F1466" s="56"/>
    </row>
    <row r="1467" spans="1:6" ht="15" customHeight="1" x14ac:dyDescent="0.35">
      <c r="A1467" s="56">
        <v>6973</v>
      </c>
      <c r="B1467" s="57"/>
      <c r="C1467" s="57"/>
      <c r="D1467" s="57"/>
      <c r="E1467" s="47"/>
      <c r="F1467" s="56"/>
    </row>
    <row r="1468" spans="1:6" ht="15" customHeight="1" x14ac:dyDescent="0.35">
      <c r="A1468" s="56">
        <v>6974</v>
      </c>
      <c r="B1468" s="57"/>
      <c r="C1468" s="57"/>
      <c r="D1468" s="57"/>
      <c r="E1468" s="47"/>
      <c r="F1468" s="56"/>
    </row>
    <row r="1469" spans="1:6" ht="15" customHeight="1" x14ac:dyDescent="0.35">
      <c r="A1469" s="56">
        <v>6975</v>
      </c>
      <c r="B1469" s="57"/>
      <c r="C1469" s="57"/>
      <c r="D1469" s="57"/>
      <c r="E1469" s="47"/>
      <c r="F1469" s="56"/>
    </row>
    <row r="1470" spans="1:6" ht="15" customHeight="1" x14ac:dyDescent="0.35">
      <c r="A1470" s="56">
        <v>6976</v>
      </c>
      <c r="B1470" s="57"/>
      <c r="C1470" s="57"/>
      <c r="D1470" s="57"/>
      <c r="E1470" s="47"/>
      <c r="F1470" s="56"/>
    </row>
    <row r="1471" spans="1:6" ht="15" customHeight="1" x14ac:dyDescent="0.35">
      <c r="A1471" s="56">
        <v>6977</v>
      </c>
      <c r="B1471" s="57"/>
      <c r="C1471" s="57"/>
      <c r="D1471" s="57"/>
      <c r="E1471" s="47"/>
      <c r="F1471" s="56"/>
    </row>
    <row r="1472" spans="1:6" ht="15" customHeight="1" x14ac:dyDescent="0.35">
      <c r="A1472" s="56">
        <v>6978</v>
      </c>
      <c r="B1472" s="57"/>
      <c r="C1472" s="57"/>
      <c r="D1472" s="57"/>
      <c r="E1472" s="47"/>
      <c r="F1472" s="56"/>
    </row>
    <row r="1473" spans="1:6" ht="15" customHeight="1" x14ac:dyDescent="0.35">
      <c r="A1473" s="56">
        <v>6979</v>
      </c>
      <c r="B1473" s="57"/>
      <c r="C1473" s="57"/>
      <c r="D1473" s="57"/>
      <c r="E1473" s="47"/>
      <c r="F1473" s="56"/>
    </row>
    <row r="1474" spans="1:6" ht="15" customHeight="1" x14ac:dyDescent="0.35">
      <c r="A1474" s="56">
        <v>6980</v>
      </c>
      <c r="B1474" s="57"/>
      <c r="C1474" s="57"/>
      <c r="D1474" s="57"/>
      <c r="E1474" s="47"/>
      <c r="F1474" s="56"/>
    </row>
    <row r="1475" spans="1:6" ht="15" customHeight="1" x14ac:dyDescent="0.35">
      <c r="A1475" s="56">
        <v>6981</v>
      </c>
      <c r="B1475" s="57"/>
      <c r="C1475" s="57"/>
      <c r="D1475" s="57"/>
      <c r="E1475" s="47"/>
      <c r="F1475" s="56"/>
    </row>
    <row r="1476" spans="1:6" ht="15" customHeight="1" x14ac:dyDescent="0.35">
      <c r="A1476" s="56">
        <v>6982</v>
      </c>
      <c r="B1476" s="57"/>
      <c r="C1476" s="57"/>
      <c r="D1476" s="57"/>
      <c r="E1476" s="47"/>
      <c r="F1476" s="56"/>
    </row>
    <row r="1477" spans="1:6" ht="15" customHeight="1" x14ac:dyDescent="0.35">
      <c r="A1477" s="56">
        <v>6983</v>
      </c>
      <c r="B1477" s="57"/>
      <c r="C1477" s="57"/>
      <c r="D1477" s="57"/>
      <c r="E1477" s="47"/>
      <c r="F1477" s="56"/>
    </row>
    <row r="1478" spans="1:6" ht="15" customHeight="1" x14ac:dyDescent="0.35">
      <c r="A1478" s="56">
        <v>6984</v>
      </c>
      <c r="B1478" s="57"/>
      <c r="C1478" s="57"/>
      <c r="D1478" s="57"/>
      <c r="E1478" s="47"/>
      <c r="F1478" s="56"/>
    </row>
    <row r="1479" spans="1:6" ht="15" customHeight="1" x14ac:dyDescent="0.35">
      <c r="A1479" s="56">
        <v>6985</v>
      </c>
      <c r="B1479" s="57"/>
      <c r="C1479" s="57"/>
      <c r="D1479" s="57"/>
      <c r="E1479" s="47"/>
      <c r="F1479" s="56"/>
    </row>
    <row r="1480" spans="1:6" ht="15" customHeight="1" x14ac:dyDescent="0.35">
      <c r="A1480" s="56">
        <v>6986</v>
      </c>
      <c r="B1480" s="57"/>
      <c r="C1480" s="57"/>
      <c r="D1480" s="57"/>
      <c r="E1480" s="47"/>
      <c r="F1480" s="56"/>
    </row>
    <row r="1481" spans="1:6" ht="15" customHeight="1" x14ac:dyDescent="0.35">
      <c r="A1481" s="56">
        <v>6987</v>
      </c>
      <c r="B1481" s="57"/>
      <c r="C1481" s="57"/>
      <c r="D1481" s="57"/>
      <c r="E1481" s="47"/>
      <c r="F1481" s="56"/>
    </row>
    <row r="1482" spans="1:6" ht="15" customHeight="1" x14ac:dyDescent="0.35">
      <c r="A1482" s="56">
        <v>6988</v>
      </c>
      <c r="B1482" s="57"/>
      <c r="C1482" s="57"/>
      <c r="D1482" s="57"/>
      <c r="E1482" s="47"/>
      <c r="F1482" s="56"/>
    </row>
    <row r="1483" spans="1:6" ht="15" customHeight="1" x14ac:dyDescent="0.35">
      <c r="A1483" s="56">
        <v>6989</v>
      </c>
      <c r="B1483" s="57"/>
      <c r="C1483" s="57"/>
      <c r="D1483" s="57"/>
      <c r="E1483" s="47"/>
      <c r="F1483" s="56"/>
    </row>
    <row r="1484" spans="1:6" ht="15" customHeight="1" x14ac:dyDescent="0.35">
      <c r="A1484" s="56">
        <v>6990</v>
      </c>
      <c r="B1484" s="57"/>
      <c r="C1484" s="57"/>
      <c r="D1484" s="57"/>
      <c r="E1484" s="47"/>
      <c r="F1484" s="56"/>
    </row>
    <row r="1485" spans="1:6" ht="15" customHeight="1" x14ac:dyDescent="0.35">
      <c r="A1485" s="56">
        <v>6991</v>
      </c>
      <c r="B1485" s="57"/>
      <c r="C1485" s="57"/>
      <c r="D1485" s="57"/>
      <c r="E1485" s="47"/>
      <c r="F1485" s="56"/>
    </row>
    <row r="1486" spans="1:6" ht="15" customHeight="1" x14ac:dyDescent="0.35">
      <c r="A1486" s="56">
        <v>6992</v>
      </c>
      <c r="B1486" s="57"/>
      <c r="C1486" s="57"/>
      <c r="D1486" s="57"/>
      <c r="E1486" s="47"/>
      <c r="F1486" s="56"/>
    </row>
    <row r="1487" spans="1:6" ht="15" customHeight="1" x14ac:dyDescent="0.35">
      <c r="A1487" s="56">
        <v>6993</v>
      </c>
      <c r="B1487" s="57"/>
      <c r="C1487" s="57"/>
      <c r="D1487" s="57"/>
      <c r="E1487" s="47"/>
      <c r="F1487" s="56"/>
    </row>
    <row r="1488" spans="1:6" ht="15" customHeight="1" x14ac:dyDescent="0.35">
      <c r="A1488" s="56">
        <v>6994</v>
      </c>
      <c r="B1488" s="57"/>
      <c r="C1488" s="57"/>
      <c r="D1488" s="57"/>
      <c r="E1488" s="47"/>
      <c r="F1488" s="56"/>
    </row>
    <row r="1489" spans="1:6" ht="15" customHeight="1" x14ac:dyDescent="0.35">
      <c r="A1489" s="56">
        <v>6995</v>
      </c>
      <c r="B1489" s="57"/>
      <c r="C1489" s="57"/>
      <c r="D1489" s="57"/>
      <c r="E1489" s="47"/>
      <c r="F1489" s="56"/>
    </row>
    <row r="1490" spans="1:6" ht="15" customHeight="1" x14ac:dyDescent="0.35">
      <c r="A1490" s="56">
        <v>6996</v>
      </c>
      <c r="B1490" s="57"/>
      <c r="C1490" s="57"/>
      <c r="D1490" s="57"/>
      <c r="E1490" s="47"/>
      <c r="F1490" s="56"/>
    </row>
    <row r="1491" spans="1:6" ht="15" customHeight="1" x14ac:dyDescent="0.35">
      <c r="A1491" s="56">
        <v>6997</v>
      </c>
      <c r="B1491" s="57"/>
      <c r="C1491" s="57"/>
      <c r="D1491" s="57"/>
      <c r="E1491" s="47"/>
      <c r="F1491" s="56"/>
    </row>
    <row r="1492" spans="1:6" ht="15" customHeight="1" x14ac:dyDescent="0.35">
      <c r="A1492" s="56">
        <v>6998</v>
      </c>
      <c r="B1492" s="57"/>
      <c r="C1492" s="57"/>
      <c r="D1492" s="57"/>
      <c r="E1492" s="47"/>
      <c r="F1492" s="56"/>
    </row>
    <row r="1493" spans="1:6" ht="15" customHeight="1" x14ac:dyDescent="0.35">
      <c r="A1493" s="56">
        <v>6999</v>
      </c>
      <c r="B1493" s="57"/>
      <c r="C1493" s="57"/>
      <c r="D1493" s="57"/>
      <c r="E1493" s="47"/>
      <c r="F1493" s="56"/>
    </row>
    <row r="1494" spans="1:6" ht="15" customHeight="1" x14ac:dyDescent="0.35">
      <c r="A1494" s="56">
        <v>7000</v>
      </c>
      <c r="B1494" s="57"/>
      <c r="C1494" s="57"/>
      <c r="D1494" s="57"/>
      <c r="E1494" s="47"/>
      <c r="F1494" s="56"/>
    </row>
    <row r="1495" spans="1:6" ht="15" customHeight="1" x14ac:dyDescent="0.35">
      <c r="A1495" s="56">
        <v>7001</v>
      </c>
      <c r="B1495" s="57"/>
      <c r="C1495" s="57"/>
      <c r="D1495" s="57"/>
      <c r="E1495" s="47"/>
      <c r="F1495" s="56"/>
    </row>
    <row r="1496" spans="1:6" ht="15" customHeight="1" x14ac:dyDescent="0.35">
      <c r="A1496" s="56">
        <v>7002</v>
      </c>
      <c r="B1496" s="57"/>
      <c r="C1496" s="57"/>
      <c r="D1496" s="57"/>
      <c r="E1496" s="47"/>
      <c r="F1496" s="56"/>
    </row>
    <row r="1497" spans="1:6" ht="15" customHeight="1" x14ac:dyDescent="0.35">
      <c r="A1497" s="56">
        <v>7003</v>
      </c>
      <c r="B1497" s="57"/>
      <c r="C1497" s="57"/>
      <c r="D1497" s="57"/>
      <c r="E1497" s="47"/>
      <c r="F1497" s="56"/>
    </row>
    <row r="1498" spans="1:6" ht="15" customHeight="1" x14ac:dyDescent="0.35">
      <c r="A1498" s="56">
        <v>7004</v>
      </c>
      <c r="B1498" s="57"/>
      <c r="C1498" s="57"/>
      <c r="D1498" s="57"/>
      <c r="E1498" s="47"/>
      <c r="F1498" s="56"/>
    </row>
    <row r="1499" spans="1:6" ht="15" customHeight="1" x14ac:dyDescent="0.35">
      <c r="A1499" s="56">
        <v>7005</v>
      </c>
      <c r="B1499" s="57"/>
      <c r="C1499" s="57"/>
      <c r="D1499" s="57"/>
      <c r="E1499" s="47"/>
      <c r="F1499" s="56"/>
    </row>
    <row r="1500" spans="1:6" ht="15" customHeight="1" x14ac:dyDescent="0.35">
      <c r="A1500" s="56">
        <v>7006</v>
      </c>
      <c r="B1500" s="57"/>
      <c r="C1500" s="57"/>
      <c r="D1500" s="57"/>
      <c r="E1500" s="47"/>
      <c r="F1500" s="56"/>
    </row>
    <row r="1501" spans="1:6" ht="15" customHeight="1" x14ac:dyDescent="0.35">
      <c r="A1501" s="56">
        <v>7007</v>
      </c>
      <c r="B1501" s="57"/>
      <c r="C1501" s="57"/>
      <c r="D1501" s="57"/>
      <c r="E1501" s="47"/>
      <c r="F1501" s="56"/>
    </row>
    <row r="1502" spans="1:6" ht="15" customHeight="1" x14ac:dyDescent="0.35">
      <c r="A1502" s="56">
        <v>7008</v>
      </c>
      <c r="B1502" s="57"/>
      <c r="C1502" s="57"/>
      <c r="D1502" s="57"/>
      <c r="E1502" s="47"/>
      <c r="F1502" s="56"/>
    </row>
    <row r="1503" spans="1:6" ht="15" customHeight="1" x14ac:dyDescent="0.35">
      <c r="A1503" s="56">
        <v>7009</v>
      </c>
      <c r="B1503" s="57"/>
      <c r="C1503" s="57"/>
      <c r="D1503" s="57"/>
      <c r="E1503" s="47"/>
      <c r="F1503" s="56"/>
    </row>
    <row r="1504" spans="1:6" ht="15" customHeight="1" x14ac:dyDescent="0.35">
      <c r="A1504" s="56">
        <v>7010</v>
      </c>
      <c r="B1504" s="57"/>
      <c r="C1504" s="57"/>
      <c r="D1504" s="57"/>
      <c r="E1504" s="47"/>
      <c r="F1504" s="56"/>
    </row>
    <row r="1505" spans="1:6" ht="15" customHeight="1" x14ac:dyDescent="0.35">
      <c r="A1505" s="56">
        <v>7011</v>
      </c>
      <c r="B1505" s="57"/>
      <c r="C1505" s="57"/>
      <c r="D1505" s="57"/>
      <c r="E1505" s="47"/>
      <c r="F1505" s="56"/>
    </row>
    <row r="1506" spans="1:6" ht="15" customHeight="1" x14ac:dyDescent="0.35">
      <c r="A1506" s="56">
        <v>7012</v>
      </c>
      <c r="B1506" s="57"/>
      <c r="C1506" s="57"/>
      <c r="D1506" s="57"/>
      <c r="E1506" s="47"/>
      <c r="F1506" s="56"/>
    </row>
    <row r="1507" spans="1:6" ht="15" customHeight="1" x14ac:dyDescent="0.35">
      <c r="A1507" s="56">
        <v>7013</v>
      </c>
      <c r="B1507" s="57"/>
      <c r="C1507" s="57"/>
      <c r="D1507" s="57"/>
      <c r="E1507" s="47"/>
      <c r="F1507" s="56"/>
    </row>
    <row r="1508" spans="1:6" ht="15" customHeight="1" x14ac:dyDescent="0.35">
      <c r="A1508" s="56">
        <v>7014</v>
      </c>
      <c r="B1508" s="57"/>
      <c r="C1508" s="57"/>
      <c r="D1508" s="57"/>
      <c r="E1508" s="47"/>
      <c r="F1508" s="56"/>
    </row>
    <row r="1509" spans="1:6" ht="15" customHeight="1" x14ac:dyDescent="0.35">
      <c r="A1509" s="56">
        <v>7015</v>
      </c>
      <c r="B1509" s="57"/>
      <c r="C1509" s="57"/>
      <c r="D1509" s="57"/>
      <c r="E1509" s="47"/>
      <c r="F1509" s="56"/>
    </row>
    <row r="1510" spans="1:6" ht="15" customHeight="1" x14ac:dyDescent="0.35">
      <c r="A1510" s="56">
        <v>7016</v>
      </c>
      <c r="B1510" s="57"/>
      <c r="C1510" s="57"/>
      <c r="D1510" s="57"/>
      <c r="E1510" s="47"/>
      <c r="F1510" s="56"/>
    </row>
    <row r="1511" spans="1:6" ht="15" customHeight="1" x14ac:dyDescent="0.35">
      <c r="A1511" s="56">
        <v>7017</v>
      </c>
      <c r="B1511" s="57"/>
      <c r="C1511" s="57"/>
      <c r="D1511" s="57"/>
      <c r="E1511" s="47"/>
      <c r="F1511" s="56"/>
    </row>
    <row r="1512" spans="1:6" ht="15" customHeight="1" x14ac:dyDescent="0.35">
      <c r="A1512" s="56">
        <v>7018</v>
      </c>
      <c r="B1512" s="57"/>
      <c r="C1512" s="57"/>
      <c r="D1512" s="57"/>
      <c r="E1512" s="47"/>
      <c r="F1512" s="56"/>
    </row>
    <row r="1513" spans="1:6" ht="15" customHeight="1" x14ac:dyDescent="0.35">
      <c r="A1513" s="56">
        <v>7019</v>
      </c>
      <c r="B1513" s="57"/>
      <c r="C1513" s="57"/>
      <c r="D1513" s="57"/>
      <c r="E1513" s="47"/>
      <c r="F1513" s="56"/>
    </row>
    <row r="1514" spans="1:6" ht="15" customHeight="1" x14ac:dyDescent="0.35">
      <c r="A1514" s="56">
        <v>7020</v>
      </c>
      <c r="B1514" s="57"/>
      <c r="C1514" s="57"/>
      <c r="D1514" s="57"/>
      <c r="E1514" s="47"/>
      <c r="F1514" s="56"/>
    </row>
    <row r="1515" spans="1:6" ht="15" customHeight="1" x14ac:dyDescent="0.35">
      <c r="A1515" s="56">
        <v>7021</v>
      </c>
      <c r="B1515" s="57"/>
      <c r="C1515" s="57"/>
      <c r="D1515" s="57"/>
      <c r="E1515" s="47"/>
      <c r="F1515" s="56"/>
    </row>
    <row r="1516" spans="1:6" ht="15" customHeight="1" x14ac:dyDescent="0.35">
      <c r="A1516" s="56">
        <v>7022</v>
      </c>
      <c r="B1516" s="57"/>
      <c r="C1516" s="57"/>
      <c r="D1516" s="57"/>
      <c r="E1516" s="47"/>
      <c r="F1516" s="56"/>
    </row>
    <row r="1517" spans="1:6" ht="15" customHeight="1" x14ac:dyDescent="0.35">
      <c r="A1517" s="56">
        <v>7023</v>
      </c>
      <c r="B1517" s="57"/>
      <c r="C1517" s="57"/>
      <c r="D1517" s="57"/>
      <c r="E1517" s="47"/>
      <c r="F1517" s="56"/>
    </row>
    <row r="1518" spans="1:6" ht="15" customHeight="1" x14ac:dyDescent="0.35">
      <c r="A1518" s="56">
        <v>7024</v>
      </c>
      <c r="B1518" s="57"/>
      <c r="C1518" s="57"/>
      <c r="D1518" s="57"/>
      <c r="E1518" s="47"/>
      <c r="F1518" s="56"/>
    </row>
    <row r="1519" spans="1:6" ht="15" customHeight="1" x14ac:dyDescent="0.35">
      <c r="A1519" s="56">
        <v>7025</v>
      </c>
      <c r="B1519" s="57"/>
      <c r="C1519" s="57"/>
      <c r="D1519" s="57"/>
      <c r="E1519" s="47"/>
      <c r="F1519" s="56"/>
    </row>
    <row r="1520" spans="1:6" ht="15" customHeight="1" x14ac:dyDescent="0.35">
      <c r="A1520" s="56">
        <v>7026</v>
      </c>
      <c r="B1520" s="57"/>
      <c r="C1520" s="57"/>
      <c r="D1520" s="57"/>
      <c r="E1520" s="47"/>
      <c r="F1520" s="56"/>
    </row>
    <row r="1521" spans="1:6" ht="15" customHeight="1" x14ac:dyDescent="0.35">
      <c r="A1521" s="56">
        <v>7027</v>
      </c>
      <c r="B1521" s="57"/>
      <c r="C1521" s="57"/>
      <c r="D1521" s="57"/>
      <c r="E1521" s="47"/>
      <c r="F1521" s="56"/>
    </row>
    <row r="1522" spans="1:6" ht="15" customHeight="1" x14ac:dyDescent="0.35">
      <c r="A1522" s="56">
        <v>7028</v>
      </c>
      <c r="B1522" s="57"/>
      <c r="C1522" s="57"/>
      <c r="D1522" s="57"/>
      <c r="E1522" s="47"/>
      <c r="F1522" s="56"/>
    </row>
    <row r="1523" spans="1:6" ht="15" customHeight="1" x14ac:dyDescent="0.35">
      <c r="A1523" s="56">
        <v>7029</v>
      </c>
      <c r="B1523" s="57"/>
      <c r="C1523" s="57"/>
      <c r="D1523" s="57"/>
      <c r="E1523" s="47"/>
      <c r="F1523" s="56"/>
    </row>
    <row r="1524" spans="1:6" ht="15" customHeight="1" x14ac:dyDescent="0.35">
      <c r="A1524" s="56">
        <v>7030</v>
      </c>
      <c r="B1524" s="57"/>
      <c r="C1524" s="57"/>
      <c r="D1524" s="57"/>
      <c r="E1524" s="47"/>
      <c r="F1524" s="56"/>
    </row>
    <row r="1525" spans="1:6" ht="15" customHeight="1" x14ac:dyDescent="0.35">
      <c r="A1525" s="56">
        <v>7031</v>
      </c>
      <c r="B1525" s="57"/>
      <c r="C1525" s="57"/>
      <c r="D1525" s="57"/>
      <c r="E1525" s="47"/>
      <c r="F1525" s="56"/>
    </row>
    <row r="1526" spans="1:6" ht="15" customHeight="1" x14ac:dyDescent="0.35">
      <c r="A1526" s="56">
        <v>7032</v>
      </c>
      <c r="B1526" s="57"/>
      <c r="C1526" s="57"/>
      <c r="D1526" s="57"/>
      <c r="E1526" s="47"/>
      <c r="F1526" s="56"/>
    </row>
    <row r="1527" spans="1:6" ht="15" customHeight="1" x14ac:dyDescent="0.35">
      <c r="A1527" s="56">
        <v>7033</v>
      </c>
      <c r="B1527" s="57"/>
      <c r="C1527" s="57"/>
      <c r="D1527" s="57"/>
      <c r="E1527" s="47"/>
      <c r="F1527" s="56"/>
    </row>
    <row r="1528" spans="1:6" ht="15" customHeight="1" x14ac:dyDescent="0.35">
      <c r="A1528" s="56">
        <v>7034</v>
      </c>
      <c r="B1528" s="57"/>
      <c r="C1528" s="57"/>
      <c r="D1528" s="57"/>
      <c r="E1528" s="47"/>
      <c r="F1528" s="56"/>
    </row>
    <row r="1529" spans="1:6" ht="15" customHeight="1" x14ac:dyDescent="0.35">
      <c r="A1529" s="56">
        <v>7035</v>
      </c>
      <c r="B1529" s="57"/>
      <c r="C1529" s="57"/>
      <c r="D1529" s="57"/>
      <c r="E1529" s="47"/>
      <c r="F1529" s="56"/>
    </row>
    <row r="1530" spans="1:6" ht="15" customHeight="1" x14ac:dyDescent="0.35">
      <c r="A1530" s="56">
        <v>7036</v>
      </c>
      <c r="B1530" s="57"/>
      <c r="C1530" s="57"/>
      <c r="D1530" s="57"/>
      <c r="E1530" s="47"/>
      <c r="F1530" s="56"/>
    </row>
    <row r="1531" spans="1:6" ht="15" customHeight="1" x14ac:dyDescent="0.35">
      <c r="A1531" s="56">
        <v>7037</v>
      </c>
      <c r="B1531" s="57"/>
      <c r="C1531" s="57"/>
      <c r="D1531" s="57"/>
      <c r="E1531" s="47"/>
      <c r="F1531" s="56"/>
    </row>
    <row r="1532" spans="1:6" ht="15" customHeight="1" x14ac:dyDescent="0.35">
      <c r="A1532" s="56">
        <v>7038</v>
      </c>
      <c r="B1532" s="57"/>
      <c r="C1532" s="57"/>
      <c r="D1532" s="57"/>
      <c r="E1532" s="47"/>
      <c r="F1532" s="56"/>
    </row>
    <row r="1533" spans="1:6" ht="15" customHeight="1" x14ac:dyDescent="0.35">
      <c r="A1533" s="56">
        <v>7039</v>
      </c>
      <c r="B1533" s="57"/>
      <c r="C1533" s="57"/>
      <c r="D1533" s="57"/>
      <c r="E1533" s="47"/>
      <c r="F1533" s="56"/>
    </row>
    <row r="1534" spans="1:6" ht="15" customHeight="1" x14ac:dyDescent="0.35">
      <c r="A1534" s="56">
        <v>7040</v>
      </c>
      <c r="B1534" s="57"/>
      <c r="C1534" s="57"/>
      <c r="D1534" s="57"/>
      <c r="E1534" s="47"/>
      <c r="F1534" s="56"/>
    </row>
    <row r="1535" spans="1:6" ht="15" customHeight="1" x14ac:dyDescent="0.35">
      <c r="A1535" s="56">
        <v>7041</v>
      </c>
      <c r="B1535" s="57"/>
      <c r="C1535" s="57"/>
      <c r="D1535" s="57"/>
      <c r="E1535" s="47"/>
      <c r="F1535" s="56"/>
    </row>
    <row r="1536" spans="1:6" ht="15" customHeight="1" x14ac:dyDescent="0.35">
      <c r="A1536" s="56">
        <v>7042</v>
      </c>
      <c r="B1536" s="57"/>
      <c r="C1536" s="57"/>
      <c r="D1536" s="57"/>
      <c r="E1536" s="47"/>
      <c r="F1536" s="56"/>
    </row>
    <row r="1537" spans="1:6" ht="15" customHeight="1" x14ac:dyDescent="0.35">
      <c r="A1537" s="56">
        <v>7043</v>
      </c>
      <c r="B1537" s="57"/>
      <c r="C1537" s="57"/>
      <c r="D1537" s="57"/>
      <c r="E1537" s="47"/>
      <c r="F1537" s="56"/>
    </row>
    <row r="1538" spans="1:6" ht="15" customHeight="1" x14ac:dyDescent="0.35">
      <c r="A1538" s="56">
        <v>7044</v>
      </c>
      <c r="B1538" s="57"/>
      <c r="C1538" s="57"/>
      <c r="D1538" s="57"/>
      <c r="E1538" s="47"/>
      <c r="F1538" s="56"/>
    </row>
    <row r="1539" spans="1:6" ht="15" customHeight="1" x14ac:dyDescent="0.35">
      <c r="A1539" s="56">
        <v>7045</v>
      </c>
      <c r="B1539" s="57"/>
      <c r="C1539" s="57"/>
      <c r="D1539" s="57"/>
      <c r="E1539" s="47"/>
      <c r="F1539" s="56"/>
    </row>
    <row r="1540" spans="1:6" ht="15" customHeight="1" x14ac:dyDescent="0.35">
      <c r="A1540" s="56">
        <v>7046</v>
      </c>
      <c r="B1540" s="57"/>
      <c r="C1540" s="57"/>
      <c r="D1540" s="57"/>
      <c r="E1540" s="47"/>
      <c r="F1540" s="56"/>
    </row>
    <row r="1541" spans="1:6" ht="15" customHeight="1" x14ac:dyDescent="0.35">
      <c r="A1541" s="56">
        <v>7047</v>
      </c>
      <c r="B1541" s="57"/>
      <c r="C1541" s="57"/>
      <c r="D1541" s="57"/>
      <c r="E1541" s="47"/>
      <c r="F1541" s="56"/>
    </row>
    <row r="1542" spans="1:6" ht="15" customHeight="1" x14ac:dyDescent="0.35">
      <c r="A1542" s="56">
        <v>7048</v>
      </c>
      <c r="B1542" s="57"/>
      <c r="C1542" s="57"/>
      <c r="D1542" s="57"/>
      <c r="E1542" s="47"/>
      <c r="F1542" s="56"/>
    </row>
    <row r="1543" spans="1:6" ht="15" customHeight="1" x14ac:dyDescent="0.35">
      <c r="A1543" s="56">
        <v>7049</v>
      </c>
      <c r="B1543" s="57"/>
      <c r="C1543" s="57"/>
      <c r="D1543" s="57"/>
      <c r="E1543" s="47"/>
      <c r="F1543" s="56"/>
    </row>
    <row r="1544" spans="1:6" ht="15" customHeight="1" x14ac:dyDescent="0.35">
      <c r="A1544" s="56">
        <v>7050</v>
      </c>
      <c r="B1544" s="57"/>
      <c r="C1544" s="57"/>
      <c r="D1544" s="57"/>
      <c r="E1544" s="47"/>
      <c r="F1544" s="56"/>
    </row>
    <row r="1545" spans="1:6" ht="15" customHeight="1" x14ac:dyDescent="0.35">
      <c r="A1545" s="56">
        <v>7051</v>
      </c>
      <c r="B1545" s="57"/>
      <c r="C1545" s="57"/>
      <c r="D1545" s="57"/>
      <c r="E1545" s="47"/>
      <c r="F1545" s="56"/>
    </row>
    <row r="1546" spans="1:6" ht="15" customHeight="1" x14ac:dyDescent="0.35">
      <c r="A1546" s="56">
        <v>7052</v>
      </c>
      <c r="B1546" s="57"/>
      <c r="C1546" s="57"/>
      <c r="D1546" s="57"/>
      <c r="E1546" s="47"/>
      <c r="F1546" s="56"/>
    </row>
    <row r="1547" spans="1:6" ht="15" customHeight="1" x14ac:dyDescent="0.35">
      <c r="A1547" s="56">
        <v>7053</v>
      </c>
      <c r="B1547" s="57"/>
      <c r="C1547" s="57"/>
      <c r="D1547" s="57"/>
      <c r="E1547" s="47"/>
      <c r="F1547" s="56"/>
    </row>
    <row r="1548" spans="1:6" ht="15" customHeight="1" x14ac:dyDescent="0.35">
      <c r="A1548" s="56">
        <v>7054</v>
      </c>
      <c r="B1548" s="57"/>
      <c r="C1548" s="57"/>
      <c r="D1548" s="57"/>
      <c r="E1548" s="47"/>
      <c r="F1548" s="56"/>
    </row>
    <row r="1549" spans="1:6" ht="15" customHeight="1" x14ac:dyDescent="0.35">
      <c r="A1549" s="56">
        <v>7055</v>
      </c>
      <c r="B1549" s="57"/>
      <c r="C1549" s="57"/>
      <c r="D1549" s="57"/>
      <c r="E1549" s="47"/>
      <c r="F1549" s="56"/>
    </row>
    <row r="1550" spans="1:6" ht="15" customHeight="1" x14ac:dyDescent="0.35">
      <c r="A1550" s="56">
        <v>7056</v>
      </c>
      <c r="B1550" s="57"/>
      <c r="C1550" s="57"/>
      <c r="D1550" s="57"/>
      <c r="E1550" s="47"/>
      <c r="F1550" s="56"/>
    </row>
    <row r="1551" spans="1:6" ht="15" customHeight="1" x14ac:dyDescent="0.35">
      <c r="A1551" s="56">
        <v>7057</v>
      </c>
      <c r="B1551" s="57"/>
      <c r="C1551" s="57"/>
      <c r="D1551" s="57"/>
      <c r="E1551" s="47"/>
      <c r="F1551" s="56"/>
    </row>
    <row r="1552" spans="1:6" ht="15" customHeight="1" x14ac:dyDescent="0.35">
      <c r="A1552" s="56">
        <v>7058</v>
      </c>
      <c r="B1552" s="57"/>
      <c r="C1552" s="57"/>
      <c r="D1552" s="57"/>
      <c r="E1552" s="47"/>
      <c r="F1552" s="56"/>
    </row>
    <row r="1553" spans="1:6" ht="15" customHeight="1" x14ac:dyDescent="0.35">
      <c r="A1553" s="56">
        <v>7059</v>
      </c>
      <c r="B1553" s="57"/>
      <c r="C1553" s="57"/>
      <c r="D1553" s="57"/>
      <c r="E1553" s="47"/>
      <c r="F1553" s="56"/>
    </row>
    <row r="1554" spans="1:6" ht="15" customHeight="1" x14ac:dyDescent="0.35">
      <c r="A1554" s="56">
        <v>7060</v>
      </c>
      <c r="B1554" s="57"/>
      <c r="C1554" s="57"/>
      <c r="D1554" s="57"/>
      <c r="E1554" s="47"/>
      <c r="F1554" s="56"/>
    </row>
    <row r="1555" spans="1:6" ht="15" customHeight="1" x14ac:dyDescent="0.35">
      <c r="A1555" s="56">
        <v>7061</v>
      </c>
      <c r="B1555" s="57"/>
      <c r="C1555" s="57"/>
      <c r="D1555" s="57"/>
      <c r="E1555" s="47"/>
      <c r="F1555" s="56"/>
    </row>
    <row r="1556" spans="1:6" ht="15" customHeight="1" x14ac:dyDescent="0.35">
      <c r="A1556" s="56">
        <v>7062</v>
      </c>
      <c r="B1556" s="57"/>
      <c r="C1556" s="57"/>
      <c r="D1556" s="57"/>
      <c r="E1556" s="47"/>
      <c r="F1556" s="56"/>
    </row>
    <row r="1557" spans="1:6" ht="15" customHeight="1" x14ac:dyDescent="0.35">
      <c r="A1557" s="56">
        <v>7063</v>
      </c>
      <c r="B1557" s="57"/>
      <c r="C1557" s="57"/>
      <c r="D1557" s="57"/>
      <c r="E1557" s="47"/>
      <c r="F1557" s="56"/>
    </row>
    <row r="1558" spans="1:6" ht="15" customHeight="1" x14ac:dyDescent="0.35">
      <c r="A1558" s="56">
        <v>7064</v>
      </c>
      <c r="B1558" s="57"/>
      <c r="C1558" s="57"/>
      <c r="D1558" s="57"/>
      <c r="E1558" s="47"/>
      <c r="F1558" s="56"/>
    </row>
    <row r="1559" spans="1:6" ht="15" customHeight="1" x14ac:dyDescent="0.35">
      <c r="A1559" s="56">
        <v>7065</v>
      </c>
      <c r="B1559" s="57"/>
      <c r="C1559" s="57"/>
      <c r="D1559" s="57"/>
      <c r="E1559" s="47"/>
      <c r="F1559" s="56"/>
    </row>
    <row r="1560" spans="1:6" ht="15" customHeight="1" x14ac:dyDescent="0.35">
      <c r="A1560" s="56">
        <v>7066</v>
      </c>
      <c r="B1560" s="57"/>
      <c r="C1560" s="57"/>
      <c r="D1560" s="57"/>
      <c r="E1560" s="47"/>
      <c r="F1560" s="56"/>
    </row>
    <row r="1561" spans="1:6" ht="15" customHeight="1" x14ac:dyDescent="0.35">
      <c r="A1561" s="56">
        <v>7067</v>
      </c>
      <c r="B1561" s="57"/>
      <c r="C1561" s="57"/>
      <c r="D1561" s="57"/>
      <c r="E1561" s="47"/>
      <c r="F1561" s="56"/>
    </row>
    <row r="1562" spans="1:6" ht="15" customHeight="1" x14ac:dyDescent="0.35">
      <c r="A1562" s="56">
        <v>7068</v>
      </c>
      <c r="B1562" s="57"/>
      <c r="C1562" s="57"/>
      <c r="D1562" s="57"/>
      <c r="E1562" s="47"/>
      <c r="F1562" s="56"/>
    </row>
    <row r="1563" spans="1:6" ht="15" customHeight="1" x14ac:dyDescent="0.35">
      <c r="A1563" s="56">
        <v>7069</v>
      </c>
      <c r="B1563" s="57"/>
      <c r="C1563" s="57"/>
      <c r="D1563" s="57"/>
      <c r="E1563" s="47"/>
      <c r="F1563" s="56"/>
    </row>
    <row r="1564" spans="1:6" ht="15" customHeight="1" x14ac:dyDescent="0.35">
      <c r="A1564" s="56">
        <v>7070</v>
      </c>
      <c r="B1564" s="57"/>
      <c r="C1564" s="57"/>
      <c r="D1564" s="57"/>
      <c r="E1564" s="47"/>
      <c r="F1564" s="56"/>
    </row>
    <row r="1565" spans="1:6" ht="15" customHeight="1" x14ac:dyDescent="0.35">
      <c r="A1565" s="56">
        <v>7071</v>
      </c>
      <c r="B1565" s="57"/>
      <c r="C1565" s="57"/>
      <c r="D1565" s="57"/>
      <c r="E1565" s="47"/>
      <c r="F1565" s="56"/>
    </row>
    <row r="1566" spans="1:6" ht="15" customHeight="1" x14ac:dyDescent="0.35">
      <c r="A1566" s="56">
        <v>7072</v>
      </c>
      <c r="B1566" s="57"/>
      <c r="C1566" s="57"/>
      <c r="D1566" s="57"/>
      <c r="E1566" s="47"/>
      <c r="F1566" s="56"/>
    </row>
    <row r="1567" spans="1:6" ht="15" customHeight="1" x14ac:dyDescent="0.35">
      <c r="A1567" s="56">
        <v>7073</v>
      </c>
      <c r="B1567" s="57"/>
      <c r="C1567" s="57"/>
      <c r="D1567" s="57"/>
      <c r="E1567" s="47"/>
      <c r="F1567" s="56"/>
    </row>
    <row r="1568" spans="1:6" ht="15" customHeight="1" x14ac:dyDescent="0.35">
      <c r="A1568" s="56">
        <v>7074</v>
      </c>
      <c r="B1568" s="57"/>
      <c r="C1568" s="57"/>
      <c r="D1568" s="57"/>
      <c r="E1568" s="47"/>
      <c r="F1568" s="56"/>
    </row>
    <row r="1569" spans="1:6" ht="15" customHeight="1" x14ac:dyDescent="0.35">
      <c r="A1569" s="56">
        <v>7075</v>
      </c>
      <c r="B1569" s="57"/>
      <c r="C1569" s="57"/>
      <c r="D1569" s="57"/>
      <c r="E1569" s="47"/>
      <c r="F1569" s="56"/>
    </row>
    <row r="1570" spans="1:6" ht="15" customHeight="1" x14ac:dyDescent="0.35">
      <c r="A1570" s="56">
        <v>7076</v>
      </c>
      <c r="B1570" s="57"/>
      <c r="C1570" s="57"/>
      <c r="D1570" s="57"/>
      <c r="E1570" s="47"/>
      <c r="F1570" s="56"/>
    </row>
    <row r="1571" spans="1:6" ht="15" customHeight="1" x14ac:dyDescent="0.35">
      <c r="A1571" s="56">
        <v>7077</v>
      </c>
      <c r="B1571" s="57"/>
      <c r="C1571" s="57"/>
      <c r="D1571" s="57"/>
      <c r="E1571" s="47"/>
      <c r="F1571" s="56"/>
    </row>
    <row r="1572" spans="1:6" ht="15" customHeight="1" x14ac:dyDescent="0.35">
      <c r="A1572" s="56">
        <v>7078</v>
      </c>
      <c r="B1572" s="57"/>
      <c r="C1572" s="57"/>
      <c r="D1572" s="57"/>
      <c r="E1572" s="47"/>
      <c r="F1572" s="56"/>
    </row>
    <row r="1573" spans="1:6" ht="15" customHeight="1" x14ac:dyDescent="0.35">
      <c r="A1573" s="56">
        <v>7079</v>
      </c>
      <c r="B1573" s="57"/>
      <c r="C1573" s="57"/>
      <c r="D1573" s="57"/>
      <c r="E1573" s="47"/>
      <c r="F1573" s="56"/>
    </row>
    <row r="1574" spans="1:6" ht="15" customHeight="1" x14ac:dyDescent="0.35">
      <c r="A1574" s="56">
        <v>7080</v>
      </c>
      <c r="B1574" s="57"/>
      <c r="C1574" s="57"/>
      <c r="D1574" s="57"/>
      <c r="E1574" s="47"/>
      <c r="F1574" s="56"/>
    </row>
    <row r="1575" spans="1:6" ht="15" customHeight="1" x14ac:dyDescent="0.35">
      <c r="A1575" s="56">
        <v>7081</v>
      </c>
      <c r="B1575" s="57"/>
      <c r="C1575" s="57"/>
      <c r="D1575" s="57"/>
      <c r="E1575" s="47"/>
      <c r="F1575" s="56"/>
    </row>
    <row r="1576" spans="1:6" ht="15" customHeight="1" x14ac:dyDescent="0.35">
      <c r="A1576" s="56">
        <v>7082</v>
      </c>
      <c r="B1576" s="57"/>
      <c r="C1576" s="57"/>
      <c r="D1576" s="57"/>
      <c r="E1576" s="47"/>
      <c r="F1576" s="56"/>
    </row>
    <row r="1577" spans="1:6" ht="15" customHeight="1" x14ac:dyDescent="0.35">
      <c r="A1577" s="56">
        <v>7083</v>
      </c>
      <c r="B1577" s="57"/>
      <c r="C1577" s="57"/>
      <c r="D1577" s="57"/>
      <c r="E1577" s="47"/>
      <c r="F1577" s="56"/>
    </row>
    <row r="1578" spans="1:6" ht="15" customHeight="1" x14ac:dyDescent="0.35">
      <c r="A1578" s="56">
        <v>7084</v>
      </c>
      <c r="B1578" s="57"/>
      <c r="C1578" s="57"/>
      <c r="D1578" s="57"/>
      <c r="E1578" s="47"/>
      <c r="F1578" s="56"/>
    </row>
    <row r="1579" spans="1:6" ht="15" customHeight="1" x14ac:dyDescent="0.35">
      <c r="A1579" s="56">
        <v>7085</v>
      </c>
      <c r="B1579" s="57"/>
      <c r="C1579" s="57"/>
      <c r="D1579" s="57"/>
      <c r="E1579" s="47"/>
      <c r="F1579" s="56"/>
    </row>
    <row r="1580" spans="1:6" ht="15" customHeight="1" x14ac:dyDescent="0.35">
      <c r="A1580" s="56">
        <v>7086</v>
      </c>
      <c r="B1580" s="57"/>
      <c r="C1580" s="57"/>
      <c r="D1580" s="57"/>
      <c r="E1580" s="47"/>
      <c r="F1580" s="56"/>
    </row>
    <row r="1581" spans="1:6" ht="15" customHeight="1" x14ac:dyDescent="0.35">
      <c r="A1581" s="56">
        <v>7087</v>
      </c>
      <c r="B1581" s="57"/>
      <c r="C1581" s="57"/>
      <c r="D1581" s="57"/>
      <c r="E1581" s="47"/>
      <c r="F1581" s="56"/>
    </row>
    <row r="1582" spans="1:6" ht="15" customHeight="1" x14ac:dyDescent="0.35">
      <c r="A1582" s="56">
        <v>7088</v>
      </c>
      <c r="B1582" s="57"/>
      <c r="C1582" s="57"/>
      <c r="D1582" s="57"/>
      <c r="E1582" s="47"/>
      <c r="F1582" s="56"/>
    </row>
    <row r="1583" spans="1:6" ht="15" customHeight="1" x14ac:dyDescent="0.35">
      <c r="A1583" s="56">
        <v>7089</v>
      </c>
      <c r="B1583" s="57"/>
      <c r="C1583" s="57"/>
      <c r="D1583" s="57"/>
      <c r="E1583" s="47"/>
      <c r="F1583" s="56"/>
    </row>
    <row r="1584" spans="1:6" ht="15" customHeight="1" x14ac:dyDescent="0.35">
      <c r="A1584" s="56">
        <v>7090</v>
      </c>
      <c r="B1584" s="57"/>
      <c r="C1584" s="57"/>
      <c r="D1584" s="57"/>
      <c r="E1584" s="47"/>
      <c r="F1584" s="56"/>
    </row>
    <row r="1585" spans="1:6" ht="15" customHeight="1" x14ac:dyDescent="0.35">
      <c r="A1585" s="56">
        <v>7091</v>
      </c>
      <c r="B1585" s="57"/>
      <c r="C1585" s="57"/>
      <c r="D1585" s="57"/>
      <c r="E1585" s="47"/>
      <c r="F1585" s="56"/>
    </row>
    <row r="1586" spans="1:6" ht="15" customHeight="1" x14ac:dyDescent="0.35">
      <c r="A1586" s="56">
        <v>7092</v>
      </c>
      <c r="B1586" s="57"/>
      <c r="C1586" s="57"/>
      <c r="D1586" s="57"/>
      <c r="E1586" s="47"/>
      <c r="F1586" s="56"/>
    </row>
    <row r="1587" spans="1:6" ht="15" customHeight="1" x14ac:dyDescent="0.35">
      <c r="A1587" s="56">
        <v>7093</v>
      </c>
      <c r="B1587" s="57"/>
      <c r="C1587" s="57"/>
      <c r="D1587" s="57"/>
      <c r="E1587" s="47"/>
      <c r="F1587" s="56"/>
    </row>
    <row r="1588" spans="1:6" ht="15" customHeight="1" x14ac:dyDescent="0.35">
      <c r="A1588" s="56">
        <v>7094</v>
      </c>
      <c r="B1588" s="57"/>
      <c r="C1588" s="57"/>
      <c r="D1588" s="57"/>
      <c r="E1588" s="47"/>
      <c r="F1588" s="56"/>
    </row>
    <row r="1589" spans="1:6" ht="15" customHeight="1" x14ac:dyDescent="0.35">
      <c r="A1589" s="56">
        <v>7095</v>
      </c>
      <c r="B1589" s="57"/>
      <c r="C1589" s="57"/>
      <c r="D1589" s="57"/>
      <c r="E1589" s="47"/>
      <c r="F1589" s="56"/>
    </row>
    <row r="1590" spans="1:6" ht="15" customHeight="1" x14ac:dyDescent="0.35">
      <c r="A1590" s="56">
        <v>7096</v>
      </c>
      <c r="B1590" s="57"/>
      <c r="C1590" s="57"/>
      <c r="D1590" s="57"/>
      <c r="E1590" s="47"/>
      <c r="F1590" s="56"/>
    </row>
    <row r="1591" spans="1:6" ht="15" customHeight="1" x14ac:dyDescent="0.35">
      <c r="A1591" s="56">
        <v>7097</v>
      </c>
      <c r="B1591" s="57"/>
      <c r="C1591" s="57"/>
      <c r="D1591" s="57"/>
      <c r="E1591" s="47"/>
      <c r="F1591" s="56"/>
    </row>
    <row r="1592" spans="1:6" ht="15" customHeight="1" x14ac:dyDescent="0.35">
      <c r="A1592" s="56">
        <v>7098</v>
      </c>
      <c r="B1592" s="57"/>
      <c r="C1592" s="57"/>
      <c r="D1592" s="57"/>
      <c r="E1592" s="47"/>
      <c r="F1592" s="56"/>
    </row>
    <row r="1593" spans="1:6" ht="15" customHeight="1" x14ac:dyDescent="0.35">
      <c r="A1593" s="56">
        <v>7099</v>
      </c>
      <c r="B1593" s="57"/>
      <c r="C1593" s="57"/>
      <c r="D1593" s="57"/>
      <c r="E1593" s="47"/>
      <c r="F1593" s="56"/>
    </row>
    <row r="1594" spans="1:6" ht="15" customHeight="1" x14ac:dyDescent="0.35">
      <c r="A1594" s="56">
        <v>7100</v>
      </c>
      <c r="B1594" s="57"/>
      <c r="C1594" s="57"/>
      <c r="D1594" s="57"/>
      <c r="E1594" s="47"/>
      <c r="F1594" s="56"/>
    </row>
    <row r="1595" spans="1:6" ht="15" customHeight="1" x14ac:dyDescent="0.35">
      <c r="A1595" s="56">
        <v>7101</v>
      </c>
      <c r="B1595" s="57"/>
      <c r="C1595" s="57"/>
      <c r="D1595" s="57"/>
      <c r="E1595" s="47"/>
      <c r="F1595" s="56"/>
    </row>
    <row r="1596" spans="1:6" ht="15" customHeight="1" x14ac:dyDescent="0.35">
      <c r="A1596" s="56">
        <v>7102</v>
      </c>
      <c r="B1596" s="57"/>
      <c r="C1596" s="57"/>
      <c r="D1596" s="57"/>
      <c r="E1596" s="47"/>
      <c r="F1596" s="56"/>
    </row>
    <row r="1597" spans="1:6" ht="15" customHeight="1" x14ac:dyDescent="0.35">
      <c r="A1597" s="56">
        <v>7103</v>
      </c>
      <c r="B1597" s="57"/>
      <c r="C1597" s="57"/>
      <c r="D1597" s="57"/>
      <c r="E1597" s="47"/>
      <c r="F1597" s="56"/>
    </row>
    <row r="1598" spans="1:6" ht="15" customHeight="1" x14ac:dyDescent="0.35">
      <c r="A1598" s="56">
        <v>7104</v>
      </c>
      <c r="B1598" s="57"/>
      <c r="C1598" s="57"/>
      <c r="D1598" s="57"/>
      <c r="E1598" s="47"/>
      <c r="F1598" s="56"/>
    </row>
    <row r="1599" spans="1:6" ht="15" customHeight="1" x14ac:dyDescent="0.35">
      <c r="A1599" s="56">
        <v>7105</v>
      </c>
      <c r="B1599" s="57"/>
      <c r="C1599" s="57"/>
      <c r="D1599" s="57"/>
      <c r="E1599" s="47"/>
      <c r="F1599" s="56"/>
    </row>
    <row r="1600" spans="1:6" ht="15" customHeight="1" x14ac:dyDescent="0.35">
      <c r="A1600" s="56">
        <v>7106</v>
      </c>
      <c r="B1600" s="57"/>
      <c r="C1600" s="57"/>
      <c r="D1600" s="57"/>
      <c r="E1600" s="47"/>
      <c r="F1600" s="56"/>
    </row>
    <row r="1601" spans="1:6" ht="15" customHeight="1" x14ac:dyDescent="0.35">
      <c r="A1601" s="56">
        <v>7107</v>
      </c>
      <c r="B1601" s="57"/>
      <c r="C1601" s="57"/>
      <c r="D1601" s="57"/>
      <c r="E1601" s="47"/>
      <c r="F1601" s="56"/>
    </row>
    <row r="1602" spans="1:6" ht="15" customHeight="1" x14ac:dyDescent="0.35">
      <c r="A1602" s="56">
        <v>7108</v>
      </c>
      <c r="B1602" s="57"/>
      <c r="C1602" s="57"/>
      <c r="D1602" s="57"/>
      <c r="E1602" s="47"/>
      <c r="F1602" s="56"/>
    </row>
    <row r="1603" spans="1:6" ht="15" customHeight="1" x14ac:dyDescent="0.35">
      <c r="A1603" s="56">
        <v>7109</v>
      </c>
      <c r="B1603" s="57"/>
      <c r="C1603" s="57"/>
      <c r="D1603" s="57"/>
      <c r="E1603" s="47"/>
      <c r="F1603" s="56"/>
    </row>
    <row r="1604" spans="1:6" ht="15" customHeight="1" x14ac:dyDescent="0.35">
      <c r="A1604" s="56">
        <v>7110</v>
      </c>
      <c r="B1604" s="57"/>
      <c r="C1604" s="57"/>
      <c r="D1604" s="57"/>
      <c r="E1604" s="47"/>
      <c r="F1604" s="56"/>
    </row>
    <row r="1605" spans="1:6" ht="15" customHeight="1" x14ac:dyDescent="0.35">
      <c r="A1605" s="56">
        <v>7111</v>
      </c>
      <c r="B1605" s="57"/>
      <c r="C1605" s="57"/>
      <c r="D1605" s="57"/>
      <c r="E1605" s="47"/>
      <c r="F1605" s="56"/>
    </row>
    <row r="1606" spans="1:6" ht="15" customHeight="1" x14ac:dyDescent="0.35">
      <c r="A1606" s="56">
        <v>7112</v>
      </c>
      <c r="B1606" s="57"/>
      <c r="C1606" s="57"/>
      <c r="D1606" s="57"/>
      <c r="E1606" s="47"/>
      <c r="F1606" s="56"/>
    </row>
    <row r="1607" spans="1:6" ht="15" customHeight="1" x14ac:dyDescent="0.35">
      <c r="A1607" s="56">
        <v>7113</v>
      </c>
      <c r="B1607" s="57"/>
      <c r="C1607" s="57"/>
      <c r="D1607" s="57"/>
      <c r="E1607" s="47"/>
      <c r="F1607" s="56"/>
    </row>
    <row r="1608" spans="1:6" ht="15" customHeight="1" x14ac:dyDescent="0.35">
      <c r="A1608" s="56">
        <v>7114</v>
      </c>
      <c r="B1608" s="57"/>
      <c r="C1608" s="57"/>
      <c r="D1608" s="57"/>
      <c r="E1608" s="47"/>
      <c r="F1608" s="56"/>
    </row>
    <row r="1609" spans="1:6" ht="15" customHeight="1" x14ac:dyDescent="0.35">
      <c r="A1609" s="56">
        <v>7115</v>
      </c>
      <c r="B1609" s="57"/>
      <c r="C1609" s="57"/>
      <c r="D1609" s="57"/>
      <c r="E1609" s="47"/>
      <c r="F1609" s="56"/>
    </row>
    <row r="1610" spans="1:6" ht="15" customHeight="1" x14ac:dyDescent="0.35">
      <c r="A1610" s="56">
        <v>7116</v>
      </c>
      <c r="B1610" s="57"/>
      <c r="C1610" s="57"/>
      <c r="D1610" s="57"/>
      <c r="E1610" s="47"/>
      <c r="F1610" s="56"/>
    </row>
    <row r="1611" spans="1:6" ht="15" customHeight="1" x14ac:dyDescent="0.35">
      <c r="A1611" s="56">
        <v>7117</v>
      </c>
      <c r="B1611" s="57"/>
      <c r="C1611" s="57"/>
      <c r="D1611" s="57"/>
      <c r="E1611" s="47"/>
      <c r="F1611" s="56"/>
    </row>
    <row r="1612" spans="1:6" ht="15" customHeight="1" x14ac:dyDescent="0.35">
      <c r="A1612" s="56">
        <v>7118</v>
      </c>
      <c r="B1612" s="57"/>
      <c r="C1612" s="57"/>
      <c r="D1612" s="57"/>
      <c r="E1612" s="47"/>
      <c r="F1612" s="56"/>
    </row>
    <row r="1613" spans="1:6" ht="15" customHeight="1" x14ac:dyDescent="0.35">
      <c r="A1613" s="56">
        <v>7119</v>
      </c>
      <c r="B1613" s="57"/>
      <c r="C1613" s="57"/>
      <c r="D1613" s="57"/>
      <c r="E1613" s="47"/>
      <c r="F1613" s="56"/>
    </row>
    <row r="1614" spans="1:6" ht="15" customHeight="1" x14ac:dyDescent="0.35">
      <c r="A1614" s="56">
        <v>7120</v>
      </c>
      <c r="B1614" s="57"/>
      <c r="C1614" s="57"/>
      <c r="D1614" s="57"/>
      <c r="E1614" s="47"/>
      <c r="F1614" s="56"/>
    </row>
    <row r="1615" spans="1:6" ht="15" customHeight="1" x14ac:dyDescent="0.35">
      <c r="A1615" s="56">
        <v>7121</v>
      </c>
      <c r="B1615" s="57"/>
      <c r="C1615" s="57"/>
      <c r="D1615" s="57"/>
      <c r="E1615" s="47"/>
      <c r="F1615" s="56"/>
    </row>
    <row r="1616" spans="1:6" ht="15" customHeight="1" x14ac:dyDescent="0.35">
      <c r="A1616" s="56">
        <v>7122</v>
      </c>
      <c r="B1616" s="57"/>
      <c r="C1616" s="57"/>
      <c r="D1616" s="57"/>
      <c r="E1616" s="47"/>
      <c r="F1616" s="56"/>
    </row>
    <row r="1617" spans="1:6" ht="15" customHeight="1" x14ac:dyDescent="0.35">
      <c r="A1617" s="56">
        <v>7123</v>
      </c>
      <c r="B1617" s="57"/>
      <c r="C1617" s="57"/>
      <c r="D1617" s="57"/>
      <c r="E1617" s="47"/>
      <c r="F1617" s="56"/>
    </row>
    <row r="1618" spans="1:6" ht="15" customHeight="1" x14ac:dyDescent="0.35">
      <c r="A1618" s="56">
        <v>7124</v>
      </c>
      <c r="B1618" s="57"/>
      <c r="C1618" s="57"/>
      <c r="D1618" s="57"/>
      <c r="E1618" s="47"/>
      <c r="F1618" s="56"/>
    </row>
    <row r="1619" spans="1:6" ht="15" customHeight="1" x14ac:dyDescent="0.35">
      <c r="A1619" s="56">
        <v>7125</v>
      </c>
      <c r="B1619" s="57"/>
      <c r="C1619" s="57"/>
      <c r="D1619" s="57"/>
      <c r="E1619" s="47"/>
      <c r="F1619" s="56"/>
    </row>
    <row r="1620" spans="1:6" ht="15" customHeight="1" x14ac:dyDescent="0.35">
      <c r="A1620" s="56">
        <v>7126</v>
      </c>
      <c r="B1620" s="57"/>
      <c r="C1620" s="57"/>
      <c r="D1620" s="57"/>
      <c r="E1620" s="47"/>
      <c r="F1620" s="56"/>
    </row>
    <row r="1621" spans="1:6" ht="15" customHeight="1" x14ac:dyDescent="0.35">
      <c r="A1621" s="56">
        <v>7127</v>
      </c>
      <c r="B1621" s="57"/>
      <c r="C1621" s="57"/>
      <c r="D1621" s="57"/>
      <c r="E1621" s="47"/>
      <c r="F1621" s="56"/>
    </row>
    <row r="1622" spans="1:6" ht="15" customHeight="1" x14ac:dyDescent="0.35">
      <c r="A1622" s="56">
        <v>7128</v>
      </c>
      <c r="B1622" s="57"/>
      <c r="C1622" s="57"/>
      <c r="D1622" s="57"/>
      <c r="E1622" s="47"/>
      <c r="F1622" s="56"/>
    </row>
    <row r="1623" spans="1:6" ht="15" customHeight="1" x14ac:dyDescent="0.35">
      <c r="A1623" s="56">
        <v>7129</v>
      </c>
      <c r="B1623" s="57"/>
      <c r="C1623" s="57"/>
      <c r="D1623" s="57"/>
      <c r="E1623" s="47"/>
      <c r="F1623" s="56"/>
    </row>
    <row r="1624" spans="1:6" ht="15" customHeight="1" x14ac:dyDescent="0.35">
      <c r="A1624" s="56">
        <v>7130</v>
      </c>
      <c r="B1624" s="57"/>
      <c r="C1624" s="57"/>
      <c r="D1624" s="57"/>
      <c r="E1624" s="47"/>
      <c r="F1624" s="56"/>
    </row>
    <row r="1625" spans="1:6" ht="15" customHeight="1" x14ac:dyDescent="0.35">
      <c r="A1625" s="56">
        <v>7131</v>
      </c>
      <c r="B1625" s="57"/>
      <c r="C1625" s="57"/>
      <c r="D1625" s="57"/>
      <c r="E1625" s="47"/>
      <c r="F1625" s="56"/>
    </row>
    <row r="1626" spans="1:6" ht="15" customHeight="1" x14ac:dyDescent="0.35">
      <c r="A1626" s="56">
        <v>7132</v>
      </c>
      <c r="B1626" s="57"/>
      <c r="C1626" s="57"/>
      <c r="D1626" s="57"/>
      <c r="E1626" s="47"/>
      <c r="F1626" s="56"/>
    </row>
    <row r="1627" spans="1:6" ht="15" customHeight="1" x14ac:dyDescent="0.35">
      <c r="A1627" s="56">
        <v>7133</v>
      </c>
      <c r="B1627" s="57"/>
      <c r="C1627" s="57"/>
      <c r="D1627" s="57"/>
      <c r="E1627" s="47"/>
      <c r="F1627" s="56"/>
    </row>
    <row r="1628" spans="1:6" ht="15" customHeight="1" x14ac:dyDescent="0.35">
      <c r="A1628" s="56">
        <v>7134</v>
      </c>
      <c r="B1628" s="57"/>
      <c r="C1628" s="57"/>
      <c r="D1628" s="57"/>
      <c r="E1628" s="47"/>
      <c r="F1628" s="56"/>
    </row>
    <row r="1629" spans="1:6" ht="15" customHeight="1" x14ac:dyDescent="0.35">
      <c r="A1629" s="56">
        <v>7135</v>
      </c>
      <c r="B1629" s="57"/>
      <c r="C1629" s="57"/>
      <c r="D1629" s="57"/>
      <c r="E1629" s="47"/>
      <c r="F1629" s="56"/>
    </row>
    <row r="1630" spans="1:6" ht="15" customHeight="1" x14ac:dyDescent="0.35">
      <c r="A1630" s="56">
        <v>7136</v>
      </c>
      <c r="B1630" s="57"/>
      <c r="C1630" s="57"/>
      <c r="D1630" s="57"/>
      <c r="E1630" s="47"/>
      <c r="F1630" s="56"/>
    </row>
    <row r="1631" spans="1:6" ht="15" customHeight="1" x14ac:dyDescent="0.35">
      <c r="A1631" s="56">
        <v>7137</v>
      </c>
      <c r="B1631" s="57"/>
      <c r="C1631" s="57"/>
      <c r="D1631" s="57"/>
      <c r="E1631" s="47"/>
      <c r="F1631" s="56"/>
    </row>
    <row r="1632" spans="1:6" ht="15" customHeight="1" x14ac:dyDescent="0.35">
      <c r="A1632" s="56">
        <v>7138</v>
      </c>
      <c r="B1632" s="57"/>
      <c r="C1632" s="57"/>
      <c r="D1632" s="57"/>
      <c r="E1632" s="47"/>
      <c r="F1632" s="56"/>
    </row>
    <row r="1633" spans="1:6" ht="15" customHeight="1" x14ac:dyDescent="0.35">
      <c r="A1633" s="56">
        <v>7139</v>
      </c>
      <c r="B1633" s="57"/>
      <c r="C1633" s="57"/>
      <c r="D1633" s="57"/>
      <c r="E1633" s="47"/>
      <c r="F1633" s="56"/>
    </row>
    <row r="1634" spans="1:6" ht="15" customHeight="1" x14ac:dyDescent="0.35">
      <c r="A1634" s="56">
        <v>7140</v>
      </c>
      <c r="B1634" s="57"/>
      <c r="C1634" s="57"/>
      <c r="D1634" s="57"/>
      <c r="E1634" s="47"/>
      <c r="F1634" s="56"/>
    </row>
    <row r="1635" spans="1:6" ht="15" customHeight="1" x14ac:dyDescent="0.35">
      <c r="A1635" s="56">
        <v>7141</v>
      </c>
      <c r="B1635" s="57"/>
      <c r="C1635" s="57"/>
      <c r="D1635" s="57"/>
      <c r="E1635" s="47"/>
      <c r="F1635" s="56"/>
    </row>
    <row r="1636" spans="1:6" ht="15" customHeight="1" x14ac:dyDescent="0.35">
      <c r="A1636" s="56">
        <v>7142</v>
      </c>
      <c r="B1636" s="57"/>
      <c r="C1636" s="57"/>
      <c r="D1636" s="57"/>
      <c r="E1636" s="47"/>
      <c r="F1636" s="56"/>
    </row>
    <row r="1637" spans="1:6" ht="15" customHeight="1" x14ac:dyDescent="0.35">
      <c r="A1637" s="56">
        <v>7143</v>
      </c>
      <c r="B1637" s="57"/>
      <c r="C1637" s="57"/>
      <c r="D1637" s="57"/>
      <c r="E1637" s="47"/>
      <c r="F1637" s="56"/>
    </row>
    <row r="1638" spans="1:6" ht="15" customHeight="1" x14ac:dyDescent="0.35">
      <c r="A1638" s="56">
        <v>7144</v>
      </c>
      <c r="B1638" s="57"/>
      <c r="C1638" s="57"/>
      <c r="D1638" s="57"/>
      <c r="E1638" s="47"/>
      <c r="F1638" s="56"/>
    </row>
    <row r="1639" spans="1:6" ht="15" customHeight="1" x14ac:dyDescent="0.35">
      <c r="A1639" s="56">
        <v>7145</v>
      </c>
      <c r="B1639" s="57"/>
      <c r="C1639" s="57"/>
      <c r="D1639" s="57"/>
      <c r="E1639" s="47"/>
      <c r="F1639" s="56"/>
    </row>
    <row r="1640" spans="1:6" ht="15" customHeight="1" x14ac:dyDescent="0.35">
      <c r="A1640" s="56">
        <v>7146</v>
      </c>
      <c r="B1640" s="57"/>
      <c r="C1640" s="57"/>
      <c r="D1640" s="57"/>
      <c r="E1640" s="47"/>
      <c r="F1640" s="56"/>
    </row>
    <row r="1641" spans="1:6" ht="15" customHeight="1" x14ac:dyDescent="0.35">
      <c r="A1641" s="56">
        <v>7147</v>
      </c>
      <c r="B1641" s="57"/>
      <c r="C1641" s="57"/>
      <c r="D1641" s="57"/>
      <c r="E1641" s="47"/>
      <c r="F1641" s="56"/>
    </row>
    <row r="1642" spans="1:6" ht="15" customHeight="1" x14ac:dyDescent="0.35">
      <c r="A1642" s="56">
        <v>7148</v>
      </c>
      <c r="B1642" s="57"/>
      <c r="C1642" s="57"/>
      <c r="D1642" s="57"/>
      <c r="E1642" s="47"/>
      <c r="F1642" s="56"/>
    </row>
    <row r="1643" spans="1:6" ht="15" customHeight="1" x14ac:dyDescent="0.35">
      <c r="A1643" s="56">
        <v>7149</v>
      </c>
      <c r="B1643" s="57"/>
      <c r="C1643" s="57"/>
      <c r="D1643" s="57"/>
      <c r="E1643" s="47"/>
      <c r="F1643" s="56"/>
    </row>
    <row r="1644" spans="1:6" ht="15" customHeight="1" x14ac:dyDescent="0.35">
      <c r="A1644" s="56">
        <v>7150</v>
      </c>
      <c r="B1644" s="57"/>
      <c r="C1644" s="57"/>
      <c r="D1644" s="57"/>
      <c r="E1644" s="47"/>
      <c r="F1644" s="56"/>
    </row>
    <row r="1645" spans="1:6" ht="15" customHeight="1" x14ac:dyDescent="0.35">
      <c r="A1645" s="56">
        <v>7151</v>
      </c>
      <c r="B1645" s="57"/>
      <c r="C1645" s="57"/>
      <c r="D1645" s="57"/>
      <c r="E1645" s="47"/>
      <c r="F1645" s="56"/>
    </row>
    <row r="1646" spans="1:6" ht="15" customHeight="1" x14ac:dyDescent="0.35">
      <c r="A1646" s="56">
        <v>7152</v>
      </c>
      <c r="B1646" s="57"/>
      <c r="C1646" s="57"/>
      <c r="D1646" s="57"/>
      <c r="E1646" s="47"/>
      <c r="F1646" s="56"/>
    </row>
    <row r="1647" spans="1:6" ht="15" customHeight="1" x14ac:dyDescent="0.35">
      <c r="A1647" s="56">
        <v>7153</v>
      </c>
      <c r="B1647" s="57"/>
      <c r="C1647" s="57"/>
      <c r="D1647" s="57"/>
      <c r="E1647" s="47"/>
      <c r="F1647" s="56"/>
    </row>
    <row r="1648" spans="1:6" ht="15" customHeight="1" x14ac:dyDescent="0.35">
      <c r="A1648" s="56">
        <v>7154</v>
      </c>
      <c r="B1648" s="57"/>
      <c r="C1648" s="57"/>
      <c r="D1648" s="57"/>
      <c r="E1648" s="47"/>
      <c r="F1648" s="56"/>
    </row>
    <row r="1649" spans="1:6" ht="15" customHeight="1" x14ac:dyDescent="0.35">
      <c r="A1649" s="56">
        <v>7155</v>
      </c>
      <c r="B1649" s="57"/>
      <c r="C1649" s="57"/>
      <c r="D1649" s="57"/>
      <c r="E1649" s="47"/>
      <c r="F1649" s="56"/>
    </row>
    <row r="1650" spans="1:6" ht="15" customHeight="1" x14ac:dyDescent="0.35">
      <c r="A1650" s="56">
        <v>7156</v>
      </c>
      <c r="B1650" s="57"/>
      <c r="C1650" s="57"/>
      <c r="D1650" s="57"/>
      <c r="E1650" s="47"/>
      <c r="F1650" s="56"/>
    </row>
    <row r="1651" spans="1:6" ht="15" customHeight="1" x14ac:dyDescent="0.35">
      <c r="A1651" s="56">
        <v>7157</v>
      </c>
      <c r="B1651" s="57"/>
      <c r="C1651" s="57"/>
      <c r="D1651" s="57"/>
      <c r="E1651" s="47"/>
      <c r="F1651" s="56"/>
    </row>
    <row r="1652" spans="1:6" ht="15" customHeight="1" x14ac:dyDescent="0.35">
      <c r="A1652" s="56">
        <v>7158</v>
      </c>
      <c r="B1652" s="57"/>
      <c r="C1652" s="57"/>
      <c r="D1652" s="57"/>
      <c r="E1652" s="47"/>
      <c r="F1652" s="56"/>
    </row>
    <row r="1653" spans="1:6" ht="15" customHeight="1" x14ac:dyDescent="0.35">
      <c r="A1653" s="56">
        <v>7159</v>
      </c>
      <c r="B1653" s="57"/>
      <c r="C1653" s="57"/>
      <c r="D1653" s="57"/>
      <c r="E1653" s="47"/>
      <c r="F1653" s="56"/>
    </row>
    <row r="1654" spans="1:6" ht="15" customHeight="1" x14ac:dyDescent="0.35">
      <c r="A1654" s="56">
        <v>7160</v>
      </c>
      <c r="B1654" s="57"/>
      <c r="C1654" s="57"/>
      <c r="D1654" s="57"/>
      <c r="E1654" s="47"/>
      <c r="F1654" s="56"/>
    </row>
    <row r="1655" spans="1:6" ht="15" customHeight="1" x14ac:dyDescent="0.35">
      <c r="A1655" s="56">
        <v>7161</v>
      </c>
      <c r="B1655" s="57"/>
      <c r="C1655" s="57"/>
      <c r="D1655" s="57"/>
      <c r="E1655" s="47"/>
      <c r="F1655" s="56"/>
    </row>
    <row r="1656" spans="1:6" ht="15" customHeight="1" x14ac:dyDescent="0.35">
      <c r="A1656" s="56">
        <v>7162</v>
      </c>
      <c r="B1656" s="57"/>
      <c r="C1656" s="57"/>
      <c r="D1656" s="57"/>
      <c r="E1656" s="47"/>
      <c r="F1656" s="56"/>
    </row>
    <row r="1657" spans="1:6" ht="15" customHeight="1" x14ac:dyDescent="0.35">
      <c r="A1657" s="56">
        <v>7163</v>
      </c>
      <c r="B1657" s="57"/>
      <c r="C1657" s="57"/>
      <c r="D1657" s="57"/>
      <c r="E1657" s="47"/>
      <c r="F1657" s="56"/>
    </row>
    <row r="1658" spans="1:6" ht="15" customHeight="1" x14ac:dyDescent="0.35">
      <c r="A1658" s="56">
        <v>7164</v>
      </c>
      <c r="B1658" s="57"/>
      <c r="C1658" s="57"/>
      <c r="D1658" s="57"/>
      <c r="E1658" s="47"/>
      <c r="F1658" s="56"/>
    </row>
    <row r="1659" spans="1:6" ht="15" customHeight="1" x14ac:dyDescent="0.35">
      <c r="A1659" s="56">
        <v>7165</v>
      </c>
      <c r="B1659" s="57"/>
      <c r="C1659" s="57"/>
      <c r="D1659" s="57"/>
      <c r="E1659" s="47"/>
      <c r="F1659" s="56"/>
    </row>
    <row r="1660" spans="1:6" ht="15" customHeight="1" x14ac:dyDescent="0.35">
      <c r="A1660" s="56">
        <v>7166</v>
      </c>
      <c r="B1660" s="57"/>
      <c r="C1660" s="57"/>
      <c r="D1660" s="57"/>
      <c r="E1660" s="47"/>
      <c r="F1660" s="56"/>
    </row>
    <row r="1661" spans="1:6" ht="15" customHeight="1" x14ac:dyDescent="0.35">
      <c r="A1661" s="56">
        <v>7167</v>
      </c>
      <c r="B1661" s="57"/>
      <c r="C1661" s="57"/>
      <c r="D1661" s="57"/>
      <c r="E1661" s="47"/>
      <c r="F1661" s="56"/>
    </row>
    <row r="1662" spans="1:6" ht="15" customHeight="1" x14ac:dyDescent="0.35">
      <c r="A1662" s="56">
        <v>7168</v>
      </c>
      <c r="B1662" s="57"/>
      <c r="C1662" s="57"/>
      <c r="D1662" s="57"/>
      <c r="E1662" s="47"/>
      <c r="F1662" s="56"/>
    </row>
    <row r="1663" spans="1:6" ht="15" customHeight="1" x14ac:dyDescent="0.35">
      <c r="A1663" s="56">
        <v>7169</v>
      </c>
      <c r="B1663" s="57"/>
      <c r="C1663" s="57"/>
      <c r="D1663" s="57"/>
      <c r="E1663" s="47"/>
      <c r="F1663" s="56"/>
    </row>
    <row r="1664" spans="1:6" ht="15" customHeight="1" x14ac:dyDescent="0.35">
      <c r="A1664" s="56">
        <v>7170</v>
      </c>
      <c r="B1664" s="57"/>
      <c r="C1664" s="57"/>
      <c r="D1664" s="57"/>
      <c r="E1664" s="47"/>
      <c r="F1664" s="56"/>
    </row>
    <row r="1665" spans="1:6" ht="15" customHeight="1" x14ac:dyDescent="0.35">
      <c r="A1665" s="56">
        <v>7171</v>
      </c>
      <c r="B1665" s="57"/>
      <c r="C1665" s="57"/>
      <c r="D1665" s="57"/>
      <c r="E1665" s="47"/>
      <c r="F1665" s="56"/>
    </row>
    <row r="1666" spans="1:6" ht="15" customHeight="1" x14ac:dyDescent="0.35">
      <c r="A1666" s="56">
        <v>7172</v>
      </c>
      <c r="B1666" s="57"/>
      <c r="C1666" s="57"/>
      <c r="D1666" s="57"/>
      <c r="E1666" s="47"/>
      <c r="F1666" s="56"/>
    </row>
    <row r="1667" spans="1:6" ht="15" customHeight="1" x14ac:dyDescent="0.35">
      <c r="A1667" s="56">
        <v>7173</v>
      </c>
      <c r="B1667" s="57"/>
      <c r="C1667" s="57"/>
      <c r="D1667" s="57"/>
      <c r="E1667" s="47"/>
      <c r="F1667" s="56"/>
    </row>
    <row r="1668" spans="1:6" ht="15" customHeight="1" x14ac:dyDescent="0.35">
      <c r="A1668" s="56">
        <v>7174</v>
      </c>
      <c r="B1668" s="57"/>
      <c r="C1668" s="57"/>
      <c r="D1668" s="57"/>
      <c r="E1668" s="47"/>
      <c r="F1668" s="56"/>
    </row>
    <row r="1669" spans="1:6" ht="15" customHeight="1" x14ac:dyDescent="0.35">
      <c r="A1669" s="56">
        <v>7175</v>
      </c>
      <c r="B1669" s="57"/>
      <c r="C1669" s="57"/>
      <c r="D1669" s="57"/>
      <c r="E1669" s="47"/>
      <c r="F1669" s="56"/>
    </row>
    <row r="1670" spans="1:6" ht="15" customHeight="1" x14ac:dyDescent="0.35">
      <c r="A1670" s="56">
        <v>7176</v>
      </c>
      <c r="B1670" s="57"/>
      <c r="C1670" s="57"/>
      <c r="D1670" s="57"/>
      <c r="E1670" s="47"/>
      <c r="F1670" s="56"/>
    </row>
    <row r="1671" spans="1:6" ht="15" customHeight="1" x14ac:dyDescent="0.35">
      <c r="A1671" s="56">
        <v>7177</v>
      </c>
      <c r="B1671" s="57"/>
      <c r="C1671" s="57"/>
      <c r="D1671" s="57"/>
      <c r="E1671" s="47"/>
      <c r="F1671" s="56"/>
    </row>
    <row r="1672" spans="1:6" ht="15" customHeight="1" x14ac:dyDescent="0.35">
      <c r="A1672" s="56">
        <v>7178</v>
      </c>
      <c r="B1672" s="57"/>
      <c r="C1672" s="57"/>
      <c r="D1672" s="57"/>
      <c r="E1672" s="47"/>
      <c r="F1672" s="56"/>
    </row>
    <row r="1673" spans="1:6" ht="15" customHeight="1" x14ac:dyDescent="0.35">
      <c r="A1673" s="56">
        <v>7179</v>
      </c>
      <c r="B1673" s="57"/>
      <c r="C1673" s="57"/>
      <c r="D1673" s="57"/>
      <c r="E1673" s="47"/>
      <c r="F1673" s="56"/>
    </row>
    <row r="1674" spans="1:6" ht="15" customHeight="1" x14ac:dyDescent="0.35">
      <c r="A1674" s="56">
        <v>7180</v>
      </c>
      <c r="B1674" s="57"/>
      <c r="C1674" s="57"/>
      <c r="D1674" s="57"/>
      <c r="E1674" s="47"/>
      <c r="F1674" s="56"/>
    </row>
    <row r="1675" spans="1:6" ht="15" customHeight="1" x14ac:dyDescent="0.35">
      <c r="A1675" s="56">
        <v>7181</v>
      </c>
      <c r="B1675" s="57"/>
      <c r="C1675" s="57"/>
      <c r="D1675" s="57"/>
      <c r="E1675" s="47"/>
      <c r="F1675" s="56"/>
    </row>
    <row r="1676" spans="1:6" ht="15" customHeight="1" x14ac:dyDescent="0.35">
      <c r="A1676" s="56">
        <v>7182</v>
      </c>
      <c r="B1676" s="57"/>
      <c r="C1676" s="57"/>
      <c r="D1676" s="57"/>
      <c r="E1676" s="47"/>
      <c r="F1676" s="56"/>
    </row>
    <row r="1677" spans="1:6" ht="15" customHeight="1" x14ac:dyDescent="0.35">
      <c r="A1677" s="56">
        <v>7183</v>
      </c>
      <c r="B1677" s="57"/>
      <c r="C1677" s="57"/>
      <c r="D1677" s="57"/>
      <c r="E1677" s="47"/>
      <c r="F1677" s="56"/>
    </row>
    <row r="1678" spans="1:6" ht="15" customHeight="1" x14ac:dyDescent="0.35">
      <c r="A1678" s="56">
        <v>7184</v>
      </c>
      <c r="B1678" s="57"/>
      <c r="C1678" s="57"/>
      <c r="D1678" s="57"/>
      <c r="E1678" s="47"/>
      <c r="F1678" s="56"/>
    </row>
    <row r="1679" spans="1:6" ht="15" customHeight="1" x14ac:dyDescent="0.35">
      <c r="A1679" s="56">
        <v>7185</v>
      </c>
      <c r="B1679" s="57"/>
      <c r="C1679" s="57"/>
      <c r="D1679" s="57"/>
      <c r="E1679" s="47"/>
      <c r="F1679" s="56"/>
    </row>
    <row r="1680" spans="1:6" ht="15" customHeight="1" x14ac:dyDescent="0.35">
      <c r="A1680" s="56">
        <v>7186</v>
      </c>
      <c r="B1680" s="57"/>
      <c r="C1680" s="57"/>
      <c r="D1680" s="57"/>
      <c r="E1680" s="47"/>
      <c r="F1680" s="56"/>
    </row>
    <row r="1681" spans="1:6" ht="15" customHeight="1" x14ac:dyDescent="0.35">
      <c r="A1681" s="56">
        <v>7187</v>
      </c>
      <c r="B1681" s="57"/>
      <c r="C1681" s="57"/>
      <c r="D1681" s="57"/>
      <c r="E1681" s="47"/>
      <c r="F1681" s="56"/>
    </row>
    <row r="1682" spans="1:6" ht="15" customHeight="1" x14ac:dyDescent="0.35">
      <c r="A1682" s="56">
        <v>7188</v>
      </c>
      <c r="B1682" s="57"/>
      <c r="C1682" s="57"/>
      <c r="D1682" s="57"/>
      <c r="E1682" s="47"/>
      <c r="F1682" s="56"/>
    </row>
    <row r="1683" spans="1:6" ht="15" customHeight="1" x14ac:dyDescent="0.35">
      <c r="A1683" s="56">
        <v>7189</v>
      </c>
      <c r="B1683" s="57"/>
      <c r="C1683" s="57"/>
      <c r="D1683" s="57"/>
      <c r="E1683" s="47"/>
      <c r="F1683" s="56"/>
    </row>
    <row r="1684" spans="1:6" ht="15" customHeight="1" x14ac:dyDescent="0.35">
      <c r="A1684" s="56">
        <v>7190</v>
      </c>
      <c r="B1684" s="57"/>
      <c r="C1684" s="57"/>
      <c r="D1684" s="57"/>
      <c r="E1684" s="47"/>
      <c r="F1684" s="56"/>
    </row>
    <row r="1685" spans="1:6" ht="15" customHeight="1" x14ac:dyDescent="0.35">
      <c r="A1685" s="56">
        <v>7191</v>
      </c>
      <c r="B1685" s="57"/>
      <c r="C1685" s="57"/>
      <c r="D1685" s="57"/>
      <c r="E1685" s="47"/>
      <c r="F1685" s="56"/>
    </row>
    <row r="1686" spans="1:6" ht="15" customHeight="1" x14ac:dyDescent="0.35">
      <c r="A1686" s="56">
        <v>7192</v>
      </c>
      <c r="B1686" s="57"/>
      <c r="C1686" s="57"/>
      <c r="D1686" s="57"/>
      <c r="E1686" s="47"/>
      <c r="F1686" s="56"/>
    </row>
    <row r="1687" spans="1:6" ht="15" customHeight="1" x14ac:dyDescent="0.35">
      <c r="A1687" s="56">
        <v>7193</v>
      </c>
      <c r="B1687" s="57"/>
      <c r="C1687" s="57"/>
      <c r="D1687" s="57"/>
      <c r="E1687" s="47"/>
      <c r="F1687" s="56"/>
    </row>
    <row r="1688" spans="1:6" ht="15" customHeight="1" x14ac:dyDescent="0.35">
      <c r="A1688" s="56">
        <v>7194</v>
      </c>
      <c r="B1688" s="57"/>
      <c r="C1688" s="57"/>
      <c r="D1688" s="57"/>
      <c r="E1688" s="47"/>
      <c r="F1688" s="56"/>
    </row>
    <row r="1689" spans="1:6" ht="15" customHeight="1" x14ac:dyDescent="0.35">
      <c r="A1689" s="56">
        <v>7195</v>
      </c>
      <c r="B1689" s="57"/>
      <c r="C1689" s="57"/>
      <c r="D1689" s="57"/>
      <c r="E1689" s="47"/>
      <c r="F1689" s="56"/>
    </row>
    <row r="1690" spans="1:6" ht="15" customHeight="1" x14ac:dyDescent="0.35">
      <c r="A1690" s="56">
        <v>7196</v>
      </c>
      <c r="B1690" s="57"/>
      <c r="C1690" s="57"/>
      <c r="D1690" s="57"/>
      <c r="E1690" s="47"/>
      <c r="F1690" s="56"/>
    </row>
    <row r="1691" spans="1:6" ht="15" customHeight="1" x14ac:dyDescent="0.35">
      <c r="A1691" s="56">
        <v>7197</v>
      </c>
      <c r="B1691" s="57"/>
      <c r="C1691" s="57"/>
      <c r="D1691" s="57"/>
      <c r="E1691" s="47"/>
      <c r="F1691" s="56"/>
    </row>
    <row r="1692" spans="1:6" ht="15" customHeight="1" x14ac:dyDescent="0.35">
      <c r="A1692" s="56">
        <v>7198</v>
      </c>
      <c r="B1692" s="57"/>
      <c r="C1692" s="57"/>
      <c r="D1692" s="57"/>
      <c r="E1692" s="47"/>
      <c r="F1692" s="56"/>
    </row>
    <row r="1693" spans="1:6" ht="15" customHeight="1" x14ac:dyDescent="0.35">
      <c r="A1693" s="56">
        <v>7199</v>
      </c>
      <c r="B1693" s="57"/>
      <c r="C1693" s="57"/>
      <c r="D1693" s="57"/>
      <c r="E1693" s="47"/>
      <c r="F1693" s="56"/>
    </row>
    <row r="1694" spans="1:6" ht="15" customHeight="1" x14ac:dyDescent="0.35">
      <c r="A1694" s="56">
        <v>7200</v>
      </c>
      <c r="B1694" s="57"/>
      <c r="C1694" s="57"/>
      <c r="D1694" s="57"/>
      <c r="E1694" s="47"/>
      <c r="F1694" s="56"/>
    </row>
    <row r="1695" spans="1:6" ht="15" customHeight="1" x14ac:dyDescent="0.35">
      <c r="A1695" s="56">
        <v>7201</v>
      </c>
      <c r="B1695" s="57"/>
      <c r="C1695" s="57"/>
      <c r="D1695" s="57"/>
      <c r="E1695" s="47"/>
      <c r="F1695" s="56"/>
    </row>
    <row r="1696" spans="1:6" ht="15" customHeight="1" x14ac:dyDescent="0.35">
      <c r="A1696" s="56">
        <v>7202</v>
      </c>
      <c r="B1696" s="57"/>
      <c r="C1696" s="57"/>
      <c r="D1696" s="57"/>
      <c r="E1696" s="47"/>
      <c r="F1696" s="56"/>
    </row>
    <row r="1697" spans="1:6" ht="15" customHeight="1" x14ac:dyDescent="0.35">
      <c r="A1697" s="56">
        <v>7203</v>
      </c>
      <c r="B1697" s="57"/>
      <c r="C1697" s="57"/>
      <c r="D1697" s="57"/>
      <c r="E1697" s="47"/>
      <c r="F1697" s="56"/>
    </row>
    <row r="1698" spans="1:6" ht="15" customHeight="1" x14ac:dyDescent="0.35">
      <c r="A1698" s="56">
        <v>7204</v>
      </c>
      <c r="B1698" s="57"/>
      <c r="C1698" s="57"/>
      <c r="D1698" s="57"/>
      <c r="E1698" s="47"/>
      <c r="F1698" s="56"/>
    </row>
    <row r="1699" spans="1:6" ht="15" customHeight="1" x14ac:dyDescent="0.35">
      <c r="A1699" s="56">
        <v>7205</v>
      </c>
      <c r="B1699" s="57"/>
      <c r="C1699" s="57"/>
      <c r="D1699" s="57"/>
      <c r="E1699" s="47"/>
      <c r="F1699" s="56"/>
    </row>
    <row r="1700" spans="1:6" ht="15" customHeight="1" x14ac:dyDescent="0.35">
      <c r="A1700" s="56">
        <v>7206</v>
      </c>
      <c r="B1700" s="57"/>
      <c r="C1700" s="57"/>
      <c r="D1700" s="57"/>
      <c r="E1700" s="47"/>
      <c r="F1700" s="56"/>
    </row>
    <row r="1701" spans="1:6" ht="15" customHeight="1" x14ac:dyDescent="0.35">
      <c r="A1701" s="56">
        <v>7207</v>
      </c>
      <c r="B1701" s="57"/>
      <c r="C1701" s="57"/>
      <c r="D1701" s="57"/>
      <c r="E1701" s="47"/>
      <c r="F1701" s="56"/>
    </row>
    <row r="1702" spans="1:6" ht="15" customHeight="1" x14ac:dyDescent="0.35">
      <c r="A1702" s="56">
        <v>7208</v>
      </c>
      <c r="B1702" s="57"/>
      <c r="C1702" s="57"/>
      <c r="D1702" s="57"/>
      <c r="E1702" s="47"/>
      <c r="F1702" s="56"/>
    </row>
    <row r="1703" spans="1:6" ht="15" customHeight="1" x14ac:dyDescent="0.35">
      <c r="A1703" s="56">
        <v>7209</v>
      </c>
      <c r="B1703" s="57"/>
      <c r="C1703" s="57"/>
      <c r="D1703" s="57"/>
      <c r="E1703" s="47"/>
      <c r="F1703" s="56"/>
    </row>
    <row r="1704" spans="1:6" ht="15" customHeight="1" x14ac:dyDescent="0.35">
      <c r="A1704" s="56">
        <v>7210</v>
      </c>
      <c r="B1704" s="57"/>
      <c r="C1704" s="57"/>
      <c r="D1704" s="57"/>
      <c r="E1704" s="47"/>
      <c r="F1704" s="56"/>
    </row>
    <row r="1705" spans="1:6" ht="15" customHeight="1" x14ac:dyDescent="0.35">
      <c r="A1705" s="56">
        <v>7211</v>
      </c>
      <c r="B1705" s="57"/>
      <c r="C1705" s="57"/>
      <c r="D1705" s="57"/>
      <c r="E1705" s="47"/>
      <c r="F1705" s="56"/>
    </row>
    <row r="1706" spans="1:6" ht="15" customHeight="1" x14ac:dyDescent="0.35">
      <c r="A1706" s="56">
        <v>7212</v>
      </c>
      <c r="B1706" s="57"/>
      <c r="C1706" s="57"/>
      <c r="D1706" s="57"/>
      <c r="E1706" s="47"/>
      <c r="F1706" s="56"/>
    </row>
    <row r="1707" spans="1:6" ht="15" customHeight="1" x14ac:dyDescent="0.35">
      <c r="A1707" s="56">
        <v>7213</v>
      </c>
      <c r="B1707" s="57"/>
      <c r="C1707" s="57"/>
      <c r="D1707" s="57"/>
      <c r="E1707" s="47"/>
      <c r="F1707" s="56"/>
    </row>
    <row r="1708" spans="1:6" ht="15" customHeight="1" x14ac:dyDescent="0.35">
      <c r="A1708" s="56">
        <v>7214</v>
      </c>
      <c r="B1708" s="57"/>
      <c r="C1708" s="57"/>
      <c r="D1708" s="57"/>
      <c r="E1708" s="47"/>
      <c r="F1708" s="56"/>
    </row>
    <row r="1709" spans="1:6" ht="15" customHeight="1" x14ac:dyDescent="0.35">
      <c r="A1709" s="56">
        <v>7215</v>
      </c>
      <c r="B1709" s="57"/>
      <c r="C1709" s="57"/>
      <c r="D1709" s="57"/>
      <c r="E1709" s="47"/>
      <c r="F1709" s="56"/>
    </row>
    <row r="1710" spans="1:6" ht="15" customHeight="1" x14ac:dyDescent="0.35">
      <c r="A1710" s="56">
        <v>7216</v>
      </c>
      <c r="B1710" s="57"/>
      <c r="C1710" s="57"/>
      <c r="D1710" s="57"/>
      <c r="E1710" s="47"/>
      <c r="F1710" s="56"/>
    </row>
    <row r="1711" spans="1:6" ht="15" customHeight="1" x14ac:dyDescent="0.35">
      <c r="A1711" s="56">
        <v>7217</v>
      </c>
      <c r="B1711" s="57"/>
      <c r="C1711" s="57"/>
      <c r="D1711" s="57"/>
      <c r="E1711" s="47"/>
      <c r="F1711" s="56"/>
    </row>
    <row r="1712" spans="1:6" ht="15" customHeight="1" x14ac:dyDescent="0.35">
      <c r="A1712" s="56">
        <v>7218</v>
      </c>
      <c r="B1712" s="57"/>
      <c r="C1712" s="57"/>
      <c r="D1712" s="57"/>
      <c r="E1712" s="47"/>
      <c r="F1712" s="56"/>
    </row>
    <row r="1713" spans="1:6" ht="15" customHeight="1" x14ac:dyDescent="0.35">
      <c r="A1713" s="56">
        <v>7219</v>
      </c>
      <c r="B1713" s="57"/>
      <c r="C1713" s="57"/>
      <c r="D1713" s="57"/>
      <c r="E1713" s="47"/>
      <c r="F1713" s="56"/>
    </row>
    <row r="1714" spans="1:6" ht="15" customHeight="1" x14ac:dyDescent="0.35">
      <c r="A1714" s="56">
        <v>7220</v>
      </c>
      <c r="B1714" s="57"/>
      <c r="C1714" s="57"/>
      <c r="D1714" s="57"/>
      <c r="E1714" s="47"/>
      <c r="F1714" s="56"/>
    </row>
    <row r="1715" spans="1:6" ht="15" customHeight="1" x14ac:dyDescent="0.35">
      <c r="A1715" s="56">
        <v>7221</v>
      </c>
      <c r="B1715" s="57"/>
      <c r="C1715" s="57"/>
      <c r="D1715" s="57"/>
      <c r="E1715" s="47"/>
      <c r="F1715" s="56"/>
    </row>
    <row r="1716" spans="1:6" ht="15" customHeight="1" x14ac:dyDescent="0.35">
      <c r="A1716" s="56">
        <v>7222</v>
      </c>
      <c r="B1716" s="57"/>
      <c r="C1716" s="57"/>
      <c r="D1716" s="57"/>
      <c r="E1716" s="47"/>
      <c r="F1716" s="56"/>
    </row>
    <row r="1717" spans="1:6" ht="15" customHeight="1" x14ac:dyDescent="0.35">
      <c r="A1717" s="56">
        <v>7223</v>
      </c>
      <c r="B1717" s="57"/>
      <c r="C1717" s="57"/>
      <c r="D1717" s="57"/>
      <c r="E1717" s="47"/>
      <c r="F1717" s="56"/>
    </row>
    <row r="1718" spans="1:6" ht="15" customHeight="1" x14ac:dyDescent="0.35">
      <c r="A1718" s="56">
        <v>7224</v>
      </c>
      <c r="B1718" s="57"/>
      <c r="C1718" s="57"/>
      <c r="D1718" s="57"/>
      <c r="E1718" s="47"/>
      <c r="F1718" s="56"/>
    </row>
    <row r="1719" spans="1:6" ht="15" customHeight="1" x14ac:dyDescent="0.35">
      <c r="A1719" s="56">
        <v>7225</v>
      </c>
      <c r="B1719" s="57"/>
      <c r="C1719" s="57"/>
      <c r="D1719" s="57"/>
      <c r="E1719" s="47"/>
      <c r="F1719" s="56"/>
    </row>
    <row r="1720" spans="1:6" ht="15" customHeight="1" x14ac:dyDescent="0.35">
      <c r="A1720" s="56">
        <v>7226</v>
      </c>
      <c r="B1720" s="57"/>
      <c r="C1720" s="57"/>
      <c r="D1720" s="57"/>
      <c r="E1720" s="47"/>
      <c r="F1720" s="56"/>
    </row>
    <row r="1721" spans="1:6" ht="15" customHeight="1" x14ac:dyDescent="0.35">
      <c r="A1721" s="56">
        <v>7227</v>
      </c>
      <c r="B1721" s="57"/>
      <c r="C1721" s="57"/>
      <c r="D1721" s="57"/>
      <c r="E1721" s="47"/>
      <c r="F1721" s="56"/>
    </row>
    <row r="1722" spans="1:6" ht="15" customHeight="1" x14ac:dyDescent="0.35">
      <c r="A1722" s="56">
        <v>7228</v>
      </c>
      <c r="B1722" s="57"/>
      <c r="C1722" s="57"/>
      <c r="D1722" s="57"/>
      <c r="E1722" s="47"/>
      <c r="F1722" s="56"/>
    </row>
    <row r="1723" spans="1:6" ht="15" customHeight="1" x14ac:dyDescent="0.35">
      <c r="A1723" s="56">
        <v>7229</v>
      </c>
      <c r="B1723" s="57"/>
      <c r="C1723" s="57"/>
      <c r="D1723" s="57"/>
      <c r="E1723" s="47"/>
      <c r="F1723" s="56"/>
    </row>
    <row r="1724" spans="1:6" ht="15" customHeight="1" x14ac:dyDescent="0.35">
      <c r="A1724" s="56">
        <v>7230</v>
      </c>
      <c r="B1724" s="57"/>
      <c r="C1724" s="57"/>
      <c r="D1724" s="57"/>
      <c r="E1724" s="47"/>
      <c r="F1724" s="56"/>
    </row>
    <row r="1725" spans="1:6" ht="15" customHeight="1" x14ac:dyDescent="0.35">
      <c r="A1725" s="56">
        <v>7231</v>
      </c>
      <c r="B1725" s="57"/>
      <c r="C1725" s="57"/>
      <c r="D1725" s="57"/>
      <c r="E1725" s="47"/>
      <c r="F1725" s="56"/>
    </row>
    <row r="1726" spans="1:6" ht="15" customHeight="1" x14ac:dyDescent="0.35">
      <c r="A1726" s="56">
        <v>7232</v>
      </c>
      <c r="B1726" s="57"/>
      <c r="C1726" s="57"/>
      <c r="D1726" s="57"/>
      <c r="E1726" s="47"/>
      <c r="F1726" s="56"/>
    </row>
    <row r="1727" spans="1:6" ht="15" customHeight="1" x14ac:dyDescent="0.35">
      <c r="A1727" s="56">
        <v>7233</v>
      </c>
      <c r="B1727" s="57"/>
      <c r="C1727" s="57"/>
      <c r="D1727" s="57"/>
      <c r="E1727" s="47"/>
      <c r="F1727" s="56"/>
    </row>
    <row r="1728" spans="1:6" ht="15" customHeight="1" x14ac:dyDescent="0.35">
      <c r="A1728" s="56">
        <v>7234</v>
      </c>
      <c r="B1728" s="57"/>
      <c r="C1728" s="57"/>
      <c r="D1728" s="57"/>
      <c r="E1728" s="47"/>
      <c r="F1728" s="56"/>
    </row>
    <row r="1729" spans="1:6" ht="15" customHeight="1" x14ac:dyDescent="0.35">
      <c r="A1729" s="56">
        <v>7235</v>
      </c>
      <c r="B1729" s="57"/>
      <c r="C1729" s="57"/>
      <c r="D1729" s="57"/>
      <c r="E1729" s="47"/>
      <c r="F1729" s="56"/>
    </row>
    <row r="1730" spans="1:6" ht="15" customHeight="1" x14ac:dyDescent="0.35">
      <c r="A1730" s="56">
        <v>7236</v>
      </c>
      <c r="B1730" s="57"/>
      <c r="C1730" s="57"/>
      <c r="D1730" s="57"/>
      <c r="E1730" s="47"/>
      <c r="F1730" s="56"/>
    </row>
    <row r="1731" spans="1:6" ht="15" customHeight="1" x14ac:dyDescent="0.35">
      <c r="A1731" s="56">
        <v>7237</v>
      </c>
      <c r="B1731" s="57"/>
      <c r="C1731" s="57"/>
      <c r="D1731" s="57"/>
      <c r="E1731" s="47"/>
      <c r="F1731" s="56"/>
    </row>
    <row r="1732" spans="1:6" ht="15" customHeight="1" x14ac:dyDescent="0.35">
      <c r="A1732" s="56">
        <v>7238</v>
      </c>
      <c r="B1732" s="57"/>
      <c r="C1732" s="57"/>
      <c r="D1732" s="57"/>
      <c r="E1732" s="47"/>
      <c r="F1732" s="56"/>
    </row>
    <row r="1733" spans="1:6" ht="15" customHeight="1" x14ac:dyDescent="0.35">
      <c r="A1733" s="56">
        <v>7239</v>
      </c>
      <c r="B1733" s="57"/>
      <c r="C1733" s="57"/>
      <c r="D1733" s="57"/>
      <c r="E1733" s="47"/>
      <c r="F1733" s="56"/>
    </row>
    <row r="1734" spans="1:6" ht="15" customHeight="1" x14ac:dyDescent="0.35">
      <c r="A1734" s="56">
        <v>7240</v>
      </c>
      <c r="B1734" s="57"/>
      <c r="C1734" s="57"/>
      <c r="D1734" s="57"/>
      <c r="E1734" s="47"/>
      <c r="F1734" s="56"/>
    </row>
    <row r="1735" spans="1:6" ht="15" customHeight="1" x14ac:dyDescent="0.35">
      <c r="A1735" s="56">
        <v>7241</v>
      </c>
      <c r="B1735" s="57"/>
      <c r="C1735" s="57"/>
      <c r="D1735" s="57"/>
      <c r="E1735" s="47"/>
      <c r="F1735" s="56"/>
    </row>
    <row r="1736" spans="1:6" ht="15" customHeight="1" x14ac:dyDescent="0.35">
      <c r="A1736" s="56">
        <v>7242</v>
      </c>
      <c r="B1736" s="57"/>
      <c r="C1736" s="57"/>
      <c r="D1736" s="57"/>
      <c r="E1736" s="47"/>
      <c r="F1736" s="56"/>
    </row>
    <row r="1737" spans="1:6" ht="15" customHeight="1" x14ac:dyDescent="0.35">
      <c r="A1737" s="56">
        <v>7243</v>
      </c>
      <c r="B1737" s="57"/>
      <c r="C1737" s="57"/>
      <c r="D1737" s="57"/>
      <c r="E1737" s="47"/>
      <c r="F1737" s="56"/>
    </row>
    <row r="1738" spans="1:6" ht="15" customHeight="1" x14ac:dyDescent="0.35">
      <c r="A1738" s="56">
        <v>7244</v>
      </c>
      <c r="B1738" s="57"/>
      <c r="C1738" s="57"/>
      <c r="D1738" s="57"/>
      <c r="E1738" s="47"/>
      <c r="F1738" s="56"/>
    </row>
    <row r="1739" spans="1:6" ht="15" customHeight="1" x14ac:dyDescent="0.35">
      <c r="A1739" s="56">
        <v>7245</v>
      </c>
      <c r="B1739" s="57"/>
      <c r="C1739" s="57"/>
      <c r="D1739" s="57"/>
      <c r="E1739" s="47"/>
      <c r="F1739" s="56"/>
    </row>
    <row r="1740" spans="1:6" ht="15" customHeight="1" x14ac:dyDescent="0.35">
      <c r="A1740" s="56">
        <v>7246</v>
      </c>
      <c r="B1740" s="57"/>
      <c r="C1740" s="57"/>
      <c r="D1740" s="57"/>
      <c r="E1740" s="47"/>
      <c r="F1740" s="56"/>
    </row>
    <row r="1741" spans="1:6" ht="15" customHeight="1" x14ac:dyDescent="0.35">
      <c r="A1741" s="56">
        <v>7247</v>
      </c>
      <c r="B1741" s="57"/>
      <c r="C1741" s="57"/>
      <c r="D1741" s="57"/>
      <c r="E1741" s="47"/>
      <c r="F1741" s="56"/>
    </row>
    <row r="1742" spans="1:6" ht="15" customHeight="1" x14ac:dyDescent="0.35">
      <c r="A1742" s="56">
        <v>7248</v>
      </c>
      <c r="B1742" s="57"/>
      <c r="C1742" s="57"/>
      <c r="D1742" s="57"/>
      <c r="E1742" s="47"/>
      <c r="F1742" s="56"/>
    </row>
    <row r="1743" spans="1:6" ht="15" customHeight="1" x14ac:dyDescent="0.35">
      <c r="A1743" s="56">
        <v>7249</v>
      </c>
      <c r="B1743" s="57"/>
      <c r="C1743" s="57"/>
      <c r="D1743" s="57"/>
      <c r="E1743" s="47"/>
      <c r="F1743" s="56"/>
    </row>
    <row r="1744" spans="1:6" ht="15" customHeight="1" x14ac:dyDescent="0.35">
      <c r="A1744" s="56">
        <v>7250</v>
      </c>
      <c r="B1744" s="57"/>
      <c r="C1744" s="57"/>
      <c r="D1744" s="57"/>
      <c r="E1744" s="47"/>
      <c r="F1744" s="56"/>
    </row>
    <row r="1745" spans="1:6" ht="15" customHeight="1" x14ac:dyDescent="0.35">
      <c r="A1745" s="56">
        <v>7251</v>
      </c>
      <c r="B1745" s="57"/>
      <c r="C1745" s="57"/>
      <c r="D1745" s="57"/>
      <c r="E1745" s="47"/>
      <c r="F1745" s="56"/>
    </row>
    <row r="1746" spans="1:6" ht="15" customHeight="1" x14ac:dyDescent="0.35">
      <c r="A1746" s="56">
        <v>7252</v>
      </c>
      <c r="B1746" s="57"/>
      <c r="C1746" s="57"/>
      <c r="D1746" s="57"/>
      <c r="E1746" s="47"/>
      <c r="F1746" s="56"/>
    </row>
    <row r="1747" spans="1:6" ht="15" customHeight="1" x14ac:dyDescent="0.35">
      <c r="A1747" s="56">
        <v>7253</v>
      </c>
      <c r="B1747" s="57"/>
      <c r="C1747" s="57"/>
      <c r="D1747" s="57"/>
      <c r="E1747" s="47"/>
      <c r="F1747" s="56"/>
    </row>
    <row r="1748" spans="1:6" ht="15" customHeight="1" x14ac:dyDescent="0.35">
      <c r="A1748" s="56">
        <v>7254</v>
      </c>
      <c r="B1748" s="57"/>
      <c r="C1748" s="57"/>
      <c r="D1748" s="57"/>
      <c r="E1748" s="47"/>
      <c r="F1748" s="56"/>
    </row>
    <row r="1749" spans="1:6" ht="15" customHeight="1" x14ac:dyDescent="0.35">
      <c r="A1749" s="56">
        <v>7255</v>
      </c>
      <c r="B1749" s="57"/>
      <c r="C1749" s="57"/>
      <c r="D1749" s="57"/>
      <c r="E1749" s="47"/>
      <c r="F1749" s="56"/>
    </row>
    <row r="1750" spans="1:6" ht="15" customHeight="1" x14ac:dyDescent="0.35">
      <c r="A1750" s="56">
        <v>7256</v>
      </c>
      <c r="B1750" s="57"/>
      <c r="C1750" s="57"/>
      <c r="D1750" s="57"/>
      <c r="E1750" s="47"/>
      <c r="F1750" s="56"/>
    </row>
    <row r="1751" spans="1:6" ht="15" customHeight="1" x14ac:dyDescent="0.35">
      <c r="A1751" s="56">
        <v>7257</v>
      </c>
      <c r="B1751" s="57"/>
      <c r="C1751" s="57"/>
      <c r="D1751" s="57"/>
      <c r="E1751" s="47"/>
      <c r="F1751" s="56"/>
    </row>
    <row r="1752" spans="1:6" ht="15" customHeight="1" x14ac:dyDescent="0.35">
      <c r="A1752" s="56">
        <v>7258</v>
      </c>
      <c r="B1752" s="57"/>
      <c r="C1752" s="57"/>
      <c r="D1752" s="57"/>
      <c r="E1752" s="47"/>
      <c r="F1752" s="56"/>
    </row>
    <row r="1753" spans="1:6" ht="15" customHeight="1" x14ac:dyDescent="0.35">
      <c r="A1753" s="56">
        <v>7259</v>
      </c>
      <c r="B1753" s="57"/>
      <c r="C1753" s="57"/>
      <c r="D1753" s="57"/>
      <c r="E1753" s="47"/>
      <c r="F1753" s="56"/>
    </row>
    <row r="1754" spans="1:6" ht="15" customHeight="1" x14ac:dyDescent="0.35">
      <c r="A1754" s="56">
        <v>7260</v>
      </c>
      <c r="B1754" s="57"/>
      <c r="C1754" s="57"/>
      <c r="D1754" s="57"/>
      <c r="E1754" s="47"/>
      <c r="F1754" s="56"/>
    </row>
    <row r="1755" spans="1:6" ht="15" customHeight="1" x14ac:dyDescent="0.35">
      <c r="A1755" s="56">
        <v>7261</v>
      </c>
      <c r="B1755" s="57"/>
      <c r="C1755" s="57"/>
      <c r="D1755" s="57"/>
      <c r="E1755" s="47"/>
      <c r="F1755" s="56"/>
    </row>
    <row r="1756" spans="1:6" ht="15" customHeight="1" x14ac:dyDescent="0.35">
      <c r="A1756" s="56">
        <v>7262</v>
      </c>
      <c r="B1756" s="57"/>
      <c r="C1756" s="57"/>
      <c r="D1756" s="57"/>
      <c r="E1756" s="47"/>
      <c r="F1756" s="56"/>
    </row>
    <row r="1757" spans="1:6" ht="15" customHeight="1" x14ac:dyDescent="0.35">
      <c r="A1757" s="56">
        <v>7263</v>
      </c>
      <c r="B1757" s="57"/>
      <c r="C1757" s="57"/>
      <c r="D1757" s="57"/>
      <c r="E1757" s="47"/>
      <c r="F1757" s="56"/>
    </row>
    <row r="1758" spans="1:6" ht="15" customHeight="1" x14ac:dyDescent="0.35">
      <c r="A1758" s="56">
        <v>7264</v>
      </c>
      <c r="B1758" s="57"/>
      <c r="C1758" s="57"/>
      <c r="D1758" s="57"/>
      <c r="E1758" s="47"/>
      <c r="F1758" s="56"/>
    </row>
    <row r="1759" spans="1:6" ht="15" customHeight="1" x14ac:dyDescent="0.35">
      <c r="A1759" s="56">
        <v>7265</v>
      </c>
      <c r="B1759" s="57"/>
      <c r="C1759" s="57"/>
      <c r="D1759" s="57"/>
      <c r="E1759" s="47"/>
      <c r="F1759" s="56"/>
    </row>
    <row r="1760" spans="1:6" ht="15" customHeight="1" x14ac:dyDescent="0.35">
      <c r="A1760" s="56">
        <v>7266</v>
      </c>
      <c r="B1760" s="57"/>
      <c r="C1760" s="57"/>
      <c r="D1760" s="57"/>
      <c r="E1760" s="47"/>
      <c r="F1760" s="56"/>
    </row>
    <row r="1761" spans="1:6" ht="15" customHeight="1" x14ac:dyDescent="0.35">
      <c r="A1761" s="56">
        <v>7267</v>
      </c>
      <c r="B1761" s="57"/>
      <c r="C1761" s="57"/>
      <c r="D1761" s="57"/>
      <c r="E1761" s="47"/>
      <c r="F1761" s="56"/>
    </row>
    <row r="1762" spans="1:6" ht="15" customHeight="1" x14ac:dyDescent="0.35">
      <c r="A1762" s="56">
        <v>7268</v>
      </c>
      <c r="B1762" s="57"/>
      <c r="C1762" s="57"/>
      <c r="D1762" s="57"/>
      <c r="E1762" s="47"/>
      <c r="F1762" s="56"/>
    </row>
    <row r="1763" spans="1:6" ht="15" customHeight="1" x14ac:dyDescent="0.35">
      <c r="A1763" s="56">
        <v>7269</v>
      </c>
      <c r="B1763" s="57"/>
      <c r="C1763" s="57"/>
      <c r="D1763" s="57"/>
      <c r="E1763" s="47"/>
      <c r="F1763" s="56"/>
    </row>
    <row r="1764" spans="1:6" ht="15" customHeight="1" x14ac:dyDescent="0.35">
      <c r="A1764" s="56">
        <v>7270</v>
      </c>
      <c r="B1764" s="57"/>
      <c r="C1764" s="57"/>
      <c r="D1764" s="57"/>
      <c r="E1764" s="47"/>
      <c r="F1764" s="56"/>
    </row>
    <row r="1765" spans="1:6" ht="15" customHeight="1" x14ac:dyDescent="0.35">
      <c r="A1765" s="56">
        <v>7271</v>
      </c>
      <c r="B1765" s="57"/>
      <c r="C1765" s="57"/>
      <c r="D1765" s="57"/>
      <c r="E1765" s="47"/>
      <c r="F1765" s="56"/>
    </row>
    <row r="1766" spans="1:6" ht="15" customHeight="1" x14ac:dyDescent="0.35">
      <c r="A1766" s="56">
        <v>7272</v>
      </c>
      <c r="B1766" s="57"/>
      <c r="C1766" s="57"/>
      <c r="D1766" s="57"/>
      <c r="E1766" s="47"/>
      <c r="F1766" s="56"/>
    </row>
    <row r="1767" spans="1:6" ht="15" customHeight="1" x14ac:dyDescent="0.35">
      <c r="A1767" s="56">
        <v>7273</v>
      </c>
      <c r="B1767" s="57"/>
      <c r="C1767" s="57"/>
      <c r="D1767" s="57"/>
      <c r="E1767" s="47"/>
      <c r="F1767" s="56"/>
    </row>
    <row r="1768" spans="1:6" ht="15" customHeight="1" x14ac:dyDescent="0.35">
      <c r="A1768" s="56">
        <v>7274</v>
      </c>
      <c r="B1768" s="57"/>
      <c r="C1768" s="57"/>
      <c r="D1768" s="57"/>
      <c r="E1768" s="47"/>
      <c r="F1768" s="56"/>
    </row>
    <row r="1769" spans="1:6" ht="15" customHeight="1" x14ac:dyDescent="0.35">
      <c r="A1769" s="56">
        <v>7275</v>
      </c>
      <c r="B1769" s="57"/>
      <c r="C1769" s="57"/>
      <c r="D1769" s="57"/>
      <c r="E1769" s="47"/>
      <c r="F1769" s="56"/>
    </row>
    <row r="1770" spans="1:6" ht="15" customHeight="1" x14ac:dyDescent="0.35">
      <c r="A1770" s="56">
        <v>7276</v>
      </c>
      <c r="B1770" s="57"/>
      <c r="C1770" s="57"/>
      <c r="D1770" s="57"/>
      <c r="E1770" s="47"/>
      <c r="F1770" s="56"/>
    </row>
    <row r="1771" spans="1:6" ht="15" customHeight="1" x14ac:dyDescent="0.35">
      <c r="A1771" s="56">
        <v>7277</v>
      </c>
      <c r="B1771" s="57"/>
      <c r="C1771" s="57"/>
      <c r="D1771" s="57"/>
      <c r="E1771" s="47"/>
      <c r="F1771" s="56"/>
    </row>
    <row r="1772" spans="1:6" ht="15" customHeight="1" x14ac:dyDescent="0.35">
      <c r="A1772" s="56">
        <v>7278</v>
      </c>
      <c r="B1772" s="57"/>
      <c r="C1772" s="57"/>
      <c r="D1772" s="57"/>
      <c r="E1772" s="47"/>
      <c r="F1772" s="56"/>
    </row>
    <row r="1773" spans="1:6" ht="15" customHeight="1" x14ac:dyDescent="0.35">
      <c r="A1773" s="56">
        <v>7279</v>
      </c>
      <c r="B1773" s="57"/>
      <c r="C1773" s="57"/>
      <c r="D1773" s="57"/>
      <c r="E1773" s="47"/>
      <c r="F1773" s="56"/>
    </row>
    <row r="1774" spans="1:6" ht="15" customHeight="1" x14ac:dyDescent="0.35">
      <c r="A1774" s="56">
        <v>7280</v>
      </c>
      <c r="B1774" s="57"/>
      <c r="C1774" s="57"/>
      <c r="D1774" s="57"/>
      <c r="E1774" s="47"/>
      <c r="F1774" s="56"/>
    </row>
    <row r="1775" spans="1:6" ht="15" customHeight="1" x14ac:dyDescent="0.35">
      <c r="A1775" s="56">
        <v>7281</v>
      </c>
      <c r="B1775" s="57"/>
      <c r="C1775" s="57"/>
      <c r="D1775" s="57"/>
      <c r="E1775" s="47"/>
      <c r="F1775" s="56"/>
    </row>
    <row r="1776" spans="1:6" ht="15" customHeight="1" x14ac:dyDescent="0.35">
      <c r="A1776" s="56">
        <v>7282</v>
      </c>
      <c r="B1776" s="57"/>
      <c r="C1776" s="57"/>
      <c r="D1776" s="57"/>
      <c r="E1776" s="47"/>
      <c r="F1776" s="56"/>
    </row>
    <row r="1777" spans="1:6" ht="15" customHeight="1" x14ac:dyDescent="0.35">
      <c r="A1777" s="56">
        <v>7283</v>
      </c>
      <c r="B1777" s="57"/>
      <c r="C1777" s="57"/>
      <c r="D1777" s="57"/>
      <c r="E1777" s="47"/>
      <c r="F1777" s="56"/>
    </row>
    <row r="1778" spans="1:6" ht="15" customHeight="1" x14ac:dyDescent="0.35">
      <c r="A1778" s="56">
        <v>7284</v>
      </c>
      <c r="B1778" s="57"/>
      <c r="C1778" s="57"/>
      <c r="D1778" s="57"/>
      <c r="E1778" s="47"/>
      <c r="F1778" s="56"/>
    </row>
    <row r="1779" spans="1:6" ht="15" customHeight="1" x14ac:dyDescent="0.35">
      <c r="A1779" s="56">
        <v>7285</v>
      </c>
      <c r="B1779" s="57"/>
      <c r="C1779" s="57"/>
      <c r="D1779" s="57"/>
      <c r="E1779" s="47"/>
      <c r="F1779" s="56"/>
    </row>
    <row r="1780" spans="1:6" ht="15" customHeight="1" x14ac:dyDescent="0.35">
      <c r="A1780" s="56">
        <v>7286</v>
      </c>
      <c r="B1780" s="57"/>
      <c r="C1780" s="57"/>
      <c r="D1780" s="57"/>
      <c r="E1780" s="47"/>
      <c r="F1780" s="56"/>
    </row>
    <row r="1781" spans="1:6" ht="15" customHeight="1" x14ac:dyDescent="0.35">
      <c r="A1781" s="56">
        <v>7287</v>
      </c>
      <c r="B1781" s="57"/>
      <c r="C1781" s="57"/>
      <c r="D1781" s="57"/>
      <c r="E1781" s="47"/>
      <c r="F1781" s="56"/>
    </row>
    <row r="1782" spans="1:6" ht="15" customHeight="1" x14ac:dyDescent="0.35">
      <c r="A1782" s="56">
        <v>7288</v>
      </c>
      <c r="B1782" s="57"/>
      <c r="C1782" s="57"/>
      <c r="D1782" s="57"/>
      <c r="E1782" s="47"/>
      <c r="F1782" s="56"/>
    </row>
    <row r="1783" spans="1:6" ht="15" customHeight="1" x14ac:dyDescent="0.35">
      <c r="A1783" s="56">
        <v>7289</v>
      </c>
      <c r="B1783" s="57"/>
      <c r="C1783" s="57"/>
      <c r="D1783" s="57"/>
      <c r="E1783" s="47"/>
      <c r="F1783" s="56"/>
    </row>
    <row r="1784" spans="1:6" ht="15" customHeight="1" x14ac:dyDescent="0.35">
      <c r="A1784" s="56">
        <v>7290</v>
      </c>
      <c r="B1784" s="57"/>
      <c r="C1784" s="57"/>
      <c r="D1784" s="57"/>
      <c r="E1784" s="47"/>
      <c r="F1784" s="56"/>
    </row>
    <row r="1785" spans="1:6" ht="15" customHeight="1" x14ac:dyDescent="0.35">
      <c r="A1785" s="56">
        <v>7291</v>
      </c>
      <c r="B1785" s="57"/>
      <c r="C1785" s="57"/>
      <c r="D1785" s="57"/>
      <c r="E1785" s="47"/>
      <c r="F1785" s="56"/>
    </row>
    <row r="1786" spans="1:6" ht="15" customHeight="1" x14ac:dyDescent="0.35">
      <c r="A1786" s="56">
        <v>7292</v>
      </c>
      <c r="B1786" s="57"/>
      <c r="C1786" s="57"/>
      <c r="D1786" s="57"/>
      <c r="E1786" s="47"/>
      <c r="F1786" s="56"/>
    </row>
    <row r="1787" spans="1:6" ht="15" customHeight="1" x14ac:dyDescent="0.35">
      <c r="A1787" s="56">
        <v>7293</v>
      </c>
      <c r="B1787" s="57"/>
      <c r="C1787" s="57"/>
      <c r="D1787" s="57"/>
      <c r="E1787" s="47"/>
      <c r="F1787" s="56"/>
    </row>
    <row r="1788" spans="1:6" ht="15" customHeight="1" x14ac:dyDescent="0.35">
      <c r="A1788" s="56">
        <v>7294</v>
      </c>
      <c r="B1788" s="57"/>
      <c r="C1788" s="57"/>
      <c r="D1788" s="57"/>
      <c r="E1788" s="47"/>
      <c r="F1788" s="56"/>
    </row>
    <row r="1789" spans="1:6" ht="15" customHeight="1" x14ac:dyDescent="0.35">
      <c r="A1789" s="56">
        <v>7295</v>
      </c>
      <c r="B1789" s="57"/>
      <c r="C1789" s="57"/>
      <c r="D1789" s="57"/>
      <c r="E1789" s="47"/>
      <c r="F1789" s="56"/>
    </row>
    <row r="1790" spans="1:6" ht="15" customHeight="1" x14ac:dyDescent="0.35">
      <c r="A1790" s="56">
        <v>7296</v>
      </c>
      <c r="B1790" s="57"/>
      <c r="C1790" s="57"/>
      <c r="D1790" s="57"/>
      <c r="E1790" s="47"/>
      <c r="F1790" s="56"/>
    </row>
    <row r="1791" spans="1:6" ht="15" customHeight="1" x14ac:dyDescent="0.35">
      <c r="A1791" s="56">
        <v>7297</v>
      </c>
      <c r="B1791" s="57"/>
      <c r="C1791" s="57"/>
      <c r="D1791" s="57"/>
      <c r="E1791" s="47"/>
      <c r="F1791" s="56"/>
    </row>
    <row r="1792" spans="1:6" ht="15" customHeight="1" x14ac:dyDescent="0.35">
      <c r="A1792" s="58">
        <v>7298</v>
      </c>
      <c r="B1792" s="59"/>
      <c r="C1792" s="59"/>
      <c r="D1792" s="59"/>
      <c r="E1792" s="60"/>
      <c r="F1792" s="58"/>
    </row>
    <row r="1793" spans="1:6" ht="15" customHeight="1" x14ac:dyDescent="0.35">
      <c r="A1793" s="58">
        <v>7299</v>
      </c>
      <c r="B1793" s="59"/>
      <c r="C1793" s="59"/>
      <c r="D1793" s="59"/>
      <c r="E1793" s="60"/>
      <c r="F1793" s="58"/>
    </row>
    <row r="1794" spans="1:6" ht="15" customHeight="1" x14ac:dyDescent="0.35">
      <c r="A1794" s="58">
        <v>7300</v>
      </c>
      <c r="B1794" s="59"/>
      <c r="C1794" s="59"/>
      <c r="D1794" s="59"/>
      <c r="E1794" s="60"/>
      <c r="F1794" s="58"/>
    </row>
  </sheetData>
  <dataValidations count="1">
    <dataValidation type="list" allowBlank="1" showInputMessage="1" showErrorMessage="1" sqref="F2:F705 F707:F1794" xr:uid="{6EF75878-4E62-4457-94D6-47BB5A1C946E}">
      <formula1>Etat</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15" stopIfTrue="1" id="{4575F313-354E-4F74-B115-00B5F1DFF8E8}">
            <xm:f>MATCH($F2,LISTE!$A$1:$A$20,0)=14</xm:f>
            <x14:dxf>
              <font>
                <b val="0"/>
                <i val="0"/>
                <color rgb="FF000000"/>
              </font>
              <fill>
                <patternFill>
                  <fgColor indexed="64"/>
                  <bgColor rgb="FFA9D08E"/>
                </patternFill>
              </fill>
            </x14:dxf>
          </x14:cfRule>
          <x14:cfRule type="expression" priority="16" stopIfTrue="1" id="{B3FED846-0B65-4784-92F3-D9C084C2621D}">
            <xm:f>MATCH($F2,LISTE!$A$1:$A$20,0)=13</xm:f>
            <x14:dxf>
              <font>
                <b val="0"/>
                <i val="0"/>
                <color rgb="FF000000"/>
              </font>
              <fill>
                <patternFill>
                  <fgColor indexed="64"/>
                  <bgColor rgb="FF548235"/>
                </patternFill>
              </fill>
            </x14:dxf>
          </x14:cfRule>
          <x14:cfRule type="expression" priority="17" stopIfTrue="1" id="{489EB2A9-8BFF-4F13-9C45-EF8F45D2521D}">
            <xm:f>MATCH($F2,LISTE!$A$1:$A$20,0)=12</xm:f>
            <x14:dxf>
              <font>
                <b val="0"/>
                <i val="0"/>
                <color rgb="FF000000"/>
              </font>
              <fill>
                <patternFill>
                  <fgColor indexed="64"/>
                  <bgColor rgb="FFA9D08E"/>
                </patternFill>
              </fill>
            </x14:dxf>
          </x14:cfRule>
          <x14:cfRule type="expression" priority="18" stopIfTrue="1" id="{ABECDAA5-3CE2-49D9-8899-F0B1FBE43B86}">
            <xm:f>MATCH($F2,LISTE!$A$1:$A$20,0)=11</xm:f>
            <x14:dxf>
              <font>
                <b val="0"/>
                <i val="0"/>
                <color rgb="FF000000"/>
              </font>
              <fill>
                <patternFill>
                  <fgColor indexed="64"/>
                  <bgColor rgb="FF000000"/>
                </patternFill>
              </fill>
            </x14:dxf>
          </x14:cfRule>
          <x14:cfRule type="expression" priority="19" stopIfTrue="1" id="{6906A604-065F-41B1-B22C-2EB717FF2C71}">
            <xm:f>MATCH($F2,LISTE!$A$1:$A$20,0)=10</xm:f>
            <x14:dxf>
              <font>
                <b val="0"/>
                <i val="0"/>
                <color rgb="FF000000"/>
              </font>
              <fill>
                <patternFill>
                  <fgColor indexed="64"/>
                  <bgColor rgb="FFFCE4D6"/>
                </patternFill>
              </fill>
            </x14:dxf>
          </x14:cfRule>
          <x14:cfRule type="expression" priority="20" stopIfTrue="1" id="{ED4A2170-4C4A-4A1C-9BAD-42322202DA8D}">
            <xm:f>MATCH($F2,LISTE!$A$1:$A$20,0)=9</xm:f>
            <x14:dxf>
              <font>
                <b val="0"/>
                <i val="0"/>
                <color rgb="FF000000"/>
              </font>
              <fill>
                <patternFill>
                  <fgColor indexed="64"/>
                  <bgColor rgb="FFF8CBAD"/>
                </patternFill>
              </fill>
            </x14:dxf>
          </x14:cfRule>
          <x14:cfRule type="expression" priority="21" stopIfTrue="1" id="{E1D4523A-8DCB-4707-B9CF-FDB49EE128FA}">
            <xm:f>MATCH($F2,LISTE!$A$1:$A$20,0)=8</xm:f>
            <x14:dxf>
              <font>
                <b val="0"/>
                <i val="0"/>
                <color rgb="FF000000"/>
              </font>
              <fill>
                <patternFill patternType="solid">
                  <fgColor indexed="64"/>
                  <bgColor rgb="FFFFFFFF"/>
                </patternFill>
              </fill>
            </x14:dxf>
          </x14:cfRule>
          <x14:cfRule type="expression" priority="22" stopIfTrue="1" id="{01A96102-37D6-426A-AC54-A12438FD437B}">
            <xm:f>MATCH($F2,LISTE!$A$1:$A$20,0)=7</xm:f>
            <x14:dxf>
              <font>
                <b val="0"/>
                <i val="0"/>
                <color rgb="FF000000"/>
              </font>
              <fill>
                <patternFill>
                  <fgColor indexed="64"/>
                  <bgColor rgb="FFBDD7EE"/>
                </patternFill>
              </fill>
            </x14:dxf>
          </x14:cfRule>
          <x14:cfRule type="expression" priority="23" stopIfTrue="1" id="{E304DF0A-0A54-49C3-8BC6-1CAAA5F8E04B}">
            <xm:f>MATCH($F2,LISTE!$A$1:$A$20,0)=6</xm:f>
            <x14:dxf>
              <font>
                <b val="0"/>
                <i val="0"/>
                <color rgb="FF000000"/>
              </font>
              <fill>
                <patternFill>
                  <fgColor indexed="64"/>
                  <bgColor rgb="FFFFE699"/>
                </patternFill>
              </fill>
            </x14:dxf>
          </x14:cfRule>
          <x14:cfRule type="expression" priority="24" stopIfTrue="1" id="{0307689C-451C-41CD-8FEB-8F1B27FF471F}">
            <xm:f>MATCH($F2,LISTE!$A$1:$A$20,0)=5</xm:f>
            <x14:dxf>
              <font>
                <b val="0"/>
                <i val="0"/>
                <color rgb="FF000000"/>
              </font>
              <fill>
                <patternFill>
                  <fgColor indexed="64"/>
                  <bgColor rgb="FFD9E1F2"/>
                </patternFill>
              </fill>
            </x14:dxf>
          </x14:cfRule>
          <x14:cfRule type="expression" priority="25" stopIfTrue="1" id="{9E9E3C12-496E-4878-9FCD-836CBEA3CC0E}">
            <xm:f>MATCH($F2,LISTE!$A$1:$A$20,0)=4</xm:f>
            <x14:dxf>
              <font>
                <b val="0"/>
                <i val="0"/>
                <color rgb="FF000000"/>
              </font>
              <fill>
                <patternFill>
                  <fgColor indexed="64"/>
                  <bgColor rgb="FFE2EFDA"/>
                </patternFill>
              </fill>
            </x14:dxf>
          </x14:cfRule>
          <x14:cfRule type="expression" priority="26" stopIfTrue="1" id="{44378E4C-C152-4EE3-974F-A4C8DB13E91D}">
            <xm:f>MATCH($F2,LISTE!$A$1:$A$20,0)=3</xm:f>
            <x14:dxf>
              <font>
                <b val="0"/>
                <i val="0"/>
                <color rgb="FF000000"/>
              </font>
              <fill>
                <patternFill>
                  <fgColor indexed="64"/>
                  <bgColor rgb="FFA9D08E"/>
                </patternFill>
              </fill>
            </x14:dxf>
          </x14:cfRule>
          <x14:cfRule type="expression" priority="27" id="{184F678B-E642-4C59-B93C-C92DCF9A0872}">
            <xm:f>MATCH($F2,LISTE!$A$1:$A$20,0)=2</xm:f>
            <x14:dxf>
              <font>
                <b val="0"/>
                <i val="0"/>
                <color rgb="FF000000"/>
              </font>
              <fill>
                <patternFill>
                  <fgColor indexed="64"/>
                  <bgColor rgb="FF9BC2E6"/>
                </patternFill>
              </fill>
            </x14:dxf>
          </x14:cfRule>
          <xm:sqref>A707:F1794 A2:F705</xm:sqref>
        </x14:conditionalFormatting>
        <x14:conditionalFormatting xmlns:xm="http://schemas.microsoft.com/office/excel/2006/main">
          <x14:cfRule type="expression" priority="1" id="{3E45EC5A-08ED-45FD-AA55-EAD7D2FD7D01}">
            <xm:f>MATCH($F706,LISTE!$A$1:$A$20,0)=15</xm:f>
            <x14:dxf>
              <fill>
                <patternFill>
                  <bgColor theme="8" tint="0.39994506668294322"/>
                </patternFill>
              </fill>
            </x14:dxf>
          </x14:cfRule>
          <x14:cfRule type="expression" priority="2" stopIfTrue="1" id="{FD106EEF-52CA-4189-B28D-CE050DFE33D6}">
            <xm:f>MATCH($F706,LISTE!$A$1:$A$20,0)=14</xm:f>
            <x14:dxf>
              <font>
                <b val="0"/>
                <i val="0"/>
                <color rgb="FF000000"/>
              </font>
              <fill>
                <patternFill>
                  <fgColor indexed="64"/>
                  <bgColor rgb="FFA9D08E"/>
                </patternFill>
              </fill>
            </x14:dxf>
          </x14:cfRule>
          <x14:cfRule type="expression" priority="3" stopIfTrue="1" id="{F3521B0D-A9AD-4840-B8F8-1AB3008566EF}">
            <xm:f>MATCH($F706,LISTE!$A$1:$A$20,0)=13</xm:f>
            <x14:dxf>
              <font>
                <b val="0"/>
                <i val="0"/>
                <color rgb="FF000000"/>
              </font>
              <fill>
                <patternFill>
                  <fgColor indexed="64"/>
                  <bgColor rgb="FF548235"/>
                </patternFill>
              </fill>
            </x14:dxf>
          </x14:cfRule>
          <x14:cfRule type="expression" priority="4" stopIfTrue="1" id="{17AED0CE-96B4-4E4B-822C-147454BEED25}">
            <xm:f>MATCH($F706,LISTE!$A$1:$A$20,0)=12</xm:f>
            <x14:dxf>
              <font>
                <b val="0"/>
                <i val="0"/>
                <color rgb="FF000000"/>
              </font>
              <fill>
                <patternFill>
                  <fgColor indexed="64"/>
                  <bgColor rgb="FFA9D08E"/>
                </patternFill>
              </fill>
            </x14:dxf>
          </x14:cfRule>
          <x14:cfRule type="expression" priority="5" stopIfTrue="1" id="{D0F20AE6-754C-448A-9F79-6EDBEA11BD82}">
            <xm:f>MATCH($F706,LISTE!$A$1:$A$20,0)=11</xm:f>
            <x14:dxf>
              <font>
                <b val="0"/>
                <i val="0"/>
                <color rgb="FF000000"/>
              </font>
              <fill>
                <patternFill>
                  <fgColor indexed="64"/>
                  <bgColor rgb="FF000000"/>
                </patternFill>
              </fill>
            </x14:dxf>
          </x14:cfRule>
          <x14:cfRule type="expression" priority="6" stopIfTrue="1" id="{245EBB7C-8E9A-481E-B685-7C2F1DA7483A}">
            <xm:f>MATCH($F706,LISTE!$A$1:$A$20,0)=10</xm:f>
            <x14:dxf>
              <font>
                <b val="0"/>
                <i val="0"/>
                <color rgb="FF000000"/>
              </font>
              <fill>
                <patternFill>
                  <fgColor indexed="64"/>
                  <bgColor rgb="FFFCE4D6"/>
                </patternFill>
              </fill>
            </x14:dxf>
          </x14:cfRule>
          <x14:cfRule type="expression" priority="7" stopIfTrue="1" id="{3AE8A2B3-79E9-48E6-BE7B-9584E74BEC3E}">
            <xm:f>MATCH($F706,LISTE!$A$1:$A$20,0)=9</xm:f>
            <x14:dxf>
              <font>
                <b val="0"/>
                <i val="0"/>
                <color rgb="FF000000"/>
              </font>
              <fill>
                <patternFill>
                  <fgColor indexed="64"/>
                  <bgColor rgb="FFF8CBAD"/>
                </patternFill>
              </fill>
            </x14:dxf>
          </x14:cfRule>
          <x14:cfRule type="expression" priority="8" stopIfTrue="1" id="{59214E58-EDFD-4F58-9048-B264D0415220}">
            <xm:f>MATCH($F706,LISTE!$A$1:$A$20,0)=8</xm:f>
            <x14:dxf>
              <font>
                <b val="0"/>
                <i val="0"/>
                <color rgb="FF000000"/>
              </font>
              <fill>
                <patternFill patternType="solid">
                  <fgColor indexed="64"/>
                  <bgColor rgb="FFFFFFFF"/>
                </patternFill>
              </fill>
            </x14:dxf>
          </x14:cfRule>
          <x14:cfRule type="expression" priority="9" stopIfTrue="1" id="{5F1BC977-E410-4A05-A385-555833F190BE}">
            <xm:f>MATCH($F706,LISTE!$A$1:$A$20,0)=7</xm:f>
            <x14:dxf>
              <font>
                <b val="0"/>
                <i val="0"/>
                <color rgb="FF000000"/>
              </font>
              <fill>
                <patternFill>
                  <fgColor indexed="64"/>
                  <bgColor rgb="FFBDD7EE"/>
                </patternFill>
              </fill>
            </x14:dxf>
          </x14:cfRule>
          <x14:cfRule type="expression" priority="10" stopIfTrue="1" id="{339B01E3-546C-4190-903E-53B3EC7F2F00}">
            <xm:f>MATCH($F706,LISTE!$A$1:$A$20,0)=6</xm:f>
            <x14:dxf>
              <font>
                <b val="0"/>
                <i val="0"/>
                <color rgb="FF000000"/>
              </font>
              <fill>
                <patternFill>
                  <fgColor indexed="64"/>
                  <bgColor rgb="FFFFE699"/>
                </patternFill>
              </fill>
            </x14:dxf>
          </x14:cfRule>
          <x14:cfRule type="expression" priority="11" stopIfTrue="1" id="{BFED11F1-F754-4219-B296-59BA46220A18}">
            <xm:f>MATCH($F706,LISTE!$A$1:$A$20,0)=5</xm:f>
            <x14:dxf>
              <font>
                <b val="0"/>
                <i val="0"/>
                <color rgb="FF000000"/>
              </font>
              <fill>
                <patternFill>
                  <fgColor indexed="64"/>
                  <bgColor rgb="FFD9E1F2"/>
                </patternFill>
              </fill>
            </x14:dxf>
          </x14:cfRule>
          <x14:cfRule type="expression" priority="12" stopIfTrue="1" id="{57D4EAFB-6CFE-463D-9E2B-E59C2E35468A}">
            <xm:f>MATCH($F706,LISTE!$A$1:$A$20,0)=4</xm:f>
            <x14:dxf>
              <font>
                <b val="0"/>
                <i val="0"/>
                <color rgb="FF000000"/>
              </font>
              <fill>
                <patternFill>
                  <fgColor indexed="64"/>
                  <bgColor rgb="FFE2EFDA"/>
                </patternFill>
              </fill>
            </x14:dxf>
          </x14:cfRule>
          <x14:cfRule type="expression" priority="13" stopIfTrue="1" id="{65D70665-01E3-4011-ACD3-627644B57C78}">
            <xm:f>MATCH($F706,LISTE!$A$1:$A$20,0)=3</xm:f>
            <x14:dxf>
              <font>
                <b val="0"/>
                <i val="0"/>
                <color rgb="FF000000"/>
              </font>
              <fill>
                <patternFill>
                  <fgColor indexed="64"/>
                  <bgColor rgb="FFA9D08E"/>
                </patternFill>
              </fill>
            </x14:dxf>
          </x14:cfRule>
          <x14:cfRule type="expression" priority="14" id="{D80E0AC1-C03D-4FDE-953F-58EFBFF22304}">
            <xm:f>MATCH($F706,LISTE!$A$1:$A$20,0)=2</xm:f>
            <x14:dxf>
              <font>
                <b val="0"/>
                <i val="0"/>
                <color rgb="FF000000"/>
              </font>
              <fill>
                <patternFill>
                  <fgColor indexed="64"/>
                  <bgColor rgb="FF9BC2E6"/>
                </patternFill>
              </fill>
            </x14:dxf>
          </x14:cfRule>
          <xm:sqref>A706:F706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ED948-979D-41D3-9C62-908A21641083}">
  <sheetPr codeName="Feuil4">
    <pageSetUpPr fitToPage="1"/>
  </sheetPr>
  <dimension ref="A1:AG679"/>
  <sheetViews>
    <sheetView tabSelected="1" zoomScaleNormal="100" workbookViewId="0">
      <pane xSplit="2" ySplit="1" topLeftCell="C2" activePane="bottomRight" state="frozen"/>
      <selection pane="topRight" activeCell="C1" sqref="C1"/>
      <selection pane="bottomLeft" activeCell="A2" sqref="A2"/>
      <selection pane="bottomRight" activeCell="AE2" sqref="AE2:AE679"/>
    </sheetView>
  </sheetViews>
  <sheetFormatPr baseColWidth="10" defaultRowHeight="18" customHeight="1" x14ac:dyDescent="0.35"/>
  <cols>
    <col min="1" max="1" width="8" style="37" bestFit="1" customWidth="1"/>
    <col min="2" max="2" width="15.109375" style="37" bestFit="1" customWidth="1"/>
    <col min="3" max="3" width="15.6640625" style="37" bestFit="1" customWidth="1"/>
    <col min="4" max="4" width="47.109375" style="37" bestFit="1" customWidth="1"/>
    <col min="5" max="5" width="30.109375" style="37" customWidth="1"/>
    <col min="6" max="6" width="30.109375" style="100" customWidth="1"/>
    <col min="7" max="7" width="49.44140625" style="37" bestFit="1" customWidth="1"/>
    <col min="8" max="8" width="17" style="37" bestFit="1" customWidth="1"/>
    <col min="9" max="9" width="33.77734375" style="37" bestFit="1" customWidth="1"/>
    <col min="10" max="10" width="42.21875" style="37" customWidth="1"/>
    <col min="11" max="11" width="25.88671875" style="37" customWidth="1"/>
    <col min="12" max="12" width="13.77734375" style="37" bestFit="1" customWidth="1"/>
    <col min="13" max="13" width="15.33203125" style="37" bestFit="1" customWidth="1"/>
    <col min="14" max="14" width="15.88671875" style="37" bestFit="1" customWidth="1"/>
    <col min="15" max="16" width="11.6640625" style="37" bestFit="1" customWidth="1"/>
    <col min="17" max="17" width="15.88671875" style="37" bestFit="1" customWidth="1"/>
    <col min="18" max="19" width="11.6640625" style="37" bestFit="1" customWidth="1"/>
    <col min="20" max="20" width="15.44140625" style="37" bestFit="1" customWidth="1"/>
    <col min="21" max="21" width="13.21875" style="37" bestFit="1" customWidth="1"/>
    <col min="22" max="22" width="16.109375" style="37" bestFit="1" customWidth="1"/>
    <col min="23" max="23" width="13.21875" style="37" bestFit="1" customWidth="1"/>
    <col min="24" max="24" width="11.6640625" style="37" hidden="1" customWidth="1"/>
    <col min="25" max="25" width="0" style="37" hidden="1" customWidth="1"/>
    <col min="26" max="26" width="58.44140625" style="37" customWidth="1"/>
    <col min="27" max="27" width="16.21875" style="37" hidden="1" customWidth="1"/>
    <col min="28" max="28" width="17.88671875" style="37" bestFit="1" customWidth="1"/>
    <col min="29" max="29" width="64.33203125" style="37" bestFit="1" customWidth="1"/>
    <col min="30" max="30" width="11.5546875" style="37"/>
    <col min="31" max="31" width="15.6640625" style="102" bestFit="1" customWidth="1"/>
    <col min="32" max="16384" width="11.5546875" style="37"/>
  </cols>
  <sheetData>
    <row r="1" spans="1:33" ht="54.6" thickBot="1" x14ac:dyDescent="0.4">
      <c r="A1" s="63" t="s">
        <v>1475</v>
      </c>
      <c r="B1" s="63" t="s">
        <v>1476</v>
      </c>
      <c r="C1" s="63" t="s">
        <v>1477</v>
      </c>
      <c r="D1" s="63" t="s">
        <v>1478</v>
      </c>
      <c r="E1" s="63" t="s">
        <v>1155</v>
      </c>
      <c r="F1" s="96" t="s">
        <v>2235</v>
      </c>
      <c r="G1" s="63" t="s">
        <v>1479</v>
      </c>
      <c r="H1" s="63" t="s">
        <v>1480</v>
      </c>
      <c r="I1" s="63" t="s">
        <v>1158</v>
      </c>
      <c r="J1" s="63" t="s">
        <v>1481</v>
      </c>
      <c r="K1" s="63" t="s">
        <v>1482</v>
      </c>
      <c r="L1" s="63" t="s">
        <v>1483</v>
      </c>
      <c r="M1" s="63" t="s">
        <v>1484</v>
      </c>
      <c r="N1" s="63" t="s">
        <v>1485</v>
      </c>
      <c r="O1" s="63" t="s">
        <v>1486</v>
      </c>
      <c r="P1" s="63" t="s">
        <v>1487</v>
      </c>
      <c r="Q1" s="63" t="s">
        <v>1488</v>
      </c>
      <c r="R1" s="63" t="s">
        <v>1489</v>
      </c>
      <c r="S1" s="63" t="s">
        <v>1490</v>
      </c>
      <c r="T1" s="63" t="s">
        <v>1491</v>
      </c>
      <c r="U1" s="63" t="s">
        <v>1492</v>
      </c>
      <c r="V1" s="63" t="s">
        <v>1493</v>
      </c>
      <c r="W1" s="63" t="s">
        <v>1494</v>
      </c>
      <c r="X1" s="63" t="s">
        <v>1495</v>
      </c>
      <c r="Y1" s="63" t="s">
        <v>1496</v>
      </c>
      <c r="Z1" s="63" t="s">
        <v>1497</v>
      </c>
      <c r="AA1" s="63" t="s">
        <v>1498</v>
      </c>
      <c r="AB1" s="63" t="s">
        <v>1499</v>
      </c>
      <c r="AC1" s="63" t="s">
        <v>1500</v>
      </c>
      <c r="AD1" s="85" t="s">
        <v>2090</v>
      </c>
      <c r="AE1" s="101" t="s">
        <v>2524</v>
      </c>
    </row>
    <row r="2" spans="1:33" ht="18" customHeight="1" thickBot="1" x14ac:dyDescent="0.4">
      <c r="A2" s="64">
        <v>44436</v>
      </c>
      <c r="B2" s="64">
        <v>42125</v>
      </c>
      <c r="C2" s="106">
        <v>45462</v>
      </c>
      <c r="D2" s="66" t="s">
        <v>102</v>
      </c>
      <c r="E2" s="66" t="s">
        <v>32</v>
      </c>
      <c r="F2" s="68" t="s">
        <v>2238</v>
      </c>
      <c r="G2" s="66" t="s">
        <v>1501</v>
      </c>
      <c r="H2" s="64">
        <v>1535</v>
      </c>
      <c r="I2" s="67" t="s">
        <v>5</v>
      </c>
      <c r="J2" s="97">
        <v>403832762</v>
      </c>
      <c r="K2" s="66"/>
      <c r="L2" s="68"/>
      <c r="M2" s="69">
        <v>81.2</v>
      </c>
      <c r="N2" s="69">
        <v>81.2</v>
      </c>
      <c r="O2" s="70">
        <f>IF(registreGarantie[[#This Row],[date paiement]]="","",registreGarantie[[#This Row],[Pièces 
Demandés]]-registreGarantie[[#This Row],[Pièces 
Remboursés]])</f>
        <v>0</v>
      </c>
      <c r="P2" s="69">
        <v>167.33</v>
      </c>
      <c r="Q2" s="69">
        <v>167.33</v>
      </c>
      <c r="R2" s="70">
        <f>IF(registreGarantie[[#This Row],[date paiement]]="","",registreGarantie[[#This Row],[MO
Demandé]]-registreGarantie[[#This Row],[MO
Remboursé]])</f>
        <v>0</v>
      </c>
      <c r="S2" s="69"/>
      <c r="T2" s="70">
        <f>IF(registreGarantie[[#This Row],[date paiement]]="","",registreGarantie[[#This Row],[MO
Refusé]]+registreGarantie[[#This Row],[Pièces
Refusés]])</f>
        <v>0</v>
      </c>
      <c r="U2" s="106">
        <v>45476</v>
      </c>
      <c r="V2" s="71">
        <f>IF(registreGarantie[[#This Row],[Pièces 
Demandés]]="","",registreGarantie[[#This Row],[Date]])</f>
        <v>45462</v>
      </c>
      <c r="W2" s="103">
        <f>IF(registreGarantie[[#This Row],[Pièces 
Demandés]]="","",IF(registreGarantie[[#This Row],[date paiement]]="","",registreGarantie[[#This Row],[date paiement]]+91))</f>
        <v>45567</v>
      </c>
      <c r="X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 s="74" t="str">
        <f ca="1">IF(registreGarantie[[#This Row],[Colonne1]]=0,"",IF(TODAY()&gt;registreGarantie[[#This Row],[Date rebus]],0,1))</f>
        <v/>
      </c>
      <c r="Z2" s="66"/>
      <c r="AA2" s="73" t="str">
        <f>IF(AND(registreGarantie[[#This Row],[Montant non remboursé]]&gt;1,registreGarantie[[#This Row],[Montant non remboursé]]&lt;&gt;""),1,"")</f>
        <v/>
      </c>
      <c r="AB2" s="66"/>
      <c r="AC2" s="66"/>
      <c r="AD2" s="86">
        <f t="shared" ref="AD2:AD65" si="0">ROW(AD2)</f>
        <v>2</v>
      </c>
      <c r="AE2" s="108"/>
      <c r="AG2" s="84">
        <v>45322</v>
      </c>
    </row>
    <row r="3" spans="1:33" ht="18" customHeight="1" thickBot="1" x14ac:dyDescent="0.4">
      <c r="A3" s="64">
        <v>44576</v>
      </c>
      <c r="B3" s="64">
        <v>41726</v>
      </c>
      <c r="C3" s="106">
        <v>45188</v>
      </c>
      <c r="D3" s="66" t="s">
        <v>86</v>
      </c>
      <c r="E3" s="66" t="s">
        <v>45</v>
      </c>
      <c r="F3" s="68" t="s">
        <v>2239</v>
      </c>
      <c r="G3" s="66" t="s">
        <v>1502</v>
      </c>
      <c r="H3" s="64">
        <v>2736</v>
      </c>
      <c r="I3" s="67" t="s">
        <v>3</v>
      </c>
      <c r="J3" s="97">
        <v>403942569</v>
      </c>
      <c r="K3" s="66"/>
      <c r="L3" s="68"/>
      <c r="M3" s="69">
        <v>1788.98</v>
      </c>
      <c r="N3" s="69">
        <v>1788.98</v>
      </c>
      <c r="O3" s="70">
        <f>IF(registreGarantie[[#This Row],[date paiement]]="","",registreGarantie[[#This Row],[Pièces 
Demandés]]-registreGarantie[[#This Row],[Pièces 
Remboursés]])</f>
        <v>0</v>
      </c>
      <c r="P3" s="69">
        <v>267.3</v>
      </c>
      <c r="Q3" s="69">
        <v>267.3</v>
      </c>
      <c r="R3" s="70">
        <f>IF(registreGarantie[[#This Row],[date paiement]]="","",registreGarantie[[#This Row],[MO
Demandé]]-registreGarantie[[#This Row],[MO
Remboursé]])</f>
        <v>0</v>
      </c>
      <c r="S3" s="69"/>
      <c r="T3" s="70">
        <f>IF(registreGarantie[[#This Row],[date paiement]]="","",registreGarantie[[#This Row],[MO
Refusé]]+registreGarantie[[#This Row],[Pièces
Refusés]])</f>
        <v>0</v>
      </c>
      <c r="U3" s="106">
        <v>45415</v>
      </c>
      <c r="V3" s="71">
        <f>IF(registreGarantie[[#This Row],[Pièces 
Demandés]]="","",registreGarantie[[#This Row],[Date]])</f>
        <v>45188</v>
      </c>
      <c r="W3" s="103">
        <f>IF(registreGarantie[[#This Row],[Pièces 
Demandés]]="","",IF(registreGarantie[[#This Row],[date paiement]]="","",registreGarantie[[#This Row],[date paiement]]+91))</f>
        <v>45506</v>
      </c>
      <c r="X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 s="74">
        <f ca="1">IF(registreGarantie[[#This Row],[Colonne1]]=0,"",IF(TODAY()&gt;registreGarantie[[#This Row],[Date rebus]],0,1))</f>
        <v>0</v>
      </c>
      <c r="Z3" s="66"/>
      <c r="AA3" s="73" t="str">
        <f>IF(AND(registreGarantie[[#This Row],[Montant non remboursé]]&gt;1,registreGarantie[[#This Row],[Montant non remboursé]]&lt;&gt;""),1,"")</f>
        <v/>
      </c>
      <c r="AB3" s="66"/>
      <c r="AC3" s="66"/>
      <c r="AD3" s="87">
        <f t="shared" si="0"/>
        <v>3</v>
      </c>
      <c r="AE3" s="109"/>
    </row>
    <row r="4" spans="1:33" ht="18" customHeight="1" thickBot="1" x14ac:dyDescent="0.4">
      <c r="A4" s="64">
        <v>44612</v>
      </c>
      <c r="B4" s="64">
        <v>41949</v>
      </c>
      <c r="C4" s="106">
        <v>45222</v>
      </c>
      <c r="D4" s="66" t="s">
        <v>41</v>
      </c>
      <c r="E4" s="66" t="s">
        <v>2247</v>
      </c>
      <c r="F4" s="68" t="s">
        <v>2248</v>
      </c>
      <c r="G4" s="66" t="s">
        <v>1503</v>
      </c>
      <c r="H4" s="64" t="s">
        <v>1504</v>
      </c>
      <c r="I4" s="67" t="s">
        <v>15</v>
      </c>
      <c r="J4" s="97">
        <v>403976009</v>
      </c>
      <c r="K4" s="66"/>
      <c r="L4" s="68"/>
      <c r="M4" s="69">
        <v>214.78</v>
      </c>
      <c r="N4" s="69">
        <v>214.78</v>
      </c>
      <c r="O4" s="70">
        <f>IF(registreGarantie[[#This Row],[date paiement]]="","",registreGarantie[[#This Row],[Pièces 
Demandés]]-registreGarantie[[#This Row],[Pièces 
Remboursés]])</f>
        <v>0</v>
      </c>
      <c r="P4" s="69">
        <v>89.1</v>
      </c>
      <c r="Q4" s="69">
        <v>89.1</v>
      </c>
      <c r="R4" s="70">
        <f>IF(registreGarantie[[#This Row],[date paiement]]="","",registreGarantie[[#This Row],[MO
Demandé]]-registreGarantie[[#This Row],[MO
Remboursé]])</f>
        <v>0</v>
      </c>
      <c r="S4" s="69"/>
      <c r="T4" s="70">
        <f>IF(registreGarantie[[#This Row],[date paiement]]="","",registreGarantie[[#This Row],[MO
Refusé]]+registreGarantie[[#This Row],[Pièces
Refusés]])</f>
        <v>0</v>
      </c>
      <c r="U4" s="106">
        <v>45356</v>
      </c>
      <c r="V4" s="71">
        <f>IF(registreGarantie[[#This Row],[Pièces 
Demandés]]="","",registreGarantie[[#This Row],[Date]])</f>
        <v>45222</v>
      </c>
      <c r="W4" s="103">
        <f>IF(registreGarantie[[#This Row],[Pièces 
Demandés]]="","",IF(registreGarantie[[#This Row],[date paiement]]="","",registreGarantie[[#This Row],[date paiement]]+91))</f>
        <v>45447</v>
      </c>
      <c r="X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 s="74">
        <f ca="1">IF(registreGarantie[[#This Row],[Colonne1]]=0,"",IF(TODAY()&gt;registreGarantie[[#This Row],[Date rebus]],0,1))</f>
        <v>0</v>
      </c>
      <c r="Z4" s="66"/>
      <c r="AA4" s="73" t="str">
        <f>IF(AND(registreGarantie[[#This Row],[Montant non remboursé]]&gt;1,registreGarantie[[#This Row],[Montant non remboursé]]&lt;&gt;""),1,"")</f>
        <v/>
      </c>
      <c r="AB4" s="66"/>
      <c r="AC4" s="66"/>
      <c r="AD4" s="87">
        <f t="shared" si="0"/>
        <v>4</v>
      </c>
      <c r="AE4" s="109"/>
    </row>
    <row r="5" spans="1:33" ht="18" customHeight="1" thickBot="1" x14ac:dyDescent="0.4">
      <c r="A5" s="64">
        <v>44615</v>
      </c>
      <c r="B5" s="64">
        <v>42022</v>
      </c>
      <c r="C5" s="106">
        <v>45238</v>
      </c>
      <c r="D5" s="66" t="s">
        <v>1135</v>
      </c>
      <c r="E5" s="66" t="s">
        <v>63</v>
      </c>
      <c r="F5" s="68" t="s">
        <v>2243</v>
      </c>
      <c r="G5" s="66" t="s">
        <v>1505</v>
      </c>
      <c r="H5" s="64" t="s">
        <v>1506</v>
      </c>
      <c r="I5" s="67" t="s">
        <v>3</v>
      </c>
      <c r="J5" s="97">
        <v>403994965</v>
      </c>
      <c r="K5" s="66"/>
      <c r="L5" s="68"/>
      <c r="M5" s="69">
        <v>898.9</v>
      </c>
      <c r="N5" s="69">
        <v>898.9</v>
      </c>
      <c r="O5" s="70">
        <f>IF(registreGarantie[[#This Row],[date paiement]]="","",registreGarantie[[#This Row],[Pièces 
Demandés]]-registreGarantie[[#This Row],[Pièces 
Remboursés]])</f>
        <v>0</v>
      </c>
      <c r="P5" s="69">
        <v>207.9</v>
      </c>
      <c r="Q5" s="69">
        <v>207.9</v>
      </c>
      <c r="R5" s="70">
        <f>IF(registreGarantie[[#This Row],[date paiement]]="","",registreGarantie[[#This Row],[MO
Demandé]]-registreGarantie[[#This Row],[MO
Remboursé]])</f>
        <v>0</v>
      </c>
      <c r="S5" s="69"/>
      <c r="T5" s="70">
        <f>IF(registreGarantie[[#This Row],[date paiement]]="","",registreGarantie[[#This Row],[MO
Refusé]]+registreGarantie[[#This Row],[Pièces
Refusés]])</f>
        <v>0</v>
      </c>
      <c r="U5" s="106">
        <v>45356</v>
      </c>
      <c r="V5" s="71">
        <f>IF(registreGarantie[[#This Row],[Pièces 
Demandés]]="","",registreGarantie[[#This Row],[Date]])</f>
        <v>45238</v>
      </c>
      <c r="W5" s="103">
        <f>IF(registreGarantie[[#This Row],[Pièces 
Demandés]]="","",IF(registreGarantie[[#This Row],[date paiement]]="","",registreGarantie[[#This Row],[date paiement]]+91))</f>
        <v>45447</v>
      </c>
      <c r="X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 s="74">
        <f ca="1">IF(registreGarantie[[#This Row],[Colonne1]]=0,"",IF(TODAY()&gt;registreGarantie[[#This Row],[Date rebus]],0,1))</f>
        <v>0</v>
      </c>
      <c r="Z5" s="66"/>
      <c r="AA5" s="73" t="str">
        <f>IF(AND(registreGarantie[[#This Row],[Montant non remboursé]]&gt;1,registreGarantie[[#This Row],[Montant non remboursé]]&lt;&gt;""),1,"")</f>
        <v/>
      </c>
      <c r="AB5" s="66"/>
      <c r="AC5" s="66"/>
      <c r="AD5" s="87">
        <f t="shared" si="0"/>
        <v>5</v>
      </c>
      <c r="AE5" s="109"/>
    </row>
    <row r="6" spans="1:33" ht="18" customHeight="1" thickBot="1" x14ac:dyDescent="0.4">
      <c r="A6" s="64">
        <v>44635</v>
      </c>
      <c r="B6" s="64">
        <v>42074</v>
      </c>
      <c r="C6" s="106">
        <v>45243</v>
      </c>
      <c r="D6" s="66" t="s">
        <v>292</v>
      </c>
      <c r="E6" s="66" t="s">
        <v>75</v>
      </c>
      <c r="F6" s="68" t="s">
        <v>2244</v>
      </c>
      <c r="G6" s="66" t="s">
        <v>285</v>
      </c>
      <c r="H6" s="64" t="s">
        <v>1507</v>
      </c>
      <c r="I6" s="67" t="s">
        <v>2</v>
      </c>
      <c r="J6" s="97">
        <v>404002866</v>
      </c>
      <c r="K6" s="66"/>
      <c r="L6" s="68"/>
      <c r="M6" s="69">
        <v>44.55</v>
      </c>
      <c r="N6" s="69">
        <v>44.55</v>
      </c>
      <c r="O6" s="70">
        <f>IF(registreGarantie[[#This Row],[date paiement]]="","",registreGarantie[[#This Row],[Pièces 
Demandés]]-registreGarantie[[#This Row],[Pièces 
Remboursés]])</f>
        <v>0</v>
      </c>
      <c r="P6" s="69">
        <v>118.8</v>
      </c>
      <c r="Q6" s="69">
        <v>118.8</v>
      </c>
      <c r="R6" s="70">
        <f>IF(registreGarantie[[#This Row],[date paiement]]="","",registreGarantie[[#This Row],[MO
Demandé]]-registreGarantie[[#This Row],[MO
Remboursé]])</f>
        <v>0</v>
      </c>
      <c r="S6" s="69"/>
      <c r="T6" s="70">
        <f>IF(registreGarantie[[#This Row],[date paiement]]="","",registreGarantie[[#This Row],[MO
Refusé]]+registreGarantie[[#This Row],[Pièces
Refusés]])</f>
        <v>0</v>
      </c>
      <c r="U6" s="106">
        <v>45356</v>
      </c>
      <c r="V6" s="71">
        <f>IF(registreGarantie[[#This Row],[Pièces 
Demandés]]="","",registreGarantie[[#This Row],[Date]])</f>
        <v>45243</v>
      </c>
      <c r="W6" s="103">
        <f>IF(registreGarantie[[#This Row],[Pièces 
Demandés]]="","",IF(registreGarantie[[#This Row],[date paiement]]="","",registreGarantie[[#This Row],[date paiement]]+91))</f>
        <v>45447</v>
      </c>
      <c r="X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 s="74">
        <f ca="1">IF(registreGarantie[[#This Row],[Colonne1]]=0,"",IF(TODAY()&gt;registreGarantie[[#This Row],[Date rebus]],0,1))</f>
        <v>0</v>
      </c>
      <c r="Z6" s="66"/>
      <c r="AA6" s="73" t="str">
        <f>IF(AND(registreGarantie[[#This Row],[Montant non remboursé]]&gt;1,registreGarantie[[#This Row],[Montant non remboursé]]&lt;&gt;""),1,"")</f>
        <v/>
      </c>
      <c r="AB6" s="66"/>
      <c r="AC6" s="66"/>
      <c r="AD6" s="87">
        <f t="shared" si="0"/>
        <v>6</v>
      </c>
      <c r="AE6" s="109"/>
    </row>
    <row r="7" spans="1:33" ht="18" customHeight="1" thickBot="1" x14ac:dyDescent="0.4">
      <c r="A7" s="64">
        <v>44639</v>
      </c>
      <c r="B7" s="64">
        <v>42104</v>
      </c>
      <c r="C7" s="106">
        <v>45268</v>
      </c>
      <c r="D7" s="66" t="s">
        <v>41</v>
      </c>
      <c r="E7" s="66" t="s">
        <v>254</v>
      </c>
      <c r="F7" s="68" t="s">
        <v>2249</v>
      </c>
      <c r="G7" s="66" t="s">
        <v>1508</v>
      </c>
      <c r="H7" s="64" t="s">
        <v>1509</v>
      </c>
      <c r="I7" s="67" t="s">
        <v>17</v>
      </c>
      <c r="J7" s="97">
        <v>404008788</v>
      </c>
      <c r="K7" s="66"/>
      <c r="L7" s="68"/>
      <c r="M7" s="69">
        <v>2912.4</v>
      </c>
      <c r="N7" s="69">
        <v>2912.4</v>
      </c>
      <c r="O7" s="70">
        <f>IF(registreGarantie[[#This Row],[date paiement]]="","",registreGarantie[[#This Row],[Pièces 
Demandés]]-registreGarantie[[#This Row],[Pièces 
Remboursés]])</f>
        <v>0</v>
      </c>
      <c r="P7" s="69"/>
      <c r="Q7" s="69"/>
      <c r="R7" s="70">
        <f>IF(registreGarantie[[#This Row],[date paiement]]="","",registreGarantie[[#This Row],[MO
Demandé]]-registreGarantie[[#This Row],[MO
Remboursé]])</f>
        <v>0</v>
      </c>
      <c r="S7" s="69"/>
      <c r="T7" s="70">
        <f>IF(registreGarantie[[#This Row],[date paiement]]="","",registreGarantie[[#This Row],[MO
Refusé]]+registreGarantie[[#This Row],[Pièces
Refusés]])</f>
        <v>0</v>
      </c>
      <c r="U7" s="106">
        <v>45433</v>
      </c>
      <c r="V7" s="71">
        <f>IF(registreGarantie[[#This Row],[Pièces 
Demandés]]="","",registreGarantie[[#This Row],[Date]])</f>
        <v>45268</v>
      </c>
      <c r="W7" s="103">
        <f>IF(registreGarantie[[#This Row],[Pièces 
Demandés]]="","",IF(registreGarantie[[#This Row],[date paiement]]="","",registreGarantie[[#This Row],[date paiement]]+91))</f>
        <v>45524</v>
      </c>
      <c r="X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 s="74">
        <f ca="1">IF(registreGarantie[[#This Row],[Colonne1]]=0,"",IF(TODAY()&gt;registreGarantie[[#This Row],[Date rebus]],0,1))</f>
        <v>0</v>
      </c>
      <c r="Z7" s="66"/>
      <c r="AA7" s="73" t="str">
        <f>IF(AND(registreGarantie[[#This Row],[Montant non remboursé]]&gt;1,registreGarantie[[#This Row],[Montant non remboursé]]&lt;&gt;""),1,"")</f>
        <v/>
      </c>
      <c r="AB7" s="66"/>
      <c r="AC7" s="66"/>
      <c r="AD7" s="87">
        <f t="shared" si="0"/>
        <v>7</v>
      </c>
      <c r="AE7" s="109"/>
    </row>
    <row r="8" spans="1:33" ht="18" customHeight="1" thickBot="1" x14ac:dyDescent="0.4">
      <c r="A8" s="64">
        <v>44640</v>
      </c>
      <c r="B8" s="64">
        <v>42073</v>
      </c>
      <c r="C8" s="106">
        <v>45264</v>
      </c>
      <c r="D8" s="66" t="s">
        <v>292</v>
      </c>
      <c r="E8" s="66" t="s">
        <v>293</v>
      </c>
      <c r="F8" s="68" t="s">
        <v>2246</v>
      </c>
      <c r="G8" s="66" t="s">
        <v>1136</v>
      </c>
      <c r="H8" s="64" t="s">
        <v>1510</v>
      </c>
      <c r="I8" s="67" t="s">
        <v>3</v>
      </c>
      <c r="J8" s="97">
        <v>404021952</v>
      </c>
      <c r="K8" s="66"/>
      <c r="L8" s="68"/>
      <c r="M8" s="69">
        <v>224.7</v>
      </c>
      <c r="N8" s="69">
        <v>224.7</v>
      </c>
      <c r="O8" s="70">
        <f>IF(registreGarantie[[#This Row],[date paiement]]="","",registreGarantie[[#This Row],[Pièces 
Demandés]]-registreGarantie[[#This Row],[Pièces 
Remboursés]])</f>
        <v>0</v>
      </c>
      <c r="P8" s="69">
        <v>83.16</v>
      </c>
      <c r="Q8" s="69">
        <v>83.16</v>
      </c>
      <c r="R8" s="70">
        <f>IF(registreGarantie[[#This Row],[date paiement]]="","",registreGarantie[[#This Row],[MO
Demandé]]-registreGarantie[[#This Row],[MO
Remboursé]])</f>
        <v>0</v>
      </c>
      <c r="S8" s="69"/>
      <c r="T8" s="70">
        <f>IF(registreGarantie[[#This Row],[date paiement]]="","",registreGarantie[[#This Row],[MO
Refusé]]+registreGarantie[[#This Row],[Pièces
Refusés]])</f>
        <v>0</v>
      </c>
      <c r="U8" s="106">
        <v>45363</v>
      </c>
      <c r="V8" s="71">
        <f>IF(registreGarantie[[#This Row],[Pièces 
Demandés]]="","",registreGarantie[[#This Row],[Date]])</f>
        <v>45264</v>
      </c>
      <c r="W8" s="103">
        <f>IF(registreGarantie[[#This Row],[Pièces 
Demandés]]="","",IF(registreGarantie[[#This Row],[date paiement]]="","",registreGarantie[[#This Row],[date paiement]]+91))</f>
        <v>45454</v>
      </c>
      <c r="X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 s="74">
        <f ca="1">IF(registreGarantie[[#This Row],[Colonne1]]=0,"",IF(TODAY()&gt;registreGarantie[[#This Row],[Date rebus]],0,1))</f>
        <v>0</v>
      </c>
      <c r="Z8" s="66"/>
      <c r="AA8" s="73" t="str">
        <f>IF(AND(registreGarantie[[#This Row],[Montant non remboursé]]&gt;1,registreGarantie[[#This Row],[Montant non remboursé]]&lt;&gt;""),1,"")</f>
        <v/>
      </c>
      <c r="AB8" s="66"/>
      <c r="AC8" s="66"/>
      <c r="AD8" s="87">
        <f t="shared" si="0"/>
        <v>8</v>
      </c>
      <c r="AE8" s="109"/>
    </row>
    <row r="9" spans="1:33" ht="18" customHeight="1" thickBot="1" x14ac:dyDescent="0.4">
      <c r="A9" s="64">
        <v>44644</v>
      </c>
      <c r="B9" s="64">
        <v>42045</v>
      </c>
      <c r="C9" s="106">
        <v>45266</v>
      </c>
      <c r="D9" s="66" t="s">
        <v>62</v>
      </c>
      <c r="E9" s="66" t="s">
        <v>63</v>
      </c>
      <c r="F9" s="68" t="s">
        <v>2250</v>
      </c>
      <c r="G9" s="66" t="s">
        <v>1511</v>
      </c>
      <c r="H9" s="64" t="s">
        <v>1512</v>
      </c>
      <c r="I9" s="67" t="s">
        <v>2</v>
      </c>
      <c r="J9" s="97">
        <v>404024168</v>
      </c>
      <c r="K9" s="66"/>
      <c r="L9" s="68"/>
      <c r="M9" s="69">
        <v>665.94</v>
      </c>
      <c r="N9" s="69">
        <v>665.94</v>
      </c>
      <c r="O9" s="70">
        <f>IF(registreGarantie[[#This Row],[date paiement]]="","",registreGarantie[[#This Row],[Pièces 
Demandés]]-registreGarantie[[#This Row],[Pièces 
Remboursés]])</f>
        <v>0</v>
      </c>
      <c r="P9" s="69"/>
      <c r="Q9" s="69"/>
      <c r="R9" s="70">
        <f>IF(registreGarantie[[#This Row],[date paiement]]="","",registreGarantie[[#This Row],[MO
Demandé]]-registreGarantie[[#This Row],[MO
Remboursé]])</f>
        <v>0</v>
      </c>
      <c r="S9" s="69"/>
      <c r="T9" s="70">
        <f>IF(registreGarantie[[#This Row],[date paiement]]="","",registreGarantie[[#This Row],[MO
Refusé]]+registreGarantie[[#This Row],[Pièces
Refusés]])</f>
        <v>0</v>
      </c>
      <c r="U9" s="106">
        <v>45391</v>
      </c>
      <c r="V9" s="71">
        <f>IF(registreGarantie[[#This Row],[Pièces 
Demandés]]="","",registreGarantie[[#This Row],[Date]])</f>
        <v>45266</v>
      </c>
      <c r="W9" s="103">
        <f>IF(registreGarantie[[#This Row],[Pièces 
Demandés]]="","",IF(registreGarantie[[#This Row],[date paiement]]="","",registreGarantie[[#This Row],[date paiement]]+91))</f>
        <v>45482</v>
      </c>
      <c r="X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9" s="74">
        <f ca="1">IF(registreGarantie[[#This Row],[Colonne1]]=0,"",IF(TODAY()&gt;registreGarantie[[#This Row],[Date rebus]],0,1))</f>
        <v>0</v>
      </c>
      <c r="Z9" s="66"/>
      <c r="AA9" s="73" t="str">
        <f>IF(AND(registreGarantie[[#This Row],[Montant non remboursé]]&gt;1,registreGarantie[[#This Row],[Montant non remboursé]]&lt;&gt;""),1,"")</f>
        <v/>
      </c>
      <c r="AB9" s="66"/>
      <c r="AC9" s="66"/>
      <c r="AD9" s="87">
        <f t="shared" si="0"/>
        <v>9</v>
      </c>
      <c r="AE9" s="109"/>
    </row>
    <row r="10" spans="1:33" ht="18" customHeight="1" thickBot="1" x14ac:dyDescent="0.4">
      <c r="A10" s="64">
        <v>44649</v>
      </c>
      <c r="B10" s="64">
        <v>5660</v>
      </c>
      <c r="C10" s="106">
        <v>45272</v>
      </c>
      <c r="D10" s="66" t="s">
        <v>1513</v>
      </c>
      <c r="E10" s="66" t="s">
        <v>94</v>
      </c>
      <c r="F10" s="68" t="s">
        <v>2236</v>
      </c>
      <c r="G10" s="66" t="s">
        <v>770</v>
      </c>
      <c r="H10" s="64" t="s">
        <v>1514</v>
      </c>
      <c r="I10" s="67" t="s">
        <v>3</v>
      </c>
      <c r="J10" s="97">
        <v>404033710</v>
      </c>
      <c r="K10" s="66"/>
      <c r="L10" s="68"/>
      <c r="M10" s="69">
        <v>463.34</v>
      </c>
      <c r="N10" s="69">
        <v>463.34</v>
      </c>
      <c r="O10" s="70">
        <f>IF(registreGarantie[[#This Row],[date paiement]]="","",registreGarantie[[#This Row],[Pièces 
Demandés]]-registreGarantie[[#This Row],[Pièces 
Remboursés]])</f>
        <v>0</v>
      </c>
      <c r="P10" s="69">
        <v>415.8</v>
      </c>
      <c r="Q10" s="69">
        <v>415.8</v>
      </c>
      <c r="R10" s="70">
        <f>IF(registreGarantie[[#This Row],[date paiement]]="","",registreGarantie[[#This Row],[MO
Demandé]]-registreGarantie[[#This Row],[MO
Remboursé]])</f>
        <v>0</v>
      </c>
      <c r="S10" s="69"/>
      <c r="T10" s="70">
        <f>IF(registreGarantie[[#This Row],[date paiement]]="","",registreGarantie[[#This Row],[MO
Refusé]]+registreGarantie[[#This Row],[Pièces
Refusés]])</f>
        <v>0</v>
      </c>
      <c r="U10" s="106">
        <v>45363</v>
      </c>
      <c r="V10" s="71">
        <f>IF(registreGarantie[[#This Row],[Pièces 
Demandés]]="","",registreGarantie[[#This Row],[Date]])</f>
        <v>45272</v>
      </c>
      <c r="W10" s="103">
        <f>IF(registreGarantie[[#This Row],[Pièces 
Demandés]]="","",IF(registreGarantie[[#This Row],[date paiement]]="","",registreGarantie[[#This Row],[date paiement]]+91))</f>
        <v>45454</v>
      </c>
      <c r="X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0" s="74">
        <f ca="1">IF(registreGarantie[[#This Row],[Colonne1]]=0,"",IF(TODAY()&gt;registreGarantie[[#This Row],[Date rebus]],0,1))</f>
        <v>0</v>
      </c>
      <c r="Z10" s="66"/>
      <c r="AA10" s="73" t="str">
        <f>IF(AND(registreGarantie[[#This Row],[Montant non remboursé]]&gt;1,registreGarantie[[#This Row],[Montant non remboursé]]&lt;&gt;""),1,"")</f>
        <v/>
      </c>
      <c r="AB10" s="66"/>
      <c r="AC10" s="66"/>
      <c r="AD10" s="87">
        <f t="shared" si="0"/>
        <v>10</v>
      </c>
      <c r="AE10" s="109"/>
    </row>
    <row r="11" spans="1:33" ht="18" customHeight="1" thickBot="1" x14ac:dyDescent="0.4">
      <c r="A11" s="64">
        <v>44651</v>
      </c>
      <c r="B11" s="64">
        <v>42155</v>
      </c>
      <c r="C11" s="106">
        <v>45268</v>
      </c>
      <c r="D11" s="66" t="s">
        <v>622</v>
      </c>
      <c r="E11" s="66" t="s">
        <v>133</v>
      </c>
      <c r="F11" s="68" t="s">
        <v>2258</v>
      </c>
      <c r="G11" s="66"/>
      <c r="H11" s="64" t="s">
        <v>1515</v>
      </c>
      <c r="I11" s="67" t="s">
        <v>3</v>
      </c>
      <c r="J11" s="97">
        <v>404026918</v>
      </c>
      <c r="K11" s="66"/>
      <c r="L11" s="68"/>
      <c r="M11" s="69">
        <v>97.98</v>
      </c>
      <c r="N11" s="69">
        <v>97.98</v>
      </c>
      <c r="O11" s="70">
        <f>IF(registreGarantie[[#This Row],[date paiement]]="","",registreGarantie[[#This Row],[Pièces 
Demandés]]-registreGarantie[[#This Row],[Pièces 
Remboursés]])</f>
        <v>0</v>
      </c>
      <c r="P11" s="69">
        <v>534.6</v>
      </c>
      <c r="Q11" s="69">
        <v>534.6</v>
      </c>
      <c r="R11" s="70">
        <f>IF(registreGarantie[[#This Row],[date paiement]]="","",registreGarantie[[#This Row],[MO
Demandé]]-registreGarantie[[#This Row],[MO
Remboursé]])</f>
        <v>0</v>
      </c>
      <c r="S11" s="69"/>
      <c r="T11" s="70">
        <f>IF(registreGarantie[[#This Row],[date paiement]]="","",registreGarantie[[#This Row],[MO
Refusé]]+registreGarantie[[#This Row],[Pièces
Refusés]])</f>
        <v>0</v>
      </c>
      <c r="U11" s="106">
        <v>45363</v>
      </c>
      <c r="V11" s="71">
        <f>IF(registreGarantie[[#This Row],[Pièces 
Demandés]]="","",registreGarantie[[#This Row],[Date]])</f>
        <v>45268</v>
      </c>
      <c r="W11" s="103">
        <f>IF(registreGarantie[[#This Row],[Pièces 
Demandés]]="","",IF(registreGarantie[[#This Row],[date paiement]]="","",registreGarantie[[#This Row],[date paiement]]+91))</f>
        <v>45454</v>
      </c>
      <c r="X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1" s="74">
        <f ca="1">IF(registreGarantie[[#This Row],[Colonne1]]=0,"",IF(TODAY()&gt;registreGarantie[[#This Row],[Date rebus]],0,1))</f>
        <v>0</v>
      </c>
      <c r="Z11" s="66"/>
      <c r="AA11" s="73" t="str">
        <f>IF(AND(registreGarantie[[#This Row],[Montant non remboursé]]&gt;1,registreGarantie[[#This Row],[Montant non remboursé]]&lt;&gt;""),1,"")</f>
        <v/>
      </c>
      <c r="AB11" s="66"/>
      <c r="AC11" s="66"/>
      <c r="AD11" s="87">
        <f t="shared" si="0"/>
        <v>11</v>
      </c>
      <c r="AE11" s="109"/>
    </row>
    <row r="12" spans="1:33" ht="18" customHeight="1" thickBot="1" x14ac:dyDescent="0.4">
      <c r="A12" s="64">
        <v>44654</v>
      </c>
      <c r="B12" s="64">
        <v>5661</v>
      </c>
      <c r="C12" s="106">
        <v>45273</v>
      </c>
      <c r="D12" s="66" t="s">
        <v>1513</v>
      </c>
      <c r="E12" s="66" t="s">
        <v>94</v>
      </c>
      <c r="F12" s="68" t="s">
        <v>2236</v>
      </c>
      <c r="G12" s="66" t="s">
        <v>1516</v>
      </c>
      <c r="H12" s="64" t="s">
        <v>1517</v>
      </c>
      <c r="I12" s="67" t="s">
        <v>3</v>
      </c>
      <c r="J12" s="97">
        <v>404033757</v>
      </c>
      <c r="K12" s="66"/>
      <c r="L12" s="68"/>
      <c r="M12" s="69">
        <v>184.65</v>
      </c>
      <c r="N12" s="69">
        <v>184.65</v>
      </c>
      <c r="O12" s="70">
        <f>IF(registreGarantie[[#This Row],[date paiement]]="","",registreGarantie[[#This Row],[Pièces 
Demandés]]-registreGarantie[[#This Row],[Pièces 
Remboursés]])</f>
        <v>0</v>
      </c>
      <c r="P12" s="69">
        <v>166.32</v>
      </c>
      <c r="Q12" s="69">
        <v>166.32</v>
      </c>
      <c r="R12" s="70">
        <f>IF(registreGarantie[[#This Row],[date paiement]]="","",registreGarantie[[#This Row],[MO
Demandé]]-registreGarantie[[#This Row],[MO
Remboursé]])</f>
        <v>0</v>
      </c>
      <c r="S12" s="69"/>
      <c r="T12" s="70">
        <f>IF(registreGarantie[[#This Row],[date paiement]]="","",registreGarantie[[#This Row],[MO
Refusé]]+registreGarantie[[#This Row],[Pièces
Refusés]])</f>
        <v>0</v>
      </c>
      <c r="U12" s="106">
        <v>45363</v>
      </c>
      <c r="V12" s="71">
        <f>IF(registreGarantie[[#This Row],[Pièces 
Demandés]]="","",registreGarantie[[#This Row],[Date]])</f>
        <v>45273</v>
      </c>
      <c r="W12" s="103">
        <f>IF(registreGarantie[[#This Row],[Pièces 
Demandés]]="","",IF(registreGarantie[[#This Row],[date paiement]]="","",registreGarantie[[#This Row],[date paiement]]+91))</f>
        <v>45454</v>
      </c>
      <c r="X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2" s="74">
        <f ca="1">IF(registreGarantie[[#This Row],[Colonne1]]=0,"",IF(TODAY()&gt;registreGarantie[[#This Row],[Date rebus]],0,1))</f>
        <v>0</v>
      </c>
      <c r="Z12" s="66"/>
      <c r="AA12" s="73" t="str">
        <f>IF(AND(registreGarantie[[#This Row],[Montant non remboursé]]&gt;1,registreGarantie[[#This Row],[Montant non remboursé]]&lt;&gt;""),1,"")</f>
        <v/>
      </c>
      <c r="AB12" s="66"/>
      <c r="AC12" s="66"/>
      <c r="AD12" s="87">
        <f t="shared" si="0"/>
        <v>12</v>
      </c>
      <c r="AE12" s="109"/>
    </row>
    <row r="13" spans="1:33" ht="18" customHeight="1" thickBot="1" x14ac:dyDescent="0.4">
      <c r="A13" s="64">
        <v>44656</v>
      </c>
      <c r="B13" s="64">
        <v>42202</v>
      </c>
      <c r="C13" s="106">
        <v>45275</v>
      </c>
      <c r="D13" s="66" t="s">
        <v>86</v>
      </c>
      <c r="E13" s="66" t="s">
        <v>367</v>
      </c>
      <c r="F13" s="68" t="s">
        <v>2253</v>
      </c>
      <c r="G13" s="66" t="s">
        <v>1518</v>
      </c>
      <c r="H13" s="64" t="s">
        <v>1519</v>
      </c>
      <c r="I13" s="67" t="s">
        <v>3</v>
      </c>
      <c r="J13" s="97">
        <v>404039883</v>
      </c>
      <c r="K13" s="66"/>
      <c r="L13" s="68"/>
      <c r="M13" s="69">
        <v>602.54999999999995</v>
      </c>
      <c r="N13" s="69">
        <v>602.54999999999995</v>
      </c>
      <c r="O13" s="70">
        <f>IF(registreGarantie[[#This Row],[date paiement]]="","",registreGarantie[[#This Row],[Pièces 
Demandés]]-registreGarantie[[#This Row],[Pièces 
Remboursés]])</f>
        <v>0</v>
      </c>
      <c r="P13" s="69">
        <v>93.75</v>
      </c>
      <c r="Q13" s="69">
        <v>93.75</v>
      </c>
      <c r="R13" s="70">
        <f>IF(registreGarantie[[#This Row],[date paiement]]="","",registreGarantie[[#This Row],[MO
Demandé]]-registreGarantie[[#This Row],[MO
Remboursé]])</f>
        <v>0</v>
      </c>
      <c r="S13" s="69">
        <v>150</v>
      </c>
      <c r="T13" s="70">
        <f>IF(registreGarantie[[#This Row],[date paiement]]="","",registreGarantie[[#This Row],[MO
Refusé]]+registreGarantie[[#This Row],[Pièces
Refusés]])</f>
        <v>0</v>
      </c>
      <c r="U13" s="106">
        <v>45363</v>
      </c>
      <c r="V13" s="71">
        <f>IF(registreGarantie[[#This Row],[Pièces 
Demandés]]="","",registreGarantie[[#This Row],[Date]])</f>
        <v>45275</v>
      </c>
      <c r="W13" s="103">
        <f>IF(registreGarantie[[#This Row],[Pièces 
Demandés]]="","",IF(registreGarantie[[#This Row],[date paiement]]="","",registreGarantie[[#This Row],[date paiement]]+91))</f>
        <v>45454</v>
      </c>
      <c r="X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3" s="74">
        <f ca="1">IF(registreGarantie[[#This Row],[Colonne1]]=0,"",IF(TODAY()&gt;registreGarantie[[#This Row],[Date rebus]],0,1))</f>
        <v>0</v>
      </c>
      <c r="Z13" s="66"/>
      <c r="AA13" s="73" t="str">
        <f>IF(AND(registreGarantie[[#This Row],[Montant non remboursé]]&gt;1,registreGarantie[[#This Row],[Montant non remboursé]]&lt;&gt;""),1,"")</f>
        <v/>
      </c>
      <c r="AB13" s="66"/>
      <c r="AC13" s="66"/>
      <c r="AD13" s="87">
        <f t="shared" si="0"/>
        <v>13</v>
      </c>
      <c r="AE13" s="109"/>
    </row>
    <row r="14" spans="1:33" ht="18" customHeight="1" thickBot="1" x14ac:dyDescent="0.4">
      <c r="A14" s="64">
        <v>44658</v>
      </c>
      <c r="B14" s="64">
        <v>42212</v>
      </c>
      <c r="C14" s="106">
        <v>45275</v>
      </c>
      <c r="D14" s="66" t="s">
        <v>86</v>
      </c>
      <c r="E14" s="66" t="s">
        <v>367</v>
      </c>
      <c r="F14" s="68" t="s">
        <v>2281</v>
      </c>
      <c r="G14" s="66" t="s">
        <v>1520</v>
      </c>
      <c r="H14" s="64" t="s">
        <v>1521</v>
      </c>
      <c r="I14" s="67" t="s">
        <v>3</v>
      </c>
      <c r="J14" s="97">
        <v>404045667</v>
      </c>
      <c r="K14" s="66"/>
      <c r="L14" s="68"/>
      <c r="M14" s="69">
        <v>631.91</v>
      </c>
      <c r="N14" s="69">
        <v>631.91</v>
      </c>
      <c r="O14" s="70">
        <f>IF(registreGarantie[[#This Row],[date paiement]]="","",registreGarantie[[#This Row],[Pièces 
Demandés]]-registreGarantie[[#This Row],[Pièces 
Remboursés]])</f>
        <v>0</v>
      </c>
      <c r="P14" s="69">
        <v>163.35</v>
      </c>
      <c r="Q14" s="69">
        <v>163.35</v>
      </c>
      <c r="R14" s="70">
        <f>IF(registreGarantie[[#This Row],[date paiement]]="","",registreGarantie[[#This Row],[MO
Demandé]]-registreGarantie[[#This Row],[MO
Remboursé]])</f>
        <v>0</v>
      </c>
      <c r="S14" s="69">
        <v>150</v>
      </c>
      <c r="T14" s="70">
        <f>IF(registreGarantie[[#This Row],[date paiement]]="","",registreGarantie[[#This Row],[MO
Refusé]]+registreGarantie[[#This Row],[Pièces
Refusés]])</f>
        <v>0</v>
      </c>
      <c r="U14" s="106">
        <v>45404</v>
      </c>
      <c r="V14" s="71">
        <f>IF(registreGarantie[[#This Row],[Pièces 
Demandés]]="","",registreGarantie[[#This Row],[Date]])</f>
        <v>45275</v>
      </c>
      <c r="W14" s="103">
        <f>IF(registreGarantie[[#This Row],[Pièces 
Demandés]]="","",IF(registreGarantie[[#This Row],[date paiement]]="","",registreGarantie[[#This Row],[date paiement]]+91))</f>
        <v>45495</v>
      </c>
      <c r="X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 s="74">
        <f ca="1">IF(registreGarantie[[#This Row],[Colonne1]]=0,"",IF(TODAY()&gt;registreGarantie[[#This Row],[Date rebus]],0,1))</f>
        <v>0</v>
      </c>
      <c r="Z14" s="66"/>
      <c r="AA14" s="73" t="str">
        <f>IF(AND(registreGarantie[[#This Row],[Montant non remboursé]]&gt;1,registreGarantie[[#This Row],[Montant non remboursé]]&lt;&gt;""),1,"")</f>
        <v/>
      </c>
      <c r="AB14" s="66"/>
      <c r="AC14" s="66"/>
      <c r="AD14" s="87">
        <f t="shared" si="0"/>
        <v>14</v>
      </c>
      <c r="AE14" s="109"/>
    </row>
    <row r="15" spans="1:33" ht="18" customHeight="1" thickBot="1" x14ac:dyDescent="0.4">
      <c r="A15" s="64">
        <v>44659</v>
      </c>
      <c r="B15" s="64">
        <v>42213</v>
      </c>
      <c r="C15" s="106">
        <v>45275</v>
      </c>
      <c r="D15" s="66" t="s">
        <v>86</v>
      </c>
      <c r="E15" s="66" t="s">
        <v>45</v>
      </c>
      <c r="F15" s="68" t="s">
        <v>2281</v>
      </c>
      <c r="G15" s="66" t="s">
        <v>1522</v>
      </c>
      <c r="H15" s="64" t="s">
        <v>1521</v>
      </c>
      <c r="I15" s="67" t="s">
        <v>3</v>
      </c>
      <c r="J15" s="97">
        <v>404040018</v>
      </c>
      <c r="K15" s="66"/>
      <c r="L15" s="68"/>
      <c r="M15" s="69">
        <v>298.75</v>
      </c>
      <c r="N15" s="69">
        <v>298.75</v>
      </c>
      <c r="O15" s="70">
        <f>IF(registreGarantie[[#This Row],[date paiement]]="","",registreGarantie[[#This Row],[Pièces 
Demandés]]-registreGarantie[[#This Row],[Pièces 
Remboursés]])</f>
        <v>0</v>
      </c>
      <c r="P15" s="69">
        <v>59.4</v>
      </c>
      <c r="Q15" s="69">
        <v>59.4</v>
      </c>
      <c r="R15" s="70">
        <f>IF(registreGarantie[[#This Row],[date paiement]]="","",registreGarantie[[#This Row],[MO
Demandé]]-registreGarantie[[#This Row],[MO
Remboursé]])</f>
        <v>0</v>
      </c>
      <c r="S15" s="69">
        <v>150</v>
      </c>
      <c r="T15" s="70">
        <f>IF(registreGarantie[[#This Row],[date paiement]]="","",registreGarantie[[#This Row],[MO
Refusé]]+registreGarantie[[#This Row],[Pièces
Refusés]])</f>
        <v>0</v>
      </c>
      <c r="U15" s="106">
        <v>45373</v>
      </c>
      <c r="V15" s="71">
        <f>IF(registreGarantie[[#This Row],[Pièces 
Demandés]]="","",registreGarantie[[#This Row],[Date]])</f>
        <v>45275</v>
      </c>
      <c r="W15" s="103">
        <f>IF(registreGarantie[[#This Row],[Pièces 
Demandés]]="","",IF(registreGarantie[[#This Row],[date paiement]]="","",registreGarantie[[#This Row],[date paiement]]+91))</f>
        <v>45464</v>
      </c>
      <c r="X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5" s="74">
        <f ca="1">IF(registreGarantie[[#This Row],[Colonne1]]=0,"",IF(TODAY()&gt;registreGarantie[[#This Row],[Date rebus]],0,1))</f>
        <v>0</v>
      </c>
      <c r="Z15" s="66"/>
      <c r="AA15" s="73" t="str">
        <f>IF(AND(registreGarantie[[#This Row],[Montant non remboursé]]&gt;1,registreGarantie[[#This Row],[Montant non remboursé]]&lt;&gt;""),1,"")</f>
        <v/>
      </c>
      <c r="AB15" s="66"/>
      <c r="AC15" s="66"/>
      <c r="AD15" s="87">
        <f t="shared" si="0"/>
        <v>15</v>
      </c>
      <c r="AE15" s="109"/>
    </row>
    <row r="16" spans="1:33" ht="18" customHeight="1" thickBot="1" x14ac:dyDescent="0.4">
      <c r="A16" s="64">
        <v>44660</v>
      </c>
      <c r="B16" s="64">
        <v>42215</v>
      </c>
      <c r="C16" s="106">
        <v>45272</v>
      </c>
      <c r="D16" s="66" t="s">
        <v>86</v>
      </c>
      <c r="E16" s="66" t="s">
        <v>367</v>
      </c>
      <c r="F16" s="68" t="s">
        <v>2281</v>
      </c>
      <c r="G16" s="66" t="s">
        <v>1523</v>
      </c>
      <c r="H16" s="64" t="s">
        <v>1521</v>
      </c>
      <c r="I16" s="67" t="s">
        <v>3</v>
      </c>
      <c r="J16" s="97">
        <v>404045956</v>
      </c>
      <c r="K16" s="66"/>
      <c r="L16" s="68"/>
      <c r="M16" s="69">
        <v>352.4</v>
      </c>
      <c r="N16" s="69">
        <v>352.4</v>
      </c>
      <c r="O16" s="70">
        <f>IF(registreGarantie[[#This Row],[date paiement]]="","",registreGarantie[[#This Row],[Pièces 
Demandés]]-registreGarantie[[#This Row],[Pièces 
Remboursés]])</f>
        <v>0</v>
      </c>
      <c r="P16" s="69">
        <v>534.6</v>
      </c>
      <c r="Q16" s="69">
        <v>297</v>
      </c>
      <c r="R16" s="70">
        <f>IF(registreGarantie[[#This Row],[date paiement]]="","",registreGarantie[[#This Row],[MO
Demandé]]-registreGarantie[[#This Row],[MO
Remboursé]])</f>
        <v>237.60000000000002</v>
      </c>
      <c r="S16" s="69"/>
      <c r="T16" s="70">
        <f>IF(registreGarantie[[#This Row],[date paiement]]="","",registreGarantie[[#This Row],[MO
Refusé]]+registreGarantie[[#This Row],[Pièces
Refusés]])</f>
        <v>237.60000000000002</v>
      </c>
      <c r="U16" s="106">
        <v>45404</v>
      </c>
      <c r="V16" s="71">
        <f>IF(registreGarantie[[#This Row],[Pièces 
Demandés]]="","",registreGarantie[[#This Row],[Date]])</f>
        <v>45272</v>
      </c>
      <c r="W16" s="103">
        <f>IF(registreGarantie[[#This Row],[Pièces 
Demandés]]="","",IF(registreGarantie[[#This Row],[date paiement]]="","",registreGarantie[[#This Row],[date paiement]]+91))</f>
        <v>45495</v>
      </c>
      <c r="X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 s="74">
        <f ca="1">IF(registreGarantie[[#This Row],[Colonne1]]=0,"",IF(TODAY()&gt;registreGarantie[[#This Row],[Date rebus]],0,1))</f>
        <v>0</v>
      </c>
      <c r="Z16" s="66"/>
      <c r="AA16" s="73">
        <f>IF(AND(registreGarantie[[#This Row],[Montant non remboursé]]&gt;1,registreGarantie[[#This Row],[Montant non remboursé]]&lt;&gt;""),1,"")</f>
        <v>1</v>
      </c>
      <c r="AB16" s="66"/>
      <c r="AC16" s="66"/>
      <c r="AD16" s="87">
        <f t="shared" si="0"/>
        <v>16</v>
      </c>
      <c r="AE16" s="109"/>
    </row>
    <row r="17" spans="1:31" ht="18" customHeight="1" thickBot="1" x14ac:dyDescent="0.4">
      <c r="A17" s="64">
        <v>44674</v>
      </c>
      <c r="B17" s="64">
        <v>5670</v>
      </c>
      <c r="C17" s="106">
        <v>45296</v>
      </c>
      <c r="D17" s="66" t="s">
        <v>36</v>
      </c>
      <c r="E17" s="66" t="s">
        <v>930</v>
      </c>
      <c r="F17" s="68" t="s">
        <v>2252</v>
      </c>
      <c r="G17" s="66"/>
      <c r="H17" s="64" t="s">
        <v>1524</v>
      </c>
      <c r="I17" s="67" t="s">
        <v>2</v>
      </c>
      <c r="J17" s="97">
        <v>404056167</v>
      </c>
      <c r="K17" s="66"/>
      <c r="L17" s="68"/>
      <c r="M17" s="69">
        <v>21.28</v>
      </c>
      <c r="N17" s="69">
        <v>21.28</v>
      </c>
      <c r="O17" s="70">
        <f>IF(registreGarantie[[#This Row],[date paiement]]="","",registreGarantie[[#This Row],[Pièces 
Demandés]]-registreGarantie[[#This Row],[Pièces 
Remboursés]])</f>
        <v>0</v>
      </c>
      <c r="P17" s="69">
        <v>110.38</v>
      </c>
      <c r="Q17" s="69">
        <v>110.38</v>
      </c>
      <c r="R17" s="70">
        <f>IF(registreGarantie[[#This Row],[date paiement]]="","",registreGarantie[[#This Row],[MO
Demandé]]-registreGarantie[[#This Row],[MO
Remboursé]])</f>
        <v>0</v>
      </c>
      <c r="S17" s="69"/>
      <c r="T17" s="70">
        <f>IF(registreGarantie[[#This Row],[date paiement]]="","",registreGarantie[[#This Row],[MO
Refusé]]+registreGarantie[[#This Row],[Pièces
Refusés]])</f>
        <v>0</v>
      </c>
      <c r="U17" s="106">
        <v>45329</v>
      </c>
      <c r="V17" s="71">
        <f>IF(registreGarantie[[#This Row],[Pièces 
Demandés]]="","",registreGarantie[[#This Row],[Date]])</f>
        <v>45296</v>
      </c>
      <c r="W17" s="103">
        <f>IF(registreGarantie[[#This Row],[Pièces 
Demandés]]="","",IF(registreGarantie[[#This Row],[date paiement]]="","",registreGarantie[[#This Row],[date paiement]]+91))</f>
        <v>45420</v>
      </c>
      <c r="X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7" s="74">
        <f ca="1">IF(registreGarantie[[#This Row],[Colonne1]]=0,"",IF(TODAY()&gt;registreGarantie[[#This Row],[Date rebus]],0,1))</f>
        <v>0</v>
      </c>
      <c r="Z17" s="66"/>
      <c r="AA17" s="73" t="str">
        <f>IF(AND(registreGarantie[[#This Row],[Montant non remboursé]]&gt;1,registreGarantie[[#This Row],[Montant non remboursé]]&lt;&gt;""),1,"")</f>
        <v/>
      </c>
      <c r="AB17" s="66"/>
      <c r="AC17" s="66"/>
      <c r="AD17" s="87">
        <f t="shared" si="0"/>
        <v>17</v>
      </c>
      <c r="AE17" s="109"/>
    </row>
    <row r="18" spans="1:31" ht="18" customHeight="1" thickBot="1" x14ac:dyDescent="0.4">
      <c r="A18" s="64">
        <v>44675</v>
      </c>
      <c r="B18" s="64">
        <v>5671</v>
      </c>
      <c r="C18" s="106">
        <v>45296</v>
      </c>
      <c r="D18" s="66" t="s">
        <v>36</v>
      </c>
      <c r="E18" s="66" t="s">
        <v>930</v>
      </c>
      <c r="F18" s="68" t="s">
        <v>2252</v>
      </c>
      <c r="G18" s="66" t="s">
        <v>1525</v>
      </c>
      <c r="H18" s="64" t="s">
        <v>1526</v>
      </c>
      <c r="I18" s="67" t="s">
        <v>2</v>
      </c>
      <c r="J18" s="97">
        <v>404056212</v>
      </c>
      <c r="K18" s="66"/>
      <c r="L18" s="68"/>
      <c r="M18" s="69">
        <v>217.5</v>
      </c>
      <c r="N18" s="69">
        <v>217.5</v>
      </c>
      <c r="O18" s="70">
        <f>IF(registreGarantie[[#This Row],[date paiement]]="","",registreGarantie[[#This Row],[Pièces 
Demandés]]-registreGarantie[[#This Row],[Pièces 
Remboursés]])</f>
        <v>0</v>
      </c>
      <c r="P18" s="69">
        <v>237.6</v>
      </c>
      <c r="Q18" s="69">
        <v>237.6</v>
      </c>
      <c r="R18" s="70">
        <f>IF(registreGarantie[[#This Row],[date paiement]]="","",registreGarantie[[#This Row],[MO
Demandé]]-registreGarantie[[#This Row],[MO
Remboursé]])</f>
        <v>0</v>
      </c>
      <c r="S18" s="69"/>
      <c r="T18" s="70">
        <f>IF(registreGarantie[[#This Row],[date paiement]]="","",registreGarantie[[#This Row],[MO
Refusé]]+registreGarantie[[#This Row],[Pièces
Refusés]])</f>
        <v>0</v>
      </c>
      <c r="U18" s="106">
        <v>45497</v>
      </c>
      <c r="V18" s="71">
        <f>IF(registreGarantie[[#This Row],[Pièces 
Demandés]]="","",registreGarantie[[#This Row],[Date]])</f>
        <v>45296</v>
      </c>
      <c r="W18" s="103">
        <f>IF(registreGarantie[[#This Row],[Pièces 
Demandés]]="","",IF(registreGarantie[[#This Row],[date paiement]]="","",registreGarantie[[#This Row],[date paiement]]+91))</f>
        <v>45588</v>
      </c>
      <c r="X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8" s="74">
        <f ca="1">IF(registreGarantie[[#This Row],[Colonne1]]=0,"",IF(TODAY()&gt;registreGarantie[[#This Row],[Date rebus]],0,1))</f>
        <v>0</v>
      </c>
      <c r="Z18" s="66"/>
      <c r="AA18" s="73" t="str">
        <f>IF(AND(registreGarantie[[#This Row],[Montant non remboursé]]&gt;1,registreGarantie[[#This Row],[Montant non remboursé]]&lt;&gt;""),1,"")</f>
        <v/>
      </c>
      <c r="AB18" s="66"/>
      <c r="AC18" s="66"/>
      <c r="AD18" s="87">
        <f t="shared" si="0"/>
        <v>18</v>
      </c>
      <c r="AE18" s="109"/>
    </row>
    <row r="19" spans="1:31" ht="18" customHeight="1" thickBot="1" x14ac:dyDescent="0.4">
      <c r="A19" s="64">
        <v>44676</v>
      </c>
      <c r="B19" s="64">
        <v>5672</v>
      </c>
      <c r="C19" s="106">
        <v>45296</v>
      </c>
      <c r="D19" s="66" t="s">
        <v>36</v>
      </c>
      <c r="E19" s="66" t="s">
        <v>930</v>
      </c>
      <c r="F19" s="68" t="s">
        <v>2252</v>
      </c>
      <c r="G19" s="66" t="s">
        <v>1527</v>
      </c>
      <c r="H19" s="64" t="s">
        <v>1526</v>
      </c>
      <c r="I19" s="67" t="s">
        <v>2</v>
      </c>
      <c r="J19" s="97">
        <v>404057996</v>
      </c>
      <c r="K19" s="66"/>
      <c r="L19" s="68"/>
      <c r="M19" s="69"/>
      <c r="N19" s="69"/>
      <c r="O19" s="70">
        <f>IF(registreGarantie[[#This Row],[date paiement]]="","",registreGarantie[[#This Row],[Pièces 
Demandés]]-registreGarantie[[#This Row],[Pièces 
Remboursés]])</f>
        <v>0</v>
      </c>
      <c r="P19" s="69">
        <v>59.4</v>
      </c>
      <c r="Q19" s="69">
        <v>59.4</v>
      </c>
      <c r="R19" s="70">
        <f>IF(registreGarantie[[#This Row],[date paiement]]="","",registreGarantie[[#This Row],[MO
Demandé]]-registreGarantie[[#This Row],[MO
Remboursé]])</f>
        <v>0</v>
      </c>
      <c r="S19" s="69"/>
      <c r="T19" s="70">
        <f>IF(registreGarantie[[#This Row],[date paiement]]="","",registreGarantie[[#This Row],[MO
Refusé]]+registreGarantie[[#This Row],[Pièces
Refusés]])</f>
        <v>0</v>
      </c>
      <c r="U19" s="106">
        <v>45462</v>
      </c>
      <c r="V19" s="71" t="str">
        <f>IF(registreGarantie[[#This Row],[Pièces 
Demandés]]="","",registreGarantie[[#This Row],[Date]])</f>
        <v/>
      </c>
      <c r="W19" s="103" t="str">
        <f>IF(registreGarantie[[#This Row],[Pièces 
Demandés]]="","",IF(registreGarantie[[#This Row],[date paiement]]="","",registreGarantie[[#This Row],[date paiement]]+91))</f>
        <v/>
      </c>
      <c r="X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 s="74" t="str">
        <f ca="1">IF(registreGarantie[[#This Row],[Colonne1]]=0,"",IF(TODAY()&gt;registreGarantie[[#This Row],[Date rebus]],0,1))</f>
        <v/>
      </c>
      <c r="Z19" s="66"/>
      <c r="AA19" s="73" t="str">
        <f>IF(AND(registreGarantie[[#This Row],[Montant non remboursé]]&gt;1,registreGarantie[[#This Row],[Montant non remboursé]]&lt;&gt;""),1,"")</f>
        <v/>
      </c>
      <c r="AB19" s="66"/>
      <c r="AC19" s="66"/>
      <c r="AD19" s="87">
        <f t="shared" si="0"/>
        <v>19</v>
      </c>
      <c r="AE19" s="109"/>
    </row>
    <row r="20" spans="1:31" ht="18" customHeight="1" thickBot="1" x14ac:dyDescent="0.4">
      <c r="A20" s="64">
        <v>44678</v>
      </c>
      <c r="B20" s="64">
        <v>42252</v>
      </c>
      <c r="C20" s="106">
        <v>45301</v>
      </c>
      <c r="D20" s="66" t="s">
        <v>74</v>
      </c>
      <c r="E20" s="66" t="s">
        <v>367</v>
      </c>
      <c r="F20" s="68" t="s">
        <v>2253</v>
      </c>
      <c r="G20" s="66" t="s">
        <v>1528</v>
      </c>
      <c r="H20" s="64" t="s">
        <v>1529</v>
      </c>
      <c r="I20" s="67" t="s">
        <v>2</v>
      </c>
      <c r="J20" s="97">
        <v>404059393</v>
      </c>
      <c r="K20" s="66"/>
      <c r="L20" s="68"/>
      <c r="M20" s="69">
        <v>968.78</v>
      </c>
      <c r="N20" s="69">
        <v>853</v>
      </c>
      <c r="O20" s="70">
        <f>IF(registreGarantie[[#This Row],[date paiement]]="","",registreGarantie[[#This Row],[Pièces 
Demandés]]-registreGarantie[[#This Row],[Pièces 
Remboursés]])</f>
        <v>115.77999999999997</v>
      </c>
      <c r="P20" s="69">
        <v>3382</v>
      </c>
      <c r="Q20" s="69">
        <v>3382</v>
      </c>
      <c r="R20" s="70">
        <f>IF(registreGarantie[[#This Row],[date paiement]]="","",registreGarantie[[#This Row],[MO
Demandé]]-registreGarantie[[#This Row],[MO
Remboursé]])</f>
        <v>0</v>
      </c>
      <c r="S20" s="69"/>
      <c r="T20" s="70">
        <f>IF(registreGarantie[[#This Row],[date paiement]]="","",registreGarantie[[#This Row],[MO
Refusé]]+registreGarantie[[#This Row],[Pièces
Refusés]])</f>
        <v>115.77999999999997</v>
      </c>
      <c r="U20" s="106">
        <v>45446</v>
      </c>
      <c r="V20" s="71">
        <f>IF(registreGarantie[[#This Row],[Pièces 
Demandés]]="","",registreGarantie[[#This Row],[Date]])</f>
        <v>45301</v>
      </c>
      <c r="W20" s="103">
        <f>IF(registreGarantie[[#This Row],[Pièces 
Demandés]]="","",IF(registreGarantie[[#This Row],[date paiement]]="","",registreGarantie[[#This Row],[date paiement]]+91))</f>
        <v>45537</v>
      </c>
      <c r="X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 s="74">
        <f ca="1">IF(registreGarantie[[#This Row],[Colonne1]]=0,"",IF(TODAY()&gt;registreGarantie[[#This Row],[Date rebus]],0,1))</f>
        <v>0</v>
      </c>
      <c r="Z20" s="66" t="s">
        <v>1530</v>
      </c>
      <c r="AA20" s="73">
        <f>IF(AND(registreGarantie[[#This Row],[Montant non remboursé]]&gt;1,registreGarantie[[#This Row],[Montant non remboursé]]&lt;&gt;""),1,"")</f>
        <v>1</v>
      </c>
      <c r="AB20" s="66"/>
      <c r="AC20" s="66"/>
      <c r="AD20" s="87">
        <f t="shared" si="0"/>
        <v>20</v>
      </c>
      <c r="AE20" s="109"/>
    </row>
    <row r="21" spans="1:31" ht="18" customHeight="1" thickBot="1" x14ac:dyDescent="0.4">
      <c r="A21" s="64">
        <v>44682</v>
      </c>
      <c r="B21" s="64">
        <v>5669</v>
      </c>
      <c r="C21" s="106">
        <v>45308</v>
      </c>
      <c r="D21" s="66" t="s">
        <v>36</v>
      </c>
      <c r="E21" s="66" t="s">
        <v>930</v>
      </c>
      <c r="F21" s="68" t="s">
        <v>2252</v>
      </c>
      <c r="G21" s="66" t="s">
        <v>1531</v>
      </c>
      <c r="H21" s="64" t="s">
        <v>1526</v>
      </c>
      <c r="I21" s="67" t="s">
        <v>2</v>
      </c>
      <c r="J21" s="97">
        <v>404063933</v>
      </c>
      <c r="K21" s="66"/>
      <c r="L21" s="68"/>
      <c r="M21" s="69">
        <v>2521.7399999999998</v>
      </c>
      <c r="N21" s="69">
        <v>2521.7399999999998</v>
      </c>
      <c r="O21" s="70">
        <f>IF(registreGarantie[[#This Row],[date paiement]]="","",registreGarantie[[#This Row],[Pièces 
Demandés]]-registreGarantie[[#This Row],[Pièces 
Remboursés]])</f>
        <v>0</v>
      </c>
      <c r="P21" s="69">
        <v>676.5</v>
      </c>
      <c r="Q21" s="69">
        <v>676.5</v>
      </c>
      <c r="R21" s="70">
        <f>IF(registreGarantie[[#This Row],[date paiement]]="","",registreGarantie[[#This Row],[MO
Demandé]]-registreGarantie[[#This Row],[MO
Remboursé]])</f>
        <v>0</v>
      </c>
      <c r="S21" s="69"/>
      <c r="T21" s="70">
        <f>IF(registreGarantie[[#This Row],[date paiement]]="","",registreGarantie[[#This Row],[MO
Refusé]]+registreGarantie[[#This Row],[Pièces
Refusés]])</f>
        <v>0</v>
      </c>
      <c r="U21" s="106">
        <v>45497</v>
      </c>
      <c r="V21" s="71">
        <f>IF(registreGarantie[[#This Row],[Pièces 
Demandés]]="","",registreGarantie[[#This Row],[Date]])</f>
        <v>45308</v>
      </c>
      <c r="W21" s="103">
        <f>IF(registreGarantie[[#This Row],[Pièces 
Demandés]]="","",IF(registreGarantie[[#This Row],[date paiement]]="","",registreGarantie[[#This Row],[date paiement]]+91))</f>
        <v>45588</v>
      </c>
      <c r="X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1" s="74">
        <f ca="1">IF(registreGarantie[[#This Row],[Colonne1]]=0,"",IF(TODAY()&gt;registreGarantie[[#This Row],[Date rebus]],0,1))</f>
        <v>0</v>
      </c>
      <c r="Z21" s="66"/>
      <c r="AA21" s="73" t="str">
        <f>IF(AND(registreGarantie[[#This Row],[Montant non remboursé]]&gt;1,registreGarantie[[#This Row],[Montant non remboursé]]&lt;&gt;""),1,"")</f>
        <v/>
      </c>
      <c r="AB21" s="66"/>
      <c r="AC21" s="66"/>
      <c r="AD21" s="87">
        <f t="shared" si="0"/>
        <v>21</v>
      </c>
      <c r="AE21" s="109"/>
    </row>
    <row r="22" spans="1:31" ht="18" customHeight="1" thickBot="1" x14ac:dyDescent="0.4">
      <c r="A22" s="64">
        <v>44683</v>
      </c>
      <c r="B22" s="64">
        <v>42318</v>
      </c>
      <c r="C22" s="106">
        <v>45306</v>
      </c>
      <c r="D22" s="66" t="s">
        <v>622</v>
      </c>
      <c r="E22" s="66" t="s">
        <v>133</v>
      </c>
      <c r="F22" s="68" t="s">
        <v>2258</v>
      </c>
      <c r="G22" s="66" t="s">
        <v>1532</v>
      </c>
      <c r="H22" s="64" t="s">
        <v>1533</v>
      </c>
      <c r="I22" s="67" t="s">
        <v>3</v>
      </c>
      <c r="J22" s="97">
        <v>404064033</v>
      </c>
      <c r="K22" s="66"/>
      <c r="L22" s="68"/>
      <c r="M22" s="69">
        <v>1600.51</v>
      </c>
      <c r="N22" s="69">
        <v>1600.51</v>
      </c>
      <c r="O22" s="70">
        <f>IF(registreGarantie[[#This Row],[date paiement]]="","",registreGarantie[[#This Row],[Pièces 
Demandés]]-registreGarantie[[#This Row],[Pièces 
Remboursés]])</f>
        <v>0</v>
      </c>
      <c r="P22" s="69">
        <v>415.8</v>
      </c>
      <c r="Q22" s="69">
        <v>415.8</v>
      </c>
      <c r="R22" s="70">
        <f>IF(registreGarantie[[#This Row],[date paiement]]="","",registreGarantie[[#This Row],[MO
Demandé]]-registreGarantie[[#This Row],[MO
Remboursé]])</f>
        <v>0</v>
      </c>
      <c r="S22" s="69"/>
      <c r="T22" s="70">
        <f>IF(registreGarantie[[#This Row],[date paiement]]="","",registreGarantie[[#This Row],[MO
Refusé]]+registreGarantie[[#This Row],[Pièces
Refusés]])</f>
        <v>0</v>
      </c>
      <c r="U22" s="106">
        <v>45419</v>
      </c>
      <c r="V22" s="71">
        <f>IF(registreGarantie[[#This Row],[Pièces 
Demandés]]="","",registreGarantie[[#This Row],[Date]])</f>
        <v>45306</v>
      </c>
      <c r="W22" s="103">
        <f>IF(registreGarantie[[#This Row],[Pièces 
Demandés]]="","",IF(registreGarantie[[#This Row],[date paiement]]="","",registreGarantie[[#This Row],[date paiement]]+91))</f>
        <v>45510</v>
      </c>
      <c r="X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2" s="74">
        <f ca="1">IF(registreGarantie[[#This Row],[Colonne1]]=0,"",IF(TODAY()&gt;registreGarantie[[#This Row],[Date rebus]],0,1))</f>
        <v>0</v>
      </c>
      <c r="Z22" s="66"/>
      <c r="AA22" s="73" t="str">
        <f>IF(AND(registreGarantie[[#This Row],[Montant non remboursé]]&gt;1,registreGarantie[[#This Row],[Montant non remboursé]]&lt;&gt;""),1,"")</f>
        <v/>
      </c>
      <c r="AB22" s="66"/>
      <c r="AC22" s="66"/>
      <c r="AD22" s="87">
        <f t="shared" si="0"/>
        <v>22</v>
      </c>
      <c r="AE22" s="109"/>
    </row>
    <row r="23" spans="1:31" ht="18" customHeight="1" thickBot="1" x14ac:dyDescent="0.4">
      <c r="A23" s="64">
        <v>44689</v>
      </c>
      <c r="B23" s="64">
        <v>43005</v>
      </c>
      <c r="C23" s="106">
        <v>45463</v>
      </c>
      <c r="D23" s="66" t="s">
        <v>611</v>
      </c>
      <c r="E23" s="66" t="s">
        <v>45</v>
      </c>
      <c r="F23" s="68" t="s">
        <v>2259</v>
      </c>
      <c r="G23" s="66" t="s">
        <v>701</v>
      </c>
      <c r="H23" s="64">
        <v>1033</v>
      </c>
      <c r="I23" s="67" t="s">
        <v>5</v>
      </c>
      <c r="J23" s="97">
        <v>404036970</v>
      </c>
      <c r="K23" s="66"/>
      <c r="L23" s="68"/>
      <c r="M23" s="69"/>
      <c r="N23" s="69"/>
      <c r="O23" s="70">
        <f>IF(registreGarantie[[#This Row],[date paiement]]="","",registreGarantie[[#This Row],[Pièces 
Demandés]]-registreGarantie[[#This Row],[Pièces 
Remboursés]])</f>
        <v>0</v>
      </c>
      <c r="P23" s="69">
        <v>118.8</v>
      </c>
      <c r="Q23" s="69">
        <v>118.8</v>
      </c>
      <c r="R23" s="70">
        <f>IF(registreGarantie[[#This Row],[date paiement]]="","",registreGarantie[[#This Row],[MO
Demandé]]-registreGarantie[[#This Row],[MO
Remboursé]])</f>
        <v>0</v>
      </c>
      <c r="S23" s="69"/>
      <c r="T23" s="70">
        <f>IF(registreGarantie[[#This Row],[date paiement]]="","",registreGarantie[[#This Row],[MO
Refusé]]+registreGarantie[[#This Row],[Pièces
Refusés]])</f>
        <v>0</v>
      </c>
      <c r="U23" s="106">
        <v>45476</v>
      </c>
      <c r="V23" s="71" t="str">
        <f>IF(registreGarantie[[#This Row],[Pièces 
Demandés]]="","",registreGarantie[[#This Row],[Date]])</f>
        <v/>
      </c>
      <c r="W23" s="103" t="str">
        <f>IF(registreGarantie[[#This Row],[Pièces 
Demandés]]="","",IF(registreGarantie[[#This Row],[date paiement]]="","",registreGarantie[[#This Row],[date paiement]]+91))</f>
        <v/>
      </c>
      <c r="X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 s="74" t="str">
        <f ca="1">IF(registreGarantie[[#This Row],[Colonne1]]=0,"",IF(TODAY()&gt;registreGarantie[[#This Row],[Date rebus]],0,1))</f>
        <v/>
      </c>
      <c r="Z23" s="66"/>
      <c r="AA23" s="73" t="str">
        <f>IF(AND(registreGarantie[[#This Row],[Montant non remboursé]]&gt;1,registreGarantie[[#This Row],[Montant non remboursé]]&lt;&gt;""),1,"")</f>
        <v/>
      </c>
      <c r="AB23" s="66"/>
      <c r="AC23" s="66"/>
      <c r="AD23" s="87">
        <f t="shared" si="0"/>
        <v>23</v>
      </c>
      <c r="AE23" s="109"/>
    </row>
    <row r="24" spans="1:31" ht="18" customHeight="1" thickBot="1" x14ac:dyDescent="0.4">
      <c r="A24" s="64">
        <v>44690</v>
      </c>
      <c r="B24" s="64">
        <v>43012</v>
      </c>
      <c r="C24" s="106">
        <v>45462</v>
      </c>
      <c r="D24" s="66" t="s">
        <v>2261</v>
      </c>
      <c r="E24" s="66" t="s">
        <v>45</v>
      </c>
      <c r="F24" s="68" t="s">
        <v>2259</v>
      </c>
      <c r="G24" s="66" t="s">
        <v>701</v>
      </c>
      <c r="H24" s="64">
        <v>340</v>
      </c>
      <c r="I24" s="67" t="s">
        <v>5</v>
      </c>
      <c r="J24" s="97">
        <v>404036970</v>
      </c>
      <c r="K24" s="66"/>
      <c r="L24" s="68"/>
      <c r="M24" s="69"/>
      <c r="N24" s="69"/>
      <c r="O24" s="70">
        <f>IF(registreGarantie[[#This Row],[date paiement]]="","",registreGarantie[[#This Row],[Pièces 
Demandés]]-registreGarantie[[#This Row],[Pièces 
Remboursés]])</f>
        <v>0</v>
      </c>
      <c r="P24" s="69">
        <v>118.8</v>
      </c>
      <c r="Q24" s="69">
        <v>118.8</v>
      </c>
      <c r="R24" s="70">
        <f>IF(registreGarantie[[#This Row],[date paiement]]="","",registreGarantie[[#This Row],[MO
Demandé]]-registreGarantie[[#This Row],[MO
Remboursé]])</f>
        <v>0</v>
      </c>
      <c r="S24" s="69"/>
      <c r="T24" s="70">
        <f>IF(registreGarantie[[#This Row],[date paiement]]="","",registreGarantie[[#This Row],[MO
Refusé]]+registreGarantie[[#This Row],[Pièces
Refusés]])</f>
        <v>0</v>
      </c>
      <c r="U24" s="106">
        <v>45476</v>
      </c>
      <c r="V24" s="71" t="str">
        <f>IF(registreGarantie[[#This Row],[Pièces 
Demandés]]="","",registreGarantie[[#This Row],[Date]])</f>
        <v/>
      </c>
      <c r="W24" s="103" t="str">
        <f>IF(registreGarantie[[#This Row],[Pièces 
Demandés]]="","",IF(registreGarantie[[#This Row],[date paiement]]="","",registreGarantie[[#This Row],[date paiement]]+91))</f>
        <v/>
      </c>
      <c r="X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 s="74" t="str">
        <f ca="1">IF(registreGarantie[[#This Row],[Colonne1]]=0,"",IF(TODAY()&gt;registreGarantie[[#This Row],[Date rebus]],0,1))</f>
        <v/>
      </c>
      <c r="Z24" s="66"/>
      <c r="AA24" s="73" t="str">
        <f>IF(AND(registreGarantie[[#This Row],[Montant non remboursé]]&gt;1,registreGarantie[[#This Row],[Montant non remboursé]]&lt;&gt;""),1,"")</f>
        <v/>
      </c>
      <c r="AB24" s="66"/>
      <c r="AC24" s="66"/>
      <c r="AD24" s="87">
        <f t="shared" si="0"/>
        <v>24</v>
      </c>
      <c r="AE24" s="109"/>
    </row>
    <row r="25" spans="1:31" ht="18" customHeight="1" thickBot="1" x14ac:dyDescent="0.4">
      <c r="A25" s="64">
        <v>44693</v>
      </c>
      <c r="B25" s="64">
        <v>43004</v>
      </c>
      <c r="C25" s="106">
        <v>45462</v>
      </c>
      <c r="D25" s="66" t="s">
        <v>86</v>
      </c>
      <c r="E25" s="66" t="s">
        <v>148</v>
      </c>
      <c r="F25" s="68" t="s">
        <v>2240</v>
      </c>
      <c r="G25" s="66" t="s">
        <v>701</v>
      </c>
      <c r="H25" s="64">
        <v>1867</v>
      </c>
      <c r="I25" s="67" t="s">
        <v>5</v>
      </c>
      <c r="J25" s="97">
        <v>404034036</v>
      </c>
      <c r="K25" s="66"/>
      <c r="L25" s="68"/>
      <c r="M25" s="69"/>
      <c r="N25" s="69"/>
      <c r="O25" s="70">
        <f>IF(registreGarantie[[#This Row],[date paiement]]="","",registreGarantie[[#This Row],[Pièces 
Demandés]]-registreGarantie[[#This Row],[Pièces 
Remboursés]])</f>
        <v>0</v>
      </c>
      <c r="P25" s="69">
        <v>118.8</v>
      </c>
      <c r="Q25" s="69">
        <v>118.8</v>
      </c>
      <c r="R25" s="70">
        <f>IF(registreGarantie[[#This Row],[date paiement]]="","",registreGarantie[[#This Row],[MO
Demandé]]-registreGarantie[[#This Row],[MO
Remboursé]])</f>
        <v>0</v>
      </c>
      <c r="S25" s="69"/>
      <c r="T25" s="70">
        <f>IF(registreGarantie[[#This Row],[date paiement]]="","",registreGarantie[[#This Row],[MO
Refusé]]+registreGarantie[[#This Row],[Pièces
Refusés]])</f>
        <v>0</v>
      </c>
      <c r="U25" s="106">
        <v>45476</v>
      </c>
      <c r="V25" s="71" t="str">
        <f>IF(registreGarantie[[#This Row],[Pièces 
Demandés]]="","",registreGarantie[[#This Row],[Date]])</f>
        <v/>
      </c>
      <c r="W25" s="103" t="str">
        <f>IF(registreGarantie[[#This Row],[Pièces 
Demandés]]="","",IF(registreGarantie[[#This Row],[date paiement]]="","",registreGarantie[[#This Row],[date paiement]]+91))</f>
        <v/>
      </c>
      <c r="X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 s="74" t="str">
        <f ca="1">IF(registreGarantie[[#This Row],[Colonne1]]=0,"",IF(TODAY()&gt;registreGarantie[[#This Row],[Date rebus]],0,1))</f>
        <v/>
      </c>
      <c r="Z25" s="66"/>
      <c r="AA25" s="73" t="str">
        <f>IF(AND(registreGarantie[[#This Row],[Montant non remboursé]]&gt;1,registreGarantie[[#This Row],[Montant non remboursé]]&lt;&gt;""),1,"")</f>
        <v/>
      </c>
      <c r="AB25" s="66"/>
      <c r="AC25" s="66"/>
      <c r="AD25" s="87">
        <f t="shared" si="0"/>
        <v>25</v>
      </c>
      <c r="AE25" s="109"/>
    </row>
    <row r="26" spans="1:31" ht="18" customHeight="1" thickBot="1" x14ac:dyDescent="0.4">
      <c r="A26" s="64">
        <v>44696</v>
      </c>
      <c r="B26" s="64">
        <v>43011</v>
      </c>
      <c r="C26" s="106">
        <v>45462</v>
      </c>
      <c r="D26" s="66" t="s">
        <v>1534</v>
      </c>
      <c r="E26" s="66" t="s">
        <v>45</v>
      </c>
      <c r="F26" s="68" t="s">
        <v>2264</v>
      </c>
      <c r="G26" s="66" t="s">
        <v>701</v>
      </c>
      <c r="H26" s="64">
        <v>2270</v>
      </c>
      <c r="I26" s="67" t="s">
        <v>5</v>
      </c>
      <c r="J26" s="97">
        <v>404034288</v>
      </c>
      <c r="K26" s="66"/>
      <c r="L26" s="68"/>
      <c r="M26" s="69"/>
      <c r="N26" s="69"/>
      <c r="O26" s="70">
        <f>IF(registreGarantie[[#This Row],[date paiement]]="","",registreGarantie[[#This Row],[Pièces 
Demandés]]-registreGarantie[[#This Row],[Pièces 
Remboursés]])</f>
        <v>0</v>
      </c>
      <c r="P26" s="69">
        <v>118.8</v>
      </c>
      <c r="Q26" s="69">
        <v>118.8</v>
      </c>
      <c r="R26" s="70">
        <f>IF(registreGarantie[[#This Row],[date paiement]]="","",registreGarantie[[#This Row],[MO
Demandé]]-registreGarantie[[#This Row],[MO
Remboursé]])</f>
        <v>0</v>
      </c>
      <c r="S26" s="69"/>
      <c r="T26" s="70">
        <f>IF(registreGarantie[[#This Row],[date paiement]]="","",registreGarantie[[#This Row],[MO
Refusé]]+registreGarantie[[#This Row],[Pièces
Refusés]])</f>
        <v>0</v>
      </c>
      <c r="U26" s="106">
        <v>45476</v>
      </c>
      <c r="V26" s="71" t="str">
        <f>IF(registreGarantie[[#This Row],[Pièces 
Demandés]]="","",registreGarantie[[#This Row],[Date]])</f>
        <v/>
      </c>
      <c r="W26" s="103" t="str">
        <f>IF(registreGarantie[[#This Row],[Pièces 
Demandés]]="","",IF(registreGarantie[[#This Row],[date paiement]]="","",registreGarantie[[#This Row],[date paiement]]+91))</f>
        <v/>
      </c>
      <c r="X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6" s="74" t="str">
        <f ca="1">IF(registreGarantie[[#This Row],[Colonne1]]=0,"",IF(TODAY()&gt;registreGarantie[[#This Row],[Date rebus]],0,1))</f>
        <v/>
      </c>
      <c r="Z26" s="66"/>
      <c r="AA26" s="73" t="str">
        <f>IF(AND(registreGarantie[[#This Row],[Montant non remboursé]]&gt;1,registreGarantie[[#This Row],[Montant non remboursé]]&lt;&gt;""),1,"")</f>
        <v/>
      </c>
      <c r="AB26" s="66"/>
      <c r="AC26" s="66"/>
      <c r="AD26" s="87">
        <f t="shared" si="0"/>
        <v>26</v>
      </c>
      <c r="AE26" s="109"/>
    </row>
    <row r="27" spans="1:31" ht="18" customHeight="1" thickBot="1" x14ac:dyDescent="0.4">
      <c r="A27" s="64">
        <v>44697</v>
      </c>
      <c r="B27" s="64">
        <v>43006</v>
      </c>
      <c r="C27" s="106">
        <v>45462</v>
      </c>
      <c r="D27" s="66" t="s">
        <v>1535</v>
      </c>
      <c r="E27" s="66" t="s">
        <v>45</v>
      </c>
      <c r="F27" s="68" t="s">
        <v>2265</v>
      </c>
      <c r="G27" s="66" t="s">
        <v>701</v>
      </c>
      <c r="H27" s="64">
        <v>989</v>
      </c>
      <c r="I27" s="67" t="s">
        <v>5</v>
      </c>
      <c r="J27" s="97">
        <v>404035477</v>
      </c>
      <c r="K27" s="66"/>
      <c r="L27" s="68"/>
      <c r="M27" s="69"/>
      <c r="N27" s="69"/>
      <c r="O27" s="70">
        <f>IF(registreGarantie[[#This Row],[date paiement]]="","",registreGarantie[[#This Row],[Pièces 
Demandés]]-registreGarantie[[#This Row],[Pièces 
Remboursés]])</f>
        <v>0</v>
      </c>
      <c r="P27" s="69">
        <v>118.8</v>
      </c>
      <c r="Q27" s="69">
        <v>118.8</v>
      </c>
      <c r="R27" s="70">
        <f>IF(registreGarantie[[#This Row],[date paiement]]="","",registreGarantie[[#This Row],[MO
Demandé]]-registreGarantie[[#This Row],[MO
Remboursé]])</f>
        <v>0</v>
      </c>
      <c r="S27" s="69"/>
      <c r="T27" s="70">
        <f>IF(registreGarantie[[#This Row],[date paiement]]="","",registreGarantie[[#This Row],[MO
Refusé]]+registreGarantie[[#This Row],[Pièces
Refusés]])</f>
        <v>0</v>
      </c>
      <c r="U27" s="106">
        <v>45476</v>
      </c>
      <c r="V27" s="71" t="str">
        <f>IF(registreGarantie[[#This Row],[Pièces 
Demandés]]="","",registreGarantie[[#This Row],[Date]])</f>
        <v/>
      </c>
      <c r="W27" s="103" t="str">
        <f>IF(registreGarantie[[#This Row],[Pièces 
Demandés]]="","",IF(registreGarantie[[#This Row],[date paiement]]="","",registreGarantie[[#This Row],[date paiement]]+91))</f>
        <v/>
      </c>
      <c r="X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 s="74" t="str">
        <f ca="1">IF(registreGarantie[[#This Row],[Colonne1]]=0,"",IF(TODAY()&gt;registreGarantie[[#This Row],[Date rebus]],0,1))</f>
        <v/>
      </c>
      <c r="Z27" s="66"/>
      <c r="AA27" s="73" t="str">
        <f>IF(AND(registreGarantie[[#This Row],[Montant non remboursé]]&gt;1,registreGarantie[[#This Row],[Montant non remboursé]]&lt;&gt;""),1,"")</f>
        <v/>
      </c>
      <c r="AB27" s="66"/>
      <c r="AC27" s="66"/>
      <c r="AD27" s="87">
        <f t="shared" si="0"/>
        <v>27</v>
      </c>
      <c r="AE27" s="109"/>
    </row>
    <row r="28" spans="1:31" ht="18" customHeight="1" thickBot="1" x14ac:dyDescent="0.4">
      <c r="A28" s="64">
        <v>44700</v>
      </c>
      <c r="B28" s="64">
        <v>43008</v>
      </c>
      <c r="C28" s="106">
        <v>45463</v>
      </c>
      <c r="D28" s="66" t="s">
        <v>41</v>
      </c>
      <c r="E28" s="66" t="s">
        <v>133</v>
      </c>
      <c r="F28" s="68" t="s">
        <v>2267</v>
      </c>
      <c r="G28" s="66" t="s">
        <v>701</v>
      </c>
      <c r="H28" s="64">
        <v>973</v>
      </c>
      <c r="I28" s="67" t="s">
        <v>5</v>
      </c>
      <c r="J28" s="97">
        <v>404034037</v>
      </c>
      <c r="K28" s="66"/>
      <c r="L28" s="68"/>
      <c r="M28" s="69"/>
      <c r="N28" s="69"/>
      <c r="O28" s="70">
        <f>IF(registreGarantie[[#This Row],[date paiement]]="","",registreGarantie[[#This Row],[Pièces 
Demandés]]-registreGarantie[[#This Row],[Pièces 
Remboursés]])</f>
        <v>0</v>
      </c>
      <c r="P28" s="69">
        <v>118.8</v>
      </c>
      <c r="Q28" s="69">
        <v>118.8</v>
      </c>
      <c r="R28" s="70">
        <f>IF(registreGarantie[[#This Row],[date paiement]]="","",registreGarantie[[#This Row],[MO
Demandé]]-registreGarantie[[#This Row],[MO
Remboursé]])</f>
        <v>0</v>
      </c>
      <c r="S28" s="69"/>
      <c r="T28" s="70">
        <f>IF(registreGarantie[[#This Row],[date paiement]]="","",registreGarantie[[#This Row],[MO
Refusé]]+registreGarantie[[#This Row],[Pièces
Refusés]])</f>
        <v>0</v>
      </c>
      <c r="U28" s="106">
        <v>45476</v>
      </c>
      <c r="V28" s="71" t="str">
        <f>IF(registreGarantie[[#This Row],[Pièces 
Demandés]]="","",registreGarantie[[#This Row],[Date]])</f>
        <v/>
      </c>
      <c r="W28" s="103" t="str">
        <f>IF(registreGarantie[[#This Row],[Pièces 
Demandés]]="","",IF(registreGarantie[[#This Row],[date paiement]]="","",registreGarantie[[#This Row],[date paiement]]+91))</f>
        <v/>
      </c>
      <c r="X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 s="74" t="str">
        <f ca="1">IF(registreGarantie[[#This Row],[Colonne1]]=0,"",IF(TODAY()&gt;registreGarantie[[#This Row],[Date rebus]],0,1))</f>
        <v/>
      </c>
      <c r="Z28" s="66"/>
      <c r="AA28" s="73" t="str">
        <f>IF(AND(registreGarantie[[#This Row],[Montant non remboursé]]&gt;1,registreGarantie[[#This Row],[Montant non remboursé]]&lt;&gt;""),1,"")</f>
        <v/>
      </c>
      <c r="AB28" s="66"/>
      <c r="AC28" s="66"/>
      <c r="AD28" s="87">
        <f t="shared" si="0"/>
        <v>28</v>
      </c>
      <c r="AE28" s="109"/>
    </row>
    <row r="29" spans="1:31" ht="18" customHeight="1" thickBot="1" x14ac:dyDescent="0.4">
      <c r="A29" s="64">
        <v>44702</v>
      </c>
      <c r="B29" s="64">
        <v>42974</v>
      </c>
      <c r="C29" s="106">
        <v>45456</v>
      </c>
      <c r="D29" s="66" t="s">
        <v>292</v>
      </c>
      <c r="E29" s="66" t="s">
        <v>75</v>
      </c>
      <c r="F29" s="68" t="s">
        <v>2244</v>
      </c>
      <c r="G29" s="66" t="s">
        <v>701</v>
      </c>
      <c r="H29" s="64">
        <v>683</v>
      </c>
      <c r="I29" s="67" t="s">
        <v>5</v>
      </c>
      <c r="J29" s="97">
        <v>404035620</v>
      </c>
      <c r="K29" s="66"/>
      <c r="L29" s="68"/>
      <c r="M29" s="69"/>
      <c r="N29" s="69"/>
      <c r="O29" s="70">
        <f>IF(registreGarantie[[#This Row],[date paiement]]="","",registreGarantie[[#This Row],[Pièces 
Demandés]]-registreGarantie[[#This Row],[Pièces 
Remboursés]])</f>
        <v>0</v>
      </c>
      <c r="P29" s="69">
        <v>118.8</v>
      </c>
      <c r="Q29" s="69">
        <v>118.8</v>
      </c>
      <c r="R29" s="70">
        <f>IF(registreGarantie[[#This Row],[date paiement]]="","",registreGarantie[[#This Row],[MO
Demandé]]-registreGarantie[[#This Row],[MO
Remboursé]])</f>
        <v>0</v>
      </c>
      <c r="S29" s="69"/>
      <c r="T29" s="70">
        <f>IF(registreGarantie[[#This Row],[date paiement]]="","",registreGarantie[[#This Row],[MO
Refusé]]+registreGarantie[[#This Row],[Pièces
Refusés]])</f>
        <v>0</v>
      </c>
      <c r="U29" s="106">
        <v>45462</v>
      </c>
      <c r="V29" s="71" t="str">
        <f>IF(registreGarantie[[#This Row],[Pièces 
Demandés]]="","",registreGarantie[[#This Row],[Date]])</f>
        <v/>
      </c>
      <c r="W29" s="103" t="str">
        <f>IF(registreGarantie[[#This Row],[Pièces 
Demandés]]="","",IF(registreGarantie[[#This Row],[date paiement]]="","",registreGarantie[[#This Row],[date paiement]]+91))</f>
        <v/>
      </c>
      <c r="X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9" s="74" t="str">
        <f ca="1">IF(registreGarantie[[#This Row],[Colonne1]]=0,"",IF(TODAY()&gt;registreGarantie[[#This Row],[Date rebus]],0,1))</f>
        <v/>
      </c>
      <c r="Z29" s="66"/>
      <c r="AA29" s="73" t="str">
        <f>IF(AND(registreGarantie[[#This Row],[Montant non remboursé]]&gt;1,registreGarantie[[#This Row],[Montant non remboursé]]&lt;&gt;""),1,"")</f>
        <v/>
      </c>
      <c r="AB29" s="66"/>
      <c r="AC29" s="66"/>
      <c r="AD29" s="87">
        <f t="shared" si="0"/>
        <v>29</v>
      </c>
      <c r="AE29" s="109"/>
    </row>
    <row r="30" spans="1:31" ht="18" customHeight="1" thickBot="1" x14ac:dyDescent="0.4">
      <c r="A30" s="64">
        <v>44704</v>
      </c>
      <c r="B30" s="64">
        <v>43010</v>
      </c>
      <c r="C30" s="106">
        <v>45462</v>
      </c>
      <c r="D30" s="66" t="s">
        <v>858</v>
      </c>
      <c r="E30" s="66" t="s">
        <v>45</v>
      </c>
      <c r="F30" s="68" t="s">
        <v>2278</v>
      </c>
      <c r="G30" s="66" t="s">
        <v>701</v>
      </c>
      <c r="H30" s="64">
        <v>407</v>
      </c>
      <c r="I30" s="67" t="s">
        <v>5</v>
      </c>
      <c r="J30" s="97">
        <v>404037197</v>
      </c>
      <c r="K30" s="66"/>
      <c r="L30" s="68"/>
      <c r="M30" s="69"/>
      <c r="N30" s="69"/>
      <c r="O30" s="70">
        <f>IF(registreGarantie[[#This Row],[date paiement]]="","",registreGarantie[[#This Row],[Pièces 
Demandés]]-registreGarantie[[#This Row],[Pièces 
Remboursés]])</f>
        <v>0</v>
      </c>
      <c r="P30" s="69">
        <v>118.8</v>
      </c>
      <c r="Q30" s="69">
        <v>118.8</v>
      </c>
      <c r="R30" s="70">
        <f>IF(registreGarantie[[#This Row],[date paiement]]="","",registreGarantie[[#This Row],[MO
Demandé]]-registreGarantie[[#This Row],[MO
Remboursé]])</f>
        <v>0</v>
      </c>
      <c r="S30" s="69"/>
      <c r="T30" s="70">
        <f>IF(registreGarantie[[#This Row],[date paiement]]="","",registreGarantie[[#This Row],[MO
Refusé]]+registreGarantie[[#This Row],[Pièces
Refusés]])</f>
        <v>0</v>
      </c>
      <c r="U30" s="106">
        <v>45476</v>
      </c>
      <c r="V30" s="71" t="str">
        <f>IF(registreGarantie[[#This Row],[Pièces 
Demandés]]="","",registreGarantie[[#This Row],[Date]])</f>
        <v/>
      </c>
      <c r="W30" s="103" t="str">
        <f>IF(registreGarantie[[#This Row],[Pièces 
Demandés]]="","",IF(registreGarantie[[#This Row],[date paiement]]="","",registreGarantie[[#This Row],[date paiement]]+91))</f>
        <v/>
      </c>
      <c r="X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 s="74" t="str">
        <f ca="1">IF(registreGarantie[[#This Row],[Colonne1]]=0,"",IF(TODAY()&gt;registreGarantie[[#This Row],[Date rebus]],0,1))</f>
        <v/>
      </c>
      <c r="Z30" s="66"/>
      <c r="AA30" s="73" t="str">
        <f>IF(AND(registreGarantie[[#This Row],[Montant non remboursé]]&gt;1,registreGarantie[[#This Row],[Montant non remboursé]]&lt;&gt;""),1,"")</f>
        <v/>
      </c>
      <c r="AB30" s="66"/>
      <c r="AC30" s="66"/>
      <c r="AD30" s="87">
        <f t="shared" si="0"/>
        <v>30</v>
      </c>
      <c r="AE30" s="109"/>
    </row>
    <row r="31" spans="1:31" ht="18" customHeight="1" thickBot="1" x14ac:dyDescent="0.4">
      <c r="A31" s="64">
        <v>44705</v>
      </c>
      <c r="B31" s="64">
        <v>43007</v>
      </c>
      <c r="C31" s="106">
        <v>45471</v>
      </c>
      <c r="D31" s="66" t="s">
        <v>62</v>
      </c>
      <c r="E31" s="66" t="s">
        <v>148</v>
      </c>
      <c r="F31" s="68" t="s">
        <v>2251</v>
      </c>
      <c r="G31" s="66" t="s">
        <v>701</v>
      </c>
      <c r="H31" s="64">
        <v>1923</v>
      </c>
      <c r="I31" s="67" t="s">
        <v>5</v>
      </c>
      <c r="J31" s="97">
        <v>404033929</v>
      </c>
      <c r="K31" s="66"/>
      <c r="L31" s="68"/>
      <c r="M31" s="69"/>
      <c r="N31" s="69"/>
      <c r="O31" s="70">
        <f>IF(registreGarantie[[#This Row],[date paiement]]="","",registreGarantie[[#This Row],[Pièces 
Demandés]]-registreGarantie[[#This Row],[Pièces 
Remboursés]])</f>
        <v>0</v>
      </c>
      <c r="P31" s="69">
        <v>118.8</v>
      </c>
      <c r="Q31" s="69">
        <v>118.8</v>
      </c>
      <c r="R31" s="70">
        <f>IF(registreGarantie[[#This Row],[date paiement]]="","",registreGarantie[[#This Row],[MO
Demandé]]-registreGarantie[[#This Row],[MO
Remboursé]])</f>
        <v>0</v>
      </c>
      <c r="S31" s="69"/>
      <c r="T31" s="70">
        <f>IF(registreGarantie[[#This Row],[date paiement]]="","",registreGarantie[[#This Row],[MO
Refusé]]+registreGarantie[[#This Row],[Pièces
Refusés]])</f>
        <v>0</v>
      </c>
      <c r="U31" s="106">
        <v>45476</v>
      </c>
      <c r="V31" s="71" t="str">
        <f>IF(registreGarantie[[#This Row],[Pièces 
Demandés]]="","",registreGarantie[[#This Row],[Date]])</f>
        <v/>
      </c>
      <c r="W31" s="103" t="str">
        <f>IF(registreGarantie[[#This Row],[Pièces 
Demandés]]="","",IF(registreGarantie[[#This Row],[date paiement]]="","",registreGarantie[[#This Row],[date paiement]]+91))</f>
        <v/>
      </c>
      <c r="X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1" s="74" t="str">
        <f ca="1">IF(registreGarantie[[#This Row],[Colonne1]]=0,"",IF(TODAY()&gt;registreGarantie[[#This Row],[Date rebus]],0,1))</f>
        <v/>
      </c>
      <c r="Z31" s="66"/>
      <c r="AA31" s="73" t="str">
        <f>IF(AND(registreGarantie[[#This Row],[Montant non remboursé]]&gt;1,registreGarantie[[#This Row],[Montant non remboursé]]&lt;&gt;""),1,"")</f>
        <v/>
      </c>
      <c r="AB31" s="66"/>
      <c r="AC31" s="66"/>
      <c r="AD31" s="87">
        <f t="shared" si="0"/>
        <v>31</v>
      </c>
      <c r="AE31" s="109"/>
    </row>
    <row r="32" spans="1:31" ht="18" customHeight="1" thickBot="1" x14ac:dyDescent="0.4">
      <c r="A32" s="64">
        <v>44707</v>
      </c>
      <c r="B32" s="64">
        <v>43009</v>
      </c>
      <c r="C32" s="106">
        <v>45462</v>
      </c>
      <c r="D32" s="66" t="s">
        <v>1536</v>
      </c>
      <c r="E32" s="66" t="s">
        <v>148</v>
      </c>
      <c r="F32" s="68" t="s">
        <v>2279</v>
      </c>
      <c r="G32" s="66" t="s">
        <v>701</v>
      </c>
      <c r="H32" s="64">
        <v>3327</v>
      </c>
      <c r="I32" s="67" t="s">
        <v>5</v>
      </c>
      <c r="J32" s="97">
        <v>404034301</v>
      </c>
      <c r="K32" s="66"/>
      <c r="L32" s="68"/>
      <c r="M32" s="69"/>
      <c r="N32" s="69"/>
      <c r="O32" s="70">
        <f>IF(registreGarantie[[#This Row],[date paiement]]="","",registreGarantie[[#This Row],[Pièces 
Demandés]]-registreGarantie[[#This Row],[Pièces 
Remboursés]])</f>
        <v>0</v>
      </c>
      <c r="P32" s="69">
        <v>118.8</v>
      </c>
      <c r="Q32" s="69">
        <v>118.8</v>
      </c>
      <c r="R32" s="70">
        <f>IF(registreGarantie[[#This Row],[date paiement]]="","",registreGarantie[[#This Row],[MO
Demandé]]-registreGarantie[[#This Row],[MO
Remboursé]])</f>
        <v>0</v>
      </c>
      <c r="S32" s="69"/>
      <c r="T32" s="70">
        <f>IF(registreGarantie[[#This Row],[date paiement]]="","",registreGarantie[[#This Row],[MO
Refusé]]+registreGarantie[[#This Row],[Pièces
Refusés]])</f>
        <v>0</v>
      </c>
      <c r="U32" s="106">
        <v>45476</v>
      </c>
      <c r="V32" s="71" t="str">
        <f>IF(registreGarantie[[#This Row],[Pièces 
Demandés]]="","",registreGarantie[[#This Row],[Date]])</f>
        <v/>
      </c>
      <c r="W32" s="103" t="str">
        <f>IF(registreGarantie[[#This Row],[Pièces 
Demandés]]="","",IF(registreGarantie[[#This Row],[date paiement]]="","",registreGarantie[[#This Row],[date paiement]]+91))</f>
        <v/>
      </c>
      <c r="X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 s="74" t="str">
        <f ca="1">IF(registreGarantie[[#This Row],[Colonne1]]=0,"",IF(TODAY()&gt;registreGarantie[[#This Row],[Date rebus]],0,1))</f>
        <v/>
      </c>
      <c r="Z32" s="66"/>
      <c r="AA32" s="73" t="str">
        <f>IF(AND(registreGarantie[[#This Row],[Montant non remboursé]]&gt;1,registreGarantie[[#This Row],[Montant non remboursé]]&lt;&gt;""),1,"")</f>
        <v/>
      </c>
      <c r="AB32" s="66"/>
      <c r="AC32" s="66"/>
      <c r="AD32" s="87">
        <f t="shared" si="0"/>
        <v>32</v>
      </c>
      <c r="AE32" s="109"/>
    </row>
    <row r="33" spans="1:31" ht="18" customHeight="1" thickBot="1" x14ac:dyDescent="0.4">
      <c r="A33" s="64">
        <v>44712</v>
      </c>
      <c r="B33" s="64">
        <v>42304</v>
      </c>
      <c r="C33" s="106">
        <v>45321</v>
      </c>
      <c r="D33" s="66" t="s">
        <v>155</v>
      </c>
      <c r="E33" s="66" t="s">
        <v>495</v>
      </c>
      <c r="F33" s="68" t="s">
        <v>2286</v>
      </c>
      <c r="G33" s="66" t="s">
        <v>1537</v>
      </c>
      <c r="H33" s="64">
        <v>1</v>
      </c>
      <c r="I33" s="67" t="s">
        <v>2</v>
      </c>
      <c r="J33" s="97">
        <v>404082348</v>
      </c>
      <c r="K33" s="66"/>
      <c r="L33" s="68"/>
      <c r="M33" s="69">
        <v>60.28</v>
      </c>
      <c r="N33" s="69">
        <v>60.28</v>
      </c>
      <c r="O33" s="70">
        <f>IF(registreGarantie[[#This Row],[date paiement]]="","",registreGarantie[[#This Row],[Pièces 
Demandés]]-registreGarantie[[#This Row],[Pièces 
Remboursés]])</f>
        <v>0</v>
      </c>
      <c r="P33" s="69">
        <v>46.13</v>
      </c>
      <c r="Q33" s="69">
        <v>46.13</v>
      </c>
      <c r="R33" s="70">
        <f>IF(registreGarantie[[#This Row],[date paiement]]="","",registreGarantie[[#This Row],[MO
Demandé]]-registreGarantie[[#This Row],[MO
Remboursé]])</f>
        <v>0</v>
      </c>
      <c r="S33" s="69"/>
      <c r="T33" s="70">
        <f>IF(registreGarantie[[#This Row],[date paiement]]="","",registreGarantie[[#This Row],[MO
Refusé]]+registreGarantie[[#This Row],[Pièces
Refusés]])</f>
        <v>0</v>
      </c>
      <c r="U33" s="106">
        <v>45355</v>
      </c>
      <c r="V33" s="71">
        <f>IF(registreGarantie[[#This Row],[Pièces 
Demandés]]="","",registreGarantie[[#This Row],[Date]])</f>
        <v>45321</v>
      </c>
      <c r="W33" s="103">
        <f>IF(registreGarantie[[#This Row],[Pièces 
Demandés]]="","",IF(registreGarantie[[#This Row],[date paiement]]="","",registreGarantie[[#This Row],[date paiement]]+91))</f>
        <v>45446</v>
      </c>
      <c r="X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 s="74">
        <f ca="1">IF(registreGarantie[[#This Row],[Colonne1]]=0,"",IF(TODAY()&gt;registreGarantie[[#This Row],[Date rebus]],0,1))</f>
        <v>0</v>
      </c>
      <c r="Z33" s="66"/>
      <c r="AA33" s="73" t="str">
        <f>IF(AND(registreGarantie[[#This Row],[Montant non remboursé]]&gt;1,registreGarantie[[#This Row],[Montant non remboursé]]&lt;&gt;""),1,"")</f>
        <v/>
      </c>
      <c r="AB33" s="66"/>
      <c r="AC33" s="66"/>
      <c r="AD33" s="87">
        <f t="shared" si="0"/>
        <v>33</v>
      </c>
      <c r="AE33" s="109"/>
    </row>
    <row r="34" spans="1:31" ht="18" customHeight="1" thickBot="1" x14ac:dyDescent="0.4">
      <c r="A34" s="64">
        <v>44715</v>
      </c>
      <c r="B34" s="64">
        <v>42319</v>
      </c>
      <c r="C34" s="106">
        <v>45324</v>
      </c>
      <c r="D34" s="66" t="s">
        <v>1538</v>
      </c>
      <c r="E34" s="66" t="s">
        <v>1539</v>
      </c>
      <c r="F34" s="68" t="s">
        <v>2288</v>
      </c>
      <c r="G34" s="66" t="s">
        <v>1540</v>
      </c>
      <c r="H34" s="64" t="s">
        <v>1541</v>
      </c>
      <c r="I34" s="67" t="s">
        <v>2</v>
      </c>
      <c r="J34" s="97">
        <v>404087568</v>
      </c>
      <c r="K34" s="66"/>
      <c r="L34" s="68"/>
      <c r="M34" s="69">
        <v>32.14</v>
      </c>
      <c r="N34" s="69">
        <v>32.14</v>
      </c>
      <c r="O34" s="70">
        <f>IF(registreGarantie[[#This Row],[date paiement]]="","",registreGarantie[[#This Row],[Pièces 
Demandés]]-registreGarantie[[#This Row],[Pièces 
Remboursés]])</f>
        <v>0</v>
      </c>
      <c r="P34" s="69">
        <v>92.25</v>
      </c>
      <c r="Q34" s="69">
        <v>92.25</v>
      </c>
      <c r="R34" s="70">
        <f>IF(registreGarantie[[#This Row],[date paiement]]="","",registreGarantie[[#This Row],[MO
Demandé]]-registreGarantie[[#This Row],[MO
Remboursé]])</f>
        <v>0</v>
      </c>
      <c r="S34" s="69"/>
      <c r="T34" s="70">
        <f>IF(registreGarantie[[#This Row],[date paiement]]="","",registreGarantie[[#This Row],[MO
Refusé]]+registreGarantie[[#This Row],[Pièces
Refusés]])</f>
        <v>0</v>
      </c>
      <c r="U34" s="106">
        <v>45497</v>
      </c>
      <c r="V34" s="71">
        <f>IF(registreGarantie[[#This Row],[Pièces 
Demandés]]="","",registreGarantie[[#This Row],[Date]])</f>
        <v>45324</v>
      </c>
      <c r="W34" s="103">
        <f>IF(registreGarantie[[#This Row],[Pièces 
Demandés]]="","",IF(registreGarantie[[#This Row],[date paiement]]="","",registreGarantie[[#This Row],[date paiement]]+91))</f>
        <v>45588</v>
      </c>
      <c r="X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4" s="74">
        <f ca="1">IF(registreGarantie[[#This Row],[Colonne1]]=0,"",IF(TODAY()&gt;registreGarantie[[#This Row],[Date rebus]],0,1))</f>
        <v>0</v>
      </c>
      <c r="Z34" s="66"/>
      <c r="AA34" s="73" t="str">
        <f>IF(AND(registreGarantie[[#This Row],[Montant non remboursé]]&gt;1,registreGarantie[[#This Row],[Montant non remboursé]]&lt;&gt;""),1,"")</f>
        <v/>
      </c>
      <c r="AB34" s="66"/>
      <c r="AC34" s="66"/>
      <c r="AD34" s="87">
        <f t="shared" si="0"/>
        <v>34</v>
      </c>
      <c r="AE34" s="109"/>
    </row>
    <row r="35" spans="1:31" ht="18" customHeight="1" thickBot="1" x14ac:dyDescent="0.4">
      <c r="A35" s="64">
        <v>44716</v>
      </c>
      <c r="B35" s="64">
        <v>42378</v>
      </c>
      <c r="C35" s="106">
        <v>45327</v>
      </c>
      <c r="D35" s="66" t="s">
        <v>858</v>
      </c>
      <c r="E35" s="66" t="s">
        <v>45</v>
      </c>
      <c r="F35" s="68" t="s">
        <v>2278</v>
      </c>
      <c r="G35" s="66" t="s">
        <v>58</v>
      </c>
      <c r="H35" s="64" t="s">
        <v>1542</v>
      </c>
      <c r="I35" s="67" t="s">
        <v>24</v>
      </c>
      <c r="J35" s="97">
        <v>404088674</v>
      </c>
      <c r="K35" s="66"/>
      <c r="L35" s="68"/>
      <c r="M35" s="69"/>
      <c r="N35" s="69"/>
      <c r="O35" s="70" t="str">
        <f>IF(registreGarantie[[#This Row],[date paiement]]="","",registreGarantie[[#This Row],[Pièces 
Demandés]]-registreGarantie[[#This Row],[Pièces 
Remboursés]])</f>
        <v/>
      </c>
      <c r="P35" s="69"/>
      <c r="Q35" s="69"/>
      <c r="R35" s="70" t="str">
        <f>IF(registreGarantie[[#This Row],[date paiement]]="","",registreGarantie[[#This Row],[MO
Demandé]]-registreGarantie[[#This Row],[MO
Remboursé]])</f>
        <v/>
      </c>
      <c r="S35" s="69"/>
      <c r="T35" s="70" t="str">
        <f>IF(registreGarantie[[#This Row],[date paiement]]="","",registreGarantie[[#This Row],[MO
Refusé]]+registreGarantie[[#This Row],[Pièces
Refusés]])</f>
        <v/>
      </c>
      <c r="U35" s="106"/>
      <c r="V35" s="71" t="str">
        <f>IF(registreGarantie[[#This Row],[Pièces 
Demandés]]="","",registreGarantie[[#This Row],[Date]])</f>
        <v/>
      </c>
      <c r="W35" s="103" t="str">
        <f>IF(registreGarantie[[#This Row],[Pièces 
Demandés]]="","",IF(registreGarantie[[#This Row],[date paiement]]="","",registreGarantie[[#This Row],[date paiement]]+91))</f>
        <v/>
      </c>
      <c r="X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 s="74" t="str">
        <f ca="1">IF(registreGarantie[[#This Row],[Colonne1]]=0,"",IF(TODAY()&gt;registreGarantie[[#This Row],[Date rebus]],0,1))</f>
        <v/>
      </c>
      <c r="Z35" s="66"/>
      <c r="AA35" s="73" t="str">
        <f>IF(AND(registreGarantie[[#This Row],[Montant non remboursé]]&gt;1,registreGarantie[[#This Row],[Montant non remboursé]]&lt;&gt;""),1,"")</f>
        <v/>
      </c>
      <c r="AB35" s="66"/>
      <c r="AC35" s="66"/>
      <c r="AD35" s="87">
        <f t="shared" si="0"/>
        <v>35</v>
      </c>
      <c r="AE35" s="109"/>
    </row>
    <row r="36" spans="1:31" ht="18" customHeight="1" thickBot="1" x14ac:dyDescent="0.4">
      <c r="A36" s="64">
        <v>44716</v>
      </c>
      <c r="B36" s="64">
        <v>42378</v>
      </c>
      <c r="C36" s="106">
        <v>45327</v>
      </c>
      <c r="D36" s="66" t="s">
        <v>858</v>
      </c>
      <c r="E36" s="66" t="s">
        <v>45</v>
      </c>
      <c r="F36" s="68" t="s">
        <v>2278</v>
      </c>
      <c r="G36" s="66" t="s">
        <v>58</v>
      </c>
      <c r="H36" s="64" t="s">
        <v>1542</v>
      </c>
      <c r="I36" s="67" t="s">
        <v>23</v>
      </c>
      <c r="J36" s="97">
        <v>404088679</v>
      </c>
      <c r="K36" s="66"/>
      <c r="L36" s="68"/>
      <c r="M36" s="69">
        <v>421.78</v>
      </c>
      <c r="N36" s="69">
        <v>421.78</v>
      </c>
      <c r="O36" s="70">
        <f>IF(registreGarantie[[#This Row],[date paiement]]="","",registreGarantie[[#This Row],[Pièces 
Demandés]]-registreGarantie[[#This Row],[Pièces 
Remboursés]])</f>
        <v>0</v>
      </c>
      <c r="P36" s="69">
        <v>276.75</v>
      </c>
      <c r="Q36" s="69">
        <v>276.75</v>
      </c>
      <c r="R36" s="70">
        <f>IF(registreGarantie[[#This Row],[date paiement]]="","",registreGarantie[[#This Row],[MO
Demandé]]-registreGarantie[[#This Row],[MO
Remboursé]])</f>
        <v>0</v>
      </c>
      <c r="S36" s="69"/>
      <c r="T36" s="70">
        <f>IF(registreGarantie[[#This Row],[date paiement]]="","",registreGarantie[[#This Row],[MO
Refusé]]+registreGarantie[[#This Row],[Pièces
Refusés]])</f>
        <v>0</v>
      </c>
      <c r="U36" s="106">
        <v>45363</v>
      </c>
      <c r="V36" s="71">
        <f>IF(registreGarantie[[#This Row],[Pièces 
Demandés]]="","",registreGarantie[[#This Row],[Date]])</f>
        <v>45327</v>
      </c>
      <c r="W36" s="103">
        <f>IF(registreGarantie[[#This Row],[Pièces 
Demandés]]="","",IF(registreGarantie[[#This Row],[date paiement]]="","",registreGarantie[[#This Row],[date paiement]]+91))</f>
        <v>45454</v>
      </c>
      <c r="X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 s="74" t="str">
        <f ca="1">IF(registreGarantie[[#This Row],[Colonne1]]=0,"",IF(TODAY()&gt;registreGarantie[[#This Row],[Date rebus]],0,1))</f>
        <v/>
      </c>
      <c r="Z36" s="66"/>
      <c r="AA36" s="73" t="str">
        <f>IF(AND(registreGarantie[[#This Row],[Montant non remboursé]]&gt;1,registreGarantie[[#This Row],[Montant non remboursé]]&lt;&gt;""),1,"")</f>
        <v/>
      </c>
      <c r="AB36" s="66"/>
      <c r="AC36" s="66"/>
      <c r="AD36" s="87">
        <f t="shared" si="0"/>
        <v>36</v>
      </c>
      <c r="AE36" s="109"/>
    </row>
    <row r="37" spans="1:31" ht="18" customHeight="1" thickBot="1" x14ac:dyDescent="0.4">
      <c r="A37" s="64">
        <v>44717</v>
      </c>
      <c r="B37" s="64">
        <v>42391</v>
      </c>
      <c r="C37" s="106">
        <v>45329</v>
      </c>
      <c r="D37" s="66" t="s">
        <v>86</v>
      </c>
      <c r="E37" s="66" t="s">
        <v>45</v>
      </c>
      <c r="F37" s="68" t="s">
        <v>2281</v>
      </c>
      <c r="G37" s="66" t="s">
        <v>1543</v>
      </c>
      <c r="H37" s="64"/>
      <c r="I37" s="67" t="s">
        <v>3</v>
      </c>
      <c r="J37" s="97">
        <v>404089078</v>
      </c>
      <c r="K37" s="66"/>
      <c r="L37" s="68"/>
      <c r="M37" s="69">
        <v>249.64</v>
      </c>
      <c r="N37" s="69">
        <v>249.64</v>
      </c>
      <c r="O37" s="70">
        <f>IF(registreGarantie[[#This Row],[date paiement]]="","",registreGarantie[[#This Row],[Pièces 
Demandés]]-registreGarantie[[#This Row],[Pièces 
Remboursés]])</f>
        <v>0</v>
      </c>
      <c r="P37" s="69">
        <v>123</v>
      </c>
      <c r="Q37" s="69">
        <v>123</v>
      </c>
      <c r="R37" s="70">
        <f>IF(registreGarantie[[#This Row],[date paiement]]="","",registreGarantie[[#This Row],[MO
Demandé]]-registreGarantie[[#This Row],[MO
Remboursé]])</f>
        <v>0</v>
      </c>
      <c r="S37" s="69">
        <v>150</v>
      </c>
      <c r="T37" s="70">
        <f>IF(registreGarantie[[#This Row],[date paiement]]="","",registreGarantie[[#This Row],[MO
Refusé]]+registreGarantie[[#This Row],[Pièces
Refusés]])</f>
        <v>0</v>
      </c>
      <c r="U37" s="106">
        <v>45373</v>
      </c>
      <c r="V37" s="71">
        <f>IF(registreGarantie[[#This Row],[Pièces 
Demandés]]="","",registreGarantie[[#This Row],[Date]])</f>
        <v>45329</v>
      </c>
      <c r="W37" s="103">
        <f>IF(registreGarantie[[#This Row],[Pièces 
Demandés]]="","",IF(registreGarantie[[#This Row],[date paiement]]="","",registreGarantie[[#This Row],[date paiement]]+91))</f>
        <v>45464</v>
      </c>
      <c r="X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 s="74">
        <f ca="1">IF(registreGarantie[[#This Row],[Colonne1]]=0,"",IF(TODAY()&gt;registreGarantie[[#This Row],[Date rebus]],0,1))</f>
        <v>0</v>
      </c>
      <c r="Z37" s="66"/>
      <c r="AA37" s="73" t="str">
        <f>IF(AND(registreGarantie[[#This Row],[Montant non remboursé]]&gt;1,registreGarantie[[#This Row],[Montant non remboursé]]&lt;&gt;""),1,"")</f>
        <v/>
      </c>
      <c r="AB37" s="66"/>
      <c r="AC37" s="66"/>
      <c r="AD37" s="87">
        <f t="shared" si="0"/>
        <v>37</v>
      </c>
      <c r="AE37" s="109"/>
    </row>
    <row r="38" spans="1:31" ht="18" customHeight="1" thickBot="1" x14ac:dyDescent="0.4">
      <c r="A38" s="64">
        <v>44719</v>
      </c>
      <c r="B38" s="64">
        <v>42365</v>
      </c>
      <c r="C38" s="106">
        <v>45330</v>
      </c>
      <c r="D38" s="66" t="s">
        <v>74</v>
      </c>
      <c r="E38" s="66" t="s">
        <v>367</v>
      </c>
      <c r="F38" s="68" t="s">
        <v>2253</v>
      </c>
      <c r="G38" s="66" t="s">
        <v>1544</v>
      </c>
      <c r="H38" s="64" t="s">
        <v>1545</v>
      </c>
      <c r="I38" s="67" t="s">
        <v>2</v>
      </c>
      <c r="J38" s="97">
        <v>404091412</v>
      </c>
      <c r="K38" s="66"/>
      <c r="L38" s="68"/>
      <c r="M38" s="69">
        <v>212.54</v>
      </c>
      <c r="N38" s="69">
        <v>212.54</v>
      </c>
      <c r="O38" s="70">
        <f>IF(registreGarantie[[#This Row],[date paiement]]="","",registreGarantie[[#This Row],[Pièces 
Demandés]]-registreGarantie[[#This Row],[Pièces 
Remboursés]])</f>
        <v>0</v>
      </c>
      <c r="P38" s="69">
        <v>922.5</v>
      </c>
      <c r="Q38" s="69">
        <v>922.5</v>
      </c>
      <c r="R38" s="70">
        <f>IF(registreGarantie[[#This Row],[date paiement]]="","",registreGarantie[[#This Row],[MO
Demandé]]-registreGarantie[[#This Row],[MO
Remboursé]])</f>
        <v>0</v>
      </c>
      <c r="S38" s="69"/>
      <c r="T38" s="70">
        <f>IF(registreGarantie[[#This Row],[date paiement]]="","",registreGarantie[[#This Row],[MO
Refusé]]+registreGarantie[[#This Row],[Pièces
Refusés]])</f>
        <v>0</v>
      </c>
      <c r="U38" s="106">
        <v>45497</v>
      </c>
      <c r="V38" s="71">
        <f>IF(registreGarantie[[#This Row],[Pièces 
Demandés]]="","",registreGarantie[[#This Row],[Date]])</f>
        <v>45330</v>
      </c>
      <c r="W38" s="103">
        <f>IF(registreGarantie[[#This Row],[Pièces 
Demandés]]="","",IF(registreGarantie[[#This Row],[date paiement]]="","",registreGarantie[[#This Row],[date paiement]]+91))</f>
        <v>45588</v>
      </c>
      <c r="X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8" s="74">
        <f ca="1">IF(registreGarantie[[#This Row],[Colonne1]]=0,"",IF(TODAY()&gt;registreGarantie[[#This Row],[Date rebus]],0,1))</f>
        <v>0</v>
      </c>
      <c r="Z38" s="66"/>
      <c r="AA38" s="73" t="str">
        <f>IF(AND(registreGarantie[[#This Row],[Montant non remboursé]]&gt;1,registreGarantie[[#This Row],[Montant non remboursé]]&lt;&gt;""),1,"")</f>
        <v/>
      </c>
      <c r="AB38" s="66"/>
      <c r="AC38" s="66"/>
      <c r="AD38" s="87">
        <f t="shared" si="0"/>
        <v>38</v>
      </c>
      <c r="AE38" s="109"/>
    </row>
    <row r="39" spans="1:31" ht="18" customHeight="1" thickBot="1" x14ac:dyDescent="0.4">
      <c r="A39" s="64">
        <v>44720</v>
      </c>
      <c r="B39" s="64">
        <v>42353</v>
      </c>
      <c r="C39" s="106">
        <v>45330</v>
      </c>
      <c r="D39" s="66" t="s">
        <v>325</v>
      </c>
      <c r="E39" s="66" t="s">
        <v>367</v>
      </c>
      <c r="F39" s="68" t="s">
        <v>2311</v>
      </c>
      <c r="G39" s="66" t="s">
        <v>186</v>
      </c>
      <c r="H39" s="64" t="s">
        <v>1546</v>
      </c>
      <c r="I39" s="67" t="s">
        <v>2</v>
      </c>
      <c r="J39" s="97">
        <v>404092054</v>
      </c>
      <c r="K39" s="66"/>
      <c r="L39" s="68"/>
      <c r="M39" s="69">
        <v>50.29</v>
      </c>
      <c r="N39" s="69">
        <v>50.29</v>
      </c>
      <c r="O39" s="70">
        <f>IF(registreGarantie[[#This Row],[date paiement]]="","",registreGarantie[[#This Row],[Pièces 
Demandés]]-registreGarantie[[#This Row],[Pièces 
Remboursés]])</f>
        <v>0</v>
      </c>
      <c r="P39" s="69">
        <v>276.75</v>
      </c>
      <c r="Q39" s="69">
        <v>276.75</v>
      </c>
      <c r="R39" s="70">
        <f>IF(registreGarantie[[#This Row],[date paiement]]="","",registreGarantie[[#This Row],[MO
Demandé]]-registreGarantie[[#This Row],[MO
Remboursé]])</f>
        <v>0</v>
      </c>
      <c r="S39" s="69"/>
      <c r="T39" s="70">
        <f>IF(registreGarantie[[#This Row],[date paiement]]="","",registreGarantie[[#This Row],[MO
Refusé]]+registreGarantie[[#This Row],[Pièces
Refusés]])</f>
        <v>0</v>
      </c>
      <c r="U39" s="106">
        <v>45369</v>
      </c>
      <c r="V39" s="71">
        <f>IF(registreGarantie[[#This Row],[Pièces 
Demandés]]="","",registreGarantie[[#This Row],[Date]])</f>
        <v>45330</v>
      </c>
      <c r="W39" s="103">
        <f>IF(registreGarantie[[#This Row],[Pièces 
Demandés]]="","",IF(registreGarantie[[#This Row],[date paiement]]="","",registreGarantie[[#This Row],[date paiement]]+91))</f>
        <v>45460</v>
      </c>
      <c r="X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9" s="74">
        <f ca="1">IF(registreGarantie[[#This Row],[Colonne1]]=0,"",IF(TODAY()&gt;registreGarantie[[#This Row],[Date rebus]],0,1))</f>
        <v>0</v>
      </c>
      <c r="Z39" s="66"/>
      <c r="AA39" s="73" t="str">
        <f>IF(AND(registreGarantie[[#This Row],[Montant non remboursé]]&gt;1,registreGarantie[[#This Row],[Montant non remboursé]]&lt;&gt;""),1,"")</f>
        <v/>
      </c>
      <c r="AB39" s="66"/>
      <c r="AC39" s="66"/>
      <c r="AD39" s="87">
        <f t="shared" si="0"/>
        <v>39</v>
      </c>
      <c r="AE39" s="109"/>
    </row>
    <row r="40" spans="1:31" ht="18" customHeight="1" thickBot="1" x14ac:dyDescent="0.4">
      <c r="A40" s="64">
        <v>44721</v>
      </c>
      <c r="B40" s="64"/>
      <c r="C40" s="106">
        <v>45330</v>
      </c>
      <c r="D40" s="66"/>
      <c r="E40" s="66"/>
      <c r="F40" s="68"/>
      <c r="G40" s="66"/>
      <c r="H40" s="64"/>
      <c r="I40" s="67"/>
      <c r="J40" s="97"/>
      <c r="K40" s="66"/>
      <c r="L40" s="68"/>
      <c r="M40" s="69"/>
      <c r="N40" s="69"/>
      <c r="O40" s="70" t="str">
        <f>IF(registreGarantie[[#This Row],[date paiement]]="","",registreGarantie[[#This Row],[Pièces 
Demandés]]-registreGarantie[[#This Row],[Pièces 
Remboursés]])</f>
        <v/>
      </c>
      <c r="P40" s="69"/>
      <c r="Q40" s="69"/>
      <c r="R40" s="70" t="str">
        <f>IF(registreGarantie[[#This Row],[date paiement]]="","",registreGarantie[[#This Row],[MO
Demandé]]-registreGarantie[[#This Row],[MO
Remboursé]])</f>
        <v/>
      </c>
      <c r="S40" s="69"/>
      <c r="T40" s="70" t="str">
        <f>IF(registreGarantie[[#This Row],[date paiement]]="","",registreGarantie[[#This Row],[MO
Refusé]]+registreGarantie[[#This Row],[Pièces
Refusés]])</f>
        <v/>
      </c>
      <c r="U40" s="106"/>
      <c r="V40" s="71" t="str">
        <f>IF(registreGarantie[[#This Row],[Pièces 
Demandés]]="","",registreGarantie[[#This Row],[Date]])</f>
        <v/>
      </c>
      <c r="W40" s="103" t="str">
        <f>IF(registreGarantie[[#This Row],[Pièces 
Demandés]]="","",IF(registreGarantie[[#This Row],[date paiement]]="","",registreGarantie[[#This Row],[date paiement]]+91))</f>
        <v/>
      </c>
      <c r="X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 s="74" t="str">
        <f ca="1">IF(registreGarantie[[#This Row],[Colonne1]]=0,"",IF(TODAY()&gt;registreGarantie[[#This Row],[Date rebus]],0,1))</f>
        <v/>
      </c>
      <c r="Z40" s="66"/>
      <c r="AA40" s="73" t="str">
        <f>IF(AND(registreGarantie[[#This Row],[Montant non remboursé]]&gt;1,registreGarantie[[#This Row],[Montant non remboursé]]&lt;&gt;""),1,"")</f>
        <v/>
      </c>
      <c r="AB40" s="66"/>
      <c r="AC40" s="66"/>
      <c r="AD40" s="87">
        <f t="shared" si="0"/>
        <v>40</v>
      </c>
      <c r="AE40" s="109"/>
    </row>
    <row r="41" spans="1:31" ht="18" customHeight="1" thickBot="1" x14ac:dyDescent="0.4">
      <c r="A41" s="64">
        <v>44723</v>
      </c>
      <c r="B41" s="64">
        <v>42077</v>
      </c>
      <c r="C41" s="106">
        <v>45341</v>
      </c>
      <c r="D41" s="66" t="s">
        <v>292</v>
      </c>
      <c r="E41" s="66" t="s">
        <v>75</v>
      </c>
      <c r="F41" s="68" t="s">
        <v>2244</v>
      </c>
      <c r="G41" s="66" t="s">
        <v>1547</v>
      </c>
      <c r="H41" s="64" t="s">
        <v>1548</v>
      </c>
      <c r="I41" s="67" t="s">
        <v>2</v>
      </c>
      <c r="J41" s="97">
        <v>404099676</v>
      </c>
      <c r="K41" s="66"/>
      <c r="L41" s="68"/>
      <c r="M41" s="69">
        <v>76.44</v>
      </c>
      <c r="N41" s="69">
        <v>76.44</v>
      </c>
      <c r="O41" s="70">
        <f>IF(registreGarantie[[#This Row],[date paiement]]="","",registreGarantie[[#This Row],[Pièces 
Demandés]]-registreGarantie[[#This Row],[Pièces 
Remboursés]])</f>
        <v>0</v>
      </c>
      <c r="P41" s="69">
        <v>246</v>
      </c>
      <c r="Q41" s="69">
        <v>246</v>
      </c>
      <c r="R41" s="70">
        <f>IF(registreGarantie[[#This Row],[date paiement]]="","",registreGarantie[[#This Row],[MO
Demandé]]-registreGarantie[[#This Row],[MO
Remboursé]])</f>
        <v>0</v>
      </c>
      <c r="S41" s="69"/>
      <c r="T41" s="70">
        <f>IF(registreGarantie[[#This Row],[date paiement]]="","",registreGarantie[[#This Row],[MO
Refusé]]+registreGarantie[[#This Row],[Pièces
Refusés]])</f>
        <v>0</v>
      </c>
      <c r="U41" s="106">
        <v>45385</v>
      </c>
      <c r="V41" s="71">
        <f>IF(registreGarantie[[#This Row],[Pièces 
Demandés]]="","",registreGarantie[[#This Row],[Date]])</f>
        <v>45341</v>
      </c>
      <c r="W41" s="103">
        <f>IF(registreGarantie[[#This Row],[Pièces 
Demandés]]="","",IF(registreGarantie[[#This Row],[date paiement]]="","",registreGarantie[[#This Row],[date paiement]]+91))</f>
        <v>45476</v>
      </c>
      <c r="X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1" s="74">
        <f ca="1">IF(registreGarantie[[#This Row],[Colonne1]]=0,"",IF(TODAY()&gt;registreGarantie[[#This Row],[Date rebus]],0,1))</f>
        <v>0</v>
      </c>
      <c r="Z41" s="66"/>
      <c r="AA41" s="73" t="str">
        <f>IF(AND(registreGarantie[[#This Row],[Montant non remboursé]]&gt;1,registreGarantie[[#This Row],[Montant non remboursé]]&lt;&gt;""),1,"")</f>
        <v/>
      </c>
      <c r="AB41" s="66"/>
      <c r="AC41" s="66"/>
      <c r="AD41" s="87">
        <f t="shared" si="0"/>
        <v>41</v>
      </c>
      <c r="AE41" s="109"/>
    </row>
    <row r="42" spans="1:31" ht="18" customHeight="1" thickBot="1" x14ac:dyDescent="0.4">
      <c r="A42" s="64">
        <v>44726</v>
      </c>
      <c r="B42" s="64">
        <v>42416</v>
      </c>
      <c r="C42" s="106">
        <v>45343</v>
      </c>
      <c r="D42" s="66" t="s">
        <v>292</v>
      </c>
      <c r="E42" s="66" t="s">
        <v>75</v>
      </c>
      <c r="F42" s="68" t="s">
        <v>2244</v>
      </c>
      <c r="G42" s="66" t="s">
        <v>1549</v>
      </c>
      <c r="H42" s="64" t="s">
        <v>1550</v>
      </c>
      <c r="I42" s="67" t="s">
        <v>2</v>
      </c>
      <c r="J42" s="97">
        <v>404102979</v>
      </c>
      <c r="K42" s="66"/>
      <c r="L42" s="68"/>
      <c r="M42" s="69">
        <v>112.04</v>
      </c>
      <c r="N42" s="69">
        <v>112.04</v>
      </c>
      <c r="O42" s="70">
        <f>IF(registreGarantie[[#This Row],[date paiement]]="","",registreGarantie[[#This Row],[Pièces 
Demandés]]-registreGarantie[[#This Row],[Pièces 
Remboursés]])</f>
        <v>0</v>
      </c>
      <c r="P42" s="69">
        <v>30.75</v>
      </c>
      <c r="Q42" s="69">
        <v>30.75</v>
      </c>
      <c r="R42" s="70">
        <f>IF(registreGarantie[[#This Row],[date paiement]]="","",registreGarantie[[#This Row],[MO
Demandé]]-registreGarantie[[#This Row],[MO
Remboursé]])</f>
        <v>0</v>
      </c>
      <c r="S42" s="69"/>
      <c r="T42" s="70">
        <f>IF(registreGarantie[[#This Row],[date paiement]]="","",registreGarantie[[#This Row],[MO
Refusé]]+registreGarantie[[#This Row],[Pièces
Refusés]])</f>
        <v>0</v>
      </c>
      <c r="U42" s="106">
        <v>45385</v>
      </c>
      <c r="V42" s="71">
        <f>IF(registreGarantie[[#This Row],[Pièces 
Demandés]]="","",registreGarantie[[#This Row],[Date]])</f>
        <v>45343</v>
      </c>
      <c r="W42" s="103">
        <f>IF(registreGarantie[[#This Row],[Pièces 
Demandés]]="","",IF(registreGarantie[[#This Row],[date paiement]]="","",registreGarantie[[#This Row],[date paiement]]+91))</f>
        <v>45476</v>
      </c>
      <c r="X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 s="74">
        <f ca="1">IF(registreGarantie[[#This Row],[Colonne1]]=0,"",IF(TODAY()&gt;registreGarantie[[#This Row],[Date rebus]],0,1))</f>
        <v>0</v>
      </c>
      <c r="Z42" s="66"/>
      <c r="AA42" s="73" t="str">
        <f>IF(AND(registreGarantie[[#This Row],[Montant non remboursé]]&gt;1,registreGarantie[[#This Row],[Montant non remboursé]]&lt;&gt;""),1,"")</f>
        <v/>
      </c>
      <c r="AB42" s="66"/>
      <c r="AC42" s="66"/>
      <c r="AD42" s="87">
        <f t="shared" si="0"/>
        <v>42</v>
      </c>
      <c r="AE42" s="109"/>
    </row>
    <row r="43" spans="1:31" ht="18" customHeight="1" thickBot="1" x14ac:dyDescent="0.4">
      <c r="A43" s="64">
        <v>44727</v>
      </c>
      <c r="B43" s="64">
        <v>42412</v>
      </c>
      <c r="C43" s="106">
        <v>45341</v>
      </c>
      <c r="D43" s="66" t="s">
        <v>439</v>
      </c>
      <c r="E43" s="66" t="s">
        <v>133</v>
      </c>
      <c r="F43" s="68" t="s">
        <v>2267</v>
      </c>
      <c r="G43" s="66" t="s">
        <v>1551</v>
      </c>
      <c r="H43" s="64" t="s">
        <v>1552</v>
      </c>
      <c r="I43" s="67" t="s">
        <v>3</v>
      </c>
      <c r="J43" s="97">
        <v>404099725</v>
      </c>
      <c r="K43" s="66"/>
      <c r="L43" s="68"/>
      <c r="M43" s="69">
        <v>89.5</v>
      </c>
      <c r="N43" s="69">
        <v>89.5</v>
      </c>
      <c r="O43" s="70">
        <f>IF(registreGarantie[[#This Row],[date paiement]]="","",registreGarantie[[#This Row],[Pièces 
Demandés]]-registreGarantie[[#This Row],[Pièces 
Remboursés]])</f>
        <v>0</v>
      </c>
      <c r="P43" s="69">
        <v>98.4</v>
      </c>
      <c r="Q43" s="69">
        <v>98.4</v>
      </c>
      <c r="R43" s="70">
        <f>IF(registreGarantie[[#This Row],[date paiement]]="","",registreGarantie[[#This Row],[MO
Demandé]]-registreGarantie[[#This Row],[MO
Remboursé]])</f>
        <v>0</v>
      </c>
      <c r="S43" s="69"/>
      <c r="T43" s="70">
        <f>IF(registreGarantie[[#This Row],[date paiement]]="","",registreGarantie[[#This Row],[MO
Refusé]]+registreGarantie[[#This Row],[Pièces
Refusés]])</f>
        <v>0</v>
      </c>
      <c r="U43" s="106">
        <v>45385</v>
      </c>
      <c r="V43" s="71">
        <f>IF(registreGarantie[[#This Row],[Pièces 
Demandés]]="","",registreGarantie[[#This Row],[Date]])</f>
        <v>45341</v>
      </c>
      <c r="W43" s="103">
        <f>IF(registreGarantie[[#This Row],[Pièces 
Demandés]]="","",IF(registreGarantie[[#This Row],[date paiement]]="","",registreGarantie[[#This Row],[date paiement]]+91))</f>
        <v>45476</v>
      </c>
      <c r="X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3" s="74">
        <f ca="1">IF(registreGarantie[[#This Row],[Colonne1]]=0,"",IF(TODAY()&gt;registreGarantie[[#This Row],[Date rebus]],0,1))</f>
        <v>0</v>
      </c>
      <c r="Z43" s="66"/>
      <c r="AA43" s="73" t="str">
        <f>IF(AND(registreGarantie[[#This Row],[Montant non remboursé]]&gt;1,registreGarantie[[#This Row],[Montant non remboursé]]&lt;&gt;""),1,"")</f>
        <v/>
      </c>
      <c r="AB43" s="66"/>
      <c r="AC43" s="66"/>
      <c r="AD43" s="87">
        <f t="shared" si="0"/>
        <v>43</v>
      </c>
      <c r="AE43" s="109"/>
    </row>
    <row r="44" spans="1:31" ht="18" customHeight="1" thickBot="1" x14ac:dyDescent="0.4">
      <c r="A44" s="64">
        <v>44728</v>
      </c>
      <c r="B44" s="64">
        <v>5687</v>
      </c>
      <c r="C44" s="106">
        <v>45341</v>
      </c>
      <c r="D44" s="66" t="s">
        <v>333</v>
      </c>
      <c r="E44" s="66" t="s">
        <v>334</v>
      </c>
      <c r="F44" s="68" t="s">
        <v>2282</v>
      </c>
      <c r="G44" s="66" t="s">
        <v>1553</v>
      </c>
      <c r="H44" s="64" t="s">
        <v>1554</v>
      </c>
      <c r="I44" s="67" t="s">
        <v>3</v>
      </c>
      <c r="J44" s="97">
        <v>404100254</v>
      </c>
      <c r="K44" s="66"/>
      <c r="L44" s="68"/>
      <c r="M44" s="69">
        <v>93.61</v>
      </c>
      <c r="N44" s="69">
        <v>93.61</v>
      </c>
      <c r="O44" s="70">
        <f>IF(registreGarantie[[#This Row],[date paiement]]="","",registreGarantie[[#This Row],[Pièces 
Demandés]]-registreGarantie[[#This Row],[Pièces 
Remboursés]])</f>
        <v>0</v>
      </c>
      <c r="P44" s="69">
        <v>246</v>
      </c>
      <c r="Q44" s="69">
        <v>246</v>
      </c>
      <c r="R44" s="70">
        <f>IF(registreGarantie[[#This Row],[date paiement]]="","",registreGarantie[[#This Row],[MO
Demandé]]-registreGarantie[[#This Row],[MO
Remboursé]])</f>
        <v>0</v>
      </c>
      <c r="S44" s="69"/>
      <c r="T44" s="70">
        <f>IF(registreGarantie[[#This Row],[date paiement]]="","",registreGarantie[[#This Row],[MO
Refusé]]+registreGarantie[[#This Row],[Pièces
Refusés]])</f>
        <v>0</v>
      </c>
      <c r="U44" s="106">
        <v>45497</v>
      </c>
      <c r="V44" s="71">
        <f>IF(registreGarantie[[#This Row],[Pièces 
Demandés]]="","",registreGarantie[[#This Row],[Date]])</f>
        <v>45341</v>
      </c>
      <c r="W44" s="103">
        <f>IF(registreGarantie[[#This Row],[Pièces 
Demandés]]="","",IF(registreGarantie[[#This Row],[date paiement]]="","",registreGarantie[[#This Row],[date paiement]]+91))</f>
        <v>45588</v>
      </c>
      <c r="X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4" s="74">
        <f ca="1">IF(registreGarantie[[#This Row],[Colonne1]]=0,"",IF(TODAY()&gt;registreGarantie[[#This Row],[Date rebus]],0,1))</f>
        <v>0</v>
      </c>
      <c r="Z44" s="66"/>
      <c r="AA44" s="73" t="str">
        <f>IF(AND(registreGarantie[[#This Row],[Montant non remboursé]]&gt;1,registreGarantie[[#This Row],[Montant non remboursé]]&lt;&gt;""),1,"")</f>
        <v/>
      </c>
      <c r="AB44" s="66"/>
      <c r="AC44" s="66"/>
      <c r="AD44" s="87">
        <f t="shared" si="0"/>
        <v>44</v>
      </c>
      <c r="AE44" s="109"/>
    </row>
    <row r="45" spans="1:31" ht="18" customHeight="1" thickBot="1" x14ac:dyDescent="0.4">
      <c r="A45" s="64">
        <v>44730</v>
      </c>
      <c r="B45" s="64">
        <v>42418</v>
      </c>
      <c r="C45" s="106">
        <v>45349</v>
      </c>
      <c r="D45" s="66" t="s">
        <v>74</v>
      </c>
      <c r="E45" s="66" t="s">
        <v>367</v>
      </c>
      <c r="F45" s="68" t="s">
        <v>2253</v>
      </c>
      <c r="G45" s="66" t="s">
        <v>1555</v>
      </c>
      <c r="H45" s="64">
        <v>52</v>
      </c>
      <c r="I45" s="67" t="s">
        <v>2</v>
      </c>
      <c r="J45" s="97">
        <v>404101584</v>
      </c>
      <c r="K45" s="66"/>
      <c r="L45" s="68"/>
      <c r="M45" s="69"/>
      <c r="N45" s="69"/>
      <c r="O45" s="70">
        <f>IF(registreGarantie[[#This Row],[date paiement]]="","",registreGarantie[[#This Row],[Pièces 
Demandés]]-registreGarantie[[#This Row],[Pièces 
Remboursés]])</f>
        <v>0</v>
      </c>
      <c r="P45" s="69">
        <v>492</v>
      </c>
      <c r="Q45" s="69">
        <v>215.25</v>
      </c>
      <c r="R45" s="70">
        <f>IF(registreGarantie[[#This Row],[date paiement]]="","",registreGarantie[[#This Row],[MO
Demandé]]-registreGarantie[[#This Row],[MO
Remboursé]])</f>
        <v>276.75</v>
      </c>
      <c r="S45" s="69"/>
      <c r="T45" s="70">
        <f>IF(registreGarantie[[#This Row],[date paiement]]="","",registreGarantie[[#This Row],[MO
Refusé]]+registreGarantie[[#This Row],[Pièces
Refusés]])</f>
        <v>276.75</v>
      </c>
      <c r="U45" s="106">
        <v>45462</v>
      </c>
      <c r="V45" s="71" t="str">
        <f>IF(registreGarantie[[#This Row],[Pièces 
Demandés]]="","",registreGarantie[[#This Row],[Date]])</f>
        <v/>
      </c>
      <c r="W45" s="103" t="str">
        <f>IF(registreGarantie[[#This Row],[Pièces 
Demandés]]="","",IF(registreGarantie[[#This Row],[date paiement]]="","",registreGarantie[[#This Row],[date paiement]]+91))</f>
        <v/>
      </c>
      <c r="X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 s="74" t="str">
        <f ca="1">IF(registreGarantie[[#This Row],[Colonne1]]=0,"",IF(TODAY()&gt;registreGarantie[[#This Row],[Date rebus]],0,1))</f>
        <v/>
      </c>
      <c r="Z45" s="66"/>
      <c r="AA45" s="73">
        <f>IF(AND(registreGarantie[[#This Row],[Montant non remboursé]]&gt;1,registreGarantie[[#This Row],[Montant non remboursé]]&lt;&gt;""),1,"")</f>
        <v>1</v>
      </c>
      <c r="AB45" s="66"/>
      <c r="AC45" s="66"/>
      <c r="AD45" s="87">
        <f t="shared" si="0"/>
        <v>45</v>
      </c>
      <c r="AE45" s="109"/>
    </row>
    <row r="46" spans="1:31" ht="18" customHeight="1" thickBot="1" x14ac:dyDescent="0.4">
      <c r="A46" s="64">
        <v>44731</v>
      </c>
      <c r="B46" s="64">
        <v>42350</v>
      </c>
      <c r="C46" s="106">
        <v>45344</v>
      </c>
      <c r="D46" s="66" t="s">
        <v>375</v>
      </c>
      <c r="E46" s="66" t="s">
        <v>75</v>
      </c>
      <c r="F46" s="68" t="s">
        <v>2284</v>
      </c>
      <c r="G46" s="66" t="s">
        <v>525</v>
      </c>
      <c r="H46" s="64" t="s">
        <v>1556</v>
      </c>
      <c r="I46" s="67" t="s">
        <v>16</v>
      </c>
      <c r="J46" s="97">
        <v>404103508</v>
      </c>
      <c r="K46" s="66"/>
      <c r="L46" s="68"/>
      <c r="M46" s="69">
        <v>130.06</v>
      </c>
      <c r="N46" s="69"/>
      <c r="O46" s="70">
        <f>IF(registreGarantie[[#This Row],[date paiement]]="","",registreGarantie[[#This Row],[Pièces 
Demandés]]-registreGarantie[[#This Row],[Pièces 
Remboursés]])</f>
        <v>130.06</v>
      </c>
      <c r="P46" s="69">
        <v>2337</v>
      </c>
      <c r="Q46" s="69"/>
      <c r="R46" s="70">
        <f>IF(registreGarantie[[#This Row],[date paiement]]="","",registreGarantie[[#This Row],[MO
Demandé]]-registreGarantie[[#This Row],[MO
Remboursé]])</f>
        <v>2337</v>
      </c>
      <c r="S46" s="69"/>
      <c r="T46" s="70">
        <f>IF(registreGarantie[[#This Row],[date paiement]]="","",registreGarantie[[#This Row],[MO
Refusé]]+registreGarantie[[#This Row],[Pièces
Refusés]])</f>
        <v>2467.06</v>
      </c>
      <c r="U46" s="106">
        <v>45478</v>
      </c>
      <c r="V46" s="71">
        <f>IF(registreGarantie[[#This Row],[Pièces 
Demandés]]="","",registreGarantie[[#This Row],[Date]])</f>
        <v>45344</v>
      </c>
      <c r="W46" s="103">
        <f>IF(registreGarantie[[#This Row],[Pièces 
Demandés]]="","",IF(registreGarantie[[#This Row],[date paiement]]="","",registreGarantie[[#This Row],[date paiement]]+91))</f>
        <v>45569</v>
      </c>
      <c r="X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6" s="74">
        <f ca="1">IF(registreGarantie[[#This Row],[Colonne1]]=0,"",IF(TODAY()&gt;registreGarantie[[#This Row],[Date rebus]],0,1))</f>
        <v>0</v>
      </c>
      <c r="Z46" s="66"/>
      <c r="AA46" s="73">
        <f>IF(AND(registreGarantie[[#This Row],[Montant non remboursé]]&gt;1,registreGarantie[[#This Row],[Montant non remboursé]]&lt;&gt;""),1,"")</f>
        <v>1</v>
      </c>
      <c r="AB46" s="66"/>
      <c r="AC46" s="66"/>
      <c r="AD46" s="87">
        <f t="shared" si="0"/>
        <v>46</v>
      </c>
      <c r="AE46" s="109"/>
    </row>
    <row r="47" spans="1:31" ht="18" customHeight="1" thickBot="1" x14ac:dyDescent="0.4">
      <c r="A47" s="64">
        <v>44733</v>
      </c>
      <c r="B47" s="64">
        <v>42468</v>
      </c>
      <c r="C47" s="106">
        <v>45350</v>
      </c>
      <c r="D47" s="66" t="s">
        <v>86</v>
      </c>
      <c r="E47" s="66" t="s">
        <v>45</v>
      </c>
      <c r="F47" s="68" t="s">
        <v>2281</v>
      </c>
      <c r="G47" s="66" t="s">
        <v>1557</v>
      </c>
      <c r="H47" s="64" t="s">
        <v>1558</v>
      </c>
      <c r="I47" s="67" t="s">
        <v>3</v>
      </c>
      <c r="J47" s="97">
        <v>404109151</v>
      </c>
      <c r="K47" s="66"/>
      <c r="L47" s="68"/>
      <c r="M47" s="69">
        <v>38.479999999999997</v>
      </c>
      <c r="N47" s="69">
        <v>38.479999999999997</v>
      </c>
      <c r="O47" s="70">
        <f>IF(registreGarantie[[#This Row],[date paiement]]="","",registreGarantie[[#This Row],[Pièces 
Demandés]]-registreGarantie[[#This Row],[Pièces 
Remboursés]])</f>
        <v>0</v>
      </c>
      <c r="P47" s="69">
        <v>215.25</v>
      </c>
      <c r="Q47" s="69">
        <v>215.25</v>
      </c>
      <c r="R47" s="70">
        <f>IF(registreGarantie[[#This Row],[date paiement]]="","",registreGarantie[[#This Row],[MO
Demandé]]-registreGarantie[[#This Row],[MO
Remboursé]])</f>
        <v>0</v>
      </c>
      <c r="S47" s="69"/>
      <c r="T47" s="70">
        <f>IF(registreGarantie[[#This Row],[date paiement]]="","",registreGarantie[[#This Row],[MO
Refusé]]+registreGarantie[[#This Row],[Pièces
Refusés]])</f>
        <v>0</v>
      </c>
      <c r="U47" s="106">
        <v>45478</v>
      </c>
      <c r="V47" s="71">
        <f>IF(registreGarantie[[#This Row],[Pièces 
Demandés]]="","",registreGarantie[[#This Row],[Date]])</f>
        <v>45350</v>
      </c>
      <c r="W47" s="103">
        <f>IF(registreGarantie[[#This Row],[Pièces 
Demandés]]="","",IF(registreGarantie[[#This Row],[date paiement]]="","",registreGarantie[[#This Row],[date paiement]]+91))</f>
        <v>45569</v>
      </c>
      <c r="X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 s="74">
        <f ca="1">IF(registreGarantie[[#This Row],[Colonne1]]=0,"",IF(TODAY()&gt;registreGarantie[[#This Row],[Date rebus]],0,1))</f>
        <v>0</v>
      </c>
      <c r="Z47" s="66"/>
      <c r="AA47" s="73" t="str">
        <f>IF(AND(registreGarantie[[#This Row],[Montant non remboursé]]&gt;1,registreGarantie[[#This Row],[Montant non remboursé]]&lt;&gt;""),1,"")</f>
        <v/>
      </c>
      <c r="AB47" s="66"/>
      <c r="AC47" s="66"/>
      <c r="AD47" s="87">
        <f t="shared" si="0"/>
        <v>47</v>
      </c>
      <c r="AE47" s="109"/>
    </row>
    <row r="48" spans="1:31" ht="18" customHeight="1" thickBot="1" x14ac:dyDescent="0.4">
      <c r="A48" s="64">
        <v>44736</v>
      </c>
      <c r="B48" s="64" t="s">
        <v>1559</v>
      </c>
      <c r="C48" s="106">
        <v>45365</v>
      </c>
      <c r="D48" s="66" t="s">
        <v>1560</v>
      </c>
      <c r="E48" s="66" t="s">
        <v>179</v>
      </c>
      <c r="F48" s="68" t="s">
        <v>2293</v>
      </c>
      <c r="G48" s="66" t="s">
        <v>1561</v>
      </c>
      <c r="H48" s="64" t="s">
        <v>1562</v>
      </c>
      <c r="I48" s="67" t="s">
        <v>15</v>
      </c>
      <c r="J48" s="97">
        <v>404123049</v>
      </c>
      <c r="K48" s="66"/>
      <c r="L48" s="68"/>
      <c r="M48" s="69">
        <v>153.28</v>
      </c>
      <c r="N48" s="69">
        <v>153.28</v>
      </c>
      <c r="O48" s="70">
        <f>IF(registreGarantie[[#This Row],[date paiement]]="","",registreGarantie[[#This Row],[Pièces 
Demandés]]-registreGarantie[[#This Row],[Pièces 
Remboursés]])</f>
        <v>0</v>
      </c>
      <c r="P48" s="69">
        <v>369</v>
      </c>
      <c r="Q48" s="69">
        <v>369</v>
      </c>
      <c r="R48" s="70">
        <f>IF(registreGarantie[[#This Row],[date paiement]]="","",registreGarantie[[#This Row],[MO
Demandé]]-registreGarantie[[#This Row],[MO
Remboursé]])</f>
        <v>0</v>
      </c>
      <c r="S48" s="69"/>
      <c r="T48" s="70">
        <f>IF(registreGarantie[[#This Row],[date paiement]]="","",registreGarantie[[#This Row],[MO
Refusé]]+registreGarantie[[#This Row],[Pièces
Refusés]])</f>
        <v>0</v>
      </c>
      <c r="U48" s="106">
        <v>45504</v>
      </c>
      <c r="V48" s="71">
        <f>IF(registreGarantie[[#This Row],[Pièces 
Demandés]]="","",registreGarantie[[#This Row],[Date]])</f>
        <v>45365</v>
      </c>
      <c r="W48" s="103">
        <f>IF(registreGarantie[[#This Row],[Pièces 
Demandés]]="","",IF(registreGarantie[[#This Row],[date paiement]]="","",registreGarantie[[#This Row],[date paiement]]+91))</f>
        <v>45595</v>
      </c>
      <c r="X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8" s="74">
        <f ca="1">IF(registreGarantie[[#This Row],[Colonne1]]=0,"",IF(TODAY()&gt;registreGarantie[[#This Row],[Date rebus]],0,1))</f>
        <v>0</v>
      </c>
      <c r="Z48" s="66"/>
      <c r="AA48" s="73" t="str">
        <f>IF(AND(registreGarantie[[#This Row],[Montant non remboursé]]&gt;1,registreGarantie[[#This Row],[Montant non remboursé]]&lt;&gt;""),1,"")</f>
        <v/>
      </c>
      <c r="AB48" s="66"/>
      <c r="AC48" s="66"/>
      <c r="AD48" s="87">
        <f t="shared" si="0"/>
        <v>48</v>
      </c>
      <c r="AE48" s="109"/>
    </row>
    <row r="49" spans="1:31" ht="18" customHeight="1" thickBot="1" x14ac:dyDescent="0.4">
      <c r="A49" s="64">
        <v>44737</v>
      </c>
      <c r="B49" s="64">
        <v>42474</v>
      </c>
      <c r="C49" s="106">
        <v>45363</v>
      </c>
      <c r="D49" s="66" t="s">
        <v>155</v>
      </c>
      <c r="E49" s="66" t="s">
        <v>75</v>
      </c>
      <c r="F49" s="68" t="s">
        <v>2287</v>
      </c>
      <c r="G49" s="66" t="s">
        <v>1563</v>
      </c>
      <c r="H49" s="64" t="s">
        <v>1564</v>
      </c>
      <c r="I49" s="67" t="s">
        <v>2</v>
      </c>
      <c r="J49" s="97">
        <v>404121960</v>
      </c>
      <c r="K49" s="66"/>
      <c r="L49" s="68"/>
      <c r="M49" s="69">
        <v>36.15</v>
      </c>
      <c r="N49" s="69">
        <v>36.15</v>
      </c>
      <c r="O49" s="70">
        <f>IF(registreGarantie[[#This Row],[date paiement]]="","",registreGarantie[[#This Row],[Pièces 
Demandés]]-registreGarantie[[#This Row],[Pièces 
Remboursés]])</f>
        <v>0</v>
      </c>
      <c r="P49" s="69">
        <v>18.45</v>
      </c>
      <c r="Q49" s="69">
        <v>18.45</v>
      </c>
      <c r="R49" s="70">
        <f>IF(registreGarantie[[#This Row],[date paiement]]="","",registreGarantie[[#This Row],[MO
Demandé]]-registreGarantie[[#This Row],[MO
Remboursé]])</f>
        <v>0</v>
      </c>
      <c r="S49" s="69"/>
      <c r="T49" s="70">
        <f>IF(registreGarantie[[#This Row],[date paiement]]="","",registreGarantie[[#This Row],[MO
Refusé]]+registreGarantie[[#This Row],[Pièces
Refusés]])</f>
        <v>0</v>
      </c>
      <c r="U49" s="106">
        <v>45461</v>
      </c>
      <c r="V49" s="71">
        <f>IF(registreGarantie[[#This Row],[Pièces 
Demandés]]="","",registreGarantie[[#This Row],[Date]])</f>
        <v>45363</v>
      </c>
      <c r="W49" s="103">
        <f>IF(registreGarantie[[#This Row],[Pièces 
Demandés]]="","",IF(registreGarantie[[#This Row],[date paiement]]="","",registreGarantie[[#This Row],[date paiement]]+91))</f>
        <v>45552</v>
      </c>
      <c r="X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 s="74">
        <f ca="1">IF(registreGarantie[[#This Row],[Colonne1]]=0,"",IF(TODAY()&gt;registreGarantie[[#This Row],[Date rebus]],0,1))</f>
        <v>0</v>
      </c>
      <c r="Z49" s="66"/>
      <c r="AA49" s="73" t="str">
        <f>IF(AND(registreGarantie[[#This Row],[Montant non remboursé]]&gt;1,registreGarantie[[#This Row],[Montant non remboursé]]&lt;&gt;""),1,"")</f>
        <v/>
      </c>
      <c r="AB49" s="66"/>
      <c r="AC49" s="66"/>
      <c r="AD49" s="87">
        <f t="shared" si="0"/>
        <v>49</v>
      </c>
      <c r="AE49" s="109"/>
    </row>
    <row r="50" spans="1:31" ht="18" customHeight="1" thickBot="1" x14ac:dyDescent="0.4">
      <c r="A50" s="64">
        <v>44738</v>
      </c>
      <c r="B50" s="64">
        <v>5720</v>
      </c>
      <c r="C50" s="106">
        <v>45365</v>
      </c>
      <c r="D50" s="66" t="s">
        <v>41</v>
      </c>
      <c r="E50" s="66" t="s">
        <v>45</v>
      </c>
      <c r="F50" s="68" t="s">
        <v>2259</v>
      </c>
      <c r="G50" s="66" t="s">
        <v>532</v>
      </c>
      <c r="H50" s="64">
        <v>160</v>
      </c>
      <c r="I50" s="67" t="s">
        <v>2</v>
      </c>
      <c r="J50" s="97">
        <v>404124498</v>
      </c>
      <c r="K50" s="66"/>
      <c r="L50" s="68"/>
      <c r="M50" s="69"/>
      <c r="N50" s="69"/>
      <c r="O50" s="70">
        <f>IF(registreGarantie[[#This Row],[date paiement]]="","",registreGarantie[[#This Row],[Pièces 
Demandés]]-registreGarantie[[#This Row],[Pièces 
Remboursés]])</f>
        <v>0</v>
      </c>
      <c r="P50" s="69">
        <v>184.5</v>
      </c>
      <c r="Q50" s="69">
        <v>0</v>
      </c>
      <c r="R50" s="70">
        <f>IF(registreGarantie[[#This Row],[date paiement]]="","",registreGarantie[[#This Row],[MO
Demandé]]-registreGarantie[[#This Row],[MO
Remboursé]])</f>
        <v>184.5</v>
      </c>
      <c r="S50" s="69"/>
      <c r="T50" s="70">
        <f>IF(registreGarantie[[#This Row],[date paiement]]="","",registreGarantie[[#This Row],[MO
Refusé]]+registreGarantie[[#This Row],[Pièces
Refusés]])</f>
        <v>184.5</v>
      </c>
      <c r="U50" s="106">
        <v>45464</v>
      </c>
      <c r="V50" s="71" t="str">
        <f>IF(registreGarantie[[#This Row],[Pièces 
Demandés]]="","",registreGarantie[[#This Row],[Date]])</f>
        <v/>
      </c>
      <c r="W50" s="103" t="str">
        <f>IF(registreGarantie[[#This Row],[Pièces 
Demandés]]="","",IF(registreGarantie[[#This Row],[date paiement]]="","",registreGarantie[[#This Row],[date paiement]]+91))</f>
        <v/>
      </c>
      <c r="X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 s="74" t="str">
        <f ca="1">IF(registreGarantie[[#This Row],[Colonne1]]=0,"",IF(TODAY()&gt;registreGarantie[[#This Row],[Date rebus]],0,1))</f>
        <v/>
      </c>
      <c r="Z50" s="66" t="s">
        <v>1565</v>
      </c>
      <c r="AA50" s="73">
        <f>IF(AND(registreGarantie[[#This Row],[Montant non remboursé]]&gt;1,registreGarantie[[#This Row],[Montant non remboursé]]&lt;&gt;""),1,"")</f>
        <v>1</v>
      </c>
      <c r="AB50" s="66"/>
      <c r="AC50" s="66"/>
      <c r="AD50" s="87">
        <f t="shared" si="0"/>
        <v>50</v>
      </c>
      <c r="AE50" s="109"/>
    </row>
    <row r="51" spans="1:31" ht="18" customHeight="1" thickBot="1" x14ac:dyDescent="0.4">
      <c r="A51" s="64">
        <v>44739</v>
      </c>
      <c r="B51" s="64">
        <v>5714</v>
      </c>
      <c r="C51" s="106">
        <v>45365</v>
      </c>
      <c r="D51" s="66" t="s">
        <v>333</v>
      </c>
      <c r="E51" s="66" t="s">
        <v>334</v>
      </c>
      <c r="F51" s="68" t="s">
        <v>2282</v>
      </c>
      <c r="G51" s="66" t="s">
        <v>1566</v>
      </c>
      <c r="H51" s="64" t="s">
        <v>1567</v>
      </c>
      <c r="I51" s="67" t="s">
        <v>3</v>
      </c>
      <c r="J51" s="97">
        <v>404123047</v>
      </c>
      <c r="K51" s="66"/>
      <c r="L51" s="68"/>
      <c r="M51" s="69">
        <v>126.51</v>
      </c>
      <c r="N51" s="69">
        <v>126.51</v>
      </c>
      <c r="O51" s="70">
        <f>IF(registreGarantie[[#This Row],[date paiement]]="","",registreGarantie[[#This Row],[Pièces 
Demandés]]-registreGarantie[[#This Row],[Pièces 
Remboursés]])</f>
        <v>0</v>
      </c>
      <c r="P51" s="69">
        <v>246</v>
      </c>
      <c r="Q51" s="69">
        <v>246</v>
      </c>
      <c r="R51" s="70">
        <f>IF(registreGarantie[[#This Row],[date paiement]]="","",registreGarantie[[#This Row],[MO
Demandé]]-registreGarantie[[#This Row],[MO
Remboursé]])</f>
        <v>0</v>
      </c>
      <c r="S51" s="69">
        <v>150</v>
      </c>
      <c r="T51" s="70">
        <f>IF(registreGarantie[[#This Row],[date paiement]]="","",registreGarantie[[#This Row],[MO
Refusé]]+registreGarantie[[#This Row],[Pièces
Refusés]])</f>
        <v>0</v>
      </c>
      <c r="U51" s="106">
        <v>45504</v>
      </c>
      <c r="V51" s="71">
        <f>IF(registreGarantie[[#This Row],[Pièces 
Demandés]]="","",registreGarantie[[#This Row],[Date]])</f>
        <v>45365</v>
      </c>
      <c r="W51" s="103">
        <f>IF(registreGarantie[[#This Row],[Pièces 
Demandés]]="","",IF(registreGarantie[[#This Row],[date paiement]]="","",registreGarantie[[#This Row],[date paiement]]+91))</f>
        <v>45595</v>
      </c>
      <c r="X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1" s="74">
        <f ca="1">IF(registreGarantie[[#This Row],[Colonne1]]=0,"",IF(TODAY()&gt;registreGarantie[[#This Row],[Date rebus]],0,1))</f>
        <v>0</v>
      </c>
      <c r="Z51" s="66"/>
      <c r="AA51" s="73" t="str">
        <f>IF(AND(registreGarantie[[#This Row],[Montant non remboursé]]&gt;1,registreGarantie[[#This Row],[Montant non remboursé]]&lt;&gt;""),1,"")</f>
        <v/>
      </c>
      <c r="AB51" s="66"/>
      <c r="AC51" s="66"/>
      <c r="AD51" s="87">
        <f t="shared" si="0"/>
        <v>51</v>
      </c>
      <c r="AE51" s="109"/>
    </row>
    <row r="52" spans="1:31" ht="18" customHeight="1" thickBot="1" x14ac:dyDescent="0.4">
      <c r="A52" s="64">
        <v>44740</v>
      </c>
      <c r="B52" s="64">
        <v>5721</v>
      </c>
      <c r="C52" s="106">
        <v>45365</v>
      </c>
      <c r="D52" s="66" t="s">
        <v>1117</v>
      </c>
      <c r="E52" s="66" t="s">
        <v>32</v>
      </c>
      <c r="F52" s="68" t="s">
        <v>2297</v>
      </c>
      <c r="G52" s="66" t="s">
        <v>880</v>
      </c>
      <c r="H52" s="64" t="s">
        <v>1568</v>
      </c>
      <c r="I52" s="67" t="s">
        <v>2</v>
      </c>
      <c r="J52" s="97">
        <v>404126242</v>
      </c>
      <c r="K52" s="66"/>
      <c r="L52" s="68"/>
      <c r="M52" s="69">
        <v>196.72</v>
      </c>
      <c r="N52" s="69">
        <v>196.72</v>
      </c>
      <c r="O52" s="70">
        <f>IF(registreGarantie[[#This Row],[date paiement]]="","",registreGarantie[[#This Row],[Pièces 
Demandés]]-registreGarantie[[#This Row],[Pièces 
Remboursés]])</f>
        <v>0</v>
      </c>
      <c r="P52" s="69">
        <v>92.25</v>
      </c>
      <c r="Q52" s="69">
        <v>92.25</v>
      </c>
      <c r="R52" s="70">
        <f>IF(registreGarantie[[#This Row],[date paiement]]="","",registreGarantie[[#This Row],[MO
Demandé]]-registreGarantie[[#This Row],[MO
Remboursé]])</f>
        <v>0</v>
      </c>
      <c r="S52" s="69"/>
      <c r="T52" s="70">
        <f>IF(registreGarantie[[#This Row],[date paiement]]="","",registreGarantie[[#This Row],[MO
Refusé]]+registreGarantie[[#This Row],[Pièces
Refusés]])</f>
        <v>0</v>
      </c>
      <c r="U52" s="106">
        <v>45391</v>
      </c>
      <c r="V52" s="71">
        <f>IF(registreGarantie[[#This Row],[Pièces 
Demandés]]="","",registreGarantie[[#This Row],[Date]])</f>
        <v>45365</v>
      </c>
      <c r="W52" s="103">
        <f>IF(registreGarantie[[#This Row],[Pièces 
Demandés]]="","",IF(registreGarantie[[#This Row],[date paiement]]="","",registreGarantie[[#This Row],[date paiement]]+91))</f>
        <v>45482</v>
      </c>
      <c r="X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2" s="74">
        <f ca="1">IF(registreGarantie[[#This Row],[Colonne1]]=0,"",IF(TODAY()&gt;registreGarantie[[#This Row],[Date rebus]],0,1))</f>
        <v>0</v>
      </c>
      <c r="Z52" s="66"/>
      <c r="AA52" s="73" t="str">
        <f>IF(AND(registreGarantie[[#This Row],[Montant non remboursé]]&gt;1,registreGarantie[[#This Row],[Montant non remboursé]]&lt;&gt;""),1,"")</f>
        <v/>
      </c>
      <c r="AB52" s="66"/>
      <c r="AC52" s="66"/>
      <c r="AD52" s="87">
        <f t="shared" si="0"/>
        <v>52</v>
      </c>
      <c r="AE52" s="109"/>
    </row>
    <row r="53" spans="1:31" ht="18" customHeight="1" thickBot="1" x14ac:dyDescent="0.4">
      <c r="A53" s="64">
        <v>44741</v>
      </c>
      <c r="B53" s="64" t="s">
        <v>1569</v>
      </c>
      <c r="C53" s="106">
        <v>45365</v>
      </c>
      <c r="D53" s="66" t="s">
        <v>509</v>
      </c>
      <c r="E53" s="66" t="s">
        <v>227</v>
      </c>
      <c r="F53" s="68" t="s">
        <v>2299</v>
      </c>
      <c r="G53" s="66" t="s">
        <v>662</v>
      </c>
      <c r="H53" s="64" t="s">
        <v>1570</v>
      </c>
      <c r="I53" s="67" t="s">
        <v>16</v>
      </c>
      <c r="J53" s="97">
        <v>404124647</v>
      </c>
      <c r="K53" s="66"/>
      <c r="L53" s="68"/>
      <c r="M53" s="69">
        <v>3685.47</v>
      </c>
      <c r="N53" s="69">
        <v>1842.74</v>
      </c>
      <c r="O53" s="70">
        <f>IF(registreGarantie[[#This Row],[date paiement]]="","",registreGarantie[[#This Row],[Pièces 
Demandés]]-registreGarantie[[#This Row],[Pièces 
Remboursés]])</f>
        <v>1842.7299999999998</v>
      </c>
      <c r="P53" s="69">
        <v>2851.2</v>
      </c>
      <c r="Q53" s="69">
        <v>118.8</v>
      </c>
      <c r="R53" s="70">
        <f>IF(registreGarantie[[#This Row],[date paiement]]="","",registreGarantie[[#This Row],[MO
Demandé]]-registreGarantie[[#This Row],[MO
Remboursé]])</f>
        <v>2732.3999999999996</v>
      </c>
      <c r="S53" s="69"/>
      <c r="T53" s="70">
        <f>IF(registreGarantie[[#This Row],[date paiement]]="","",registreGarantie[[#This Row],[MO
Refusé]]+registreGarantie[[#This Row],[Pièces
Refusés]])</f>
        <v>4575.1299999999992</v>
      </c>
      <c r="U53" s="106">
        <v>45373</v>
      </c>
      <c r="V53" s="71">
        <f>IF(registreGarantie[[#This Row],[Pièces 
Demandés]]="","",registreGarantie[[#This Row],[Date]])</f>
        <v>45365</v>
      </c>
      <c r="W53" s="103">
        <f>IF(registreGarantie[[#This Row],[Pièces 
Demandés]]="","",IF(registreGarantie[[#This Row],[date paiement]]="","",registreGarantie[[#This Row],[date paiement]]+91))</f>
        <v>45464</v>
      </c>
      <c r="X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3" s="74">
        <f ca="1">IF(registreGarantie[[#This Row],[Colonne1]]=0,"",IF(TODAY()&gt;registreGarantie[[#This Row],[Date rebus]],0,1))</f>
        <v>0</v>
      </c>
      <c r="Z53" s="66" t="s">
        <v>1571</v>
      </c>
      <c r="AA53" s="73">
        <f>IF(AND(registreGarantie[[#This Row],[Montant non remboursé]]&gt;1,registreGarantie[[#This Row],[Montant non remboursé]]&lt;&gt;""),1,"")</f>
        <v>1</v>
      </c>
      <c r="AB53" s="66"/>
      <c r="AC53" s="66"/>
      <c r="AD53" s="87">
        <f t="shared" si="0"/>
        <v>53</v>
      </c>
      <c r="AE53" s="109"/>
    </row>
    <row r="54" spans="1:31" ht="18" customHeight="1" thickBot="1" x14ac:dyDescent="0.4">
      <c r="A54" s="64">
        <v>44742</v>
      </c>
      <c r="B54" s="64">
        <v>42473</v>
      </c>
      <c r="C54" s="106">
        <v>45366</v>
      </c>
      <c r="D54" s="66" t="s">
        <v>155</v>
      </c>
      <c r="E54" s="66" t="s">
        <v>1572</v>
      </c>
      <c r="F54" s="68" t="s">
        <v>2286</v>
      </c>
      <c r="G54" s="66" t="s">
        <v>1573</v>
      </c>
      <c r="H54" s="64" t="s">
        <v>1564</v>
      </c>
      <c r="I54" s="67" t="s">
        <v>2</v>
      </c>
      <c r="J54" s="97">
        <v>404125839</v>
      </c>
      <c r="K54" s="66"/>
      <c r="L54" s="68"/>
      <c r="M54" s="69">
        <v>167.7</v>
      </c>
      <c r="N54" s="69">
        <v>167.7</v>
      </c>
      <c r="O54" s="70">
        <f>IF(registreGarantie[[#This Row],[date paiement]]="","",registreGarantie[[#This Row],[Pièces 
Demandés]]-registreGarantie[[#This Row],[Pièces 
Remboursés]])</f>
        <v>0</v>
      </c>
      <c r="P54" s="69">
        <v>61.5</v>
      </c>
      <c r="Q54" s="69">
        <v>61.5</v>
      </c>
      <c r="R54" s="70">
        <f>IF(registreGarantie[[#This Row],[date paiement]]="","",registreGarantie[[#This Row],[MO
Demandé]]-registreGarantie[[#This Row],[MO
Remboursé]])</f>
        <v>0</v>
      </c>
      <c r="S54" s="69"/>
      <c r="T54" s="70">
        <f>IF(registreGarantie[[#This Row],[date paiement]]="","",registreGarantie[[#This Row],[MO
Refusé]]+registreGarantie[[#This Row],[Pièces
Refusés]])</f>
        <v>0</v>
      </c>
      <c r="U54" s="106">
        <v>45373</v>
      </c>
      <c r="V54" s="71">
        <f>IF(registreGarantie[[#This Row],[Pièces 
Demandés]]="","",registreGarantie[[#This Row],[Date]])</f>
        <v>45366</v>
      </c>
      <c r="W54" s="103">
        <f>IF(registreGarantie[[#This Row],[Pièces 
Demandés]]="","",IF(registreGarantie[[#This Row],[date paiement]]="","",registreGarantie[[#This Row],[date paiement]]+91))</f>
        <v>45464</v>
      </c>
      <c r="X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4" s="74">
        <f ca="1">IF(registreGarantie[[#This Row],[Colonne1]]=0,"",IF(TODAY()&gt;registreGarantie[[#This Row],[Date rebus]],0,1))</f>
        <v>0</v>
      </c>
      <c r="Z54" s="66"/>
      <c r="AA54" s="73" t="str">
        <f>IF(AND(registreGarantie[[#This Row],[Montant non remboursé]]&gt;1,registreGarantie[[#This Row],[Montant non remboursé]]&lt;&gt;""),1,"")</f>
        <v/>
      </c>
      <c r="AB54" s="66"/>
      <c r="AC54" s="66"/>
      <c r="AD54" s="87">
        <f t="shared" si="0"/>
        <v>54</v>
      </c>
      <c r="AE54" s="109"/>
    </row>
    <row r="55" spans="1:31" ht="18" customHeight="1" thickBot="1" x14ac:dyDescent="0.4">
      <c r="A55" s="64">
        <v>44743</v>
      </c>
      <c r="B55" s="64">
        <v>5725</v>
      </c>
      <c r="C55" s="106">
        <v>45366</v>
      </c>
      <c r="D55" s="66" t="s">
        <v>1574</v>
      </c>
      <c r="E55" s="66" t="s">
        <v>161</v>
      </c>
      <c r="F55" s="68">
        <v>76006387</v>
      </c>
      <c r="G55" s="66" t="s">
        <v>1575</v>
      </c>
      <c r="H55" s="64" t="s">
        <v>1576</v>
      </c>
      <c r="I55" s="67" t="s">
        <v>2</v>
      </c>
      <c r="J55" s="97">
        <v>404126379</v>
      </c>
      <c r="K55" s="66"/>
      <c r="L55" s="68"/>
      <c r="M55" s="69">
        <v>245.75</v>
      </c>
      <c r="N55" s="69">
        <v>245.75</v>
      </c>
      <c r="O55" s="70">
        <f>IF(registreGarantie[[#This Row],[date paiement]]="","",registreGarantie[[#This Row],[Pièces 
Demandés]]-registreGarantie[[#This Row],[Pièces 
Remboursés]])</f>
        <v>0</v>
      </c>
      <c r="P55" s="69">
        <v>61.5</v>
      </c>
      <c r="Q55" s="69">
        <v>61.5</v>
      </c>
      <c r="R55" s="70">
        <f>IF(registreGarantie[[#This Row],[date paiement]]="","",registreGarantie[[#This Row],[MO
Demandé]]-registreGarantie[[#This Row],[MO
Remboursé]])</f>
        <v>0</v>
      </c>
      <c r="S55" s="69"/>
      <c r="T55" s="70">
        <f>IF(registreGarantie[[#This Row],[date paiement]]="","",registreGarantie[[#This Row],[MO
Refusé]]+registreGarantie[[#This Row],[Pièces
Refusés]])</f>
        <v>0</v>
      </c>
      <c r="U55" s="106">
        <v>45391</v>
      </c>
      <c r="V55" s="71">
        <f>IF(registreGarantie[[#This Row],[Pièces 
Demandés]]="","",registreGarantie[[#This Row],[Date]])</f>
        <v>45366</v>
      </c>
      <c r="W55" s="103">
        <f>IF(registreGarantie[[#This Row],[Pièces 
Demandés]]="","",IF(registreGarantie[[#This Row],[date paiement]]="","",registreGarantie[[#This Row],[date paiement]]+91))</f>
        <v>45482</v>
      </c>
      <c r="X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5" s="74">
        <f ca="1">IF(registreGarantie[[#This Row],[Colonne1]]=0,"",IF(TODAY()&gt;registreGarantie[[#This Row],[Date rebus]],0,1))</f>
        <v>0</v>
      </c>
      <c r="Z55" s="66"/>
      <c r="AA55" s="73" t="str">
        <f>IF(AND(registreGarantie[[#This Row],[Montant non remboursé]]&gt;1,registreGarantie[[#This Row],[Montant non remboursé]]&lt;&gt;""),1,"")</f>
        <v/>
      </c>
      <c r="AB55" s="66"/>
      <c r="AC55" s="66"/>
      <c r="AD55" s="87">
        <f t="shared" si="0"/>
        <v>55</v>
      </c>
      <c r="AE55" s="109"/>
    </row>
    <row r="56" spans="1:31" ht="18" customHeight="1" thickBot="1" x14ac:dyDescent="0.4">
      <c r="A56" s="64">
        <v>44747</v>
      </c>
      <c r="B56" s="64">
        <v>42531</v>
      </c>
      <c r="C56" s="106">
        <v>45376</v>
      </c>
      <c r="D56" s="66" t="s">
        <v>917</v>
      </c>
      <c r="E56" s="66" t="s">
        <v>1577</v>
      </c>
      <c r="F56" s="68">
        <v>78400410</v>
      </c>
      <c r="G56" s="66" t="s">
        <v>1578</v>
      </c>
      <c r="H56" s="64" t="s">
        <v>1570</v>
      </c>
      <c r="I56" s="67" t="s">
        <v>3</v>
      </c>
      <c r="J56" s="97">
        <v>404140685</v>
      </c>
      <c r="K56" s="66"/>
      <c r="L56" s="68"/>
      <c r="M56" s="69">
        <v>73.92</v>
      </c>
      <c r="N56" s="69">
        <v>73.92</v>
      </c>
      <c r="O56" s="70">
        <f>IF(registreGarantie[[#This Row],[date paiement]]="","",registreGarantie[[#This Row],[Pièces 
Demandés]]-registreGarantie[[#This Row],[Pièces 
Remboursés]])</f>
        <v>0</v>
      </c>
      <c r="P56" s="69">
        <v>369</v>
      </c>
      <c r="Q56" s="69">
        <v>369</v>
      </c>
      <c r="R56" s="70">
        <f>IF(registreGarantie[[#This Row],[date paiement]]="","",registreGarantie[[#This Row],[MO
Demandé]]-registreGarantie[[#This Row],[MO
Remboursé]])</f>
        <v>0</v>
      </c>
      <c r="S56" s="69"/>
      <c r="T56" s="70">
        <f>IF(registreGarantie[[#This Row],[date paiement]]="","",registreGarantie[[#This Row],[MO
Refusé]]+registreGarantie[[#This Row],[Pièces
Refusés]])</f>
        <v>0</v>
      </c>
      <c r="U56" s="106">
        <v>45504</v>
      </c>
      <c r="V56" s="71">
        <f>IF(registreGarantie[[#This Row],[Pièces 
Demandés]]="","",registreGarantie[[#This Row],[Date]])</f>
        <v>45376</v>
      </c>
      <c r="W56" s="103">
        <f>IF(registreGarantie[[#This Row],[Pièces 
Demandés]]="","",IF(registreGarantie[[#This Row],[date paiement]]="","",registreGarantie[[#This Row],[date paiement]]+91))</f>
        <v>45595</v>
      </c>
      <c r="X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6" s="74">
        <f ca="1">IF(registreGarantie[[#This Row],[Colonne1]]=0,"",IF(TODAY()&gt;registreGarantie[[#This Row],[Date rebus]],0,1))</f>
        <v>0</v>
      </c>
      <c r="Z56" s="66"/>
      <c r="AA56" s="73" t="str">
        <f>IF(AND(registreGarantie[[#This Row],[Montant non remboursé]]&gt;1,registreGarantie[[#This Row],[Montant non remboursé]]&lt;&gt;""),1,"")</f>
        <v/>
      </c>
      <c r="AB56" s="66"/>
      <c r="AC56" s="66"/>
      <c r="AD56" s="87">
        <f t="shared" si="0"/>
        <v>56</v>
      </c>
      <c r="AE56" s="109"/>
    </row>
    <row r="57" spans="1:31" ht="18" customHeight="1" thickBot="1" x14ac:dyDescent="0.4">
      <c r="A57" s="64">
        <v>44753</v>
      </c>
      <c r="B57" s="64">
        <v>42537</v>
      </c>
      <c r="C57" s="106">
        <v>45379</v>
      </c>
      <c r="D57" s="66" t="s">
        <v>41</v>
      </c>
      <c r="E57" s="66" t="s">
        <v>75</v>
      </c>
      <c r="F57" s="68" t="s">
        <v>2268</v>
      </c>
      <c r="G57" s="66" t="s">
        <v>1579</v>
      </c>
      <c r="H57" s="64" t="s">
        <v>1580</v>
      </c>
      <c r="I57" s="67" t="s">
        <v>3</v>
      </c>
      <c r="J57" s="97">
        <v>404146172</v>
      </c>
      <c r="K57" s="66"/>
      <c r="L57" s="68"/>
      <c r="M57" s="69">
        <v>3575.39</v>
      </c>
      <c r="N57" s="69">
        <v>3575.39</v>
      </c>
      <c r="O57" s="70">
        <f>IF(registreGarantie[[#This Row],[date paiement]]="","",registreGarantie[[#This Row],[Pièces 
Demandés]]-registreGarantie[[#This Row],[Pièces 
Remboursés]])</f>
        <v>0</v>
      </c>
      <c r="P57" s="69">
        <v>553.5</v>
      </c>
      <c r="Q57" s="69">
        <v>553.5</v>
      </c>
      <c r="R57" s="70">
        <f>IF(registreGarantie[[#This Row],[date paiement]]="","",registreGarantie[[#This Row],[MO
Demandé]]-registreGarantie[[#This Row],[MO
Remboursé]])</f>
        <v>0</v>
      </c>
      <c r="S57" s="69">
        <v>150</v>
      </c>
      <c r="T57" s="70">
        <f>IF(registreGarantie[[#This Row],[date paiement]]="","",registreGarantie[[#This Row],[MO
Refusé]]+registreGarantie[[#This Row],[Pièces
Refusés]])</f>
        <v>0</v>
      </c>
      <c r="U57" s="106">
        <v>45504</v>
      </c>
      <c r="V57" s="71">
        <f>IF(registreGarantie[[#This Row],[Pièces 
Demandés]]="","",registreGarantie[[#This Row],[Date]])</f>
        <v>45379</v>
      </c>
      <c r="W57" s="103">
        <f>IF(registreGarantie[[#This Row],[Pièces 
Demandés]]="","",IF(registreGarantie[[#This Row],[date paiement]]="","",registreGarantie[[#This Row],[date paiement]]+91))</f>
        <v>45595</v>
      </c>
      <c r="X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7" s="74">
        <f ca="1">IF(registreGarantie[[#This Row],[Colonne1]]=0,"",IF(TODAY()&gt;registreGarantie[[#This Row],[Date rebus]],0,1))</f>
        <v>0</v>
      </c>
      <c r="Z57" s="66"/>
      <c r="AA57" s="73" t="str">
        <f>IF(AND(registreGarantie[[#This Row],[Montant non remboursé]]&gt;1,registreGarantie[[#This Row],[Montant non remboursé]]&lt;&gt;""),1,"")</f>
        <v/>
      </c>
      <c r="AB57" s="66"/>
      <c r="AC57" s="66"/>
      <c r="AD57" s="87">
        <f t="shared" si="0"/>
        <v>57</v>
      </c>
      <c r="AE57" s="109"/>
    </row>
    <row r="58" spans="1:31" ht="18" customHeight="1" thickBot="1" x14ac:dyDescent="0.4">
      <c r="A58" s="64">
        <v>44754</v>
      </c>
      <c r="B58" s="64">
        <v>42570</v>
      </c>
      <c r="C58" s="106">
        <v>45379</v>
      </c>
      <c r="D58" s="66" t="s">
        <v>1135</v>
      </c>
      <c r="E58" s="66" t="s">
        <v>63</v>
      </c>
      <c r="F58" s="68" t="s">
        <v>2243</v>
      </c>
      <c r="G58" s="66" t="s">
        <v>1581</v>
      </c>
      <c r="H58" s="64" t="s">
        <v>1582</v>
      </c>
      <c r="I58" s="67" t="s">
        <v>3</v>
      </c>
      <c r="J58" s="97">
        <v>404146223</v>
      </c>
      <c r="K58" s="66"/>
      <c r="L58" s="68"/>
      <c r="M58" s="69">
        <v>46.84</v>
      </c>
      <c r="N58" s="69">
        <v>46.84</v>
      </c>
      <c r="O58" s="70">
        <f>IF(registreGarantie[[#This Row],[date paiement]]="","",registreGarantie[[#This Row],[Pièces 
Demandés]]-registreGarantie[[#This Row],[Pièces 
Remboursés]])</f>
        <v>0</v>
      </c>
      <c r="P58" s="69">
        <v>184.5</v>
      </c>
      <c r="Q58" s="69">
        <v>184.5</v>
      </c>
      <c r="R58" s="70">
        <f>IF(registreGarantie[[#This Row],[date paiement]]="","",registreGarantie[[#This Row],[MO
Demandé]]-registreGarantie[[#This Row],[MO
Remboursé]])</f>
        <v>0</v>
      </c>
      <c r="S58" s="69">
        <v>150</v>
      </c>
      <c r="T58" s="70">
        <f>IF(registreGarantie[[#This Row],[date paiement]]="","",registreGarantie[[#This Row],[MO
Refusé]]+registreGarantie[[#This Row],[Pièces
Refusés]])</f>
        <v>0</v>
      </c>
      <c r="U58" s="106">
        <v>45404</v>
      </c>
      <c r="V58" s="71">
        <f>IF(registreGarantie[[#This Row],[Pièces 
Demandés]]="","",registreGarantie[[#This Row],[Date]])</f>
        <v>45379</v>
      </c>
      <c r="W58" s="103">
        <f>IF(registreGarantie[[#This Row],[Pièces 
Demandés]]="","",IF(registreGarantie[[#This Row],[date paiement]]="","",registreGarantie[[#This Row],[date paiement]]+91))</f>
        <v>45495</v>
      </c>
      <c r="X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8" s="74">
        <f ca="1">IF(registreGarantie[[#This Row],[Colonne1]]=0,"",IF(TODAY()&gt;registreGarantie[[#This Row],[Date rebus]],0,1))</f>
        <v>0</v>
      </c>
      <c r="Z58" s="66"/>
      <c r="AA58" s="73" t="str">
        <f>IF(AND(registreGarantie[[#This Row],[Montant non remboursé]]&gt;1,registreGarantie[[#This Row],[Montant non remboursé]]&lt;&gt;""),1,"")</f>
        <v/>
      </c>
      <c r="AB58" s="66"/>
      <c r="AC58" s="66"/>
      <c r="AD58" s="87">
        <f t="shared" si="0"/>
        <v>58</v>
      </c>
      <c r="AE58" s="109"/>
    </row>
    <row r="59" spans="1:31" ht="18" customHeight="1" thickBot="1" x14ac:dyDescent="0.4">
      <c r="A59" s="64">
        <v>44755</v>
      </c>
      <c r="B59" s="64">
        <v>42563</v>
      </c>
      <c r="C59" s="106">
        <v>45380</v>
      </c>
      <c r="D59" s="66" t="s">
        <v>773</v>
      </c>
      <c r="E59" s="66" t="s">
        <v>181</v>
      </c>
      <c r="F59" s="68" t="s">
        <v>2304</v>
      </c>
      <c r="G59" s="66" t="s">
        <v>483</v>
      </c>
      <c r="H59" s="64" t="s">
        <v>1583</v>
      </c>
      <c r="I59" s="67" t="s">
        <v>2</v>
      </c>
      <c r="J59" s="97">
        <v>404147610</v>
      </c>
      <c r="K59" s="66"/>
      <c r="L59" s="68"/>
      <c r="M59" s="69">
        <v>62.46</v>
      </c>
      <c r="N59" s="69">
        <v>62.46</v>
      </c>
      <c r="O59" s="70">
        <f>IF(registreGarantie[[#This Row],[date paiement]]="","",registreGarantie[[#This Row],[Pièces 
Demandés]]-registreGarantie[[#This Row],[Pièces 
Remboursés]])</f>
        <v>0</v>
      </c>
      <c r="P59" s="69">
        <v>953.25</v>
      </c>
      <c r="Q59" s="69">
        <v>953.25</v>
      </c>
      <c r="R59" s="70">
        <f>IF(registreGarantie[[#This Row],[date paiement]]="","",registreGarantie[[#This Row],[MO
Demandé]]-registreGarantie[[#This Row],[MO
Remboursé]])</f>
        <v>0</v>
      </c>
      <c r="S59" s="69"/>
      <c r="T59" s="70">
        <f>IF(registreGarantie[[#This Row],[date paiement]]="","",registreGarantie[[#This Row],[MO
Refusé]]+registreGarantie[[#This Row],[Pièces
Refusés]])</f>
        <v>0</v>
      </c>
      <c r="U59" s="106">
        <v>45504</v>
      </c>
      <c r="V59" s="71">
        <f>IF(registreGarantie[[#This Row],[Pièces 
Demandés]]="","",registreGarantie[[#This Row],[Date]])</f>
        <v>45380</v>
      </c>
      <c r="W59" s="103">
        <f>IF(registreGarantie[[#This Row],[Pièces 
Demandés]]="","",IF(registreGarantie[[#This Row],[date paiement]]="","",registreGarantie[[#This Row],[date paiement]]+91))</f>
        <v>45595</v>
      </c>
      <c r="X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9" s="74">
        <f ca="1">IF(registreGarantie[[#This Row],[Colonne1]]=0,"",IF(TODAY()&gt;registreGarantie[[#This Row],[Date rebus]],0,1))</f>
        <v>0</v>
      </c>
      <c r="Z59" s="66"/>
      <c r="AA59" s="73" t="str">
        <f>IF(AND(registreGarantie[[#This Row],[Montant non remboursé]]&gt;1,registreGarantie[[#This Row],[Montant non remboursé]]&lt;&gt;""),1,"")</f>
        <v/>
      </c>
      <c r="AB59" s="66"/>
      <c r="AC59" s="66"/>
      <c r="AD59" s="87">
        <f t="shared" si="0"/>
        <v>59</v>
      </c>
      <c r="AE59" s="109"/>
    </row>
    <row r="60" spans="1:31" ht="18" customHeight="1" thickBot="1" x14ac:dyDescent="0.4">
      <c r="A60" s="64">
        <v>44757</v>
      </c>
      <c r="B60" s="64">
        <v>42508</v>
      </c>
      <c r="C60" s="106">
        <v>45384</v>
      </c>
      <c r="D60" s="66" t="s">
        <v>86</v>
      </c>
      <c r="E60" s="66" t="s">
        <v>45</v>
      </c>
      <c r="F60" s="68" t="s">
        <v>2281</v>
      </c>
      <c r="G60" s="66" t="s">
        <v>1584</v>
      </c>
      <c r="H60" s="64" t="s">
        <v>1558</v>
      </c>
      <c r="I60" s="67" t="s">
        <v>3</v>
      </c>
      <c r="J60" s="97">
        <v>404148728</v>
      </c>
      <c r="K60" s="66"/>
      <c r="L60" s="68"/>
      <c r="M60" s="69">
        <v>489.16</v>
      </c>
      <c r="N60" s="69">
        <v>489.16</v>
      </c>
      <c r="O60" s="70">
        <f>IF(registreGarantie[[#This Row],[date paiement]]="","",registreGarantie[[#This Row],[Pièces 
Demandés]]-registreGarantie[[#This Row],[Pièces 
Remboursés]])</f>
        <v>0</v>
      </c>
      <c r="P60" s="69">
        <v>276.75</v>
      </c>
      <c r="Q60" s="69">
        <v>123</v>
      </c>
      <c r="R60" s="70">
        <f>IF(registreGarantie[[#This Row],[date paiement]]="","",registreGarantie[[#This Row],[MO
Demandé]]-registreGarantie[[#This Row],[MO
Remboursé]])</f>
        <v>153.75</v>
      </c>
      <c r="S60" s="69">
        <v>150</v>
      </c>
      <c r="T60" s="70">
        <f>IF(registreGarantie[[#This Row],[date paiement]]="","",registreGarantie[[#This Row],[MO
Refusé]]+registreGarantie[[#This Row],[Pièces
Refusés]])</f>
        <v>153.75</v>
      </c>
      <c r="U60" s="106">
        <v>45404</v>
      </c>
      <c r="V60" s="71">
        <f>IF(registreGarantie[[#This Row],[Pièces 
Demandés]]="","",registreGarantie[[#This Row],[Date]])</f>
        <v>45384</v>
      </c>
      <c r="W60" s="103">
        <f>IF(registreGarantie[[#This Row],[Pièces 
Demandés]]="","",IF(registreGarantie[[#This Row],[date paiement]]="","",registreGarantie[[#This Row],[date paiement]]+91))</f>
        <v>45495</v>
      </c>
      <c r="X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0" s="74">
        <f ca="1">IF(registreGarantie[[#This Row],[Colonne1]]=0,"",IF(TODAY()&gt;registreGarantie[[#This Row],[Date rebus]],0,1))</f>
        <v>0</v>
      </c>
      <c r="Z60" s="66" t="s">
        <v>1585</v>
      </c>
      <c r="AA60" s="73">
        <f>IF(AND(registreGarantie[[#This Row],[Montant non remboursé]]&gt;1,registreGarantie[[#This Row],[Montant non remboursé]]&lt;&gt;""),1,"")</f>
        <v>1</v>
      </c>
      <c r="AB60" s="66"/>
      <c r="AC60" s="66"/>
      <c r="AD60" s="87">
        <f t="shared" si="0"/>
        <v>60</v>
      </c>
      <c r="AE60" s="109"/>
    </row>
    <row r="61" spans="1:31" ht="18" customHeight="1" thickBot="1" x14ac:dyDescent="0.4">
      <c r="A61" s="64">
        <v>44758</v>
      </c>
      <c r="B61" s="64">
        <v>5751</v>
      </c>
      <c r="C61" s="106">
        <v>45387</v>
      </c>
      <c r="D61" s="66" t="s">
        <v>509</v>
      </c>
      <c r="E61" s="66" t="s">
        <v>440</v>
      </c>
      <c r="F61" s="68" t="s">
        <v>2300</v>
      </c>
      <c r="G61" s="66" t="s">
        <v>1586</v>
      </c>
      <c r="H61" s="64" t="s">
        <v>1587</v>
      </c>
      <c r="I61" s="67" t="s">
        <v>3</v>
      </c>
      <c r="J61" s="97">
        <v>404153624</v>
      </c>
      <c r="K61" s="66"/>
      <c r="L61" s="68"/>
      <c r="M61" s="69">
        <v>229.5</v>
      </c>
      <c r="N61" s="69">
        <v>229.5</v>
      </c>
      <c r="O61" s="70">
        <f>IF(registreGarantie[[#This Row],[date paiement]]="","",registreGarantie[[#This Row],[Pièces 
Demandés]]-registreGarantie[[#This Row],[Pièces 
Remboursés]])</f>
        <v>0</v>
      </c>
      <c r="P61" s="69">
        <v>61.5</v>
      </c>
      <c r="Q61" s="69">
        <v>61.5</v>
      </c>
      <c r="R61" s="70">
        <f>IF(registreGarantie[[#This Row],[date paiement]]="","",registreGarantie[[#This Row],[MO
Demandé]]-registreGarantie[[#This Row],[MO
Remboursé]])</f>
        <v>0</v>
      </c>
      <c r="S61" s="69">
        <v>150</v>
      </c>
      <c r="T61" s="70">
        <f>IF(registreGarantie[[#This Row],[date paiement]]="","",registreGarantie[[#This Row],[MO
Refusé]]+registreGarantie[[#This Row],[Pièces
Refusés]])</f>
        <v>0</v>
      </c>
      <c r="U61" s="106">
        <v>45404</v>
      </c>
      <c r="V61" s="71">
        <f>IF(registreGarantie[[#This Row],[Pièces 
Demandés]]="","",registreGarantie[[#This Row],[Date]])</f>
        <v>45387</v>
      </c>
      <c r="W61" s="103">
        <f>IF(registreGarantie[[#This Row],[Pièces 
Demandés]]="","",IF(registreGarantie[[#This Row],[date paiement]]="","",registreGarantie[[#This Row],[date paiement]]+91))</f>
        <v>45495</v>
      </c>
      <c r="X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1" s="74">
        <f ca="1">IF(registreGarantie[[#This Row],[Colonne1]]=0,"",IF(TODAY()&gt;registreGarantie[[#This Row],[Date rebus]],0,1))</f>
        <v>0</v>
      </c>
      <c r="Z61" s="66"/>
      <c r="AA61" s="73" t="str">
        <f>IF(AND(registreGarantie[[#This Row],[Montant non remboursé]]&gt;1,registreGarantie[[#This Row],[Montant non remboursé]]&lt;&gt;""),1,"")</f>
        <v/>
      </c>
      <c r="AB61" s="66"/>
      <c r="AC61" s="66"/>
      <c r="AD61" s="87">
        <f t="shared" si="0"/>
        <v>61</v>
      </c>
      <c r="AE61" s="109"/>
    </row>
    <row r="62" spans="1:31" ht="18" customHeight="1" thickBot="1" x14ac:dyDescent="0.4">
      <c r="A62" s="64">
        <v>44759</v>
      </c>
      <c r="B62" s="64">
        <v>5757</v>
      </c>
      <c r="C62" s="106">
        <v>45387</v>
      </c>
      <c r="D62" s="66" t="s">
        <v>333</v>
      </c>
      <c r="E62" s="66" t="s">
        <v>334</v>
      </c>
      <c r="F62" s="68" t="s">
        <v>2282</v>
      </c>
      <c r="G62" s="66" t="s">
        <v>1588</v>
      </c>
      <c r="H62" s="64" t="s">
        <v>1589</v>
      </c>
      <c r="I62" s="67" t="s">
        <v>2</v>
      </c>
      <c r="J62" s="97">
        <v>404153674</v>
      </c>
      <c r="K62" s="66"/>
      <c r="L62" s="68"/>
      <c r="M62" s="69"/>
      <c r="N62" s="69"/>
      <c r="O62" s="70">
        <f>IF(registreGarantie[[#This Row],[date paiement]]="","",registreGarantie[[#This Row],[Pièces 
Demandés]]-registreGarantie[[#This Row],[Pièces 
Remboursés]])</f>
        <v>0</v>
      </c>
      <c r="P62" s="69">
        <v>123</v>
      </c>
      <c r="Q62" s="69">
        <v>123</v>
      </c>
      <c r="R62" s="70">
        <f>IF(registreGarantie[[#This Row],[date paiement]]="","",registreGarantie[[#This Row],[MO
Demandé]]-registreGarantie[[#This Row],[MO
Remboursé]])</f>
        <v>0</v>
      </c>
      <c r="S62" s="69"/>
      <c r="T62" s="70">
        <f>IF(registreGarantie[[#This Row],[date paiement]]="","",registreGarantie[[#This Row],[MO
Refusé]]+registreGarantie[[#This Row],[Pièces
Refusés]])</f>
        <v>0</v>
      </c>
      <c r="U62" s="106">
        <v>45504</v>
      </c>
      <c r="V62" s="71" t="str">
        <f>IF(registreGarantie[[#This Row],[Pièces 
Demandés]]="","",registreGarantie[[#This Row],[Date]])</f>
        <v/>
      </c>
      <c r="W62" s="103" t="str">
        <f>IF(registreGarantie[[#This Row],[Pièces 
Demandés]]="","",IF(registreGarantie[[#This Row],[date paiement]]="","",registreGarantie[[#This Row],[date paiement]]+91))</f>
        <v/>
      </c>
      <c r="X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 s="74" t="str">
        <f ca="1">IF(registreGarantie[[#This Row],[Colonne1]]=0,"",IF(TODAY()&gt;registreGarantie[[#This Row],[Date rebus]],0,1))</f>
        <v/>
      </c>
      <c r="Z62" s="66"/>
      <c r="AA62" s="73" t="str">
        <f>IF(AND(registreGarantie[[#This Row],[Montant non remboursé]]&gt;1,registreGarantie[[#This Row],[Montant non remboursé]]&lt;&gt;""),1,"")</f>
        <v/>
      </c>
      <c r="AB62" s="66"/>
      <c r="AC62" s="66"/>
      <c r="AD62" s="87">
        <f t="shared" si="0"/>
        <v>62</v>
      </c>
      <c r="AE62" s="109"/>
    </row>
    <row r="63" spans="1:31" ht="18" customHeight="1" thickBot="1" x14ac:dyDescent="0.4">
      <c r="A63" s="64">
        <v>44761</v>
      </c>
      <c r="B63" s="64">
        <v>42568</v>
      </c>
      <c r="C63" s="106">
        <v>45390</v>
      </c>
      <c r="D63" s="66" t="s">
        <v>74</v>
      </c>
      <c r="E63" s="66" t="s">
        <v>367</v>
      </c>
      <c r="F63" s="68" t="s">
        <v>2253</v>
      </c>
      <c r="G63" s="66" t="s">
        <v>1590</v>
      </c>
      <c r="H63" s="64" t="s">
        <v>1591</v>
      </c>
      <c r="I63" s="67" t="s">
        <v>2</v>
      </c>
      <c r="J63" s="97">
        <v>404155953</v>
      </c>
      <c r="K63" s="66"/>
      <c r="L63" s="68"/>
      <c r="M63" s="69">
        <v>158.4</v>
      </c>
      <c r="N63" s="69">
        <v>158.4</v>
      </c>
      <c r="O63" s="70">
        <f>IF(registreGarantie[[#This Row],[date paiement]]="","",registreGarantie[[#This Row],[Pièces 
Demandés]]-registreGarantie[[#This Row],[Pièces 
Remboursés]])</f>
        <v>0</v>
      </c>
      <c r="P63" s="69">
        <v>430.5</v>
      </c>
      <c r="Q63" s="69">
        <v>430.5</v>
      </c>
      <c r="R63" s="70">
        <f>IF(registreGarantie[[#This Row],[date paiement]]="","",registreGarantie[[#This Row],[MO
Demandé]]-registreGarantie[[#This Row],[MO
Remboursé]])</f>
        <v>0</v>
      </c>
      <c r="S63" s="69"/>
      <c r="T63" s="70">
        <f>IF(registreGarantie[[#This Row],[date paiement]]="","",registreGarantie[[#This Row],[MO
Refusé]]+registreGarantie[[#This Row],[Pièces
Refusés]])</f>
        <v>0</v>
      </c>
      <c r="U63" s="106">
        <v>45404</v>
      </c>
      <c r="V63" s="71">
        <f>IF(registreGarantie[[#This Row],[Pièces 
Demandés]]="","",registreGarantie[[#This Row],[Date]])</f>
        <v>45390</v>
      </c>
      <c r="W63" s="103">
        <f>IF(registreGarantie[[#This Row],[Pièces 
Demandés]]="","",IF(registreGarantie[[#This Row],[date paiement]]="","",registreGarantie[[#This Row],[date paiement]]+91))</f>
        <v>45495</v>
      </c>
      <c r="X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3" s="74">
        <f ca="1">IF(registreGarantie[[#This Row],[Colonne1]]=0,"",IF(TODAY()&gt;registreGarantie[[#This Row],[Date rebus]],0,1))</f>
        <v>0</v>
      </c>
      <c r="Z63" s="66"/>
      <c r="AA63" s="73" t="str">
        <f>IF(AND(registreGarantie[[#This Row],[Montant non remboursé]]&gt;1,registreGarantie[[#This Row],[Montant non remboursé]]&lt;&gt;""),1,"")</f>
        <v/>
      </c>
      <c r="AB63" s="66"/>
      <c r="AC63" s="66"/>
      <c r="AD63" s="87">
        <f t="shared" si="0"/>
        <v>63</v>
      </c>
      <c r="AE63" s="109"/>
    </row>
    <row r="64" spans="1:31" ht="18" customHeight="1" thickBot="1" x14ac:dyDescent="0.4">
      <c r="A64" s="64">
        <v>44763</v>
      </c>
      <c r="B64" s="64">
        <v>42203</v>
      </c>
      <c r="C64" s="106">
        <v>45393</v>
      </c>
      <c r="D64" s="66" t="s">
        <v>86</v>
      </c>
      <c r="E64" s="66" t="s">
        <v>45</v>
      </c>
      <c r="F64" s="68" t="s">
        <v>2239</v>
      </c>
      <c r="G64" s="66" t="s">
        <v>85</v>
      </c>
      <c r="H64" s="64">
        <v>2893</v>
      </c>
      <c r="I64" s="67" t="s">
        <v>19</v>
      </c>
      <c r="J64" s="97">
        <v>404162141</v>
      </c>
      <c r="K64" s="66"/>
      <c r="L64" s="68"/>
      <c r="M64" s="69"/>
      <c r="N64" s="69"/>
      <c r="O64" s="70" t="str">
        <f>IF(registreGarantie[[#This Row],[date paiement]]="","",registreGarantie[[#This Row],[Pièces 
Demandés]]-registreGarantie[[#This Row],[Pièces 
Remboursés]])</f>
        <v/>
      </c>
      <c r="P64" s="69"/>
      <c r="Q64" s="69"/>
      <c r="R64" s="70" t="str">
        <f>IF(registreGarantie[[#This Row],[date paiement]]="","",registreGarantie[[#This Row],[MO
Demandé]]-registreGarantie[[#This Row],[MO
Remboursé]])</f>
        <v/>
      </c>
      <c r="S64" s="69"/>
      <c r="T64" s="70" t="str">
        <f>IF(registreGarantie[[#This Row],[date paiement]]="","",registreGarantie[[#This Row],[MO
Refusé]]+registreGarantie[[#This Row],[Pièces
Refusés]])</f>
        <v/>
      </c>
      <c r="U64" s="106"/>
      <c r="V64" s="71" t="str">
        <f>IF(registreGarantie[[#This Row],[Pièces 
Demandés]]="","",registreGarantie[[#This Row],[Date]])</f>
        <v/>
      </c>
      <c r="W64" s="103" t="str">
        <f>IF(registreGarantie[[#This Row],[Pièces 
Demandés]]="","",IF(registreGarantie[[#This Row],[date paiement]]="","",registreGarantie[[#This Row],[date paiement]]+91))</f>
        <v/>
      </c>
      <c r="X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 s="74" t="str">
        <f ca="1">IF(registreGarantie[[#This Row],[Colonne1]]=0,"",IF(TODAY()&gt;registreGarantie[[#This Row],[Date rebus]],0,1))</f>
        <v/>
      </c>
      <c r="Z64" s="66"/>
      <c r="AA64" s="73" t="str">
        <f>IF(AND(registreGarantie[[#This Row],[Montant non remboursé]]&gt;1,registreGarantie[[#This Row],[Montant non remboursé]]&lt;&gt;""),1,"")</f>
        <v/>
      </c>
      <c r="AB64" s="66"/>
      <c r="AC64" s="66"/>
      <c r="AD64" s="87">
        <f t="shared" si="0"/>
        <v>64</v>
      </c>
      <c r="AE64" s="109"/>
    </row>
    <row r="65" spans="1:31" ht="18" customHeight="1" thickBot="1" x14ac:dyDescent="0.4">
      <c r="A65" s="64">
        <v>44764</v>
      </c>
      <c r="B65" s="64">
        <v>42621</v>
      </c>
      <c r="C65" s="106">
        <v>45394</v>
      </c>
      <c r="D65" s="66" t="s">
        <v>73</v>
      </c>
      <c r="E65" s="66" t="s">
        <v>227</v>
      </c>
      <c r="F65" s="68" t="s">
        <v>2306</v>
      </c>
      <c r="G65" s="66" t="s">
        <v>1579</v>
      </c>
      <c r="H65" s="64">
        <v>4209</v>
      </c>
      <c r="I65" s="67" t="s">
        <v>15</v>
      </c>
      <c r="J65" s="97">
        <v>404161694</v>
      </c>
      <c r="K65" s="66"/>
      <c r="L65" s="68"/>
      <c r="M65" s="69">
        <v>1763.97</v>
      </c>
      <c r="N65" s="69">
        <v>1763.97</v>
      </c>
      <c r="O65" s="70">
        <f>IF(registreGarantie[[#This Row],[date paiement]]="","",registreGarantie[[#This Row],[Pièces 
Demandés]]-registreGarantie[[#This Row],[Pièces 
Remboursés]])</f>
        <v>0</v>
      </c>
      <c r="P65" s="69">
        <v>369</v>
      </c>
      <c r="Q65" s="69">
        <v>369</v>
      </c>
      <c r="R65" s="70">
        <f>IF(registreGarantie[[#This Row],[date paiement]]="","",registreGarantie[[#This Row],[MO
Demandé]]-registreGarantie[[#This Row],[MO
Remboursé]])</f>
        <v>0</v>
      </c>
      <c r="S65" s="69"/>
      <c r="T65" s="70">
        <f>IF(registreGarantie[[#This Row],[date paiement]]="","",registreGarantie[[#This Row],[MO
Refusé]]+registreGarantie[[#This Row],[Pièces
Refusés]])</f>
        <v>0</v>
      </c>
      <c r="U65" s="106">
        <v>45449</v>
      </c>
      <c r="V65" s="71">
        <f>IF(registreGarantie[[#This Row],[Pièces 
Demandés]]="","",registreGarantie[[#This Row],[Date]])</f>
        <v>45394</v>
      </c>
      <c r="W65" s="103">
        <f>IF(registreGarantie[[#This Row],[Pièces 
Demandés]]="","",IF(registreGarantie[[#This Row],[date paiement]]="","",registreGarantie[[#This Row],[date paiement]]+91))</f>
        <v>45540</v>
      </c>
      <c r="X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5" s="74">
        <f ca="1">IF(registreGarantie[[#This Row],[Colonne1]]=0,"",IF(TODAY()&gt;registreGarantie[[#This Row],[Date rebus]],0,1))</f>
        <v>0</v>
      </c>
      <c r="Z65" s="66"/>
      <c r="AA65" s="73" t="str">
        <f>IF(AND(registreGarantie[[#This Row],[Montant non remboursé]]&gt;1,registreGarantie[[#This Row],[Montant non remboursé]]&lt;&gt;""),1,"")</f>
        <v/>
      </c>
      <c r="AB65" s="66"/>
      <c r="AC65" s="66"/>
      <c r="AD65" s="87">
        <f t="shared" si="0"/>
        <v>65</v>
      </c>
      <c r="AE65" s="109"/>
    </row>
    <row r="66" spans="1:31" ht="18" customHeight="1" thickBot="1" x14ac:dyDescent="0.4">
      <c r="A66" s="64">
        <v>44764</v>
      </c>
      <c r="B66" s="64">
        <v>42621</v>
      </c>
      <c r="C66" s="106">
        <v>45394</v>
      </c>
      <c r="D66" s="66" t="s">
        <v>73</v>
      </c>
      <c r="E66" s="66" t="s">
        <v>227</v>
      </c>
      <c r="F66" s="68" t="s">
        <v>2306</v>
      </c>
      <c r="G66" s="66" t="s">
        <v>1593</v>
      </c>
      <c r="H66" s="64"/>
      <c r="I66" s="67" t="s">
        <v>15</v>
      </c>
      <c r="J66" s="97">
        <v>404161694</v>
      </c>
      <c r="K66" s="66"/>
      <c r="L66" s="68"/>
      <c r="M66" s="69">
        <v>1763.97</v>
      </c>
      <c r="N66" s="69">
        <v>1763.97</v>
      </c>
      <c r="O66" s="70">
        <f>IF(registreGarantie[[#This Row],[date paiement]]="","",registreGarantie[[#This Row],[Pièces 
Demandés]]-registreGarantie[[#This Row],[Pièces 
Remboursés]])</f>
        <v>0</v>
      </c>
      <c r="P66" s="69">
        <v>369</v>
      </c>
      <c r="Q66" s="69">
        <v>369</v>
      </c>
      <c r="R66" s="70">
        <f>IF(registreGarantie[[#This Row],[date paiement]]="","",registreGarantie[[#This Row],[MO
Demandé]]-registreGarantie[[#This Row],[MO
Remboursé]])</f>
        <v>0</v>
      </c>
      <c r="S66" s="69"/>
      <c r="T66" s="70">
        <f>IF(registreGarantie[[#This Row],[date paiement]]="","",registreGarantie[[#This Row],[MO
Refusé]]+registreGarantie[[#This Row],[Pièces
Refusés]])</f>
        <v>0</v>
      </c>
      <c r="U66" s="106">
        <v>45449</v>
      </c>
      <c r="V66" s="71">
        <f>IF(registreGarantie[[#This Row],[Pièces 
Demandés]]="","",registreGarantie[[#This Row],[Date]])</f>
        <v>45394</v>
      </c>
      <c r="W66" s="103">
        <f>IF(registreGarantie[[#This Row],[Pièces 
Demandés]]="","",IF(registreGarantie[[#This Row],[date paiement]]="","",registreGarantie[[#This Row],[date paiement]]+91))</f>
        <v>45540</v>
      </c>
      <c r="X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6" s="74">
        <f ca="1">IF(registreGarantie[[#This Row],[Colonne1]]=0,"",IF(TODAY()&gt;registreGarantie[[#This Row],[Date rebus]],0,1))</f>
        <v>0</v>
      </c>
      <c r="Z66" s="66"/>
      <c r="AA66" s="73" t="str">
        <f>IF(AND(registreGarantie[[#This Row],[Montant non remboursé]]&gt;1,registreGarantie[[#This Row],[Montant non remboursé]]&lt;&gt;""),1,"")</f>
        <v/>
      </c>
      <c r="AB66" s="66"/>
      <c r="AC66" s="66"/>
      <c r="AD66" s="87">
        <f t="shared" ref="AD66:AD129" si="1">ROW(AD66)</f>
        <v>66</v>
      </c>
      <c r="AE66" s="109"/>
    </row>
    <row r="67" spans="1:31" ht="18" customHeight="1" thickBot="1" x14ac:dyDescent="0.4">
      <c r="A67" s="64">
        <v>44765</v>
      </c>
      <c r="B67" s="64">
        <v>42623</v>
      </c>
      <c r="C67" s="106">
        <v>45395</v>
      </c>
      <c r="D67" s="66" t="s">
        <v>86</v>
      </c>
      <c r="E67" s="66" t="s">
        <v>148</v>
      </c>
      <c r="F67" s="68" t="s">
        <v>2240</v>
      </c>
      <c r="G67" s="66" t="s">
        <v>1594</v>
      </c>
      <c r="H67" s="64">
        <v>1657</v>
      </c>
      <c r="I67" s="67" t="s">
        <v>3</v>
      </c>
      <c r="J67" s="97">
        <v>404161729</v>
      </c>
      <c r="K67" s="66"/>
      <c r="L67" s="68"/>
      <c r="M67" s="69">
        <v>0.12</v>
      </c>
      <c r="N67" s="69">
        <v>0.12</v>
      </c>
      <c r="O67" s="70">
        <f>IF(registreGarantie[[#This Row],[date paiement]]="","",registreGarantie[[#This Row],[Pièces 
Demandés]]-registreGarantie[[#This Row],[Pièces 
Remboursés]])</f>
        <v>0</v>
      </c>
      <c r="P67" s="69">
        <v>61.5</v>
      </c>
      <c r="Q67" s="69">
        <v>61.5</v>
      </c>
      <c r="R67" s="70">
        <f>IF(registreGarantie[[#This Row],[date paiement]]="","",registreGarantie[[#This Row],[MO
Demandé]]-registreGarantie[[#This Row],[MO
Remboursé]])</f>
        <v>0</v>
      </c>
      <c r="S67" s="69" t="s">
        <v>2241</v>
      </c>
      <c r="T67" s="70">
        <f>IF(registreGarantie[[#This Row],[date paiement]]="","",registreGarantie[[#This Row],[MO
Refusé]]+registreGarantie[[#This Row],[Pièces
Refusés]])</f>
        <v>0</v>
      </c>
      <c r="U67" s="106">
        <v>45404</v>
      </c>
      <c r="V67" s="71">
        <f>IF(registreGarantie[[#This Row],[Pièces 
Demandés]]="","",registreGarantie[[#This Row],[Date]])</f>
        <v>45395</v>
      </c>
      <c r="W67" s="103">
        <f>IF(registreGarantie[[#This Row],[Pièces 
Demandés]]="","",IF(registreGarantie[[#This Row],[date paiement]]="","",registreGarantie[[#This Row],[date paiement]]+91))</f>
        <v>45495</v>
      </c>
      <c r="X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7" s="74">
        <f ca="1">IF(registreGarantie[[#This Row],[Colonne1]]=0,"",IF(TODAY()&gt;registreGarantie[[#This Row],[Date rebus]],0,1))</f>
        <v>0</v>
      </c>
      <c r="Z67" s="66"/>
      <c r="AA67" s="73" t="str">
        <f>IF(AND(registreGarantie[[#This Row],[Montant non remboursé]]&gt;1,registreGarantie[[#This Row],[Montant non remboursé]]&lt;&gt;""),1,"")</f>
        <v/>
      </c>
      <c r="AB67" s="66"/>
      <c r="AC67" s="66"/>
      <c r="AD67" s="87">
        <f t="shared" si="1"/>
        <v>67</v>
      </c>
      <c r="AE67" s="109"/>
    </row>
    <row r="68" spans="1:31" ht="18" customHeight="1" thickBot="1" x14ac:dyDescent="0.4">
      <c r="A68" s="64">
        <v>44766</v>
      </c>
      <c r="B68" s="64">
        <v>42624</v>
      </c>
      <c r="C68" s="106">
        <v>45393</v>
      </c>
      <c r="D68" s="66" t="s">
        <v>86</v>
      </c>
      <c r="E68" s="66" t="s">
        <v>148</v>
      </c>
      <c r="F68" s="68" t="s">
        <v>2240</v>
      </c>
      <c r="G68" s="66" t="s">
        <v>1595</v>
      </c>
      <c r="H68" s="64" t="s">
        <v>1596</v>
      </c>
      <c r="I68" s="67" t="s">
        <v>3</v>
      </c>
      <c r="J68" s="97">
        <v>404161825</v>
      </c>
      <c r="K68" s="66"/>
      <c r="L68" s="68"/>
      <c r="M68" s="69">
        <v>5.29</v>
      </c>
      <c r="N68" s="69">
        <v>5.29</v>
      </c>
      <c r="O68" s="70">
        <f>IF(registreGarantie[[#This Row],[date paiement]]="","",registreGarantie[[#This Row],[Pièces 
Demandés]]-registreGarantie[[#This Row],[Pièces 
Remboursés]])</f>
        <v>0</v>
      </c>
      <c r="P68" s="69">
        <v>61.5</v>
      </c>
      <c r="Q68" s="69">
        <v>61.5</v>
      </c>
      <c r="R68" s="70">
        <f>IF(registreGarantie[[#This Row],[date paiement]]="","",registreGarantie[[#This Row],[MO
Demandé]]-registreGarantie[[#This Row],[MO
Remboursé]])</f>
        <v>0</v>
      </c>
      <c r="S68" s="69" t="s">
        <v>2242</v>
      </c>
      <c r="T68" s="70">
        <f>IF(registreGarantie[[#This Row],[date paiement]]="","",registreGarantie[[#This Row],[MO
Refusé]]+registreGarantie[[#This Row],[Pièces
Refusés]])</f>
        <v>0</v>
      </c>
      <c r="U68" s="106">
        <v>45404</v>
      </c>
      <c r="V68" s="71">
        <f>IF(registreGarantie[[#This Row],[Pièces 
Demandés]]="","",registreGarantie[[#This Row],[Date]])</f>
        <v>45393</v>
      </c>
      <c r="W68" s="103">
        <f>IF(registreGarantie[[#This Row],[Pièces 
Demandés]]="","",IF(registreGarantie[[#This Row],[date paiement]]="","",registreGarantie[[#This Row],[date paiement]]+91))</f>
        <v>45495</v>
      </c>
      <c r="X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8" s="74">
        <f ca="1">IF(registreGarantie[[#This Row],[Colonne1]]=0,"",IF(TODAY()&gt;registreGarantie[[#This Row],[Date rebus]],0,1))</f>
        <v>0</v>
      </c>
      <c r="Z68" s="66"/>
      <c r="AA68" s="73" t="str">
        <f>IF(AND(registreGarantie[[#This Row],[Montant non remboursé]]&gt;1,registreGarantie[[#This Row],[Montant non remboursé]]&lt;&gt;""),1,"")</f>
        <v/>
      </c>
      <c r="AB68" s="66"/>
      <c r="AC68" s="66"/>
      <c r="AD68" s="87">
        <f t="shared" si="1"/>
        <v>68</v>
      </c>
      <c r="AE68" s="109"/>
    </row>
    <row r="69" spans="1:31" ht="18" customHeight="1" thickBot="1" x14ac:dyDescent="0.4">
      <c r="A69" s="64">
        <v>44767</v>
      </c>
      <c r="B69" s="64">
        <v>42625</v>
      </c>
      <c r="C69" s="106">
        <v>45393</v>
      </c>
      <c r="D69" s="66" t="s">
        <v>486</v>
      </c>
      <c r="E69" s="66" t="s">
        <v>487</v>
      </c>
      <c r="F69" s="68" t="s">
        <v>2262</v>
      </c>
      <c r="G69" s="66" t="s">
        <v>1597</v>
      </c>
      <c r="H69" s="64" t="s">
        <v>1598</v>
      </c>
      <c r="I69" s="67" t="s">
        <v>3</v>
      </c>
      <c r="J69" s="97">
        <v>404161836</v>
      </c>
      <c r="K69" s="66"/>
      <c r="L69" s="68"/>
      <c r="M69" s="69"/>
      <c r="N69" s="69"/>
      <c r="O69" s="70">
        <f>IF(registreGarantie[[#This Row],[date paiement]]="","",registreGarantie[[#This Row],[Pièces 
Demandés]]-registreGarantie[[#This Row],[Pièces 
Remboursés]])</f>
        <v>0</v>
      </c>
      <c r="P69" s="69">
        <v>246</v>
      </c>
      <c r="Q69" s="69">
        <v>246</v>
      </c>
      <c r="R69" s="70">
        <f>IF(registreGarantie[[#This Row],[date paiement]]="","",registreGarantie[[#This Row],[MO
Demandé]]-registreGarantie[[#This Row],[MO
Remboursé]])</f>
        <v>0</v>
      </c>
      <c r="S69" s="69"/>
      <c r="T69" s="70">
        <f>IF(registreGarantie[[#This Row],[date paiement]]="","",registreGarantie[[#This Row],[MO
Refusé]]+registreGarantie[[#This Row],[Pièces
Refusés]])</f>
        <v>0</v>
      </c>
      <c r="U69" s="106">
        <v>45451</v>
      </c>
      <c r="V69" s="71" t="str">
        <f>IF(registreGarantie[[#This Row],[Pièces 
Demandés]]="","",registreGarantie[[#This Row],[Date]])</f>
        <v/>
      </c>
      <c r="W69" s="103" t="str">
        <f>IF(registreGarantie[[#This Row],[Pièces 
Demandés]]="","",IF(registreGarantie[[#This Row],[date paiement]]="","",registreGarantie[[#This Row],[date paiement]]+91))</f>
        <v/>
      </c>
      <c r="X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9" s="74" t="str">
        <f ca="1">IF(registreGarantie[[#This Row],[Colonne1]]=0,"",IF(TODAY()&gt;registreGarantie[[#This Row],[Date rebus]],0,1))</f>
        <v/>
      </c>
      <c r="Z69" s="66"/>
      <c r="AA69" s="73" t="str">
        <f>IF(AND(registreGarantie[[#This Row],[Montant non remboursé]]&gt;1,registreGarantie[[#This Row],[Montant non remboursé]]&lt;&gt;""),1,"")</f>
        <v/>
      </c>
      <c r="AB69" s="66"/>
      <c r="AC69" s="66"/>
      <c r="AD69" s="87">
        <f t="shared" si="1"/>
        <v>69</v>
      </c>
      <c r="AE69" s="109"/>
    </row>
    <row r="70" spans="1:31" ht="18" customHeight="1" thickBot="1" x14ac:dyDescent="0.4">
      <c r="A70" s="64">
        <v>44769</v>
      </c>
      <c r="B70" s="64">
        <v>42277</v>
      </c>
      <c r="C70" s="106">
        <v>45436</v>
      </c>
      <c r="D70" s="66" t="s">
        <v>105</v>
      </c>
      <c r="E70" s="66" t="s">
        <v>106</v>
      </c>
      <c r="F70" s="68" t="s">
        <v>2318</v>
      </c>
      <c r="G70" s="66" t="s">
        <v>1599</v>
      </c>
      <c r="H70" s="64" t="s">
        <v>1600</v>
      </c>
      <c r="I70" s="67" t="s">
        <v>5</v>
      </c>
      <c r="J70" s="97">
        <v>404010332</v>
      </c>
      <c r="K70" s="66"/>
      <c r="L70" s="68"/>
      <c r="M70" s="69">
        <v>40.46</v>
      </c>
      <c r="N70" s="69">
        <v>40.46</v>
      </c>
      <c r="O70" s="70">
        <f>IF(registreGarantie[[#This Row],[date paiement]]="","",registreGarantie[[#This Row],[Pièces 
Demandés]]-registreGarantie[[#This Row],[Pièces 
Remboursés]])</f>
        <v>0</v>
      </c>
      <c r="P70" s="69">
        <v>103.95</v>
      </c>
      <c r="Q70" s="69">
        <v>103.95</v>
      </c>
      <c r="R70" s="70">
        <f>IF(registreGarantie[[#This Row],[date paiement]]="","",registreGarantie[[#This Row],[MO
Demandé]]-registreGarantie[[#This Row],[MO
Remboursé]])</f>
        <v>0</v>
      </c>
      <c r="S70" s="69"/>
      <c r="T70" s="70">
        <f>IF(registreGarantie[[#This Row],[date paiement]]="","",registreGarantie[[#This Row],[MO
Refusé]]+registreGarantie[[#This Row],[Pièces
Refusés]])</f>
        <v>0</v>
      </c>
      <c r="U70" s="106">
        <v>45464</v>
      </c>
      <c r="V70" s="71">
        <f>IF(registreGarantie[[#This Row],[Pièces 
Demandés]]="","",registreGarantie[[#This Row],[Date]])</f>
        <v>45436</v>
      </c>
      <c r="W70" s="103">
        <f>IF(registreGarantie[[#This Row],[Pièces 
Demandés]]="","",IF(registreGarantie[[#This Row],[date paiement]]="","",registreGarantie[[#This Row],[date paiement]]+91))</f>
        <v>45555</v>
      </c>
      <c r="X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70" s="74" t="str">
        <f ca="1">IF(registreGarantie[[#This Row],[Colonne1]]=0,"",IF(TODAY()&gt;registreGarantie[[#This Row],[Date rebus]],0,1))</f>
        <v/>
      </c>
      <c r="Z70" s="66"/>
      <c r="AA70" s="73" t="str">
        <f>IF(AND(registreGarantie[[#This Row],[Montant non remboursé]]&gt;1,registreGarantie[[#This Row],[Montant non remboursé]]&lt;&gt;""),1,"")</f>
        <v/>
      </c>
      <c r="AB70" s="66"/>
      <c r="AC70" s="66"/>
      <c r="AD70" s="87">
        <f t="shared" si="1"/>
        <v>70</v>
      </c>
      <c r="AE70" s="109"/>
    </row>
    <row r="71" spans="1:31" ht="18" customHeight="1" thickBot="1" x14ac:dyDescent="0.4">
      <c r="A71" s="64">
        <v>44771</v>
      </c>
      <c r="B71" s="64">
        <v>42229</v>
      </c>
      <c r="C71" s="106">
        <v>45401</v>
      </c>
      <c r="D71" s="66" t="s">
        <v>375</v>
      </c>
      <c r="E71" s="66" t="s">
        <v>75</v>
      </c>
      <c r="F71" s="68" t="s">
        <v>2284</v>
      </c>
      <c r="G71" s="66" t="s">
        <v>525</v>
      </c>
      <c r="H71" s="64" t="s">
        <v>1601</v>
      </c>
      <c r="I71" s="67" t="s">
        <v>15</v>
      </c>
      <c r="J71" s="97">
        <v>404175530</v>
      </c>
      <c r="K71" s="66"/>
      <c r="L71" s="68"/>
      <c r="M71" s="69">
        <v>279.72000000000003</v>
      </c>
      <c r="N71" s="69">
        <v>279.72000000000003</v>
      </c>
      <c r="O71" s="70">
        <f>IF(registreGarantie[[#This Row],[date paiement]]="","",registreGarantie[[#This Row],[Pièces 
Demandés]]-registreGarantie[[#This Row],[Pièces 
Remboursés]])</f>
        <v>0</v>
      </c>
      <c r="P71" s="69">
        <v>2490.75</v>
      </c>
      <c r="Q71" s="69">
        <v>1968</v>
      </c>
      <c r="R71" s="70">
        <f>IF(registreGarantie[[#This Row],[date paiement]]="","",registreGarantie[[#This Row],[MO
Demandé]]-registreGarantie[[#This Row],[MO
Remboursé]])</f>
        <v>522.75</v>
      </c>
      <c r="S71" s="69"/>
      <c r="T71" s="70">
        <f>IF(registreGarantie[[#This Row],[date paiement]]="","",registreGarantie[[#This Row],[MO
Refusé]]+registreGarantie[[#This Row],[Pièces
Refusés]])</f>
        <v>522.75</v>
      </c>
      <c r="U71" s="106">
        <v>45628</v>
      </c>
      <c r="V71" s="71">
        <f>IF(registreGarantie[[#This Row],[Pièces 
Demandés]]="","",registreGarantie[[#This Row],[Date]])</f>
        <v>45401</v>
      </c>
      <c r="W71" s="103">
        <f>IF(registreGarantie[[#This Row],[Pièces 
Demandés]]="","",IF(registreGarantie[[#This Row],[date paiement]]="","",registreGarantie[[#This Row],[date paiement]]+91))</f>
        <v>45719</v>
      </c>
      <c r="X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1" s="74">
        <f ca="1">IF(registreGarantie[[#This Row],[Colonne1]]=0,"",IF(TODAY()&gt;registreGarantie[[#This Row],[Date rebus]],0,1))</f>
        <v>0</v>
      </c>
      <c r="Z71" s="66" t="s">
        <v>1602</v>
      </c>
      <c r="AA71" s="73">
        <f>IF(AND(registreGarantie[[#This Row],[Montant non remboursé]]&gt;1,registreGarantie[[#This Row],[Montant non remboursé]]&lt;&gt;""),1,"")</f>
        <v>1</v>
      </c>
      <c r="AB71" s="66"/>
      <c r="AC71" s="66"/>
      <c r="AD71" s="87">
        <f t="shared" si="1"/>
        <v>71</v>
      </c>
      <c r="AE71" s="109"/>
    </row>
    <row r="72" spans="1:31" ht="18" customHeight="1" thickBot="1" x14ac:dyDescent="0.4">
      <c r="A72" s="64">
        <v>44772</v>
      </c>
      <c r="B72" s="64">
        <v>42643</v>
      </c>
      <c r="C72" s="106">
        <v>45404</v>
      </c>
      <c r="D72" s="66" t="s">
        <v>1603</v>
      </c>
      <c r="E72" s="66" t="s">
        <v>2319</v>
      </c>
      <c r="F72" s="68" t="s">
        <v>2320</v>
      </c>
      <c r="G72" s="66" t="s">
        <v>1604</v>
      </c>
      <c r="H72" s="64" t="s">
        <v>1605</v>
      </c>
      <c r="I72" s="67" t="s">
        <v>15</v>
      </c>
      <c r="J72" s="97">
        <v>404209290</v>
      </c>
      <c r="K72" s="66"/>
      <c r="L72" s="68"/>
      <c r="M72" s="69">
        <v>598.17999999999995</v>
      </c>
      <c r="N72" s="69">
        <v>598.17999999999995</v>
      </c>
      <c r="O72" s="70">
        <f>IF(registreGarantie[[#This Row],[date paiement]]="","",registreGarantie[[#This Row],[Pièces 
Demandés]]-registreGarantie[[#This Row],[Pièces 
Remboursés]])</f>
        <v>0</v>
      </c>
      <c r="P72" s="69">
        <v>246</v>
      </c>
      <c r="Q72" s="69">
        <v>246</v>
      </c>
      <c r="R72" s="70">
        <f>IF(registreGarantie[[#This Row],[date paiement]]="","",registreGarantie[[#This Row],[MO
Demandé]]-registreGarantie[[#This Row],[MO
Remboursé]])</f>
        <v>0</v>
      </c>
      <c r="S72" s="69"/>
      <c r="T72" s="70">
        <f>IF(registreGarantie[[#This Row],[date paiement]]="","",registreGarantie[[#This Row],[MO
Refusé]]+registreGarantie[[#This Row],[Pièces
Refusés]])</f>
        <v>0</v>
      </c>
      <c r="U72" s="106">
        <v>45504</v>
      </c>
      <c r="V72" s="71">
        <f>IF(registreGarantie[[#This Row],[Pièces 
Demandés]]="","",registreGarantie[[#This Row],[Date]])</f>
        <v>45404</v>
      </c>
      <c r="W72" s="103">
        <f>IF(registreGarantie[[#This Row],[Pièces 
Demandés]]="","",IF(registreGarantie[[#This Row],[date paiement]]="","",registreGarantie[[#This Row],[date paiement]]+91))</f>
        <v>45595</v>
      </c>
      <c r="X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2" s="74">
        <f ca="1">IF(registreGarantie[[#This Row],[Colonne1]]=0,"",IF(TODAY()&gt;registreGarantie[[#This Row],[Date rebus]],0,1))</f>
        <v>0</v>
      </c>
      <c r="Z72" s="66"/>
      <c r="AA72" s="73" t="str">
        <f>IF(AND(registreGarantie[[#This Row],[Montant non remboursé]]&gt;1,registreGarantie[[#This Row],[Montant non remboursé]]&lt;&gt;""),1,"")</f>
        <v/>
      </c>
      <c r="AB72" s="66"/>
      <c r="AC72" s="66"/>
      <c r="AD72" s="87">
        <f t="shared" si="1"/>
        <v>72</v>
      </c>
      <c r="AE72" s="109"/>
    </row>
    <row r="73" spans="1:31" ht="18" customHeight="1" thickBot="1" x14ac:dyDescent="0.4">
      <c r="A73" s="64">
        <v>44776</v>
      </c>
      <c r="B73" s="64">
        <v>42661</v>
      </c>
      <c r="C73" s="106">
        <v>45404</v>
      </c>
      <c r="D73" s="66" t="s">
        <v>446</v>
      </c>
      <c r="E73" s="66" t="s">
        <v>75</v>
      </c>
      <c r="F73" s="68" t="s">
        <v>2324</v>
      </c>
      <c r="G73" s="66" t="s">
        <v>58</v>
      </c>
      <c r="H73" s="64" t="s">
        <v>1606</v>
      </c>
      <c r="I73" s="67" t="s">
        <v>18</v>
      </c>
      <c r="J73" s="97">
        <v>404186144</v>
      </c>
      <c r="K73" s="66"/>
      <c r="L73" s="68"/>
      <c r="M73" s="69">
        <v>398.27</v>
      </c>
      <c r="N73" s="69">
        <v>398.27</v>
      </c>
      <c r="O73" s="70">
        <f>IF(registreGarantie[[#This Row],[date paiement]]="","",registreGarantie[[#This Row],[Pièces 
Demandés]]-registreGarantie[[#This Row],[Pièces 
Remboursés]])</f>
        <v>0</v>
      </c>
      <c r="P73" s="69">
        <v>270.60000000000002</v>
      </c>
      <c r="Q73" s="69">
        <v>270.60000000000002</v>
      </c>
      <c r="R73" s="70">
        <f>IF(registreGarantie[[#This Row],[date paiement]]="","",registreGarantie[[#This Row],[MO
Demandé]]-registreGarantie[[#This Row],[MO
Remboursé]])</f>
        <v>0</v>
      </c>
      <c r="S73" s="69"/>
      <c r="T73" s="70">
        <f>IF(registreGarantie[[#This Row],[date paiement]]="","",registreGarantie[[#This Row],[MO
Refusé]]+registreGarantie[[#This Row],[Pièces
Refusés]])</f>
        <v>0</v>
      </c>
      <c r="U73" s="106">
        <v>45419</v>
      </c>
      <c r="V73" s="71">
        <f>IF(registreGarantie[[#This Row],[Pièces 
Demandés]]="","",registreGarantie[[#This Row],[Date]])</f>
        <v>45404</v>
      </c>
      <c r="W73" s="103">
        <f>IF(registreGarantie[[#This Row],[Pièces 
Demandés]]="","",IF(registreGarantie[[#This Row],[date paiement]]="","",registreGarantie[[#This Row],[date paiement]]+91))</f>
        <v>45510</v>
      </c>
      <c r="X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73" s="74" t="str">
        <f ca="1">IF(registreGarantie[[#This Row],[Colonne1]]=0,"",IF(TODAY()&gt;registreGarantie[[#This Row],[Date rebus]],0,1))</f>
        <v/>
      </c>
      <c r="Z73" s="66"/>
      <c r="AA73" s="73" t="str">
        <f>IF(AND(registreGarantie[[#This Row],[Montant non remboursé]]&gt;1,registreGarantie[[#This Row],[Montant non remboursé]]&lt;&gt;""),1,"")</f>
        <v/>
      </c>
      <c r="AB73" s="66"/>
      <c r="AC73" s="66"/>
      <c r="AD73" s="87">
        <f t="shared" si="1"/>
        <v>73</v>
      </c>
      <c r="AE73" s="109"/>
    </row>
    <row r="74" spans="1:31" ht="18" customHeight="1" thickBot="1" x14ac:dyDescent="0.4">
      <c r="A74" s="64">
        <v>44776</v>
      </c>
      <c r="B74" s="64">
        <v>42661</v>
      </c>
      <c r="C74" s="106">
        <v>45404</v>
      </c>
      <c r="D74" s="66" t="s">
        <v>446</v>
      </c>
      <c r="E74" s="66" t="s">
        <v>75</v>
      </c>
      <c r="F74" s="68" t="s">
        <v>2324</v>
      </c>
      <c r="G74" s="66" t="s">
        <v>58</v>
      </c>
      <c r="H74" s="64" t="s">
        <v>1606</v>
      </c>
      <c r="I74" s="67" t="s">
        <v>19</v>
      </c>
      <c r="J74" s="97">
        <v>404186144</v>
      </c>
      <c r="K74" s="66"/>
      <c r="L74" s="68"/>
      <c r="M74" s="69">
        <v>398.27</v>
      </c>
      <c r="N74" s="69">
        <v>398.27</v>
      </c>
      <c r="O74" s="70">
        <f>IF(registreGarantie[[#This Row],[date paiement]]="","",registreGarantie[[#This Row],[Pièces 
Demandés]]-registreGarantie[[#This Row],[Pièces 
Remboursés]])</f>
        <v>0</v>
      </c>
      <c r="P74" s="69">
        <v>270.60000000000002</v>
      </c>
      <c r="Q74" s="69">
        <v>270.60000000000002</v>
      </c>
      <c r="R74" s="70">
        <f>IF(registreGarantie[[#This Row],[date paiement]]="","",registreGarantie[[#This Row],[MO
Demandé]]-registreGarantie[[#This Row],[MO
Remboursé]])</f>
        <v>0</v>
      </c>
      <c r="S74" s="69"/>
      <c r="T74" s="70">
        <f>IF(registreGarantie[[#This Row],[date paiement]]="","",registreGarantie[[#This Row],[MO
Refusé]]+registreGarantie[[#This Row],[Pièces
Refusés]])</f>
        <v>0</v>
      </c>
      <c r="U74" s="106">
        <v>45419</v>
      </c>
      <c r="V74" s="71">
        <f>IF(registreGarantie[[#This Row],[Pièces 
Demandés]]="","",registreGarantie[[#This Row],[Date]])</f>
        <v>45404</v>
      </c>
      <c r="W74" s="103">
        <f>IF(registreGarantie[[#This Row],[Pièces 
Demandés]]="","",IF(registreGarantie[[#This Row],[date paiement]]="","",registreGarantie[[#This Row],[date paiement]]+91))</f>
        <v>45510</v>
      </c>
      <c r="X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74" s="74" t="str">
        <f ca="1">IF(registreGarantie[[#This Row],[Colonne1]]=0,"",IF(TODAY()&gt;registreGarantie[[#This Row],[Date rebus]],0,1))</f>
        <v/>
      </c>
      <c r="Z74" s="66"/>
      <c r="AA74" s="73" t="str">
        <f>IF(AND(registreGarantie[[#This Row],[Montant non remboursé]]&gt;1,registreGarantie[[#This Row],[Montant non remboursé]]&lt;&gt;""),1,"")</f>
        <v/>
      </c>
      <c r="AB74" s="66"/>
      <c r="AC74" s="66"/>
      <c r="AD74" s="87">
        <f t="shared" si="1"/>
        <v>74</v>
      </c>
      <c r="AE74" s="109"/>
    </row>
    <row r="75" spans="1:31" ht="18" customHeight="1" thickBot="1" x14ac:dyDescent="0.4">
      <c r="A75" s="64">
        <v>44778</v>
      </c>
      <c r="B75" s="64">
        <v>5787</v>
      </c>
      <c r="C75" s="106">
        <v>45411</v>
      </c>
      <c r="D75" s="66" t="s">
        <v>1212</v>
      </c>
      <c r="E75" s="66" t="s">
        <v>1607</v>
      </c>
      <c r="F75" s="68" t="s">
        <v>2277</v>
      </c>
      <c r="G75" s="66" t="s">
        <v>1608</v>
      </c>
      <c r="H75" s="64">
        <v>3363</v>
      </c>
      <c r="I75" s="67" t="s">
        <v>20</v>
      </c>
      <c r="J75" s="97">
        <v>404187504</v>
      </c>
      <c r="K75" s="66"/>
      <c r="L75" s="68"/>
      <c r="M75" s="69"/>
      <c r="N75" s="69"/>
      <c r="O75" s="70" t="str">
        <f>IF(registreGarantie[[#This Row],[date paiement]]="","",registreGarantie[[#This Row],[Pièces 
Demandés]]-registreGarantie[[#This Row],[Pièces 
Remboursés]])</f>
        <v/>
      </c>
      <c r="P75" s="69"/>
      <c r="Q75" s="69"/>
      <c r="R75" s="70" t="str">
        <f>IF(registreGarantie[[#This Row],[date paiement]]="","",registreGarantie[[#This Row],[MO
Demandé]]-registreGarantie[[#This Row],[MO
Remboursé]])</f>
        <v/>
      </c>
      <c r="S75" s="69"/>
      <c r="T75" s="70" t="str">
        <f>IF(registreGarantie[[#This Row],[date paiement]]="","",registreGarantie[[#This Row],[MO
Refusé]]+registreGarantie[[#This Row],[Pièces
Refusés]])</f>
        <v/>
      </c>
      <c r="U75" s="106"/>
      <c r="V75" s="71" t="str">
        <f>IF(registreGarantie[[#This Row],[Pièces 
Demandés]]="","",registreGarantie[[#This Row],[Date]])</f>
        <v/>
      </c>
      <c r="W75" s="103" t="str">
        <f>IF(registreGarantie[[#This Row],[Pièces 
Demandés]]="","",IF(registreGarantie[[#This Row],[date paiement]]="","",registreGarantie[[#This Row],[date paiement]]+91))</f>
        <v/>
      </c>
      <c r="X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75" s="74" t="str">
        <f ca="1">IF(registreGarantie[[#This Row],[Colonne1]]=0,"",IF(TODAY()&gt;registreGarantie[[#This Row],[Date rebus]],0,1))</f>
        <v/>
      </c>
      <c r="Z75" s="66"/>
      <c r="AA75" s="73" t="str">
        <f>IF(AND(registreGarantie[[#This Row],[Montant non remboursé]]&gt;1,registreGarantie[[#This Row],[Montant non remboursé]]&lt;&gt;""),1,"")</f>
        <v/>
      </c>
      <c r="AB75" s="66"/>
      <c r="AC75" s="66"/>
      <c r="AD75" s="87">
        <f t="shared" si="1"/>
        <v>75</v>
      </c>
      <c r="AE75" s="109"/>
    </row>
    <row r="76" spans="1:31" ht="18" customHeight="1" thickBot="1" x14ac:dyDescent="0.4">
      <c r="A76" s="64">
        <v>44779</v>
      </c>
      <c r="B76" s="64">
        <v>42524</v>
      </c>
      <c r="C76" s="106">
        <v>45408</v>
      </c>
      <c r="D76" s="66" t="s">
        <v>375</v>
      </c>
      <c r="E76" s="66" t="s">
        <v>75</v>
      </c>
      <c r="F76" s="68" t="s">
        <v>2284</v>
      </c>
      <c r="G76" s="66" t="s">
        <v>525</v>
      </c>
      <c r="H76" s="64" t="s">
        <v>1609</v>
      </c>
      <c r="I76" s="67" t="s">
        <v>15</v>
      </c>
      <c r="J76" s="97">
        <v>404187679</v>
      </c>
      <c r="K76" s="66"/>
      <c r="L76" s="68"/>
      <c r="M76" s="69">
        <v>143.72</v>
      </c>
      <c r="N76" s="69">
        <v>143.72</v>
      </c>
      <c r="O76" s="70">
        <f>IF(registreGarantie[[#This Row],[date paiement]]="","",registreGarantie[[#This Row],[Pièces 
Demandés]]-registreGarantie[[#This Row],[Pièces 
Remboursés]])</f>
        <v>0</v>
      </c>
      <c r="P76" s="69">
        <v>2275.5</v>
      </c>
      <c r="Q76" s="69">
        <v>1968</v>
      </c>
      <c r="R76" s="70">
        <f>IF(registreGarantie[[#This Row],[date paiement]]="","",registreGarantie[[#This Row],[MO
Demandé]]-registreGarantie[[#This Row],[MO
Remboursé]])</f>
        <v>307.5</v>
      </c>
      <c r="S76" s="69"/>
      <c r="T76" s="70">
        <f>IF(registreGarantie[[#This Row],[date paiement]]="","",registreGarantie[[#This Row],[MO
Refusé]]+registreGarantie[[#This Row],[Pièces
Refusés]])</f>
        <v>307.5</v>
      </c>
      <c r="U76" s="106">
        <v>45504</v>
      </c>
      <c r="V76" s="71">
        <f>IF(registreGarantie[[#This Row],[Pièces 
Demandés]]="","",registreGarantie[[#This Row],[Date]])</f>
        <v>45408</v>
      </c>
      <c r="W76" s="103">
        <f>IF(registreGarantie[[#This Row],[Pièces 
Demandés]]="","",IF(registreGarantie[[#This Row],[date paiement]]="","",registreGarantie[[#This Row],[date paiement]]+91))</f>
        <v>45595</v>
      </c>
      <c r="X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6" s="74">
        <f ca="1">IF(registreGarantie[[#This Row],[Colonne1]]=0,"",IF(TODAY()&gt;registreGarantie[[#This Row],[Date rebus]],0,1))</f>
        <v>0</v>
      </c>
      <c r="Z76" s="66" t="s">
        <v>1610</v>
      </c>
      <c r="AA76" s="73">
        <f>IF(AND(registreGarantie[[#This Row],[Montant non remboursé]]&gt;1,registreGarantie[[#This Row],[Montant non remboursé]]&lt;&gt;""),1,"")</f>
        <v>1</v>
      </c>
      <c r="AB76" s="66"/>
      <c r="AC76" s="66"/>
      <c r="AD76" s="87">
        <f t="shared" si="1"/>
        <v>76</v>
      </c>
      <c r="AE76" s="109"/>
    </row>
    <row r="77" spans="1:31" ht="18" customHeight="1" thickBot="1" x14ac:dyDescent="0.4">
      <c r="A77" s="64">
        <v>44780</v>
      </c>
      <c r="B77" s="64">
        <v>5781</v>
      </c>
      <c r="C77" s="106">
        <v>45408</v>
      </c>
      <c r="D77" s="66" t="s">
        <v>74</v>
      </c>
      <c r="E77" s="66" t="s">
        <v>367</v>
      </c>
      <c r="F77" s="68" t="s">
        <v>2253</v>
      </c>
      <c r="G77" s="66" t="s">
        <v>1611</v>
      </c>
      <c r="H77" s="64" t="s">
        <v>1612</v>
      </c>
      <c r="I77" s="67" t="s">
        <v>2</v>
      </c>
      <c r="J77" s="97">
        <v>404189037</v>
      </c>
      <c r="K77" s="66"/>
      <c r="L77" s="68"/>
      <c r="M77" s="69">
        <v>66.25</v>
      </c>
      <c r="N77" s="69">
        <v>66.25</v>
      </c>
      <c r="O77" s="70">
        <f>IF(registreGarantie[[#This Row],[date paiement]]="","",registreGarantie[[#This Row],[Pièces 
Demandés]]-registreGarantie[[#This Row],[Pièces 
Remboursés]])</f>
        <v>0</v>
      </c>
      <c r="P77" s="69">
        <v>199.89</v>
      </c>
      <c r="Q77" s="69">
        <v>199.89</v>
      </c>
      <c r="R77" s="70">
        <f>IF(registreGarantie[[#This Row],[date paiement]]="","",registreGarantie[[#This Row],[MO
Demandé]]-registreGarantie[[#This Row],[MO
Remboursé]])</f>
        <v>0</v>
      </c>
      <c r="S77" s="69"/>
      <c r="T77" s="70">
        <f>IF(registreGarantie[[#This Row],[date paiement]]="","",registreGarantie[[#This Row],[MO
Refusé]]+registreGarantie[[#This Row],[Pièces
Refusés]])</f>
        <v>0</v>
      </c>
      <c r="U77" s="106">
        <v>45504</v>
      </c>
      <c r="V77" s="71">
        <f>IF(registreGarantie[[#This Row],[Pièces 
Demandés]]="","",registreGarantie[[#This Row],[Date]])</f>
        <v>45408</v>
      </c>
      <c r="W77" s="103">
        <f>IF(registreGarantie[[#This Row],[Pièces 
Demandés]]="","",IF(registreGarantie[[#This Row],[date paiement]]="","",registreGarantie[[#This Row],[date paiement]]+91))</f>
        <v>45595</v>
      </c>
      <c r="X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7" s="74">
        <f ca="1">IF(registreGarantie[[#This Row],[Colonne1]]=0,"",IF(TODAY()&gt;registreGarantie[[#This Row],[Date rebus]],0,1))</f>
        <v>0</v>
      </c>
      <c r="Z77" s="66"/>
      <c r="AA77" s="73" t="str">
        <f>IF(AND(registreGarantie[[#This Row],[Montant non remboursé]]&gt;1,registreGarantie[[#This Row],[Montant non remboursé]]&lt;&gt;""),1,"")</f>
        <v/>
      </c>
      <c r="AB77" s="66"/>
      <c r="AC77" s="66"/>
      <c r="AD77" s="87">
        <f t="shared" si="1"/>
        <v>77</v>
      </c>
      <c r="AE77" s="109"/>
    </row>
    <row r="78" spans="1:31" ht="18" customHeight="1" thickBot="1" x14ac:dyDescent="0.4">
      <c r="A78" s="64">
        <v>44781</v>
      </c>
      <c r="B78" s="64">
        <v>42679</v>
      </c>
      <c r="C78" s="106">
        <v>45408</v>
      </c>
      <c r="D78" s="66" t="s">
        <v>1302</v>
      </c>
      <c r="E78" s="66" t="s">
        <v>1613</v>
      </c>
      <c r="F78" s="68" t="s">
        <v>2255</v>
      </c>
      <c r="G78" s="66" t="s">
        <v>1614</v>
      </c>
      <c r="H78" s="64" t="s">
        <v>1615</v>
      </c>
      <c r="I78" s="67" t="s">
        <v>3</v>
      </c>
      <c r="J78" s="97">
        <v>404181201</v>
      </c>
      <c r="K78" s="66"/>
      <c r="L78" s="68"/>
      <c r="M78" s="69">
        <v>386.53</v>
      </c>
      <c r="N78" s="69">
        <v>386.53</v>
      </c>
      <c r="O78" s="70">
        <f>IF(registreGarantie[[#This Row],[date paiement]]="","",registreGarantie[[#This Row],[Pièces 
Demandés]]-registreGarantie[[#This Row],[Pièces 
Remboursés]])</f>
        <v>0</v>
      </c>
      <c r="P78" s="69">
        <v>79.95</v>
      </c>
      <c r="Q78" s="69">
        <v>79.95</v>
      </c>
      <c r="R78" s="70">
        <f>IF(registreGarantie[[#This Row],[date paiement]]="","",registreGarantie[[#This Row],[MO
Demandé]]-registreGarantie[[#This Row],[MO
Remboursé]])</f>
        <v>0</v>
      </c>
      <c r="S78" s="69">
        <v>150</v>
      </c>
      <c r="T78" s="70">
        <f>IF(registreGarantie[[#This Row],[date paiement]]="","",registreGarantie[[#This Row],[MO
Refusé]]+registreGarantie[[#This Row],[Pièces
Refusés]])</f>
        <v>0</v>
      </c>
      <c r="U78" s="106">
        <v>45433</v>
      </c>
      <c r="V78" s="71">
        <f>IF(registreGarantie[[#This Row],[Pièces 
Demandés]]="","",registreGarantie[[#This Row],[Date]])</f>
        <v>45408</v>
      </c>
      <c r="W78" s="103">
        <f>IF(registreGarantie[[#This Row],[Pièces 
Demandés]]="","",IF(registreGarantie[[#This Row],[date paiement]]="","",registreGarantie[[#This Row],[date paiement]]+91))</f>
        <v>45524</v>
      </c>
      <c r="X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8" s="74">
        <f ca="1">IF(registreGarantie[[#This Row],[Colonne1]]=0,"",IF(TODAY()&gt;registreGarantie[[#This Row],[Date rebus]],0,1))</f>
        <v>0</v>
      </c>
      <c r="Z78" s="66"/>
      <c r="AA78" s="73" t="str">
        <f>IF(AND(registreGarantie[[#This Row],[Montant non remboursé]]&gt;1,registreGarantie[[#This Row],[Montant non remboursé]]&lt;&gt;""),1,"")</f>
        <v/>
      </c>
      <c r="AB78" s="66"/>
      <c r="AC78" s="66"/>
      <c r="AD78" s="87">
        <f t="shared" si="1"/>
        <v>78</v>
      </c>
      <c r="AE78" s="109"/>
    </row>
    <row r="79" spans="1:31" ht="18" customHeight="1" thickBot="1" x14ac:dyDescent="0.4">
      <c r="A79" s="64">
        <v>44783</v>
      </c>
      <c r="B79" s="64">
        <v>42672</v>
      </c>
      <c r="C79" s="106">
        <v>45414</v>
      </c>
      <c r="D79" s="66" t="s">
        <v>1302</v>
      </c>
      <c r="E79" s="66" t="s">
        <v>1613</v>
      </c>
      <c r="F79" s="68" t="s">
        <v>2255</v>
      </c>
      <c r="G79" s="66" t="s">
        <v>770</v>
      </c>
      <c r="H79" s="64" t="s">
        <v>1615</v>
      </c>
      <c r="I79" s="67" t="s">
        <v>3</v>
      </c>
      <c r="J79" s="97">
        <v>404205388</v>
      </c>
      <c r="K79" s="66"/>
      <c r="L79" s="68" t="s">
        <v>1616</v>
      </c>
      <c r="M79" s="69">
        <v>348.18</v>
      </c>
      <c r="N79" s="69">
        <v>348.18</v>
      </c>
      <c r="O79" s="70">
        <f>IF(registreGarantie[[#This Row],[date paiement]]="","",registreGarantie[[#This Row],[Pièces 
Demandés]]-registreGarantie[[#This Row],[Pièces 
Remboursés]])</f>
        <v>0</v>
      </c>
      <c r="P79" s="69">
        <v>153.75</v>
      </c>
      <c r="Q79" s="69">
        <v>153.75</v>
      </c>
      <c r="R79" s="70">
        <f>IF(registreGarantie[[#This Row],[date paiement]]="","",registreGarantie[[#This Row],[MO
Demandé]]-registreGarantie[[#This Row],[MO
Remboursé]])</f>
        <v>0</v>
      </c>
      <c r="S79" s="69">
        <v>150</v>
      </c>
      <c r="T79" s="70">
        <f>IF(registreGarantie[[#This Row],[date paiement]]="","",registreGarantie[[#This Row],[MO
Refusé]]+registreGarantie[[#This Row],[Pièces
Refusés]])</f>
        <v>0</v>
      </c>
      <c r="U79" s="106">
        <v>45478</v>
      </c>
      <c r="V79" s="71">
        <f>IF(registreGarantie[[#This Row],[Pièces 
Demandés]]="","",registreGarantie[[#This Row],[Date]])</f>
        <v>45414</v>
      </c>
      <c r="W79" s="103">
        <f>IF(registreGarantie[[#This Row],[Pièces 
Demandés]]="","",IF(registreGarantie[[#This Row],[date paiement]]="","",registreGarantie[[#This Row],[date paiement]]+91))</f>
        <v>45569</v>
      </c>
      <c r="X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79" s="74">
        <f ca="1">IF(registreGarantie[[#This Row],[Colonne1]]=0,"",IF(TODAY()&gt;registreGarantie[[#This Row],[Date rebus]],0,1))</f>
        <v>0</v>
      </c>
      <c r="Z79" s="66"/>
      <c r="AA79" s="73" t="str">
        <f>IF(AND(registreGarantie[[#This Row],[Montant non remboursé]]&gt;1,registreGarantie[[#This Row],[Montant non remboursé]]&lt;&gt;""),1,"")</f>
        <v/>
      </c>
      <c r="AB79" s="66">
        <v>1</v>
      </c>
      <c r="AC79" s="66" t="s">
        <v>1617</v>
      </c>
      <c r="AD79" s="87">
        <f t="shared" si="1"/>
        <v>79</v>
      </c>
      <c r="AE79" s="109"/>
    </row>
    <row r="80" spans="1:31" ht="18" customHeight="1" thickBot="1" x14ac:dyDescent="0.4">
      <c r="A80" s="64">
        <v>44784</v>
      </c>
      <c r="B80" s="64">
        <v>42680</v>
      </c>
      <c r="C80" s="106">
        <v>45414</v>
      </c>
      <c r="D80" s="66" t="s">
        <v>1302</v>
      </c>
      <c r="E80" s="66" t="s">
        <v>1613</v>
      </c>
      <c r="F80" s="68" t="s">
        <v>2255</v>
      </c>
      <c r="G80" s="66" t="s">
        <v>1618</v>
      </c>
      <c r="H80" s="64" t="s">
        <v>1615</v>
      </c>
      <c r="I80" s="67" t="s">
        <v>3</v>
      </c>
      <c r="J80" s="97">
        <v>404205466</v>
      </c>
      <c r="K80" s="66"/>
      <c r="L80" s="68"/>
      <c r="M80" s="69">
        <v>540.4</v>
      </c>
      <c r="N80" s="69">
        <v>540.4</v>
      </c>
      <c r="O80" s="70">
        <f>IF(registreGarantie[[#This Row],[date paiement]]="","",registreGarantie[[#This Row],[Pièces 
Demandés]]-registreGarantie[[#This Row],[Pièces 
Remboursés]])</f>
        <v>0</v>
      </c>
      <c r="P80" s="69">
        <v>1306.8800000000001</v>
      </c>
      <c r="Q80" s="69">
        <v>1306.8800000000001</v>
      </c>
      <c r="R80" s="70">
        <f>IF(registreGarantie[[#This Row],[date paiement]]="","",registreGarantie[[#This Row],[MO
Demandé]]-registreGarantie[[#This Row],[MO
Remboursé]])</f>
        <v>0</v>
      </c>
      <c r="S80" s="69">
        <v>150</v>
      </c>
      <c r="T80" s="70">
        <f>IF(registreGarantie[[#This Row],[date paiement]]="","",registreGarantie[[#This Row],[MO
Refusé]]+registreGarantie[[#This Row],[Pièces
Refusés]])</f>
        <v>0</v>
      </c>
      <c r="U80" s="106">
        <v>45478</v>
      </c>
      <c r="V80" s="71">
        <f>IF(registreGarantie[[#This Row],[Pièces 
Demandés]]="","",registreGarantie[[#This Row],[Date]])</f>
        <v>45414</v>
      </c>
      <c r="W80" s="103">
        <f>IF(registreGarantie[[#This Row],[Pièces 
Demandés]]="","",IF(registreGarantie[[#This Row],[date paiement]]="","",registreGarantie[[#This Row],[date paiement]]+91))</f>
        <v>45569</v>
      </c>
      <c r="X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0" s="74">
        <f ca="1">IF(registreGarantie[[#This Row],[Colonne1]]=0,"",IF(TODAY()&gt;registreGarantie[[#This Row],[Date rebus]],0,1))</f>
        <v>0</v>
      </c>
      <c r="Z80" s="66"/>
      <c r="AA80" s="73" t="str">
        <f>IF(AND(registreGarantie[[#This Row],[Montant non remboursé]]&gt;1,registreGarantie[[#This Row],[Montant non remboursé]]&lt;&gt;""),1,"")</f>
        <v/>
      </c>
      <c r="AB80" s="66">
        <v>1</v>
      </c>
      <c r="AC80" s="66" t="s">
        <v>1617</v>
      </c>
      <c r="AD80" s="87">
        <f t="shared" si="1"/>
        <v>80</v>
      </c>
      <c r="AE80" s="109"/>
    </row>
    <row r="81" spans="1:31" ht="18" customHeight="1" thickBot="1" x14ac:dyDescent="0.4">
      <c r="A81" s="64">
        <v>44785</v>
      </c>
      <c r="B81" s="64">
        <v>42713</v>
      </c>
      <c r="C81" s="106">
        <v>45414</v>
      </c>
      <c r="D81" s="66" t="s">
        <v>1302</v>
      </c>
      <c r="E81" s="66" t="s">
        <v>1613</v>
      </c>
      <c r="F81" s="68" t="s">
        <v>2255</v>
      </c>
      <c r="G81" s="66" t="s">
        <v>1619</v>
      </c>
      <c r="H81" s="64" t="s">
        <v>1615</v>
      </c>
      <c r="I81" s="67" t="s">
        <v>3</v>
      </c>
      <c r="J81" s="97">
        <v>404212342</v>
      </c>
      <c r="K81" s="66"/>
      <c r="L81" s="68"/>
      <c r="M81" s="69">
        <v>51.35</v>
      </c>
      <c r="N81" s="69">
        <v>51.35</v>
      </c>
      <c r="O81" s="70">
        <f>IF(registreGarantie[[#This Row],[date paiement]]="","",registreGarantie[[#This Row],[Pièces 
Demandés]]-registreGarantie[[#This Row],[Pièces 
Remboursés]])</f>
        <v>0</v>
      </c>
      <c r="P81" s="69">
        <v>61.5</v>
      </c>
      <c r="Q81" s="69">
        <v>61.5</v>
      </c>
      <c r="R81" s="70">
        <f>IF(registreGarantie[[#This Row],[date paiement]]="","",registreGarantie[[#This Row],[MO
Demandé]]-registreGarantie[[#This Row],[MO
Remboursé]])</f>
        <v>0</v>
      </c>
      <c r="S81" s="69" t="s">
        <v>2256</v>
      </c>
      <c r="T81" s="70">
        <f>IF(registreGarantie[[#This Row],[date paiement]]="","",registreGarantie[[#This Row],[MO
Refusé]]+registreGarantie[[#This Row],[Pièces
Refusés]])</f>
        <v>0</v>
      </c>
      <c r="U81" s="106">
        <v>45433</v>
      </c>
      <c r="V81" s="71">
        <f>IF(registreGarantie[[#This Row],[Pièces 
Demandés]]="","",registreGarantie[[#This Row],[Date]])</f>
        <v>45414</v>
      </c>
      <c r="W81" s="103">
        <f>IF(registreGarantie[[#This Row],[Pièces 
Demandés]]="","",IF(registreGarantie[[#This Row],[date paiement]]="","",registreGarantie[[#This Row],[date paiement]]+91))</f>
        <v>45524</v>
      </c>
      <c r="X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1" s="74">
        <f ca="1">IF(registreGarantie[[#This Row],[Colonne1]]=0,"",IF(TODAY()&gt;registreGarantie[[#This Row],[Date rebus]],0,1))</f>
        <v>0</v>
      </c>
      <c r="Z81" s="66"/>
      <c r="AA81" s="73" t="str">
        <f>IF(AND(registreGarantie[[#This Row],[Montant non remboursé]]&gt;1,registreGarantie[[#This Row],[Montant non remboursé]]&lt;&gt;""),1,"")</f>
        <v/>
      </c>
      <c r="AB81" s="66"/>
      <c r="AC81" s="66"/>
      <c r="AD81" s="87">
        <f t="shared" si="1"/>
        <v>81</v>
      </c>
      <c r="AE81" s="109"/>
    </row>
    <row r="82" spans="1:31" ht="18" customHeight="1" thickBot="1" x14ac:dyDescent="0.4">
      <c r="A82" s="64">
        <v>44786</v>
      </c>
      <c r="B82" s="64">
        <v>42714</v>
      </c>
      <c r="C82" s="106">
        <v>45422</v>
      </c>
      <c r="D82" s="66" t="s">
        <v>1302</v>
      </c>
      <c r="E82" s="66" t="s">
        <v>1613</v>
      </c>
      <c r="F82" s="68" t="s">
        <v>2255</v>
      </c>
      <c r="G82" s="66" t="s">
        <v>1620</v>
      </c>
      <c r="H82" s="64">
        <v>2374</v>
      </c>
      <c r="I82" s="67" t="s">
        <v>3</v>
      </c>
      <c r="J82" s="97">
        <v>404212420</v>
      </c>
      <c r="K82" s="66"/>
      <c r="L82" s="68"/>
      <c r="M82" s="69">
        <v>104.98</v>
      </c>
      <c r="N82" s="69">
        <v>104.98</v>
      </c>
      <c r="O82" s="70">
        <f>IF(registreGarantie[[#This Row],[date paiement]]="","",registreGarantie[[#This Row],[Pièces 
Demandés]]-registreGarantie[[#This Row],[Pièces 
Remboursés]])</f>
        <v>0</v>
      </c>
      <c r="P82" s="69">
        <v>15.38</v>
      </c>
      <c r="Q82" s="69">
        <v>15.38</v>
      </c>
      <c r="R82" s="70">
        <f>IF(registreGarantie[[#This Row],[date paiement]]="","",registreGarantie[[#This Row],[MO
Demandé]]-registreGarantie[[#This Row],[MO
Remboursé]])</f>
        <v>0</v>
      </c>
      <c r="S82" s="69" t="s">
        <v>2257</v>
      </c>
      <c r="T82" s="70">
        <f>IF(registreGarantie[[#This Row],[date paiement]]="","",registreGarantie[[#This Row],[MO
Refusé]]+registreGarantie[[#This Row],[Pièces
Refusés]])</f>
        <v>0</v>
      </c>
      <c r="U82" s="106">
        <v>45464</v>
      </c>
      <c r="V82" s="71">
        <f>IF(registreGarantie[[#This Row],[Pièces 
Demandés]]="","",registreGarantie[[#This Row],[Date]])</f>
        <v>45422</v>
      </c>
      <c r="W82" s="103">
        <f>IF(registreGarantie[[#This Row],[Pièces 
Demandés]]="","",IF(registreGarantie[[#This Row],[date paiement]]="","",registreGarantie[[#This Row],[date paiement]]+91))</f>
        <v>45555</v>
      </c>
      <c r="X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2" s="74">
        <f ca="1">IF(registreGarantie[[#This Row],[Colonne1]]=0,"",IF(TODAY()&gt;registreGarantie[[#This Row],[Date rebus]],0,1))</f>
        <v>0</v>
      </c>
      <c r="Z82" s="66"/>
      <c r="AA82" s="73" t="str">
        <f>IF(AND(registreGarantie[[#This Row],[Montant non remboursé]]&gt;1,registreGarantie[[#This Row],[Montant non remboursé]]&lt;&gt;""),1,"")</f>
        <v/>
      </c>
      <c r="AB82" s="66"/>
      <c r="AC82" s="66"/>
      <c r="AD82" s="87">
        <f t="shared" si="1"/>
        <v>82</v>
      </c>
      <c r="AE82" s="109"/>
    </row>
    <row r="83" spans="1:31" ht="18" customHeight="1" thickBot="1" x14ac:dyDescent="0.4">
      <c r="A83" s="64">
        <v>44787</v>
      </c>
      <c r="B83" s="64">
        <v>5739</v>
      </c>
      <c r="C83" s="106">
        <v>45415</v>
      </c>
      <c r="D83" s="66" t="s">
        <v>611</v>
      </c>
      <c r="E83" s="66" t="s">
        <v>331</v>
      </c>
      <c r="F83" s="68" t="s">
        <v>2260</v>
      </c>
      <c r="G83" s="66" t="s">
        <v>1621</v>
      </c>
      <c r="H83" s="64">
        <v>4539</v>
      </c>
      <c r="I83" s="67" t="s">
        <v>20</v>
      </c>
      <c r="J83" s="97">
        <v>404204639</v>
      </c>
      <c r="K83" s="66"/>
      <c r="L83" s="68"/>
      <c r="M83" s="69"/>
      <c r="N83" s="69"/>
      <c r="O83" s="70" t="str">
        <f>IF(registreGarantie[[#This Row],[date paiement]]="","",registreGarantie[[#This Row],[Pièces 
Demandés]]-registreGarantie[[#This Row],[Pièces 
Remboursés]])</f>
        <v/>
      </c>
      <c r="P83" s="69"/>
      <c r="Q83" s="69"/>
      <c r="R83" s="70" t="str">
        <f>IF(registreGarantie[[#This Row],[date paiement]]="","",registreGarantie[[#This Row],[MO
Demandé]]-registreGarantie[[#This Row],[MO
Remboursé]])</f>
        <v/>
      </c>
      <c r="S83" s="69"/>
      <c r="T83" s="70" t="str">
        <f>IF(registreGarantie[[#This Row],[date paiement]]="","",registreGarantie[[#This Row],[MO
Refusé]]+registreGarantie[[#This Row],[Pièces
Refusés]])</f>
        <v/>
      </c>
      <c r="U83" s="106"/>
      <c r="V83" s="71" t="str">
        <f>IF(registreGarantie[[#This Row],[Pièces 
Demandés]]="","",registreGarantie[[#This Row],[Date]])</f>
        <v/>
      </c>
      <c r="W83" s="103" t="str">
        <f>IF(registreGarantie[[#This Row],[Pièces 
Demandés]]="","",IF(registreGarantie[[#This Row],[date paiement]]="","",registreGarantie[[#This Row],[date paiement]]+91))</f>
        <v/>
      </c>
      <c r="X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83" s="74" t="str">
        <f ca="1">IF(registreGarantie[[#This Row],[Colonne1]]=0,"",IF(TODAY()&gt;registreGarantie[[#This Row],[Date rebus]],0,1))</f>
        <v/>
      </c>
      <c r="Z83" s="66"/>
      <c r="AA83" s="73" t="str">
        <f>IF(AND(registreGarantie[[#This Row],[Montant non remboursé]]&gt;1,registreGarantie[[#This Row],[Montant non remboursé]]&lt;&gt;""),1,"")</f>
        <v/>
      </c>
      <c r="AB83" s="66"/>
      <c r="AC83" s="66"/>
      <c r="AD83" s="87">
        <f t="shared" si="1"/>
        <v>83</v>
      </c>
      <c r="AE83" s="109"/>
    </row>
    <row r="84" spans="1:31" ht="18" customHeight="1" thickBot="1" x14ac:dyDescent="0.4">
      <c r="A84" s="64">
        <v>44787</v>
      </c>
      <c r="B84" s="64">
        <v>5739</v>
      </c>
      <c r="C84" s="106">
        <v>45538</v>
      </c>
      <c r="D84" s="66" t="s">
        <v>611</v>
      </c>
      <c r="E84" s="66" t="s">
        <v>331</v>
      </c>
      <c r="F84" s="68" t="s">
        <v>2260</v>
      </c>
      <c r="G84" s="66" t="s">
        <v>1621</v>
      </c>
      <c r="H84" s="64">
        <v>4539</v>
      </c>
      <c r="I84" s="67" t="s">
        <v>20</v>
      </c>
      <c r="J84" s="97">
        <v>404204639</v>
      </c>
      <c r="K84" s="66"/>
      <c r="L84" s="68"/>
      <c r="M84" s="69"/>
      <c r="N84" s="69"/>
      <c r="O84" s="70" t="str">
        <f>IF(registreGarantie[[#This Row],[date paiement]]="","",registreGarantie[[#This Row],[Pièces 
Demandés]]-registreGarantie[[#This Row],[Pièces 
Remboursés]])</f>
        <v/>
      </c>
      <c r="P84" s="69"/>
      <c r="Q84" s="69"/>
      <c r="R84" s="70" t="str">
        <f>IF(registreGarantie[[#This Row],[date paiement]]="","",registreGarantie[[#This Row],[MO
Demandé]]-registreGarantie[[#This Row],[MO
Remboursé]])</f>
        <v/>
      </c>
      <c r="S84" s="69"/>
      <c r="T84" s="70" t="str">
        <f>IF(registreGarantie[[#This Row],[date paiement]]="","",registreGarantie[[#This Row],[MO
Refusé]]+registreGarantie[[#This Row],[Pièces
Refusés]])</f>
        <v/>
      </c>
      <c r="U84" s="106"/>
      <c r="V84" s="71" t="str">
        <f>IF(registreGarantie[[#This Row],[Pièces 
Demandés]]="","",registreGarantie[[#This Row],[Date]])</f>
        <v/>
      </c>
      <c r="W84" s="103" t="str">
        <f>IF(registreGarantie[[#This Row],[Pièces 
Demandés]]="","",IF(registreGarantie[[#This Row],[date paiement]]="","",registreGarantie[[#This Row],[date paiement]]+91))</f>
        <v/>
      </c>
      <c r="X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84" s="74" t="str">
        <f ca="1">IF(registreGarantie[[#This Row],[Colonne1]]=0,"",IF(TODAY()&gt;registreGarantie[[#This Row],[Date rebus]],0,1))</f>
        <v/>
      </c>
      <c r="Z84" s="66"/>
      <c r="AA84" s="73" t="str">
        <f>IF(AND(registreGarantie[[#This Row],[Montant non remboursé]]&gt;1,registreGarantie[[#This Row],[Montant non remboursé]]&lt;&gt;""),1,"")</f>
        <v/>
      </c>
      <c r="AB84" s="66"/>
      <c r="AC84" s="66"/>
      <c r="AD84" s="87">
        <f t="shared" si="1"/>
        <v>84</v>
      </c>
      <c r="AE84" s="109"/>
    </row>
    <row r="85" spans="1:31" ht="18" customHeight="1" thickBot="1" x14ac:dyDescent="0.4">
      <c r="A85" s="64">
        <v>44788</v>
      </c>
      <c r="B85" s="64">
        <v>42715</v>
      </c>
      <c r="C85" s="106">
        <v>45415</v>
      </c>
      <c r="D85" s="66" t="s">
        <v>1302</v>
      </c>
      <c r="E85" s="66" t="s">
        <v>1613</v>
      </c>
      <c r="F85" s="68" t="s">
        <v>2255</v>
      </c>
      <c r="G85" s="66" t="s">
        <v>1406</v>
      </c>
      <c r="H85" s="64" t="s">
        <v>1622</v>
      </c>
      <c r="I85" s="67" t="s">
        <v>3</v>
      </c>
      <c r="J85" s="97">
        <v>404212461</v>
      </c>
      <c r="K85" s="66"/>
      <c r="L85" s="68"/>
      <c r="M85" s="69">
        <v>24.35</v>
      </c>
      <c r="N85" s="69">
        <v>24.35</v>
      </c>
      <c r="O85" s="70">
        <f>IF(registreGarantie[[#This Row],[date paiement]]="","",registreGarantie[[#This Row],[Pièces 
Demandés]]-registreGarantie[[#This Row],[Pièces 
Remboursés]])</f>
        <v>0</v>
      </c>
      <c r="P85" s="69">
        <v>15.38</v>
      </c>
      <c r="Q85" s="69">
        <v>15.38</v>
      </c>
      <c r="R85" s="70">
        <f>IF(registreGarantie[[#This Row],[date paiement]]="","",registreGarantie[[#This Row],[MO
Demandé]]-registreGarantie[[#This Row],[MO
Remboursé]])</f>
        <v>0</v>
      </c>
      <c r="S85" s="69"/>
      <c r="T85" s="70">
        <f>IF(registreGarantie[[#This Row],[date paiement]]="","",registreGarantie[[#This Row],[MO
Refusé]]+registreGarantie[[#This Row],[Pièces
Refusés]])</f>
        <v>0</v>
      </c>
      <c r="U85" s="106">
        <v>45433</v>
      </c>
      <c r="V85" s="71">
        <f>IF(registreGarantie[[#This Row],[Pièces 
Demandés]]="","",registreGarantie[[#This Row],[Date]])</f>
        <v>45415</v>
      </c>
      <c r="W85" s="103">
        <f>IF(registreGarantie[[#This Row],[Pièces 
Demandés]]="","",IF(registreGarantie[[#This Row],[date paiement]]="","",registreGarantie[[#This Row],[date paiement]]+91))</f>
        <v>45524</v>
      </c>
      <c r="X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5" s="74">
        <f ca="1">IF(registreGarantie[[#This Row],[Colonne1]]=0,"",IF(TODAY()&gt;registreGarantie[[#This Row],[Date rebus]],0,1))</f>
        <v>0</v>
      </c>
      <c r="Z85" s="66"/>
      <c r="AA85" s="73" t="str">
        <f>IF(AND(registreGarantie[[#This Row],[Montant non remboursé]]&gt;1,registreGarantie[[#This Row],[Montant non remboursé]]&lt;&gt;""),1,"")</f>
        <v/>
      </c>
      <c r="AB85" s="66"/>
      <c r="AC85" s="66"/>
      <c r="AD85" s="87">
        <f t="shared" si="1"/>
        <v>85</v>
      </c>
      <c r="AE85" s="109"/>
    </row>
    <row r="86" spans="1:31" ht="18" customHeight="1" thickBot="1" x14ac:dyDescent="0.4">
      <c r="A86" s="64">
        <v>44791</v>
      </c>
      <c r="B86" s="64">
        <v>5797</v>
      </c>
      <c r="C86" s="106">
        <v>45419</v>
      </c>
      <c r="D86" s="66" t="s">
        <v>41</v>
      </c>
      <c r="E86" s="66" t="s">
        <v>45</v>
      </c>
      <c r="F86" s="68" t="s">
        <v>2259</v>
      </c>
      <c r="G86" s="66" t="s">
        <v>1623</v>
      </c>
      <c r="H86" s="64" t="s">
        <v>1624</v>
      </c>
      <c r="I86" s="67" t="s">
        <v>2</v>
      </c>
      <c r="J86" s="97">
        <v>404209021</v>
      </c>
      <c r="K86" s="66"/>
      <c r="L86" s="68"/>
      <c r="M86" s="69">
        <v>3</v>
      </c>
      <c r="N86" s="69">
        <v>3</v>
      </c>
      <c r="O86" s="70">
        <f>IF(registreGarantie[[#This Row],[date paiement]]="","",registreGarantie[[#This Row],[Pièces 
Demandés]]-registreGarantie[[#This Row],[Pièces 
Remboursés]])</f>
        <v>0</v>
      </c>
      <c r="P86" s="69">
        <v>61.5</v>
      </c>
      <c r="Q86" s="69">
        <v>61.5</v>
      </c>
      <c r="R86" s="70">
        <f>IF(registreGarantie[[#This Row],[date paiement]]="","",registreGarantie[[#This Row],[MO
Demandé]]-registreGarantie[[#This Row],[MO
Remboursé]])</f>
        <v>0</v>
      </c>
      <c r="S86" s="69"/>
      <c r="T86" s="70">
        <f>IF(registreGarantie[[#This Row],[date paiement]]="","",registreGarantie[[#This Row],[MO
Refusé]]+registreGarantie[[#This Row],[Pièces
Refusés]])</f>
        <v>0</v>
      </c>
      <c r="U86" s="106">
        <v>45433</v>
      </c>
      <c r="V86" s="71">
        <f>IF(registreGarantie[[#This Row],[Pièces 
Demandés]]="","",registreGarantie[[#This Row],[Date]])</f>
        <v>45419</v>
      </c>
      <c r="W86" s="103">
        <f>IF(registreGarantie[[#This Row],[Pièces 
Demandés]]="","",IF(registreGarantie[[#This Row],[date paiement]]="","",registreGarantie[[#This Row],[date paiement]]+91))</f>
        <v>45524</v>
      </c>
      <c r="X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6" s="74">
        <f ca="1">IF(registreGarantie[[#This Row],[Colonne1]]=0,"",IF(TODAY()&gt;registreGarantie[[#This Row],[Date rebus]],0,1))</f>
        <v>0</v>
      </c>
      <c r="Z86" s="66"/>
      <c r="AA86" s="73" t="str">
        <f>IF(AND(registreGarantie[[#This Row],[Montant non remboursé]]&gt;1,registreGarantie[[#This Row],[Montant non remboursé]]&lt;&gt;""),1,"")</f>
        <v/>
      </c>
      <c r="AB86" s="66"/>
      <c r="AC86" s="66"/>
      <c r="AD86" s="87">
        <f t="shared" si="1"/>
        <v>86</v>
      </c>
      <c r="AE86" s="109"/>
    </row>
    <row r="87" spans="1:31" ht="18" customHeight="1" thickBot="1" x14ac:dyDescent="0.4">
      <c r="A87" s="64">
        <v>44792</v>
      </c>
      <c r="B87" s="64">
        <v>42682</v>
      </c>
      <c r="C87" s="106">
        <v>45422</v>
      </c>
      <c r="D87" s="66" t="s">
        <v>74</v>
      </c>
      <c r="E87" s="66" t="s">
        <v>367</v>
      </c>
      <c r="F87" s="68" t="s">
        <v>2253</v>
      </c>
      <c r="G87" s="66" t="s">
        <v>1625</v>
      </c>
      <c r="H87" s="64" t="s">
        <v>1626</v>
      </c>
      <c r="I87" s="67" t="s">
        <v>2</v>
      </c>
      <c r="J87" s="97">
        <v>404212314</v>
      </c>
      <c r="K87" s="66"/>
      <c r="L87" s="68"/>
      <c r="M87" s="69">
        <v>279.57</v>
      </c>
      <c r="N87" s="69">
        <v>279.57</v>
      </c>
      <c r="O87" s="70">
        <f>IF(registreGarantie[[#This Row],[date paiement]]="","",registreGarantie[[#This Row],[Pièces 
Demandés]]-registreGarantie[[#This Row],[Pièces 
Remboursés]])</f>
        <v>0</v>
      </c>
      <c r="P87" s="69">
        <v>61.5</v>
      </c>
      <c r="Q87" s="69">
        <v>61.5</v>
      </c>
      <c r="R87" s="70">
        <f>IF(registreGarantie[[#This Row],[date paiement]]="","",registreGarantie[[#This Row],[MO
Demandé]]-registreGarantie[[#This Row],[MO
Remboursé]])</f>
        <v>0</v>
      </c>
      <c r="S87" s="69"/>
      <c r="T87" s="70">
        <f>IF(registreGarantie[[#This Row],[date paiement]]="","",registreGarantie[[#This Row],[MO
Refusé]]+registreGarantie[[#This Row],[Pièces
Refusés]])</f>
        <v>0</v>
      </c>
      <c r="U87" s="106">
        <v>45504</v>
      </c>
      <c r="V87" s="71">
        <f>IF(registreGarantie[[#This Row],[Pièces 
Demandés]]="","",registreGarantie[[#This Row],[Date]])</f>
        <v>45422</v>
      </c>
      <c r="W87" s="103">
        <f>IF(registreGarantie[[#This Row],[Pièces 
Demandés]]="","",IF(registreGarantie[[#This Row],[date paiement]]="","",registreGarantie[[#This Row],[date paiement]]+91))</f>
        <v>45595</v>
      </c>
      <c r="X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7" s="74">
        <f ca="1">IF(registreGarantie[[#This Row],[Colonne1]]=0,"",IF(TODAY()&gt;registreGarantie[[#This Row],[Date rebus]],0,1))</f>
        <v>0</v>
      </c>
      <c r="Z87" s="66"/>
      <c r="AA87" s="73" t="str">
        <f>IF(AND(registreGarantie[[#This Row],[Montant non remboursé]]&gt;1,registreGarantie[[#This Row],[Montant non remboursé]]&lt;&gt;""),1,"")</f>
        <v/>
      </c>
      <c r="AB87" s="66"/>
      <c r="AC87" s="66"/>
      <c r="AD87" s="87">
        <f t="shared" si="1"/>
        <v>87</v>
      </c>
      <c r="AE87" s="109"/>
    </row>
    <row r="88" spans="1:31" ht="18" customHeight="1" thickBot="1" x14ac:dyDescent="0.4">
      <c r="A88" s="64">
        <v>44799</v>
      </c>
      <c r="B88" s="64">
        <v>42780</v>
      </c>
      <c r="C88" s="106">
        <v>45427</v>
      </c>
      <c r="D88" s="66" t="s">
        <v>1081</v>
      </c>
      <c r="E88" s="66" t="s">
        <v>718</v>
      </c>
      <c r="F88" s="68" t="s">
        <v>2307</v>
      </c>
      <c r="G88" s="66" t="s">
        <v>1627</v>
      </c>
      <c r="H88" s="64" t="s">
        <v>1628</v>
      </c>
      <c r="I88" s="67" t="s">
        <v>2</v>
      </c>
      <c r="J88" s="97">
        <v>404218359</v>
      </c>
      <c r="K88" s="66"/>
      <c r="L88" s="68"/>
      <c r="M88" s="69">
        <v>70.62</v>
      </c>
      <c r="N88" s="69">
        <v>30.73</v>
      </c>
      <c r="O88" s="70">
        <f>IF(registreGarantie[[#This Row],[date paiement]]="","",registreGarantie[[#This Row],[Pièces 
Demandés]]-registreGarantie[[#This Row],[Pièces 
Remboursés]])</f>
        <v>39.89</v>
      </c>
      <c r="P88" s="69">
        <v>153.75</v>
      </c>
      <c r="Q88" s="69">
        <v>153.75</v>
      </c>
      <c r="R88" s="70">
        <f>IF(registreGarantie[[#This Row],[date paiement]]="","",registreGarantie[[#This Row],[MO
Demandé]]-registreGarantie[[#This Row],[MO
Remboursé]])</f>
        <v>0</v>
      </c>
      <c r="S88" s="69"/>
      <c r="T88" s="70">
        <f>IF(registreGarantie[[#This Row],[date paiement]]="","",registreGarantie[[#This Row],[MO
Refusé]]+registreGarantie[[#This Row],[Pièces
Refusés]])</f>
        <v>39.89</v>
      </c>
      <c r="U88" s="106">
        <v>45433</v>
      </c>
      <c r="V88" s="71">
        <f>IF(registreGarantie[[#This Row],[Pièces 
Demandés]]="","",registreGarantie[[#This Row],[Date]])</f>
        <v>45427</v>
      </c>
      <c r="W88" s="103">
        <f>IF(registreGarantie[[#This Row],[Pièces 
Demandés]]="","",IF(registreGarantie[[#This Row],[date paiement]]="","",registreGarantie[[#This Row],[date paiement]]+91))</f>
        <v>45524</v>
      </c>
      <c r="X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8" s="74">
        <f ca="1">IF(registreGarantie[[#This Row],[Colonne1]]=0,"",IF(TODAY()&gt;registreGarantie[[#This Row],[Date rebus]],0,1))</f>
        <v>0</v>
      </c>
      <c r="Z88" s="66"/>
      <c r="AA88" s="73">
        <f>IF(AND(registreGarantie[[#This Row],[Montant non remboursé]]&gt;1,registreGarantie[[#This Row],[Montant non remboursé]]&lt;&gt;""),1,"")</f>
        <v>1</v>
      </c>
      <c r="AB88" s="66"/>
      <c r="AC88" s="66"/>
      <c r="AD88" s="87">
        <f t="shared" si="1"/>
        <v>88</v>
      </c>
      <c r="AE88" s="109"/>
    </row>
    <row r="89" spans="1:31" ht="18" customHeight="1" thickBot="1" x14ac:dyDescent="0.4">
      <c r="A89" s="64">
        <v>44800</v>
      </c>
      <c r="B89" s="64" t="s">
        <v>1629</v>
      </c>
      <c r="C89" s="106">
        <v>45427</v>
      </c>
      <c r="D89" s="66" t="s">
        <v>1630</v>
      </c>
      <c r="E89" s="66" t="s">
        <v>181</v>
      </c>
      <c r="F89" s="68" t="s">
        <v>2321</v>
      </c>
      <c r="G89" s="66" t="s">
        <v>1631</v>
      </c>
      <c r="H89" s="64">
        <v>3378</v>
      </c>
      <c r="I89" s="67" t="s">
        <v>17</v>
      </c>
      <c r="J89" s="97">
        <v>404218753</v>
      </c>
      <c r="K89" s="66"/>
      <c r="L89" s="68"/>
      <c r="M89" s="69">
        <v>7537.11</v>
      </c>
      <c r="N89" s="69">
        <v>7214.01</v>
      </c>
      <c r="O89" s="70">
        <f>IF(registreGarantie[[#This Row],[date paiement]]="","",registreGarantie[[#This Row],[Pièces 
Demandés]]-registreGarantie[[#This Row],[Pièces 
Remboursés]])</f>
        <v>323.09999999999945</v>
      </c>
      <c r="P89" s="69">
        <v>3936</v>
      </c>
      <c r="Q89" s="69">
        <v>3936</v>
      </c>
      <c r="R89" s="70">
        <f>IF(registreGarantie[[#This Row],[date paiement]]="","",registreGarantie[[#This Row],[MO
Demandé]]-registreGarantie[[#This Row],[MO
Remboursé]])</f>
        <v>0</v>
      </c>
      <c r="S89" s="69"/>
      <c r="T89" s="70">
        <f>IF(registreGarantie[[#This Row],[date paiement]]="","",registreGarantie[[#This Row],[MO
Refusé]]+registreGarantie[[#This Row],[Pièces
Refusés]])</f>
        <v>323.09999999999945</v>
      </c>
      <c r="U89" s="106">
        <v>45525</v>
      </c>
      <c r="V89" s="71">
        <f>IF(registreGarantie[[#This Row],[Pièces 
Demandés]]="","",registreGarantie[[#This Row],[Date]])</f>
        <v>45427</v>
      </c>
      <c r="W89" s="103">
        <f>IF(registreGarantie[[#This Row],[Pièces 
Demandés]]="","",IF(registreGarantie[[#This Row],[date paiement]]="","",registreGarantie[[#This Row],[date paiement]]+91))</f>
        <v>45616</v>
      </c>
      <c r="X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89" s="74">
        <f ca="1">IF(registreGarantie[[#This Row],[Colonne1]]=0,"",IF(TODAY()&gt;registreGarantie[[#This Row],[Date rebus]],0,1))</f>
        <v>0</v>
      </c>
      <c r="Z89" s="66" t="s">
        <v>1530</v>
      </c>
      <c r="AA89" s="73">
        <f>IF(AND(registreGarantie[[#This Row],[Montant non remboursé]]&gt;1,registreGarantie[[#This Row],[Montant non remboursé]]&lt;&gt;""),1,"")</f>
        <v>1</v>
      </c>
      <c r="AB89" s="66"/>
      <c r="AC89" s="66"/>
      <c r="AD89" s="87">
        <f t="shared" si="1"/>
        <v>89</v>
      </c>
      <c r="AE89" s="109"/>
    </row>
    <row r="90" spans="1:31" ht="18" customHeight="1" thickBot="1" x14ac:dyDescent="0.4">
      <c r="A90" s="64">
        <v>44801</v>
      </c>
      <c r="B90" s="64">
        <v>42774</v>
      </c>
      <c r="C90" s="106">
        <v>45427</v>
      </c>
      <c r="D90" s="66" t="s">
        <v>41</v>
      </c>
      <c r="E90" s="66" t="s">
        <v>181</v>
      </c>
      <c r="F90" s="68" t="s">
        <v>2269</v>
      </c>
      <c r="G90" s="66" t="s">
        <v>1632</v>
      </c>
      <c r="H90" s="64" t="s">
        <v>1633</v>
      </c>
      <c r="I90" s="67" t="s">
        <v>18</v>
      </c>
      <c r="J90" s="97">
        <v>404219191</v>
      </c>
      <c r="K90" s="66"/>
      <c r="L90" s="68"/>
      <c r="M90" s="69">
        <v>564.78</v>
      </c>
      <c r="N90" s="69">
        <v>564.78</v>
      </c>
      <c r="O90" s="70" t="str">
        <f>IF(registreGarantie[[#This Row],[date paiement]]="","",registreGarantie[[#This Row],[Pièces 
Demandés]]-registreGarantie[[#This Row],[Pièces 
Remboursés]])</f>
        <v/>
      </c>
      <c r="P90" s="69">
        <v>123</v>
      </c>
      <c r="Q90" s="69">
        <v>123</v>
      </c>
      <c r="R90" s="70" t="str">
        <f>IF(registreGarantie[[#This Row],[date paiement]]="","",registreGarantie[[#This Row],[MO
Demandé]]-registreGarantie[[#This Row],[MO
Remboursé]])</f>
        <v/>
      </c>
      <c r="S90" s="69"/>
      <c r="T90" s="70" t="str">
        <f>IF(registreGarantie[[#This Row],[date paiement]]="","",registreGarantie[[#This Row],[MO
Refusé]]+registreGarantie[[#This Row],[Pièces
Refusés]])</f>
        <v/>
      </c>
      <c r="U90" s="106"/>
      <c r="V90" s="71">
        <f>IF(registreGarantie[[#This Row],[Pièces 
Demandés]]="","",registreGarantie[[#This Row],[Date]])</f>
        <v>45427</v>
      </c>
      <c r="W90" s="103" t="str">
        <f>IF(registreGarantie[[#This Row],[Pièces 
Demandés]]="","",IF(registreGarantie[[#This Row],[date paiement]]="","",registreGarantie[[#This Row],[date paiement]]+91))</f>
        <v/>
      </c>
      <c r="X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0" s="74" t="str">
        <f ca="1">IF(registreGarantie[[#This Row],[Colonne1]]=0,"",IF(TODAY()&gt;registreGarantie[[#This Row],[Date rebus]],0,1))</f>
        <v/>
      </c>
      <c r="Z90" s="66"/>
      <c r="AA90" s="73" t="str">
        <f>IF(AND(registreGarantie[[#This Row],[Montant non remboursé]]&gt;1,registreGarantie[[#This Row],[Montant non remboursé]]&lt;&gt;""),1,"")</f>
        <v/>
      </c>
      <c r="AB90" s="66"/>
      <c r="AC90" s="66"/>
      <c r="AD90" s="87">
        <f t="shared" si="1"/>
        <v>90</v>
      </c>
      <c r="AE90" s="109"/>
    </row>
    <row r="91" spans="1:31" ht="18" customHeight="1" thickBot="1" x14ac:dyDescent="0.4">
      <c r="A91" s="64">
        <v>44801</v>
      </c>
      <c r="B91" s="64">
        <v>42774</v>
      </c>
      <c r="C91" s="106">
        <v>45427</v>
      </c>
      <c r="D91" s="66" t="s">
        <v>41</v>
      </c>
      <c r="E91" s="66" t="s">
        <v>181</v>
      </c>
      <c r="F91" s="68" t="s">
        <v>2269</v>
      </c>
      <c r="G91" s="66" t="s">
        <v>2270</v>
      </c>
      <c r="H91" s="64" t="s">
        <v>1633</v>
      </c>
      <c r="I91" s="67" t="s">
        <v>19</v>
      </c>
      <c r="J91" s="97">
        <v>404219307</v>
      </c>
      <c r="K91" s="66"/>
      <c r="L91" s="68"/>
      <c r="M91" s="69"/>
      <c r="N91" s="69"/>
      <c r="O91" s="70" t="str">
        <f>IF(registreGarantie[[#This Row],[date paiement]]="","",registreGarantie[[#This Row],[Pièces 
Demandés]]-registreGarantie[[#This Row],[Pièces 
Remboursés]])</f>
        <v/>
      </c>
      <c r="P91" s="69"/>
      <c r="Q91" s="69"/>
      <c r="R91" s="70" t="str">
        <f>IF(registreGarantie[[#This Row],[date paiement]]="","",registreGarantie[[#This Row],[MO
Demandé]]-registreGarantie[[#This Row],[MO
Remboursé]])</f>
        <v/>
      </c>
      <c r="S91" s="69"/>
      <c r="T91" s="70" t="str">
        <f>IF(registreGarantie[[#This Row],[date paiement]]="","",registreGarantie[[#This Row],[MO
Refusé]]+registreGarantie[[#This Row],[Pièces
Refusés]])</f>
        <v/>
      </c>
      <c r="U91" s="106"/>
      <c r="V91" s="71" t="str">
        <f>IF(registreGarantie[[#This Row],[Pièces 
Demandés]]="","",registreGarantie[[#This Row],[Date]])</f>
        <v/>
      </c>
      <c r="W91" s="103" t="str">
        <f>IF(registreGarantie[[#This Row],[Pièces 
Demandés]]="","",IF(registreGarantie[[#This Row],[date paiement]]="","",registreGarantie[[#This Row],[date paiement]]+91))</f>
        <v/>
      </c>
      <c r="X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1" s="74" t="str">
        <f ca="1">IF(registreGarantie[[#This Row],[Colonne1]]=0,"",IF(TODAY()&gt;registreGarantie[[#This Row],[Date rebus]],0,1))</f>
        <v/>
      </c>
      <c r="Z91" s="66"/>
      <c r="AA91" s="73" t="str">
        <f>IF(AND(registreGarantie[[#This Row],[Montant non remboursé]]&gt;1,registreGarantie[[#This Row],[Montant non remboursé]]&lt;&gt;""),1,"")</f>
        <v/>
      </c>
      <c r="AB91" s="66"/>
      <c r="AC91" s="66"/>
      <c r="AD91" s="87">
        <f t="shared" si="1"/>
        <v>91</v>
      </c>
      <c r="AE91" s="109"/>
    </row>
    <row r="92" spans="1:31" ht="18" customHeight="1" thickBot="1" x14ac:dyDescent="0.4">
      <c r="A92" s="64">
        <v>44802</v>
      </c>
      <c r="B92" s="64">
        <v>42610</v>
      </c>
      <c r="C92" s="106">
        <v>45428</v>
      </c>
      <c r="D92" s="66" t="s">
        <v>1634</v>
      </c>
      <c r="E92" s="66" t="s">
        <v>94</v>
      </c>
      <c r="F92" s="68" t="s">
        <v>2331</v>
      </c>
      <c r="G92" s="66" t="s">
        <v>1207</v>
      </c>
      <c r="H92" s="64" t="s">
        <v>1635</v>
      </c>
      <c r="I92" s="67" t="s">
        <v>18</v>
      </c>
      <c r="J92" s="97">
        <v>404220277</v>
      </c>
      <c r="K92" s="66"/>
      <c r="L92" s="68"/>
      <c r="M92" s="69">
        <v>686.4</v>
      </c>
      <c r="N92" s="69">
        <v>686.4</v>
      </c>
      <c r="O92" s="70" t="str">
        <f>IF(registreGarantie[[#This Row],[date paiement]]="","",registreGarantie[[#This Row],[Pièces 
Demandés]]-registreGarantie[[#This Row],[Pièces 
Remboursés]])</f>
        <v/>
      </c>
      <c r="P92" s="69">
        <v>369</v>
      </c>
      <c r="Q92" s="69">
        <v>369</v>
      </c>
      <c r="R92" s="70" t="str">
        <f>IF(registreGarantie[[#This Row],[date paiement]]="","",registreGarantie[[#This Row],[MO
Demandé]]-registreGarantie[[#This Row],[MO
Remboursé]])</f>
        <v/>
      </c>
      <c r="S92" s="69"/>
      <c r="T92" s="70" t="str">
        <f>IF(registreGarantie[[#This Row],[date paiement]]="","",registreGarantie[[#This Row],[MO
Refusé]]+registreGarantie[[#This Row],[Pièces
Refusés]])</f>
        <v/>
      </c>
      <c r="U92" s="106"/>
      <c r="V92" s="71">
        <f>IF(registreGarantie[[#This Row],[Pièces 
Demandés]]="","",registreGarantie[[#This Row],[Date]])</f>
        <v>45428</v>
      </c>
      <c r="W92" s="103" t="str">
        <f>IF(registreGarantie[[#This Row],[Pièces 
Demandés]]="","",IF(registreGarantie[[#This Row],[date paiement]]="","",registreGarantie[[#This Row],[date paiement]]+91))</f>
        <v/>
      </c>
      <c r="X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2" s="74" t="str">
        <f ca="1">IF(registreGarantie[[#This Row],[Colonne1]]=0,"",IF(TODAY()&gt;registreGarantie[[#This Row],[Date rebus]],0,1))</f>
        <v/>
      </c>
      <c r="Z92" s="66"/>
      <c r="AA92" s="73" t="str">
        <f>IF(AND(registreGarantie[[#This Row],[Montant non remboursé]]&gt;1,registreGarantie[[#This Row],[Montant non remboursé]]&lt;&gt;""),1,"")</f>
        <v/>
      </c>
      <c r="AB92" s="66"/>
      <c r="AC92" s="66"/>
      <c r="AD92" s="87">
        <f t="shared" si="1"/>
        <v>92</v>
      </c>
      <c r="AE92" s="109"/>
    </row>
    <row r="93" spans="1:31" ht="18" customHeight="1" thickBot="1" x14ac:dyDescent="0.4">
      <c r="A93" s="64">
        <v>44803</v>
      </c>
      <c r="B93" s="64">
        <v>42792</v>
      </c>
      <c r="C93" s="106">
        <v>45428</v>
      </c>
      <c r="D93" s="66" t="s">
        <v>516</v>
      </c>
      <c r="E93" s="66" t="s">
        <v>63</v>
      </c>
      <c r="F93" s="68" t="s">
        <v>2322</v>
      </c>
      <c r="G93" s="66" t="s">
        <v>1664</v>
      </c>
      <c r="H93" s="64" t="s">
        <v>1636</v>
      </c>
      <c r="I93" s="67" t="s">
        <v>18</v>
      </c>
      <c r="J93" s="97">
        <v>404220940</v>
      </c>
      <c r="K93" s="66"/>
      <c r="L93" s="68"/>
      <c r="M93" s="69">
        <v>480.5</v>
      </c>
      <c r="N93" s="69">
        <v>480.5</v>
      </c>
      <c r="O93" s="70" t="str">
        <f>IF(registreGarantie[[#This Row],[date paiement]]="","",registreGarantie[[#This Row],[Pièces 
Demandés]]-registreGarantie[[#This Row],[Pièces 
Remboursés]])</f>
        <v/>
      </c>
      <c r="P93" s="69">
        <v>246</v>
      </c>
      <c r="Q93" s="69">
        <v>246</v>
      </c>
      <c r="R93" s="70" t="str">
        <f>IF(registreGarantie[[#This Row],[date paiement]]="","",registreGarantie[[#This Row],[MO
Demandé]]-registreGarantie[[#This Row],[MO
Remboursé]])</f>
        <v/>
      </c>
      <c r="S93" s="69"/>
      <c r="T93" s="70" t="str">
        <f>IF(registreGarantie[[#This Row],[date paiement]]="","",registreGarantie[[#This Row],[MO
Refusé]]+registreGarantie[[#This Row],[Pièces
Refusés]])</f>
        <v/>
      </c>
      <c r="U93" s="106"/>
      <c r="V93" s="71">
        <f>IF(registreGarantie[[#This Row],[Pièces 
Demandés]]="","",registreGarantie[[#This Row],[Date]])</f>
        <v>45428</v>
      </c>
      <c r="W93" s="103" t="str">
        <f>IF(registreGarantie[[#This Row],[Pièces 
Demandés]]="","",IF(registreGarantie[[#This Row],[date paiement]]="","",registreGarantie[[#This Row],[date paiement]]+91))</f>
        <v/>
      </c>
      <c r="X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3" s="74" t="str">
        <f ca="1">IF(registreGarantie[[#This Row],[Colonne1]]=0,"",IF(TODAY()&gt;registreGarantie[[#This Row],[Date rebus]],0,1))</f>
        <v/>
      </c>
      <c r="Z93" s="66"/>
      <c r="AA93" s="73" t="str">
        <f>IF(AND(registreGarantie[[#This Row],[Montant non remboursé]]&gt;1,registreGarantie[[#This Row],[Montant non remboursé]]&lt;&gt;""),1,"")</f>
        <v/>
      </c>
      <c r="AB93" s="66"/>
      <c r="AC93" s="66"/>
      <c r="AD93" s="87">
        <f t="shared" si="1"/>
        <v>93</v>
      </c>
      <c r="AE93" s="109"/>
    </row>
    <row r="94" spans="1:31" ht="18" customHeight="1" thickBot="1" x14ac:dyDescent="0.4">
      <c r="A94" s="64">
        <v>44803</v>
      </c>
      <c r="B94" s="64">
        <v>42792</v>
      </c>
      <c r="C94" s="106">
        <v>45428</v>
      </c>
      <c r="D94" s="66" t="s">
        <v>516</v>
      </c>
      <c r="E94" s="66" t="s">
        <v>63</v>
      </c>
      <c r="F94" s="68" t="s">
        <v>2322</v>
      </c>
      <c r="G94" s="66" t="s">
        <v>1664</v>
      </c>
      <c r="H94" s="64" t="s">
        <v>1636</v>
      </c>
      <c r="I94" s="67" t="s">
        <v>19</v>
      </c>
      <c r="J94" s="97">
        <v>404220963</v>
      </c>
      <c r="K94" s="66"/>
      <c r="L94" s="68"/>
      <c r="M94" s="69"/>
      <c r="N94" s="69"/>
      <c r="O94" s="70" t="str">
        <f>IF(registreGarantie[[#This Row],[date paiement]]="","",registreGarantie[[#This Row],[Pièces 
Demandés]]-registreGarantie[[#This Row],[Pièces 
Remboursés]])</f>
        <v/>
      </c>
      <c r="P94" s="69"/>
      <c r="Q94" s="69"/>
      <c r="R94" s="70" t="str">
        <f>IF(registreGarantie[[#This Row],[date paiement]]="","",registreGarantie[[#This Row],[MO
Demandé]]-registreGarantie[[#This Row],[MO
Remboursé]])</f>
        <v/>
      </c>
      <c r="S94" s="69"/>
      <c r="T94" s="70" t="str">
        <f>IF(registreGarantie[[#This Row],[date paiement]]="","",registreGarantie[[#This Row],[MO
Refusé]]+registreGarantie[[#This Row],[Pièces
Refusés]])</f>
        <v/>
      </c>
      <c r="U94" s="106"/>
      <c r="V94" s="71" t="str">
        <f>IF(registreGarantie[[#This Row],[Pièces 
Demandés]]="","",registreGarantie[[#This Row],[Date]])</f>
        <v/>
      </c>
      <c r="W94" s="103" t="str">
        <f>IF(registreGarantie[[#This Row],[Pièces 
Demandés]]="","",IF(registreGarantie[[#This Row],[date paiement]]="","",registreGarantie[[#This Row],[date paiement]]+91))</f>
        <v/>
      </c>
      <c r="X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4" s="74" t="str">
        <f ca="1">IF(registreGarantie[[#This Row],[Colonne1]]=0,"",IF(TODAY()&gt;registreGarantie[[#This Row],[Date rebus]],0,1))</f>
        <v/>
      </c>
      <c r="Z94" s="66"/>
      <c r="AA94" s="73" t="str">
        <f>IF(AND(registreGarantie[[#This Row],[Montant non remboursé]]&gt;1,registreGarantie[[#This Row],[Montant non remboursé]]&lt;&gt;""),1,"")</f>
        <v/>
      </c>
      <c r="AB94" s="66"/>
      <c r="AC94" s="66"/>
      <c r="AD94" s="87">
        <f t="shared" si="1"/>
        <v>94</v>
      </c>
      <c r="AE94" s="109"/>
    </row>
    <row r="95" spans="1:31" ht="18" customHeight="1" thickBot="1" x14ac:dyDescent="0.4">
      <c r="A95" s="64">
        <v>44804</v>
      </c>
      <c r="B95" s="64">
        <v>42825</v>
      </c>
      <c r="C95" s="106">
        <v>45429</v>
      </c>
      <c r="D95" s="66" t="s">
        <v>56</v>
      </c>
      <c r="E95" s="66" t="s">
        <v>106</v>
      </c>
      <c r="F95" s="68" t="s">
        <v>2328</v>
      </c>
      <c r="G95" s="66" t="s">
        <v>534</v>
      </c>
      <c r="H95" s="64" t="s">
        <v>1637</v>
      </c>
      <c r="I95" s="67" t="s">
        <v>18</v>
      </c>
      <c r="J95" s="97">
        <v>404223037</v>
      </c>
      <c r="K95" s="66"/>
      <c r="L95" s="68"/>
      <c r="M95" s="69">
        <v>472.23</v>
      </c>
      <c r="N95" s="69">
        <v>472.23</v>
      </c>
      <c r="O95" s="70" t="str">
        <f>IF(registreGarantie[[#This Row],[date paiement]]="","",registreGarantie[[#This Row],[Pièces 
Demandés]]-registreGarantie[[#This Row],[Pièces 
Remboursés]])</f>
        <v/>
      </c>
      <c r="P95" s="69">
        <v>246</v>
      </c>
      <c r="Q95" s="69">
        <v>246</v>
      </c>
      <c r="R95" s="70" t="str">
        <f>IF(registreGarantie[[#This Row],[date paiement]]="","",registreGarantie[[#This Row],[MO
Demandé]]-registreGarantie[[#This Row],[MO
Remboursé]])</f>
        <v/>
      </c>
      <c r="S95" s="69"/>
      <c r="T95" s="70" t="str">
        <f>IF(registreGarantie[[#This Row],[date paiement]]="","",registreGarantie[[#This Row],[MO
Refusé]]+registreGarantie[[#This Row],[Pièces
Refusés]])</f>
        <v/>
      </c>
      <c r="U95" s="106"/>
      <c r="V95" s="71">
        <f>IF(registreGarantie[[#This Row],[Pièces 
Demandés]]="","",registreGarantie[[#This Row],[Date]])</f>
        <v>45429</v>
      </c>
      <c r="W95" s="103" t="str">
        <f>IF(registreGarantie[[#This Row],[Pièces 
Demandés]]="","",IF(registreGarantie[[#This Row],[date paiement]]="","",registreGarantie[[#This Row],[date paiement]]+91))</f>
        <v/>
      </c>
      <c r="X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5" s="74" t="str">
        <f ca="1">IF(registreGarantie[[#This Row],[Colonne1]]=0,"",IF(TODAY()&gt;registreGarantie[[#This Row],[Date rebus]],0,1))</f>
        <v/>
      </c>
      <c r="Z95" s="66"/>
      <c r="AA95" s="73" t="str">
        <f>IF(AND(registreGarantie[[#This Row],[Montant non remboursé]]&gt;1,registreGarantie[[#This Row],[Montant non remboursé]]&lt;&gt;""),1,"")</f>
        <v/>
      </c>
      <c r="AB95" s="66"/>
      <c r="AC95" s="66"/>
      <c r="AD95" s="87">
        <f t="shared" si="1"/>
        <v>95</v>
      </c>
      <c r="AE95" s="109"/>
    </row>
    <row r="96" spans="1:31" ht="18" customHeight="1" thickBot="1" x14ac:dyDescent="0.4">
      <c r="A96" s="64">
        <v>44804</v>
      </c>
      <c r="B96" s="64">
        <v>42825</v>
      </c>
      <c r="C96" s="106">
        <v>45429</v>
      </c>
      <c r="D96" s="66" t="s">
        <v>56</v>
      </c>
      <c r="E96" s="66" t="s">
        <v>106</v>
      </c>
      <c r="F96" s="68" t="s">
        <v>2328</v>
      </c>
      <c r="G96" s="66" t="s">
        <v>534</v>
      </c>
      <c r="H96" s="64" t="s">
        <v>1638</v>
      </c>
      <c r="I96" s="67" t="s">
        <v>19</v>
      </c>
      <c r="J96" s="97">
        <v>404223071</v>
      </c>
      <c r="K96" s="66"/>
      <c r="L96" s="68"/>
      <c r="M96" s="69"/>
      <c r="N96" s="69"/>
      <c r="O96" s="70" t="str">
        <f>IF(registreGarantie[[#This Row],[date paiement]]="","",registreGarantie[[#This Row],[Pièces 
Demandés]]-registreGarantie[[#This Row],[Pièces 
Remboursés]])</f>
        <v/>
      </c>
      <c r="P96" s="69"/>
      <c r="Q96" s="69"/>
      <c r="R96" s="70" t="str">
        <f>IF(registreGarantie[[#This Row],[date paiement]]="","",registreGarantie[[#This Row],[MO
Demandé]]-registreGarantie[[#This Row],[MO
Remboursé]])</f>
        <v/>
      </c>
      <c r="S96" s="69"/>
      <c r="T96" s="70" t="str">
        <f>IF(registreGarantie[[#This Row],[date paiement]]="","",registreGarantie[[#This Row],[MO
Refusé]]+registreGarantie[[#This Row],[Pièces
Refusés]])</f>
        <v/>
      </c>
      <c r="U96" s="106"/>
      <c r="V96" s="71" t="str">
        <f>IF(registreGarantie[[#This Row],[Pièces 
Demandés]]="","",registreGarantie[[#This Row],[Date]])</f>
        <v/>
      </c>
      <c r="W96" s="103" t="str">
        <f>IF(registreGarantie[[#This Row],[Pièces 
Demandés]]="","",IF(registreGarantie[[#This Row],[date paiement]]="","",registreGarantie[[#This Row],[date paiement]]+91))</f>
        <v/>
      </c>
      <c r="X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6" s="74" t="str">
        <f ca="1">IF(registreGarantie[[#This Row],[Colonne1]]=0,"",IF(TODAY()&gt;registreGarantie[[#This Row],[Date rebus]],0,1))</f>
        <v/>
      </c>
      <c r="Z96" s="66"/>
      <c r="AA96" s="73" t="str">
        <f>IF(AND(registreGarantie[[#This Row],[Montant non remboursé]]&gt;1,registreGarantie[[#This Row],[Montant non remboursé]]&lt;&gt;""),1,"")</f>
        <v/>
      </c>
      <c r="AB96" s="66"/>
      <c r="AC96" s="66"/>
      <c r="AD96" s="87">
        <f t="shared" si="1"/>
        <v>96</v>
      </c>
      <c r="AE96" s="109"/>
    </row>
    <row r="97" spans="1:31" ht="18" customHeight="1" thickBot="1" x14ac:dyDescent="0.4">
      <c r="A97" s="64">
        <v>44805</v>
      </c>
      <c r="B97" s="64">
        <v>42843</v>
      </c>
      <c r="C97" s="106">
        <v>45492</v>
      </c>
      <c r="D97" s="66" t="s">
        <v>155</v>
      </c>
      <c r="E97" s="66" t="s">
        <v>75</v>
      </c>
      <c r="F97" s="68" t="s">
        <v>2287</v>
      </c>
      <c r="G97" s="66" t="s">
        <v>564</v>
      </c>
      <c r="H97" s="64">
        <v>147</v>
      </c>
      <c r="I97" s="67" t="s">
        <v>5</v>
      </c>
      <c r="J97" s="97">
        <v>404132092</v>
      </c>
      <c r="K97" s="66"/>
      <c r="L97" s="68"/>
      <c r="M97" s="69">
        <v>20.170000000000002</v>
      </c>
      <c r="N97" s="69">
        <v>20.170000000000002</v>
      </c>
      <c r="O97" s="70">
        <f>IF(registreGarantie[[#This Row],[date paiement]]="","",registreGarantie[[#This Row],[Pièces 
Demandés]]-registreGarantie[[#This Row],[Pièces 
Remboursés]])</f>
        <v>0</v>
      </c>
      <c r="P97" s="69">
        <v>30.75</v>
      </c>
      <c r="Q97" s="69">
        <v>30.75</v>
      </c>
      <c r="R97" s="70">
        <f>IF(registreGarantie[[#This Row],[date paiement]]="","",registreGarantie[[#This Row],[MO
Demandé]]-registreGarantie[[#This Row],[MO
Remboursé]])</f>
        <v>0</v>
      </c>
      <c r="S97" s="69"/>
      <c r="T97" s="70">
        <f>IF(registreGarantie[[#This Row],[date paiement]]="","",registreGarantie[[#This Row],[MO
Refusé]]+registreGarantie[[#This Row],[Pièces
Refusés]])</f>
        <v>0</v>
      </c>
      <c r="U97" s="106">
        <v>45504</v>
      </c>
      <c r="V97" s="71">
        <f>IF(registreGarantie[[#This Row],[Pièces 
Demandés]]="","",registreGarantie[[#This Row],[Date]])</f>
        <v>45492</v>
      </c>
      <c r="W97" s="103">
        <f>IF(registreGarantie[[#This Row],[Pièces 
Demandés]]="","",IF(registreGarantie[[#This Row],[date paiement]]="","",registreGarantie[[#This Row],[date paiement]]+91))</f>
        <v>45595</v>
      </c>
      <c r="X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7" s="74" t="str">
        <f ca="1">IF(registreGarantie[[#This Row],[Colonne1]]=0,"",IF(TODAY()&gt;registreGarantie[[#This Row],[Date rebus]],0,1))</f>
        <v/>
      </c>
      <c r="Z97" s="66"/>
      <c r="AA97" s="73" t="str">
        <f>IF(AND(registreGarantie[[#This Row],[Montant non remboursé]]&gt;1,registreGarantie[[#This Row],[Montant non remboursé]]&lt;&gt;""),1,"")</f>
        <v/>
      </c>
      <c r="AB97" s="66"/>
      <c r="AC97" s="66"/>
      <c r="AD97" s="87">
        <f t="shared" si="1"/>
        <v>97</v>
      </c>
      <c r="AE97" s="109"/>
    </row>
    <row r="98" spans="1:31" ht="18" customHeight="1" thickBot="1" x14ac:dyDescent="0.4">
      <c r="A98" s="64">
        <v>44806</v>
      </c>
      <c r="B98" s="64">
        <v>42844</v>
      </c>
      <c r="C98" s="106">
        <v>45488</v>
      </c>
      <c r="D98" s="66" t="s">
        <v>858</v>
      </c>
      <c r="E98" s="66" t="s">
        <v>45</v>
      </c>
      <c r="F98" s="68" t="s">
        <v>2278</v>
      </c>
      <c r="G98" s="66" t="s">
        <v>564</v>
      </c>
      <c r="H98" s="64">
        <v>516</v>
      </c>
      <c r="I98" s="67" t="s">
        <v>5</v>
      </c>
      <c r="J98" s="97">
        <v>404131968</v>
      </c>
      <c r="K98" s="66"/>
      <c r="L98" s="68"/>
      <c r="M98" s="69">
        <v>20.170000000000002</v>
      </c>
      <c r="N98" s="69">
        <v>20.170000000000002</v>
      </c>
      <c r="O98" s="70">
        <f>IF(registreGarantie[[#This Row],[date paiement]]="","",registreGarantie[[#This Row],[Pièces 
Demandés]]-registreGarantie[[#This Row],[Pièces 
Remboursés]])</f>
        <v>0</v>
      </c>
      <c r="P98" s="69">
        <v>30.75</v>
      </c>
      <c r="Q98" s="69">
        <v>30.75</v>
      </c>
      <c r="R98" s="70">
        <f>IF(registreGarantie[[#This Row],[date paiement]]="","",registreGarantie[[#This Row],[MO
Demandé]]-registreGarantie[[#This Row],[MO
Remboursé]])</f>
        <v>0</v>
      </c>
      <c r="S98" s="69"/>
      <c r="T98" s="70">
        <f>IF(registreGarantie[[#This Row],[date paiement]]="","",registreGarantie[[#This Row],[MO
Refusé]]+registreGarantie[[#This Row],[Pièces
Refusés]])</f>
        <v>0</v>
      </c>
      <c r="U98" s="106">
        <v>45504</v>
      </c>
      <c r="V98" s="71">
        <f>IF(registreGarantie[[#This Row],[Pièces 
Demandés]]="","",registreGarantie[[#This Row],[Date]])</f>
        <v>45488</v>
      </c>
      <c r="W98" s="103">
        <f>IF(registreGarantie[[#This Row],[Pièces 
Demandés]]="","",IF(registreGarantie[[#This Row],[date paiement]]="","",registreGarantie[[#This Row],[date paiement]]+91))</f>
        <v>45595</v>
      </c>
      <c r="X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8" s="74" t="str">
        <f ca="1">IF(registreGarantie[[#This Row],[Colonne1]]=0,"",IF(TODAY()&gt;registreGarantie[[#This Row],[Date rebus]],0,1))</f>
        <v/>
      </c>
      <c r="Z98" s="66"/>
      <c r="AA98" s="73" t="str">
        <f>IF(AND(registreGarantie[[#This Row],[Montant non remboursé]]&gt;1,registreGarantie[[#This Row],[Montant non remboursé]]&lt;&gt;""),1,"")</f>
        <v/>
      </c>
      <c r="AB98" s="66"/>
      <c r="AC98" s="66"/>
      <c r="AD98" s="87">
        <f t="shared" si="1"/>
        <v>98</v>
      </c>
      <c r="AE98" s="109"/>
    </row>
    <row r="99" spans="1:31" ht="18" customHeight="1" thickBot="1" x14ac:dyDescent="0.4">
      <c r="A99" s="64">
        <v>44807</v>
      </c>
      <c r="B99" s="64">
        <v>42845</v>
      </c>
      <c r="C99" s="106">
        <v>45533.376064814816</v>
      </c>
      <c r="D99" s="66" t="s">
        <v>74</v>
      </c>
      <c r="E99" s="66" t="s">
        <v>367</v>
      </c>
      <c r="F99" s="68" t="s">
        <v>2253</v>
      </c>
      <c r="G99" s="66" t="s">
        <v>564</v>
      </c>
      <c r="H99" s="64">
        <v>461</v>
      </c>
      <c r="I99" s="67" t="s">
        <v>5</v>
      </c>
      <c r="J99" s="97">
        <v>404131967</v>
      </c>
      <c r="K99" s="66"/>
      <c r="L99" s="68"/>
      <c r="M99" s="69">
        <v>20.170000000000002</v>
      </c>
      <c r="N99" s="69">
        <v>20.170000000000002</v>
      </c>
      <c r="O99" s="70">
        <f>IF(registreGarantie[[#This Row],[date paiement]]="","",registreGarantie[[#This Row],[Pièces 
Demandés]]-registreGarantie[[#This Row],[Pièces 
Remboursés]])</f>
        <v>0</v>
      </c>
      <c r="P99" s="69">
        <v>30.75</v>
      </c>
      <c r="Q99" s="69">
        <v>30.75</v>
      </c>
      <c r="R99" s="70">
        <f>IF(registreGarantie[[#This Row],[date paiement]]="","",registreGarantie[[#This Row],[MO
Demandé]]-registreGarantie[[#This Row],[MO
Remboursé]])</f>
        <v>0</v>
      </c>
      <c r="S99" s="69"/>
      <c r="T99" s="70">
        <f>IF(registreGarantie[[#This Row],[date paiement]]="","",registreGarantie[[#This Row],[MO
Refusé]]+registreGarantie[[#This Row],[Pièces
Refusés]])</f>
        <v>0</v>
      </c>
      <c r="U99" s="106">
        <v>45551</v>
      </c>
      <c r="V99" s="71">
        <f>IF(registreGarantie[[#This Row],[Pièces 
Demandés]]="","",registreGarantie[[#This Row],[Date]])</f>
        <v>45533.376064814816</v>
      </c>
      <c r="W99" s="103">
        <f>IF(registreGarantie[[#This Row],[Pièces 
Demandés]]="","",IF(registreGarantie[[#This Row],[date paiement]]="","",registreGarantie[[#This Row],[date paiement]]+91))</f>
        <v>45642</v>
      </c>
      <c r="X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99" s="74" t="str">
        <f ca="1">IF(registreGarantie[[#This Row],[Colonne1]]=0,"",IF(TODAY()&gt;registreGarantie[[#This Row],[Date rebus]],0,1))</f>
        <v/>
      </c>
      <c r="Z99" s="66"/>
      <c r="AA99" s="73" t="str">
        <f>IF(AND(registreGarantie[[#This Row],[Montant non remboursé]]&gt;1,registreGarantie[[#This Row],[Montant non remboursé]]&lt;&gt;""),1,"")</f>
        <v/>
      </c>
      <c r="AB99" s="66"/>
      <c r="AC99" s="66"/>
      <c r="AD99" s="87">
        <f t="shared" si="1"/>
        <v>99</v>
      </c>
      <c r="AE99" s="109"/>
    </row>
    <row r="100" spans="1:31" ht="18" customHeight="1" thickBot="1" x14ac:dyDescent="0.4">
      <c r="A100" s="64">
        <v>44808</v>
      </c>
      <c r="B100" s="64">
        <v>42846</v>
      </c>
      <c r="C100" s="106">
        <v>45525</v>
      </c>
      <c r="D100" s="66" t="s">
        <v>41</v>
      </c>
      <c r="E100" s="66" t="s">
        <v>45</v>
      </c>
      <c r="F100" s="68" t="s">
        <v>2259</v>
      </c>
      <c r="G100" s="66" t="s">
        <v>564</v>
      </c>
      <c r="H100" s="64">
        <v>385</v>
      </c>
      <c r="I100" s="67" t="s">
        <v>5</v>
      </c>
      <c r="J100" s="97">
        <v>404131854</v>
      </c>
      <c r="K100" s="66"/>
      <c r="L100" s="68"/>
      <c r="M100" s="69">
        <v>20.170000000000002</v>
      </c>
      <c r="N100" s="69">
        <v>20.170000000000002</v>
      </c>
      <c r="O100" s="70">
        <f>IF(registreGarantie[[#This Row],[date paiement]]="","",registreGarantie[[#This Row],[Pièces 
Demandés]]-registreGarantie[[#This Row],[Pièces 
Remboursés]])</f>
        <v>0</v>
      </c>
      <c r="P100" s="69">
        <v>30.75</v>
      </c>
      <c r="Q100" s="69">
        <v>30.75</v>
      </c>
      <c r="R100" s="70">
        <f>IF(registreGarantie[[#This Row],[date paiement]]="","",registreGarantie[[#This Row],[MO
Demandé]]-registreGarantie[[#This Row],[MO
Remboursé]])</f>
        <v>0</v>
      </c>
      <c r="S100" s="69"/>
      <c r="T100" s="70">
        <f>IF(registreGarantie[[#This Row],[date paiement]]="","",registreGarantie[[#This Row],[MO
Refusé]]+registreGarantie[[#This Row],[Pièces
Refusés]])</f>
        <v>0</v>
      </c>
      <c r="U100" s="106">
        <v>45551</v>
      </c>
      <c r="V100" s="71">
        <f>IF(registreGarantie[[#This Row],[Pièces 
Demandés]]="","",registreGarantie[[#This Row],[Date]])</f>
        <v>45525</v>
      </c>
      <c r="W100" s="103">
        <f>IF(registreGarantie[[#This Row],[Pièces 
Demandés]]="","",IF(registreGarantie[[#This Row],[date paiement]]="","",registreGarantie[[#This Row],[date paiement]]+91))</f>
        <v>45642</v>
      </c>
      <c r="X1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0" s="74" t="str">
        <f ca="1">IF(registreGarantie[[#This Row],[Colonne1]]=0,"",IF(TODAY()&gt;registreGarantie[[#This Row],[Date rebus]],0,1))</f>
        <v/>
      </c>
      <c r="Z100" s="66"/>
      <c r="AA100" s="73" t="str">
        <f>IF(AND(registreGarantie[[#This Row],[Montant non remboursé]]&gt;1,registreGarantie[[#This Row],[Montant non remboursé]]&lt;&gt;""),1,"")</f>
        <v/>
      </c>
      <c r="AB100" s="66"/>
      <c r="AC100" s="66"/>
      <c r="AD100" s="87">
        <f t="shared" si="1"/>
        <v>100</v>
      </c>
      <c r="AE100" s="109"/>
    </row>
    <row r="101" spans="1:31" ht="18" customHeight="1" thickBot="1" x14ac:dyDescent="0.4">
      <c r="A101" s="64">
        <v>44809</v>
      </c>
      <c r="B101" s="64">
        <v>42847</v>
      </c>
      <c r="C101" s="106">
        <v>45453</v>
      </c>
      <c r="D101" s="66" t="s">
        <v>86</v>
      </c>
      <c r="E101" s="66" t="s">
        <v>45</v>
      </c>
      <c r="F101" s="68" t="s">
        <v>2239</v>
      </c>
      <c r="G101" s="66" t="s">
        <v>564</v>
      </c>
      <c r="H101" s="64">
        <v>536</v>
      </c>
      <c r="I101" s="67" t="s">
        <v>5</v>
      </c>
      <c r="J101" s="97">
        <v>404131744</v>
      </c>
      <c r="K101" s="66"/>
      <c r="L101" s="68"/>
      <c r="M101" s="69">
        <v>20.170000000000002</v>
      </c>
      <c r="N101" s="69">
        <v>20.170000000000002</v>
      </c>
      <c r="O101" s="70">
        <f>IF(registreGarantie[[#This Row],[date paiement]]="","",registreGarantie[[#This Row],[Pièces 
Demandés]]-registreGarantie[[#This Row],[Pièces 
Remboursés]])</f>
        <v>0</v>
      </c>
      <c r="P101" s="69">
        <v>30.75</v>
      </c>
      <c r="Q101" s="69">
        <v>30.75</v>
      </c>
      <c r="R101" s="70">
        <f>IF(registreGarantie[[#This Row],[date paiement]]="","",registreGarantie[[#This Row],[MO
Demandé]]-registreGarantie[[#This Row],[MO
Remboursé]])</f>
        <v>0</v>
      </c>
      <c r="S101" s="69"/>
      <c r="T101" s="70">
        <f>IF(registreGarantie[[#This Row],[date paiement]]="","",registreGarantie[[#This Row],[MO
Refusé]]+registreGarantie[[#This Row],[Pièces
Refusés]])</f>
        <v>0</v>
      </c>
      <c r="U101" s="106">
        <v>45464</v>
      </c>
      <c r="V101" s="71">
        <f>IF(registreGarantie[[#This Row],[Pièces 
Demandés]]="","",registreGarantie[[#This Row],[Date]])</f>
        <v>45453</v>
      </c>
      <c r="W101" s="103">
        <f>IF(registreGarantie[[#This Row],[Pièces 
Demandés]]="","",IF(registreGarantie[[#This Row],[date paiement]]="","",registreGarantie[[#This Row],[date paiement]]+91))</f>
        <v>45555</v>
      </c>
      <c r="X1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1" s="74" t="str">
        <f ca="1">IF(registreGarantie[[#This Row],[Colonne1]]=0,"",IF(TODAY()&gt;registreGarantie[[#This Row],[Date rebus]],0,1))</f>
        <v/>
      </c>
      <c r="Z101" s="66"/>
      <c r="AA101" s="73" t="str">
        <f>IF(AND(registreGarantie[[#This Row],[Montant non remboursé]]&gt;1,registreGarantie[[#This Row],[Montant non remboursé]]&lt;&gt;""),1,"")</f>
        <v/>
      </c>
      <c r="AB101" s="66"/>
      <c r="AC101" s="66"/>
      <c r="AD101" s="87">
        <f t="shared" si="1"/>
        <v>101</v>
      </c>
      <c r="AE101" s="109"/>
    </row>
    <row r="102" spans="1:31" ht="18" customHeight="1" thickBot="1" x14ac:dyDescent="0.4">
      <c r="A102" s="64">
        <v>44810</v>
      </c>
      <c r="B102" s="64">
        <v>42848</v>
      </c>
      <c r="C102" s="106">
        <v>45510.455138888887</v>
      </c>
      <c r="D102" s="66" t="s">
        <v>789</v>
      </c>
      <c r="E102" s="66" t="s">
        <v>45</v>
      </c>
      <c r="F102" s="68" t="s">
        <v>2273</v>
      </c>
      <c r="G102" s="66" t="s">
        <v>564</v>
      </c>
      <c r="H102" s="64" t="s">
        <v>1639</v>
      </c>
      <c r="I102" s="67" t="s">
        <v>5</v>
      </c>
      <c r="J102" s="97">
        <v>404131297</v>
      </c>
      <c r="K102" s="66"/>
      <c r="L102" s="68"/>
      <c r="M102" s="69">
        <v>20.170000000000002</v>
      </c>
      <c r="N102" s="69">
        <v>20.170000000000002</v>
      </c>
      <c r="O102" s="70">
        <f>IF(registreGarantie[[#This Row],[date paiement]]="","",registreGarantie[[#This Row],[Pièces 
Demandés]]-registreGarantie[[#This Row],[Pièces 
Remboursés]])</f>
        <v>0</v>
      </c>
      <c r="P102" s="69">
        <v>30.75</v>
      </c>
      <c r="Q102" s="69">
        <v>30.75</v>
      </c>
      <c r="R102" s="70">
        <f>IF(registreGarantie[[#This Row],[date paiement]]="","",registreGarantie[[#This Row],[MO
Demandé]]-registreGarantie[[#This Row],[MO
Remboursé]])</f>
        <v>0</v>
      </c>
      <c r="S102" s="69"/>
      <c r="T102" s="70">
        <f>IF(registreGarantie[[#This Row],[date paiement]]="","",registreGarantie[[#This Row],[MO
Refusé]]+registreGarantie[[#This Row],[Pièces
Refusés]])</f>
        <v>0</v>
      </c>
      <c r="U102" s="106">
        <v>45544</v>
      </c>
      <c r="V102" s="71">
        <f>IF(registreGarantie[[#This Row],[Pièces 
Demandés]]="","",registreGarantie[[#This Row],[Date]])</f>
        <v>45510.455138888887</v>
      </c>
      <c r="W102" s="103">
        <f>IF(registreGarantie[[#This Row],[Pièces 
Demandés]]="","",IF(registreGarantie[[#This Row],[date paiement]]="","",registreGarantie[[#This Row],[date paiement]]+91))</f>
        <v>45635</v>
      </c>
      <c r="X1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2" s="74" t="str">
        <f ca="1">IF(registreGarantie[[#This Row],[Colonne1]]=0,"",IF(TODAY()&gt;registreGarantie[[#This Row],[Date rebus]],0,1))</f>
        <v/>
      </c>
      <c r="Z102" s="66"/>
      <c r="AA102" s="73" t="str">
        <f>IF(AND(registreGarantie[[#This Row],[Montant non remboursé]]&gt;1,registreGarantie[[#This Row],[Montant non remboursé]]&lt;&gt;""),1,"")</f>
        <v/>
      </c>
      <c r="AB102" s="66"/>
      <c r="AC102" s="66"/>
      <c r="AD102" s="87">
        <f t="shared" si="1"/>
        <v>102</v>
      </c>
      <c r="AE102" s="109"/>
    </row>
    <row r="103" spans="1:31" ht="18" customHeight="1" thickBot="1" x14ac:dyDescent="0.4">
      <c r="A103" s="64">
        <v>44811</v>
      </c>
      <c r="B103" s="64">
        <v>42849</v>
      </c>
      <c r="C103" s="106">
        <v>45505</v>
      </c>
      <c r="D103" s="66" t="s">
        <v>1640</v>
      </c>
      <c r="E103" s="66" t="s">
        <v>367</v>
      </c>
      <c r="F103" s="68" t="s">
        <v>2311</v>
      </c>
      <c r="G103" s="66" t="s">
        <v>564</v>
      </c>
      <c r="H103" s="64" t="s">
        <v>1641</v>
      </c>
      <c r="I103" s="67" t="s">
        <v>5</v>
      </c>
      <c r="J103" s="97">
        <v>404131295</v>
      </c>
      <c r="K103" s="66"/>
      <c r="L103" s="68"/>
      <c r="M103" s="69">
        <v>20.170000000000002</v>
      </c>
      <c r="N103" s="69">
        <v>20.170000000000002</v>
      </c>
      <c r="O103" s="70">
        <f>IF(registreGarantie[[#This Row],[date paiement]]="","",registreGarantie[[#This Row],[Pièces 
Demandés]]-registreGarantie[[#This Row],[Pièces 
Remboursés]])</f>
        <v>0</v>
      </c>
      <c r="P103" s="69">
        <v>30.75</v>
      </c>
      <c r="Q103" s="69">
        <v>30.75</v>
      </c>
      <c r="R103" s="70">
        <f>IF(registreGarantie[[#This Row],[date paiement]]="","",registreGarantie[[#This Row],[MO
Demandé]]-registreGarantie[[#This Row],[MO
Remboursé]])</f>
        <v>0</v>
      </c>
      <c r="S103" s="69"/>
      <c r="T103" s="70">
        <f>IF(registreGarantie[[#This Row],[date paiement]]="","",registreGarantie[[#This Row],[MO
Refusé]]+registreGarantie[[#This Row],[Pièces
Refusés]])</f>
        <v>0</v>
      </c>
      <c r="U103" s="106">
        <v>45544</v>
      </c>
      <c r="V103" s="71">
        <f>IF(registreGarantie[[#This Row],[Pièces 
Demandés]]="","",registreGarantie[[#This Row],[Date]])</f>
        <v>45505</v>
      </c>
      <c r="W103" s="103">
        <f>IF(registreGarantie[[#This Row],[Pièces 
Demandés]]="","",IF(registreGarantie[[#This Row],[date paiement]]="","",registreGarantie[[#This Row],[date paiement]]+91))</f>
        <v>45635</v>
      </c>
      <c r="X1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3" s="74" t="str">
        <f ca="1">IF(registreGarantie[[#This Row],[Colonne1]]=0,"",IF(TODAY()&gt;registreGarantie[[#This Row],[Date rebus]],0,1))</f>
        <v/>
      </c>
      <c r="Z103" s="66"/>
      <c r="AA103" s="73" t="str">
        <f>IF(AND(registreGarantie[[#This Row],[Montant non remboursé]]&gt;1,registreGarantie[[#This Row],[Montant non remboursé]]&lt;&gt;""),1,"")</f>
        <v/>
      </c>
      <c r="AB103" s="66"/>
      <c r="AC103" s="66"/>
      <c r="AD103" s="87">
        <f t="shared" si="1"/>
        <v>103</v>
      </c>
      <c r="AE103" s="109"/>
    </row>
    <row r="104" spans="1:31" ht="18" customHeight="1" thickBot="1" x14ac:dyDescent="0.4">
      <c r="A104" s="64">
        <v>44812</v>
      </c>
      <c r="B104" s="64">
        <v>42850</v>
      </c>
      <c r="C104" s="106">
        <v>45505</v>
      </c>
      <c r="D104" s="66" t="s">
        <v>292</v>
      </c>
      <c r="E104" s="66" t="s">
        <v>75</v>
      </c>
      <c r="F104" s="68" t="s">
        <v>2244</v>
      </c>
      <c r="G104" s="66" t="s">
        <v>564</v>
      </c>
      <c r="H104" s="64" t="s">
        <v>1642</v>
      </c>
      <c r="I104" s="67" t="s">
        <v>5</v>
      </c>
      <c r="J104" s="97">
        <v>404131002</v>
      </c>
      <c r="K104" s="66"/>
      <c r="L104" s="68"/>
      <c r="M104" s="69">
        <v>20.170000000000002</v>
      </c>
      <c r="N104" s="69">
        <v>20.170000000000002</v>
      </c>
      <c r="O104" s="70">
        <f>IF(registreGarantie[[#This Row],[date paiement]]="","",registreGarantie[[#This Row],[Pièces 
Demandés]]-registreGarantie[[#This Row],[Pièces 
Remboursés]])</f>
        <v>0</v>
      </c>
      <c r="P104" s="69">
        <v>30.75</v>
      </c>
      <c r="Q104" s="69">
        <v>30.75</v>
      </c>
      <c r="R104" s="70">
        <f>IF(registreGarantie[[#This Row],[date paiement]]="","",registreGarantie[[#This Row],[MO
Demandé]]-registreGarantie[[#This Row],[MO
Remboursé]])</f>
        <v>0</v>
      </c>
      <c r="S104" s="69"/>
      <c r="T104" s="70">
        <f>IF(registreGarantie[[#This Row],[date paiement]]="","",registreGarantie[[#This Row],[MO
Refusé]]+registreGarantie[[#This Row],[Pièces
Refusés]])</f>
        <v>0</v>
      </c>
      <c r="U104" s="106">
        <v>45544</v>
      </c>
      <c r="V104" s="71">
        <f>IF(registreGarantie[[#This Row],[Pièces 
Demandés]]="","",registreGarantie[[#This Row],[Date]])</f>
        <v>45505</v>
      </c>
      <c r="W104" s="103">
        <f>IF(registreGarantie[[#This Row],[Pièces 
Demandés]]="","",IF(registreGarantie[[#This Row],[date paiement]]="","",registreGarantie[[#This Row],[date paiement]]+91))</f>
        <v>45635</v>
      </c>
      <c r="X1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4" s="74" t="str">
        <f ca="1">IF(registreGarantie[[#This Row],[Colonne1]]=0,"",IF(TODAY()&gt;registreGarantie[[#This Row],[Date rebus]],0,1))</f>
        <v/>
      </c>
      <c r="Z104" s="66"/>
      <c r="AA104" s="73" t="str">
        <f>IF(AND(registreGarantie[[#This Row],[Montant non remboursé]]&gt;1,registreGarantie[[#This Row],[Montant non remboursé]]&lt;&gt;""),1,"")</f>
        <v/>
      </c>
      <c r="AB104" s="66"/>
      <c r="AC104" s="66"/>
      <c r="AD104" s="87">
        <f t="shared" si="1"/>
        <v>104</v>
      </c>
      <c r="AE104" s="109"/>
    </row>
    <row r="105" spans="1:31" ht="18" customHeight="1" thickBot="1" x14ac:dyDescent="0.4">
      <c r="A105" s="64">
        <v>44813</v>
      </c>
      <c r="B105" s="64">
        <v>42851</v>
      </c>
      <c r="C105" s="106">
        <v>45565.655370370368</v>
      </c>
      <c r="D105" s="66" t="s">
        <v>562</v>
      </c>
      <c r="E105" s="66" t="s">
        <v>563</v>
      </c>
      <c r="F105" s="68" t="s">
        <v>2337</v>
      </c>
      <c r="G105" s="66" t="s">
        <v>564</v>
      </c>
      <c r="H105" s="64" t="s">
        <v>1643</v>
      </c>
      <c r="I105" s="67" t="s">
        <v>5</v>
      </c>
      <c r="J105" s="97">
        <v>404130575</v>
      </c>
      <c r="K105" s="66"/>
      <c r="L105" s="68"/>
      <c r="M105" s="69">
        <v>20.170000000000002</v>
      </c>
      <c r="N105" s="69">
        <v>20.170000000000002</v>
      </c>
      <c r="O105" s="70">
        <f>IF(registreGarantie[[#This Row],[date paiement]]="","",registreGarantie[[#This Row],[Pièces 
Demandés]]-registreGarantie[[#This Row],[Pièces 
Remboursés]])</f>
        <v>0</v>
      </c>
      <c r="P105" s="69">
        <v>30.75</v>
      </c>
      <c r="Q105" s="69">
        <v>30.75</v>
      </c>
      <c r="R105" s="70">
        <f>IF(registreGarantie[[#This Row],[date paiement]]="","",registreGarantie[[#This Row],[MO
Demandé]]-registreGarantie[[#This Row],[MO
Remboursé]])</f>
        <v>0</v>
      </c>
      <c r="S105" s="69"/>
      <c r="T105" s="70">
        <f>IF(registreGarantie[[#This Row],[date paiement]]="","",registreGarantie[[#This Row],[MO
Refusé]]+registreGarantie[[#This Row],[Pièces
Refusés]])</f>
        <v>0</v>
      </c>
      <c r="U105" s="106">
        <v>45586</v>
      </c>
      <c r="V105" s="71">
        <f>IF(registreGarantie[[#This Row],[Pièces 
Demandés]]="","",registreGarantie[[#This Row],[Date]])</f>
        <v>45565.655370370368</v>
      </c>
      <c r="W105" s="103">
        <f>IF(registreGarantie[[#This Row],[Pièces 
Demandés]]="","",IF(registreGarantie[[#This Row],[date paiement]]="","",registreGarantie[[#This Row],[date paiement]]+91))</f>
        <v>45677</v>
      </c>
      <c r="X1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5" s="74" t="str">
        <f ca="1">IF(registreGarantie[[#This Row],[Colonne1]]=0,"",IF(TODAY()&gt;registreGarantie[[#This Row],[Date rebus]],0,1))</f>
        <v/>
      </c>
      <c r="Z105" s="66"/>
      <c r="AA105" s="73" t="str">
        <f>IF(AND(registreGarantie[[#This Row],[Montant non remboursé]]&gt;1,registreGarantie[[#This Row],[Montant non remboursé]]&lt;&gt;""),1,"")</f>
        <v/>
      </c>
      <c r="AB105" s="66"/>
      <c r="AC105" s="66"/>
      <c r="AD105" s="87">
        <f t="shared" si="1"/>
        <v>105</v>
      </c>
      <c r="AE105" s="109"/>
    </row>
    <row r="106" spans="1:31" ht="18" customHeight="1" thickBot="1" x14ac:dyDescent="0.4">
      <c r="A106" s="64">
        <v>44814</v>
      </c>
      <c r="B106" s="64">
        <v>42852</v>
      </c>
      <c r="C106" s="106">
        <v>45463</v>
      </c>
      <c r="D106" s="66" t="s">
        <v>1535</v>
      </c>
      <c r="E106" s="66" t="s">
        <v>45</v>
      </c>
      <c r="F106" s="68" t="s">
        <v>2265</v>
      </c>
      <c r="G106" s="66" t="s">
        <v>564</v>
      </c>
      <c r="H106" s="64"/>
      <c r="I106" s="67" t="s">
        <v>5</v>
      </c>
      <c r="J106" s="97">
        <v>404130893</v>
      </c>
      <c r="K106" s="66"/>
      <c r="L106" s="68"/>
      <c r="M106" s="69">
        <v>20.170000000000002</v>
      </c>
      <c r="N106" s="69">
        <v>20.170000000000002</v>
      </c>
      <c r="O106" s="70">
        <f>IF(registreGarantie[[#This Row],[date paiement]]="","",registreGarantie[[#This Row],[Pièces 
Demandés]]-registreGarantie[[#This Row],[Pièces 
Remboursés]])</f>
        <v>0</v>
      </c>
      <c r="P106" s="69">
        <v>30.75</v>
      </c>
      <c r="Q106" s="69">
        <v>30.75</v>
      </c>
      <c r="R106" s="70">
        <f>IF(registreGarantie[[#This Row],[date paiement]]="","",registreGarantie[[#This Row],[MO
Demandé]]-registreGarantie[[#This Row],[MO
Remboursé]])</f>
        <v>0</v>
      </c>
      <c r="S106" s="69"/>
      <c r="T106" s="70">
        <f>IF(registreGarantie[[#This Row],[date paiement]]="","",registreGarantie[[#This Row],[MO
Refusé]]+registreGarantie[[#This Row],[Pièces
Refusés]])</f>
        <v>0</v>
      </c>
      <c r="U106" s="106">
        <v>45478</v>
      </c>
      <c r="V106" s="71">
        <f>IF(registreGarantie[[#This Row],[Pièces 
Demandés]]="","",registreGarantie[[#This Row],[Date]])</f>
        <v>45463</v>
      </c>
      <c r="W106" s="103">
        <f>IF(registreGarantie[[#This Row],[Pièces 
Demandés]]="","",IF(registreGarantie[[#This Row],[date paiement]]="","",registreGarantie[[#This Row],[date paiement]]+91))</f>
        <v>45569</v>
      </c>
      <c r="X1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6" s="74" t="str">
        <f ca="1">IF(registreGarantie[[#This Row],[Colonne1]]=0,"",IF(TODAY()&gt;registreGarantie[[#This Row],[Date rebus]],0,1))</f>
        <v/>
      </c>
      <c r="Z106" s="66"/>
      <c r="AA106" s="73" t="str">
        <f>IF(AND(registreGarantie[[#This Row],[Montant non remboursé]]&gt;1,registreGarantie[[#This Row],[Montant non remboursé]]&lt;&gt;""),1,"")</f>
        <v/>
      </c>
      <c r="AB106" s="66"/>
      <c r="AC106" s="66"/>
      <c r="AD106" s="87">
        <f t="shared" si="1"/>
        <v>106</v>
      </c>
      <c r="AE106" s="109"/>
    </row>
    <row r="107" spans="1:31" ht="18" customHeight="1" thickBot="1" x14ac:dyDescent="0.4">
      <c r="A107" s="64">
        <v>44815</v>
      </c>
      <c r="B107" s="64">
        <v>42853</v>
      </c>
      <c r="C107" s="106">
        <v>45530.457858796297</v>
      </c>
      <c r="D107" s="66" t="s">
        <v>79</v>
      </c>
      <c r="E107" s="66" t="s">
        <v>75</v>
      </c>
      <c r="F107" s="68" t="s">
        <v>2338</v>
      </c>
      <c r="G107" s="66" t="s">
        <v>564</v>
      </c>
      <c r="H107" s="64">
        <v>589</v>
      </c>
      <c r="I107" s="67" t="s">
        <v>5</v>
      </c>
      <c r="J107" s="97">
        <v>404130814</v>
      </c>
      <c r="K107" s="66"/>
      <c r="L107" s="68"/>
      <c r="M107" s="69">
        <v>20.170000000000002</v>
      </c>
      <c r="N107" s="69">
        <v>20.170000000000002</v>
      </c>
      <c r="O107" s="70">
        <f>IF(registreGarantie[[#This Row],[date paiement]]="","",registreGarantie[[#This Row],[Pièces 
Demandés]]-registreGarantie[[#This Row],[Pièces 
Remboursés]])</f>
        <v>0</v>
      </c>
      <c r="P107" s="69">
        <v>30.75</v>
      </c>
      <c r="Q107" s="69">
        <v>30.75</v>
      </c>
      <c r="R107" s="70">
        <f>IF(registreGarantie[[#This Row],[date paiement]]="","",registreGarantie[[#This Row],[MO
Demandé]]-registreGarantie[[#This Row],[MO
Remboursé]])</f>
        <v>0</v>
      </c>
      <c r="S107" s="69"/>
      <c r="T107" s="70">
        <f>IF(registreGarantie[[#This Row],[date paiement]]="","",registreGarantie[[#This Row],[MO
Refusé]]+registreGarantie[[#This Row],[Pièces
Refusés]])</f>
        <v>0</v>
      </c>
      <c r="U107" s="106">
        <v>45551</v>
      </c>
      <c r="V107" s="71">
        <f>IF(registreGarantie[[#This Row],[Pièces 
Demandés]]="","",registreGarantie[[#This Row],[Date]])</f>
        <v>45530.457858796297</v>
      </c>
      <c r="W107" s="103">
        <f>IF(registreGarantie[[#This Row],[Pièces 
Demandés]]="","",IF(registreGarantie[[#This Row],[date paiement]]="","",registreGarantie[[#This Row],[date paiement]]+91))</f>
        <v>45642</v>
      </c>
      <c r="X1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7" s="74" t="str">
        <f ca="1">IF(registreGarantie[[#This Row],[Colonne1]]=0,"",IF(TODAY()&gt;registreGarantie[[#This Row],[Date rebus]],0,1))</f>
        <v/>
      </c>
      <c r="Z107" s="66"/>
      <c r="AA107" s="73" t="str">
        <f>IF(AND(registreGarantie[[#This Row],[Montant non remboursé]]&gt;1,registreGarantie[[#This Row],[Montant non remboursé]]&lt;&gt;""),1,"")</f>
        <v/>
      </c>
      <c r="AB107" s="66"/>
      <c r="AC107" s="66"/>
      <c r="AD107" s="87">
        <f t="shared" si="1"/>
        <v>107</v>
      </c>
      <c r="AE107" s="109"/>
    </row>
    <row r="108" spans="1:31" ht="18" customHeight="1" thickBot="1" x14ac:dyDescent="0.4">
      <c r="A108" s="64">
        <v>44816</v>
      </c>
      <c r="B108" s="64">
        <v>42854</v>
      </c>
      <c r="C108" s="106">
        <v>45525</v>
      </c>
      <c r="D108" s="66" t="s">
        <v>446</v>
      </c>
      <c r="E108" s="66" t="s">
        <v>75</v>
      </c>
      <c r="F108" s="68" t="s">
        <v>2324</v>
      </c>
      <c r="G108" s="66" t="s">
        <v>564</v>
      </c>
      <c r="H108" s="64">
        <v>370</v>
      </c>
      <c r="I108" s="67" t="s">
        <v>5</v>
      </c>
      <c r="J108" s="97">
        <v>404132291</v>
      </c>
      <c r="K108" s="66"/>
      <c r="L108" s="68"/>
      <c r="M108" s="69">
        <v>19.41</v>
      </c>
      <c r="N108" s="69">
        <v>19.41</v>
      </c>
      <c r="O108" s="70">
        <f>IF(registreGarantie[[#This Row],[date paiement]]="","",registreGarantie[[#This Row],[Pièces 
Demandés]]-registreGarantie[[#This Row],[Pièces 
Remboursés]])</f>
        <v>0</v>
      </c>
      <c r="P108" s="69">
        <v>30.75</v>
      </c>
      <c r="Q108" s="69">
        <v>30.75</v>
      </c>
      <c r="R108" s="70">
        <f>IF(registreGarantie[[#This Row],[date paiement]]="","",registreGarantie[[#This Row],[MO
Demandé]]-registreGarantie[[#This Row],[MO
Remboursé]])</f>
        <v>0</v>
      </c>
      <c r="S108" s="69"/>
      <c r="T108" s="70">
        <f>IF(registreGarantie[[#This Row],[date paiement]]="","",registreGarantie[[#This Row],[MO
Refusé]]+registreGarantie[[#This Row],[Pièces
Refusés]])</f>
        <v>0</v>
      </c>
      <c r="U108" s="106">
        <v>45551</v>
      </c>
      <c r="V108" s="71">
        <f>IF(registreGarantie[[#This Row],[Pièces 
Demandés]]="","",registreGarantie[[#This Row],[Date]])</f>
        <v>45525</v>
      </c>
      <c r="W108" s="103">
        <f>IF(registreGarantie[[#This Row],[Pièces 
Demandés]]="","",IF(registreGarantie[[#This Row],[date paiement]]="","",registreGarantie[[#This Row],[date paiement]]+91))</f>
        <v>45642</v>
      </c>
      <c r="X1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8" s="74" t="str">
        <f ca="1">IF(registreGarantie[[#This Row],[Colonne1]]=0,"",IF(TODAY()&gt;registreGarantie[[#This Row],[Date rebus]],0,1))</f>
        <v/>
      </c>
      <c r="Z108" s="66"/>
      <c r="AA108" s="73" t="str">
        <f>IF(AND(registreGarantie[[#This Row],[Montant non remboursé]]&gt;1,registreGarantie[[#This Row],[Montant non remboursé]]&lt;&gt;""),1,"")</f>
        <v/>
      </c>
      <c r="AB108" s="66"/>
      <c r="AC108" s="66"/>
      <c r="AD108" s="87">
        <f t="shared" si="1"/>
        <v>108</v>
      </c>
      <c r="AE108" s="109"/>
    </row>
    <row r="109" spans="1:31" ht="18" customHeight="1" thickBot="1" x14ac:dyDescent="0.4">
      <c r="A109" s="64">
        <v>44817</v>
      </c>
      <c r="B109" s="64">
        <v>42855</v>
      </c>
      <c r="C109" s="106">
        <v>45525</v>
      </c>
      <c r="D109" s="66" t="s">
        <v>1536</v>
      </c>
      <c r="E109" s="66" t="s">
        <v>75</v>
      </c>
      <c r="F109" s="68" t="s">
        <v>2280</v>
      </c>
      <c r="G109" s="66" t="s">
        <v>564</v>
      </c>
      <c r="H109" s="64">
        <v>370</v>
      </c>
      <c r="I109" s="67" t="s">
        <v>5</v>
      </c>
      <c r="J109" s="97">
        <v>404132271</v>
      </c>
      <c r="K109" s="66"/>
      <c r="L109" s="68"/>
      <c r="M109" s="69">
        <v>20.170000000000002</v>
      </c>
      <c r="N109" s="69">
        <v>20.170000000000002</v>
      </c>
      <c r="O109" s="70">
        <f>IF(registreGarantie[[#This Row],[date paiement]]="","",registreGarantie[[#This Row],[Pièces 
Demandés]]-registreGarantie[[#This Row],[Pièces 
Remboursés]])</f>
        <v>0</v>
      </c>
      <c r="P109" s="69">
        <v>30.75</v>
      </c>
      <c r="Q109" s="69">
        <v>30.75</v>
      </c>
      <c r="R109" s="70">
        <f>IF(registreGarantie[[#This Row],[date paiement]]="","",registreGarantie[[#This Row],[MO
Demandé]]-registreGarantie[[#This Row],[MO
Remboursé]])</f>
        <v>0</v>
      </c>
      <c r="S109" s="69"/>
      <c r="T109" s="70">
        <f>IF(registreGarantie[[#This Row],[date paiement]]="","",registreGarantie[[#This Row],[MO
Refusé]]+registreGarantie[[#This Row],[Pièces
Refusés]])</f>
        <v>0</v>
      </c>
      <c r="U109" s="106">
        <v>45551</v>
      </c>
      <c r="V109" s="71">
        <f>IF(registreGarantie[[#This Row],[Pièces 
Demandés]]="","",registreGarantie[[#This Row],[Date]])</f>
        <v>45525</v>
      </c>
      <c r="W109" s="103">
        <f>IF(registreGarantie[[#This Row],[Pièces 
Demandés]]="","",IF(registreGarantie[[#This Row],[date paiement]]="","",registreGarantie[[#This Row],[date paiement]]+91))</f>
        <v>45642</v>
      </c>
      <c r="X1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09" s="74" t="str">
        <f ca="1">IF(registreGarantie[[#This Row],[Colonne1]]=0,"",IF(TODAY()&gt;registreGarantie[[#This Row],[Date rebus]],0,1))</f>
        <v/>
      </c>
      <c r="Z109" s="66"/>
      <c r="AA109" s="73" t="str">
        <f>IF(AND(registreGarantie[[#This Row],[Montant non remboursé]]&gt;1,registreGarantie[[#This Row],[Montant non remboursé]]&lt;&gt;""),1,"")</f>
        <v/>
      </c>
      <c r="AB109" s="66"/>
      <c r="AC109" s="66"/>
      <c r="AD109" s="87">
        <f t="shared" si="1"/>
        <v>109</v>
      </c>
      <c r="AE109" s="109"/>
    </row>
    <row r="110" spans="1:31" ht="18" customHeight="1" thickBot="1" x14ac:dyDescent="0.4">
      <c r="A110" s="64">
        <v>44818</v>
      </c>
      <c r="B110" s="64">
        <v>42856</v>
      </c>
      <c r="C110" s="106">
        <v>45461</v>
      </c>
      <c r="D110" s="66" t="s">
        <v>309</v>
      </c>
      <c r="E110" s="66" t="s">
        <v>45</v>
      </c>
      <c r="F110" s="68" t="s">
        <v>2339</v>
      </c>
      <c r="G110" s="66" t="s">
        <v>564</v>
      </c>
      <c r="H110" s="64">
        <v>178</v>
      </c>
      <c r="I110" s="67" t="s">
        <v>5</v>
      </c>
      <c r="J110" s="97">
        <v>404132234</v>
      </c>
      <c r="K110" s="66"/>
      <c r="L110" s="68"/>
      <c r="M110" s="69">
        <v>20.170000000000002</v>
      </c>
      <c r="N110" s="69">
        <v>20.170000000000002</v>
      </c>
      <c r="O110" s="70">
        <f>IF(registreGarantie[[#This Row],[date paiement]]="","",registreGarantie[[#This Row],[Pièces 
Demandés]]-registreGarantie[[#This Row],[Pièces 
Remboursés]])</f>
        <v>0</v>
      </c>
      <c r="P110" s="69">
        <v>30.75</v>
      </c>
      <c r="Q110" s="69">
        <v>30.75</v>
      </c>
      <c r="R110" s="70">
        <f>IF(registreGarantie[[#This Row],[date paiement]]="","",registreGarantie[[#This Row],[MO
Demandé]]-registreGarantie[[#This Row],[MO
Remboursé]])</f>
        <v>0</v>
      </c>
      <c r="S110" s="69"/>
      <c r="T110" s="70">
        <f>IF(registreGarantie[[#This Row],[date paiement]]="","",registreGarantie[[#This Row],[MO
Refusé]]+registreGarantie[[#This Row],[Pièces
Refusés]])</f>
        <v>0</v>
      </c>
      <c r="U110" s="106">
        <v>45464</v>
      </c>
      <c r="V110" s="71">
        <f>IF(registreGarantie[[#This Row],[Pièces 
Demandés]]="","",registreGarantie[[#This Row],[Date]])</f>
        <v>45461</v>
      </c>
      <c r="W110" s="103">
        <f>IF(registreGarantie[[#This Row],[Pièces 
Demandés]]="","",IF(registreGarantie[[#This Row],[date paiement]]="","",registreGarantie[[#This Row],[date paiement]]+91))</f>
        <v>45555</v>
      </c>
      <c r="X1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0" s="74" t="str">
        <f ca="1">IF(registreGarantie[[#This Row],[Colonne1]]=0,"",IF(TODAY()&gt;registreGarantie[[#This Row],[Date rebus]],0,1))</f>
        <v/>
      </c>
      <c r="Z110" s="66"/>
      <c r="AA110" s="73" t="str">
        <f>IF(AND(registreGarantie[[#This Row],[Montant non remboursé]]&gt;1,registreGarantie[[#This Row],[Montant non remboursé]]&lt;&gt;""),1,"")</f>
        <v/>
      </c>
      <c r="AB110" s="66"/>
      <c r="AC110" s="66"/>
      <c r="AD110" s="87">
        <f t="shared" si="1"/>
        <v>110</v>
      </c>
      <c r="AE110" s="109"/>
    </row>
    <row r="111" spans="1:31" ht="18" customHeight="1" thickBot="1" x14ac:dyDescent="0.4">
      <c r="A111" s="64">
        <v>44819</v>
      </c>
      <c r="B111" s="64">
        <v>42782</v>
      </c>
      <c r="C111" s="106">
        <v>45435</v>
      </c>
      <c r="D111" s="66" t="s">
        <v>1630</v>
      </c>
      <c r="E111" s="66" t="s">
        <v>1644</v>
      </c>
      <c r="F111" s="68" t="s">
        <v>2321</v>
      </c>
      <c r="G111" s="66" t="s">
        <v>1645</v>
      </c>
      <c r="H111" s="64">
        <v>3378</v>
      </c>
      <c r="I111" s="67" t="s">
        <v>18</v>
      </c>
      <c r="J111" s="97">
        <v>404232136</v>
      </c>
      <c r="K111" s="66"/>
      <c r="L111" s="68"/>
      <c r="M111" s="69"/>
      <c r="N111" s="69"/>
      <c r="O111" s="70" t="str">
        <f>IF(registreGarantie[[#This Row],[date paiement]]="","",registreGarantie[[#This Row],[Pièces 
Demandés]]-registreGarantie[[#This Row],[Pièces 
Remboursés]])</f>
        <v/>
      </c>
      <c r="P111" s="69"/>
      <c r="Q111" s="69"/>
      <c r="R111" s="70" t="str">
        <f>IF(registreGarantie[[#This Row],[date paiement]]="","",registreGarantie[[#This Row],[MO
Demandé]]-registreGarantie[[#This Row],[MO
Remboursé]])</f>
        <v/>
      </c>
      <c r="S111" s="69"/>
      <c r="T111" s="70" t="str">
        <f>IF(registreGarantie[[#This Row],[date paiement]]="","",registreGarantie[[#This Row],[MO
Refusé]]+registreGarantie[[#This Row],[Pièces
Refusés]])</f>
        <v/>
      </c>
      <c r="U111" s="106"/>
      <c r="V111" s="71" t="str">
        <f>IF(registreGarantie[[#This Row],[Pièces 
Demandés]]="","",registreGarantie[[#This Row],[Date]])</f>
        <v/>
      </c>
      <c r="W111" s="103" t="str">
        <f>IF(registreGarantie[[#This Row],[Pièces 
Demandés]]="","",IF(registreGarantie[[#This Row],[date paiement]]="","",registreGarantie[[#This Row],[date paiement]]+91))</f>
        <v/>
      </c>
      <c r="X1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1" s="74" t="str">
        <f ca="1">IF(registreGarantie[[#This Row],[Colonne1]]=0,"",IF(TODAY()&gt;registreGarantie[[#This Row],[Date rebus]],0,1))</f>
        <v/>
      </c>
      <c r="Z111" s="66"/>
      <c r="AA111" s="73" t="str">
        <f>IF(AND(registreGarantie[[#This Row],[Montant non remboursé]]&gt;1,registreGarantie[[#This Row],[Montant non remboursé]]&lt;&gt;""),1,"")</f>
        <v/>
      </c>
      <c r="AB111" s="66"/>
      <c r="AC111" s="66"/>
      <c r="AD111" s="87">
        <f t="shared" si="1"/>
        <v>111</v>
      </c>
      <c r="AE111" s="109"/>
    </row>
    <row r="112" spans="1:31" ht="18" customHeight="1" thickBot="1" x14ac:dyDescent="0.4">
      <c r="A112" s="64">
        <v>44820</v>
      </c>
      <c r="B112" s="64">
        <v>42832</v>
      </c>
      <c r="C112" s="106">
        <v>45583</v>
      </c>
      <c r="D112" s="66" t="s">
        <v>1081</v>
      </c>
      <c r="E112" s="66" t="s">
        <v>1646</v>
      </c>
      <c r="F112" s="68" t="s">
        <v>2307</v>
      </c>
      <c r="G112" s="66" t="s">
        <v>58</v>
      </c>
      <c r="H112" s="64">
        <v>100</v>
      </c>
      <c r="I112" s="67" t="s">
        <v>19</v>
      </c>
      <c r="J112" s="97">
        <v>404431144</v>
      </c>
      <c r="K112" s="66"/>
      <c r="L112" s="68"/>
      <c r="M112" s="69">
        <v>258.01</v>
      </c>
      <c r="N112" s="69">
        <v>258.01</v>
      </c>
      <c r="O112" s="70">
        <f>IF(registreGarantie[[#This Row],[date paiement]]="","",registreGarantie[[#This Row],[Pièces 
Demandés]]-registreGarantie[[#This Row],[Pièces 
Remboursés]])</f>
        <v>0</v>
      </c>
      <c r="P112" s="69">
        <v>270.60000000000002</v>
      </c>
      <c r="Q112" s="69">
        <v>246</v>
      </c>
      <c r="R112" s="70">
        <f>IF(registreGarantie[[#This Row],[date paiement]]="","",registreGarantie[[#This Row],[MO
Demandé]]-registreGarantie[[#This Row],[MO
Remboursé]])</f>
        <v>24.600000000000023</v>
      </c>
      <c r="S112" s="69"/>
      <c r="T112" s="70">
        <f>IF(registreGarantie[[#This Row],[date paiement]]="","",registreGarantie[[#This Row],[MO
Refusé]]+registreGarantie[[#This Row],[Pièces
Refusés]])</f>
        <v>24.600000000000023</v>
      </c>
      <c r="U112" s="106">
        <v>45601</v>
      </c>
      <c r="V112" s="71">
        <f>IF(registreGarantie[[#This Row],[Pièces 
Demandés]]="","",registreGarantie[[#This Row],[Date]])</f>
        <v>45583</v>
      </c>
      <c r="W112" s="103">
        <f>IF(registreGarantie[[#This Row],[Pièces 
Demandés]]="","",IF(registreGarantie[[#This Row],[date paiement]]="","",registreGarantie[[#This Row],[date paiement]]+91))</f>
        <v>45692</v>
      </c>
      <c r="X1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2" s="74" t="str">
        <f ca="1">IF(registreGarantie[[#This Row],[Colonne1]]=0,"",IF(TODAY()&gt;registreGarantie[[#This Row],[Date rebus]],0,1))</f>
        <v/>
      </c>
      <c r="Z112" s="66"/>
      <c r="AA112" s="73">
        <f>IF(AND(registreGarantie[[#This Row],[Montant non remboursé]]&gt;1,registreGarantie[[#This Row],[Montant non remboursé]]&lt;&gt;""),1,"")</f>
        <v>1</v>
      </c>
      <c r="AB112" s="66"/>
      <c r="AC112" s="66"/>
      <c r="AD112" s="87">
        <f t="shared" si="1"/>
        <v>112</v>
      </c>
      <c r="AE112" s="109"/>
    </row>
    <row r="113" spans="1:31" ht="18" customHeight="1" thickBot="1" x14ac:dyDescent="0.4">
      <c r="A113" s="64">
        <v>44820</v>
      </c>
      <c r="B113" s="64">
        <v>42832</v>
      </c>
      <c r="C113" s="106">
        <v>45583</v>
      </c>
      <c r="D113" s="66" t="s">
        <v>1081</v>
      </c>
      <c r="E113" s="66" t="s">
        <v>718</v>
      </c>
      <c r="F113" s="68" t="s">
        <v>2307</v>
      </c>
      <c r="G113" s="66" t="s">
        <v>58</v>
      </c>
      <c r="H113" s="64">
        <v>100</v>
      </c>
      <c r="I113" s="67" t="s">
        <v>18</v>
      </c>
      <c r="J113" s="97">
        <v>404431211</v>
      </c>
      <c r="K113" s="66"/>
      <c r="L113" s="68"/>
      <c r="M113" s="69">
        <v>345.89</v>
      </c>
      <c r="N113" s="69">
        <v>258.01</v>
      </c>
      <c r="O113" s="70" t="str">
        <f>IF(registreGarantie[[#This Row],[date paiement]]="","",registreGarantie[[#This Row],[Pièces 
Demandés]]-registreGarantie[[#This Row],[Pièces 
Remboursés]])</f>
        <v/>
      </c>
      <c r="P113" s="69">
        <v>246</v>
      </c>
      <c r="Q113" s="69">
        <v>246</v>
      </c>
      <c r="R113" s="70" t="str">
        <f>IF(registreGarantie[[#This Row],[date paiement]]="","",registreGarantie[[#This Row],[MO
Demandé]]-registreGarantie[[#This Row],[MO
Remboursé]])</f>
        <v/>
      </c>
      <c r="S113" s="69"/>
      <c r="T113" s="70" t="str">
        <f>IF(registreGarantie[[#This Row],[date paiement]]="","",registreGarantie[[#This Row],[MO
Refusé]]+registreGarantie[[#This Row],[Pièces
Refusés]])</f>
        <v/>
      </c>
      <c r="U113" s="106"/>
      <c r="V113" s="71">
        <f>IF(registreGarantie[[#This Row],[Pièces 
Demandés]]="","",registreGarantie[[#This Row],[Date]])</f>
        <v>45583</v>
      </c>
      <c r="W113" s="103" t="str">
        <f>IF(registreGarantie[[#This Row],[Pièces 
Demandés]]="","",IF(registreGarantie[[#This Row],[date paiement]]="","",registreGarantie[[#This Row],[date paiement]]+91))</f>
        <v/>
      </c>
      <c r="X1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3" s="74" t="str">
        <f ca="1">IF(registreGarantie[[#This Row],[Colonne1]]=0,"",IF(TODAY()&gt;registreGarantie[[#This Row],[Date rebus]],0,1))</f>
        <v/>
      </c>
      <c r="Z113" s="66"/>
      <c r="AA113" s="73" t="str">
        <f>IF(AND(registreGarantie[[#This Row],[Montant non remboursé]]&gt;1,registreGarantie[[#This Row],[Montant non remboursé]]&lt;&gt;""),1,"")</f>
        <v/>
      </c>
      <c r="AB113" s="66"/>
      <c r="AC113" s="66"/>
      <c r="AD113" s="87">
        <f t="shared" si="1"/>
        <v>113</v>
      </c>
      <c r="AE113" s="109"/>
    </row>
    <row r="114" spans="1:31" ht="18" customHeight="1" thickBot="1" x14ac:dyDescent="0.4">
      <c r="A114" s="64">
        <v>44821</v>
      </c>
      <c r="B114" s="64">
        <v>42866</v>
      </c>
      <c r="C114" s="106">
        <v>45435</v>
      </c>
      <c r="D114" s="66" t="s">
        <v>1647</v>
      </c>
      <c r="E114" s="66" t="s">
        <v>106</v>
      </c>
      <c r="F114" s="68" t="s">
        <v>2328</v>
      </c>
      <c r="G114" s="66" t="s">
        <v>1648</v>
      </c>
      <c r="H114" s="64" t="s">
        <v>1546</v>
      </c>
      <c r="I114" s="67" t="s">
        <v>2</v>
      </c>
      <c r="J114" s="97">
        <v>404232323</v>
      </c>
      <c r="K114" s="66"/>
      <c r="L114" s="68" t="s">
        <v>2329</v>
      </c>
      <c r="M114" s="69">
        <v>38.270000000000003</v>
      </c>
      <c r="N114" s="69">
        <v>38.270000000000003</v>
      </c>
      <c r="O114" s="70">
        <f>IF(registreGarantie[[#This Row],[date paiement]]="","",registreGarantie[[#This Row],[Pièces 
Demandés]]-registreGarantie[[#This Row],[Pièces 
Remboursés]])</f>
        <v>0</v>
      </c>
      <c r="P114" s="69">
        <v>153.75</v>
      </c>
      <c r="Q114" s="69">
        <v>153.75</v>
      </c>
      <c r="R114" s="70">
        <f>IF(registreGarantie[[#This Row],[date paiement]]="","",registreGarantie[[#This Row],[MO
Demandé]]-registreGarantie[[#This Row],[MO
Remboursé]])</f>
        <v>0</v>
      </c>
      <c r="S114" s="69"/>
      <c r="T114" s="70">
        <f>IF(registreGarantie[[#This Row],[date paiement]]="","",registreGarantie[[#This Row],[MO
Refusé]]+registreGarantie[[#This Row],[Pièces
Refusés]])</f>
        <v>0</v>
      </c>
      <c r="U114" s="106">
        <v>45504</v>
      </c>
      <c r="V114" s="71">
        <f>IF(registreGarantie[[#This Row],[Pièces 
Demandés]]="","",registreGarantie[[#This Row],[Date]])</f>
        <v>45435</v>
      </c>
      <c r="W114" s="103">
        <f>IF(registreGarantie[[#This Row],[Pièces 
Demandés]]="","",IF(registreGarantie[[#This Row],[date paiement]]="","",registreGarantie[[#This Row],[date paiement]]+91))</f>
        <v>45595</v>
      </c>
      <c r="X1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14" s="74">
        <f ca="1">IF(registreGarantie[[#This Row],[Colonne1]]=0,"",IF(TODAY()&gt;registreGarantie[[#This Row],[Date rebus]],0,1))</f>
        <v>0</v>
      </c>
      <c r="Z114" s="66"/>
      <c r="AA114" s="73" t="str">
        <f>IF(AND(registreGarantie[[#This Row],[Montant non remboursé]]&gt;1,registreGarantie[[#This Row],[Montant non remboursé]]&lt;&gt;""),1,"")</f>
        <v/>
      </c>
      <c r="AB114" s="66"/>
      <c r="AC114" s="66"/>
      <c r="AD114" s="87">
        <f t="shared" si="1"/>
        <v>114</v>
      </c>
      <c r="AE114" s="109"/>
    </row>
    <row r="115" spans="1:31" ht="18" customHeight="1" thickBot="1" x14ac:dyDescent="0.4">
      <c r="A115" s="64">
        <v>44822</v>
      </c>
      <c r="B115" s="64">
        <v>42823</v>
      </c>
      <c r="C115" s="106">
        <v>45436</v>
      </c>
      <c r="D115" s="66" t="s">
        <v>86</v>
      </c>
      <c r="E115" s="66" t="s">
        <v>148</v>
      </c>
      <c r="F115" s="68" t="s">
        <v>2240</v>
      </c>
      <c r="G115" s="66" t="s">
        <v>148</v>
      </c>
      <c r="H115" s="64" t="s">
        <v>1649</v>
      </c>
      <c r="I115" s="67" t="s">
        <v>2</v>
      </c>
      <c r="J115" s="97">
        <v>404233203</v>
      </c>
      <c r="K115" s="66"/>
      <c r="L115" s="68"/>
      <c r="M115" s="69"/>
      <c r="N115" s="69"/>
      <c r="O115" s="70">
        <f>IF(registreGarantie[[#This Row],[date paiement]]="","",registreGarantie[[#This Row],[Pièces 
Demandés]]-registreGarantie[[#This Row],[Pièces 
Remboursés]])</f>
        <v>0</v>
      </c>
      <c r="P115" s="69">
        <v>369</v>
      </c>
      <c r="Q115" s="69">
        <v>369</v>
      </c>
      <c r="R115" s="70">
        <f>IF(registreGarantie[[#This Row],[date paiement]]="","",registreGarantie[[#This Row],[MO
Demandé]]-registreGarantie[[#This Row],[MO
Remboursé]])</f>
        <v>0</v>
      </c>
      <c r="S115" s="69">
        <v>150</v>
      </c>
      <c r="T115" s="70">
        <f>IF(registreGarantie[[#This Row],[date paiement]]="","",registreGarantie[[#This Row],[MO
Refusé]]+registreGarantie[[#This Row],[Pièces
Refusés]])</f>
        <v>0</v>
      </c>
      <c r="U115" s="106">
        <v>45464</v>
      </c>
      <c r="V115" s="71" t="str">
        <f>IF(registreGarantie[[#This Row],[Pièces 
Demandés]]="","",registreGarantie[[#This Row],[Date]])</f>
        <v/>
      </c>
      <c r="W115" s="103" t="str">
        <f>IF(registreGarantie[[#This Row],[Pièces 
Demandés]]="","",IF(registreGarantie[[#This Row],[date paiement]]="","",registreGarantie[[#This Row],[date paiement]]+91))</f>
        <v/>
      </c>
      <c r="X1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5" s="74" t="str">
        <f ca="1">IF(registreGarantie[[#This Row],[Colonne1]]=0,"",IF(TODAY()&gt;registreGarantie[[#This Row],[Date rebus]],0,1))</f>
        <v/>
      </c>
      <c r="Z115" s="66"/>
      <c r="AA115" s="73" t="str">
        <f>IF(AND(registreGarantie[[#This Row],[Montant non remboursé]]&gt;1,registreGarantie[[#This Row],[Montant non remboursé]]&lt;&gt;""),1,"")</f>
        <v/>
      </c>
      <c r="AB115" s="66"/>
      <c r="AC115" s="66"/>
      <c r="AD115" s="87">
        <f t="shared" si="1"/>
        <v>115</v>
      </c>
      <c r="AE115" s="109"/>
    </row>
    <row r="116" spans="1:31" ht="18" customHeight="1" thickBot="1" x14ac:dyDescent="0.4">
      <c r="A116" s="64">
        <v>44823</v>
      </c>
      <c r="B116" s="64">
        <v>42842</v>
      </c>
      <c r="C116" s="106">
        <v>45406</v>
      </c>
      <c r="D116" s="66" t="s">
        <v>41</v>
      </c>
      <c r="E116" s="66" t="s">
        <v>412</v>
      </c>
      <c r="F116" s="68" t="s">
        <v>2271</v>
      </c>
      <c r="G116" s="66" t="s">
        <v>1650</v>
      </c>
      <c r="H116" s="64" t="s">
        <v>1651</v>
      </c>
      <c r="I116" s="67" t="s">
        <v>19</v>
      </c>
      <c r="J116" s="97">
        <v>404233392</v>
      </c>
      <c r="K116" s="66"/>
      <c r="L116" s="68"/>
      <c r="M116" s="69"/>
      <c r="N116" s="69"/>
      <c r="O116" s="70" t="str">
        <f>IF(registreGarantie[[#This Row],[date paiement]]="","",registreGarantie[[#This Row],[Pièces 
Demandés]]-registreGarantie[[#This Row],[Pièces 
Remboursés]])</f>
        <v/>
      </c>
      <c r="P116" s="69"/>
      <c r="Q116" s="69"/>
      <c r="R116" s="70" t="str">
        <f>IF(registreGarantie[[#This Row],[date paiement]]="","",registreGarantie[[#This Row],[MO
Demandé]]-registreGarantie[[#This Row],[MO
Remboursé]])</f>
        <v/>
      </c>
      <c r="S116" s="69"/>
      <c r="T116" s="70" t="str">
        <f>IF(registreGarantie[[#This Row],[date paiement]]="","",registreGarantie[[#This Row],[MO
Refusé]]+registreGarantie[[#This Row],[Pièces
Refusés]])</f>
        <v/>
      </c>
      <c r="U116" s="106"/>
      <c r="V116" s="71" t="str">
        <f>IF(registreGarantie[[#This Row],[Pièces 
Demandés]]="","",registreGarantie[[#This Row],[Date]])</f>
        <v/>
      </c>
      <c r="W116" s="103" t="str">
        <f>IF(registreGarantie[[#This Row],[Pièces 
Demandés]]="","",IF(registreGarantie[[#This Row],[date paiement]]="","",registreGarantie[[#This Row],[date paiement]]+91))</f>
        <v/>
      </c>
      <c r="X1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6" s="74" t="str">
        <f ca="1">IF(registreGarantie[[#This Row],[Colonne1]]=0,"",IF(TODAY()&gt;registreGarantie[[#This Row],[Date rebus]],0,1))</f>
        <v/>
      </c>
      <c r="Z116" s="66"/>
      <c r="AA116" s="73" t="str">
        <f>IF(AND(registreGarantie[[#This Row],[Montant non remboursé]]&gt;1,registreGarantie[[#This Row],[Montant non remboursé]]&lt;&gt;""),1,"")</f>
        <v/>
      </c>
      <c r="AB116" s="66"/>
      <c r="AC116" s="66"/>
      <c r="AD116" s="87">
        <f t="shared" si="1"/>
        <v>116</v>
      </c>
      <c r="AE116" s="109"/>
    </row>
    <row r="117" spans="1:31" ht="18" customHeight="1" thickBot="1" x14ac:dyDescent="0.4">
      <c r="A117" s="64">
        <v>44824</v>
      </c>
      <c r="B117" s="64">
        <v>42520</v>
      </c>
      <c r="C117" s="106">
        <v>45406</v>
      </c>
      <c r="D117" s="66" t="s">
        <v>470</v>
      </c>
      <c r="E117" s="66" t="s">
        <v>179</v>
      </c>
      <c r="F117" s="68" t="s">
        <v>2285</v>
      </c>
      <c r="G117" s="66" t="s">
        <v>1652</v>
      </c>
      <c r="H117" s="64" t="s">
        <v>1653</v>
      </c>
      <c r="I117" s="67" t="s">
        <v>18</v>
      </c>
      <c r="J117" s="97">
        <v>404233785</v>
      </c>
      <c r="K117" s="66"/>
      <c r="L117" s="68"/>
      <c r="M117" s="69"/>
      <c r="N117" s="69"/>
      <c r="O117" s="70" t="str">
        <f>IF(registreGarantie[[#This Row],[date paiement]]="","",registreGarantie[[#This Row],[Pièces 
Demandés]]-registreGarantie[[#This Row],[Pièces 
Remboursés]])</f>
        <v/>
      </c>
      <c r="P117" s="69"/>
      <c r="Q117" s="69"/>
      <c r="R117" s="70" t="str">
        <f>IF(registreGarantie[[#This Row],[date paiement]]="","",registreGarantie[[#This Row],[MO
Demandé]]-registreGarantie[[#This Row],[MO
Remboursé]])</f>
        <v/>
      </c>
      <c r="S117" s="69"/>
      <c r="T117" s="70" t="str">
        <f>IF(registreGarantie[[#This Row],[date paiement]]="","",registreGarantie[[#This Row],[MO
Refusé]]+registreGarantie[[#This Row],[Pièces
Refusés]])</f>
        <v/>
      </c>
      <c r="U117" s="106"/>
      <c r="V117" s="71" t="str">
        <f>IF(registreGarantie[[#This Row],[Pièces 
Demandés]]="","",registreGarantie[[#This Row],[Date]])</f>
        <v/>
      </c>
      <c r="W117" s="103" t="str">
        <f>IF(registreGarantie[[#This Row],[Pièces 
Demandés]]="","",IF(registreGarantie[[#This Row],[date paiement]]="","",registreGarantie[[#This Row],[date paiement]]+91))</f>
        <v/>
      </c>
      <c r="X1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7" s="74" t="str">
        <f ca="1">IF(registreGarantie[[#This Row],[Colonne1]]=0,"",IF(TODAY()&gt;registreGarantie[[#This Row],[Date rebus]],0,1))</f>
        <v/>
      </c>
      <c r="Z117" s="66"/>
      <c r="AA117" s="73" t="str">
        <f>IF(AND(registreGarantie[[#This Row],[Montant non remboursé]]&gt;1,registreGarantie[[#This Row],[Montant non remboursé]]&lt;&gt;""),1,"")</f>
        <v/>
      </c>
      <c r="AB117" s="66"/>
      <c r="AC117" s="66"/>
      <c r="AD117" s="87">
        <f t="shared" si="1"/>
        <v>117</v>
      </c>
      <c r="AE117" s="109"/>
    </row>
    <row r="118" spans="1:31" ht="18" customHeight="1" thickBot="1" x14ac:dyDescent="0.4">
      <c r="A118" s="64">
        <v>44825</v>
      </c>
      <c r="B118" s="64">
        <v>42901</v>
      </c>
      <c r="C118" s="106">
        <v>45505</v>
      </c>
      <c r="D118" s="66" t="s">
        <v>1654</v>
      </c>
      <c r="E118" s="66" t="s">
        <v>1655</v>
      </c>
      <c r="F118" s="68"/>
      <c r="G118" s="66" t="s">
        <v>1656</v>
      </c>
      <c r="H118" s="64" t="s">
        <v>1657</v>
      </c>
      <c r="I118" s="67" t="s">
        <v>21</v>
      </c>
      <c r="J118" s="97" t="s">
        <v>1658</v>
      </c>
      <c r="K118" s="66"/>
      <c r="L118" s="68"/>
      <c r="M118" s="69">
        <v>329.25</v>
      </c>
      <c r="N118" s="69">
        <v>329.25</v>
      </c>
      <c r="O118" s="70">
        <f>IF(registreGarantie[[#This Row],[date paiement]]="","",registreGarantie[[#This Row],[Pièces 
Demandés]]-registreGarantie[[#This Row],[Pièces 
Remboursés]])</f>
        <v>0</v>
      </c>
      <c r="P118" s="69">
        <v>51</v>
      </c>
      <c r="Q118" s="69">
        <v>51</v>
      </c>
      <c r="R118" s="70">
        <f>IF(registreGarantie[[#This Row],[date paiement]]="","",registreGarantie[[#This Row],[MO
Demandé]]-registreGarantie[[#This Row],[MO
Remboursé]])</f>
        <v>0</v>
      </c>
      <c r="S118" s="69"/>
      <c r="T118" s="70">
        <f>IF(registreGarantie[[#This Row],[date paiement]]="","",registreGarantie[[#This Row],[MO
Refusé]]+registreGarantie[[#This Row],[Pièces
Refusés]])</f>
        <v>0</v>
      </c>
      <c r="U118" s="106">
        <v>45532</v>
      </c>
      <c r="V118" s="71">
        <f>IF(registreGarantie[[#This Row],[Pièces 
Demandés]]="","",registreGarantie[[#This Row],[Date]])</f>
        <v>45505</v>
      </c>
      <c r="W118" s="103">
        <f>IF(registreGarantie[[#This Row],[Pièces 
Demandés]]="","",IF(registreGarantie[[#This Row],[date paiement]]="","",registreGarantie[[#This Row],[date paiement]]+91))</f>
        <v>45623</v>
      </c>
      <c r="X1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18" s="74" t="str">
        <f ca="1">IF(registreGarantie[[#This Row],[Colonne1]]=0,"",IF(TODAY()&gt;registreGarantie[[#This Row],[Date rebus]],0,1))</f>
        <v/>
      </c>
      <c r="Z118" s="66"/>
      <c r="AA118" s="73" t="str">
        <f>IF(AND(registreGarantie[[#This Row],[Montant non remboursé]]&gt;1,registreGarantie[[#This Row],[Montant non remboursé]]&lt;&gt;""),1,"")</f>
        <v/>
      </c>
      <c r="AB118" s="66"/>
      <c r="AC118" s="66"/>
      <c r="AD118" s="87">
        <f t="shared" si="1"/>
        <v>118</v>
      </c>
      <c r="AE118" s="109"/>
    </row>
    <row r="119" spans="1:31" ht="18" customHeight="1" thickBot="1" x14ac:dyDescent="0.4">
      <c r="A119" s="64">
        <v>44826</v>
      </c>
      <c r="B119" s="64">
        <v>42350</v>
      </c>
      <c r="C119" s="106">
        <v>45442</v>
      </c>
      <c r="D119" s="66" t="s">
        <v>375</v>
      </c>
      <c r="E119" s="66" t="s">
        <v>75</v>
      </c>
      <c r="F119" s="68" t="s">
        <v>2284</v>
      </c>
      <c r="G119" s="66" t="s">
        <v>525</v>
      </c>
      <c r="H119" s="64">
        <v>2065</v>
      </c>
      <c r="I119" s="67" t="s">
        <v>2</v>
      </c>
      <c r="J119" s="97">
        <v>404242802</v>
      </c>
      <c r="K119" s="66"/>
      <c r="L119" s="68"/>
      <c r="M119" s="69">
        <v>130.06</v>
      </c>
      <c r="N119" s="69">
        <v>130.06</v>
      </c>
      <c r="O119" s="70">
        <f>IF(registreGarantie[[#This Row],[date paiement]]="","",registreGarantie[[#This Row],[Pièces 
Demandés]]-registreGarantie[[#This Row],[Pièces 
Remboursés]])</f>
        <v>0</v>
      </c>
      <c r="P119" s="69">
        <v>2337</v>
      </c>
      <c r="Q119" s="69">
        <v>1968</v>
      </c>
      <c r="R119" s="70">
        <f>IF(registreGarantie[[#This Row],[date paiement]]="","",registreGarantie[[#This Row],[MO
Demandé]]-registreGarantie[[#This Row],[MO
Remboursé]])</f>
        <v>369</v>
      </c>
      <c r="S119" s="69"/>
      <c r="T119" s="70">
        <f>IF(registreGarantie[[#This Row],[date paiement]]="","",registreGarantie[[#This Row],[MO
Refusé]]+registreGarantie[[#This Row],[Pièces
Refusés]])</f>
        <v>369</v>
      </c>
      <c r="U119" s="106">
        <v>45504</v>
      </c>
      <c r="V119" s="71">
        <f>IF(registreGarantie[[#This Row],[Pièces 
Demandés]]="","",registreGarantie[[#This Row],[Date]])</f>
        <v>45442</v>
      </c>
      <c r="W119" s="103">
        <f>IF(registreGarantie[[#This Row],[Pièces 
Demandés]]="","",IF(registreGarantie[[#This Row],[date paiement]]="","",registreGarantie[[#This Row],[date paiement]]+91))</f>
        <v>45595</v>
      </c>
      <c r="X1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19" s="74">
        <f ca="1">IF(registreGarantie[[#This Row],[Colonne1]]=0,"",IF(TODAY()&gt;registreGarantie[[#This Row],[Date rebus]],0,1))</f>
        <v>0</v>
      </c>
      <c r="Z119" s="66" t="s">
        <v>1610</v>
      </c>
      <c r="AA119" s="73">
        <f>IF(AND(registreGarantie[[#This Row],[Montant non remboursé]]&gt;1,registreGarantie[[#This Row],[Montant non remboursé]]&lt;&gt;""),1,"")</f>
        <v>1</v>
      </c>
      <c r="AB119" s="66"/>
      <c r="AC119" s="66"/>
      <c r="AD119" s="87">
        <f t="shared" si="1"/>
        <v>119</v>
      </c>
      <c r="AE119" s="109"/>
    </row>
    <row r="120" spans="1:31" ht="18" customHeight="1" thickBot="1" x14ac:dyDescent="0.4">
      <c r="A120" s="64">
        <v>44827</v>
      </c>
      <c r="B120" s="64">
        <v>42829</v>
      </c>
      <c r="C120" s="106">
        <v>45442</v>
      </c>
      <c r="D120" s="66" t="s">
        <v>516</v>
      </c>
      <c r="E120" s="66" t="s">
        <v>1659</v>
      </c>
      <c r="F120" s="68" t="s">
        <v>2322</v>
      </c>
      <c r="G120" s="66" t="s">
        <v>1660</v>
      </c>
      <c r="H120" s="64">
        <v>135</v>
      </c>
      <c r="I120" s="67" t="s">
        <v>2</v>
      </c>
      <c r="J120" s="97">
        <v>404242969</v>
      </c>
      <c r="K120" s="66"/>
      <c r="L120" s="68"/>
      <c r="M120" s="69">
        <v>280.70999999999998</v>
      </c>
      <c r="N120" s="69">
        <v>280.70999999999998</v>
      </c>
      <c r="O120" s="70">
        <f>IF(registreGarantie[[#This Row],[date paiement]]="","",registreGarantie[[#This Row],[Pièces 
Demandés]]-registreGarantie[[#This Row],[Pièces 
Remboursés]])</f>
        <v>0</v>
      </c>
      <c r="P120" s="69">
        <v>92.35</v>
      </c>
      <c r="Q120" s="69">
        <v>92.35</v>
      </c>
      <c r="R120" s="70">
        <f>IF(registreGarantie[[#This Row],[date paiement]]="","",registreGarantie[[#This Row],[MO
Demandé]]-registreGarantie[[#This Row],[MO
Remboursé]])</f>
        <v>0</v>
      </c>
      <c r="S120" s="69"/>
      <c r="T120" s="70">
        <f>IF(registreGarantie[[#This Row],[date paiement]]="","",registreGarantie[[#This Row],[MO
Refusé]]+registreGarantie[[#This Row],[Pièces
Refusés]])</f>
        <v>0</v>
      </c>
      <c r="U120" s="106">
        <v>45449</v>
      </c>
      <c r="V120" s="71">
        <f>IF(registreGarantie[[#This Row],[Pièces 
Demandés]]="","",registreGarantie[[#This Row],[Date]])</f>
        <v>45442</v>
      </c>
      <c r="W120" s="103">
        <f>IF(registreGarantie[[#This Row],[Pièces 
Demandés]]="","",IF(registreGarantie[[#This Row],[date paiement]]="","",registreGarantie[[#This Row],[date paiement]]+91))</f>
        <v>45540</v>
      </c>
      <c r="X1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20" s="74">
        <f ca="1">IF(registreGarantie[[#This Row],[Colonne1]]=0,"",IF(TODAY()&gt;registreGarantie[[#This Row],[Date rebus]],0,1))</f>
        <v>0</v>
      </c>
      <c r="Z120" s="66"/>
      <c r="AA120" s="73" t="str">
        <f>IF(AND(registreGarantie[[#This Row],[Montant non remboursé]]&gt;1,registreGarantie[[#This Row],[Montant non remboursé]]&lt;&gt;""),1,"")</f>
        <v/>
      </c>
      <c r="AB120" s="66">
        <v>1</v>
      </c>
      <c r="AC120" s="66" t="s">
        <v>1661</v>
      </c>
      <c r="AD120" s="87">
        <f t="shared" si="1"/>
        <v>120</v>
      </c>
      <c r="AE120" s="109"/>
    </row>
    <row r="121" spans="1:31" ht="18" customHeight="1" thickBot="1" x14ac:dyDescent="0.4">
      <c r="A121" s="64">
        <v>44828</v>
      </c>
      <c r="B121" s="64">
        <v>5839</v>
      </c>
      <c r="C121" s="106">
        <v>45446</v>
      </c>
      <c r="D121" s="66" t="s">
        <v>333</v>
      </c>
      <c r="E121" s="66" t="s">
        <v>334</v>
      </c>
      <c r="F121" s="68" t="s">
        <v>2282</v>
      </c>
      <c r="G121" s="66" t="s">
        <v>1662</v>
      </c>
      <c r="H121" s="64" t="s">
        <v>1663</v>
      </c>
      <c r="I121" s="67" t="s">
        <v>2</v>
      </c>
      <c r="J121" s="97">
        <v>404249085</v>
      </c>
      <c r="K121" s="66"/>
      <c r="L121" s="68"/>
      <c r="M121" s="69"/>
      <c r="N121" s="69"/>
      <c r="O121" s="70">
        <f>IF(registreGarantie[[#This Row],[date paiement]]="","",registreGarantie[[#This Row],[Pièces 
Demandés]]-registreGarantie[[#This Row],[Pièces 
Remboursés]])</f>
        <v>0</v>
      </c>
      <c r="P121" s="69">
        <v>30.75</v>
      </c>
      <c r="Q121" s="69">
        <v>30.75</v>
      </c>
      <c r="R121" s="70">
        <f>IF(registreGarantie[[#This Row],[date paiement]]="","",registreGarantie[[#This Row],[MO
Demandé]]-registreGarantie[[#This Row],[MO
Remboursé]])</f>
        <v>0</v>
      </c>
      <c r="S121" s="69"/>
      <c r="T121" s="70">
        <f>IF(registreGarantie[[#This Row],[date paiement]]="","",registreGarantie[[#This Row],[MO
Refusé]]+registreGarantie[[#This Row],[Pièces
Refusés]])</f>
        <v>0</v>
      </c>
      <c r="U121" s="106">
        <v>45464</v>
      </c>
      <c r="V121" s="71" t="str">
        <f>IF(registreGarantie[[#This Row],[Pièces 
Demandés]]="","",registreGarantie[[#This Row],[Date]])</f>
        <v/>
      </c>
      <c r="W121" s="103" t="str">
        <f>IF(registreGarantie[[#This Row],[Pièces 
Demandés]]="","",IF(registreGarantie[[#This Row],[date paiement]]="","",registreGarantie[[#This Row],[date paiement]]+91))</f>
        <v/>
      </c>
      <c r="X1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1" s="74" t="str">
        <f ca="1">IF(registreGarantie[[#This Row],[Colonne1]]=0,"",IF(TODAY()&gt;registreGarantie[[#This Row],[Date rebus]],0,1))</f>
        <v/>
      </c>
      <c r="Z121" s="66"/>
      <c r="AA121" s="73" t="str">
        <f>IF(AND(registreGarantie[[#This Row],[Montant non remboursé]]&gt;1,registreGarantie[[#This Row],[Montant non remboursé]]&lt;&gt;""),1,"")</f>
        <v/>
      </c>
      <c r="AB121" s="66"/>
      <c r="AC121" s="66"/>
      <c r="AD121" s="87">
        <f t="shared" si="1"/>
        <v>121</v>
      </c>
      <c r="AE121" s="109"/>
    </row>
    <row r="122" spans="1:31" ht="18" customHeight="1" thickBot="1" x14ac:dyDescent="0.4">
      <c r="A122" s="64">
        <v>44829</v>
      </c>
      <c r="B122" s="64">
        <v>5824</v>
      </c>
      <c r="C122" s="106">
        <v>45446</v>
      </c>
      <c r="D122" s="66" t="s">
        <v>333</v>
      </c>
      <c r="E122" s="66" t="s">
        <v>334</v>
      </c>
      <c r="F122" s="68" t="s">
        <v>2282</v>
      </c>
      <c r="G122" s="66" t="s">
        <v>1664</v>
      </c>
      <c r="H122" s="64" t="s">
        <v>1663</v>
      </c>
      <c r="I122" s="67" t="s">
        <v>18</v>
      </c>
      <c r="J122" s="97">
        <v>404249167</v>
      </c>
      <c r="K122" s="66"/>
      <c r="L122" s="68"/>
      <c r="M122" s="69"/>
      <c r="N122" s="69"/>
      <c r="O122" s="70" t="str">
        <f>IF(registreGarantie[[#This Row],[date paiement]]="","",registreGarantie[[#This Row],[Pièces 
Demandés]]-registreGarantie[[#This Row],[Pièces 
Remboursés]])</f>
        <v/>
      </c>
      <c r="P122" s="69"/>
      <c r="Q122" s="69"/>
      <c r="R122" s="70" t="str">
        <f>IF(registreGarantie[[#This Row],[date paiement]]="","",registreGarantie[[#This Row],[MO
Demandé]]-registreGarantie[[#This Row],[MO
Remboursé]])</f>
        <v/>
      </c>
      <c r="S122" s="69"/>
      <c r="T122" s="70" t="str">
        <f>IF(registreGarantie[[#This Row],[date paiement]]="","",registreGarantie[[#This Row],[MO
Refusé]]+registreGarantie[[#This Row],[Pièces
Refusés]])</f>
        <v/>
      </c>
      <c r="U122" s="106"/>
      <c r="V122" s="71" t="str">
        <f>IF(registreGarantie[[#This Row],[Pièces 
Demandés]]="","",registreGarantie[[#This Row],[Date]])</f>
        <v/>
      </c>
      <c r="W122" s="103" t="str">
        <f>IF(registreGarantie[[#This Row],[Pièces 
Demandés]]="","",IF(registreGarantie[[#This Row],[date paiement]]="","",registreGarantie[[#This Row],[date paiement]]+91))</f>
        <v/>
      </c>
      <c r="X1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2" s="74" t="str">
        <f ca="1">IF(registreGarantie[[#This Row],[Colonne1]]=0,"",IF(TODAY()&gt;registreGarantie[[#This Row],[Date rebus]],0,1))</f>
        <v/>
      </c>
      <c r="Z122" s="66"/>
      <c r="AA122" s="73" t="str">
        <f>IF(AND(registreGarantie[[#This Row],[Montant non remboursé]]&gt;1,registreGarantie[[#This Row],[Montant non remboursé]]&lt;&gt;""),1,"")</f>
        <v/>
      </c>
      <c r="AB122" s="66"/>
      <c r="AC122" s="66"/>
      <c r="AD122" s="87">
        <f t="shared" si="1"/>
        <v>122</v>
      </c>
      <c r="AE122" s="109"/>
    </row>
    <row r="123" spans="1:31" ht="18" customHeight="1" thickBot="1" x14ac:dyDescent="0.4">
      <c r="A123" s="64">
        <v>44829</v>
      </c>
      <c r="B123" s="64">
        <v>5824</v>
      </c>
      <c r="C123" s="106">
        <v>45446</v>
      </c>
      <c r="D123" s="66" t="s">
        <v>333</v>
      </c>
      <c r="E123" s="66" t="s">
        <v>334</v>
      </c>
      <c r="F123" s="68" t="s">
        <v>2282</v>
      </c>
      <c r="G123" s="66" t="s">
        <v>1664</v>
      </c>
      <c r="H123" s="64" t="s">
        <v>1663</v>
      </c>
      <c r="I123" s="67" t="s">
        <v>19</v>
      </c>
      <c r="J123" s="97">
        <v>404249156</v>
      </c>
      <c r="K123" s="66"/>
      <c r="L123" s="68"/>
      <c r="M123" s="69"/>
      <c r="N123" s="69"/>
      <c r="O123" s="70" t="str">
        <f>IF(registreGarantie[[#This Row],[date paiement]]="","",registreGarantie[[#This Row],[Pièces 
Demandés]]-registreGarantie[[#This Row],[Pièces 
Remboursés]])</f>
        <v/>
      </c>
      <c r="P123" s="69"/>
      <c r="Q123" s="69"/>
      <c r="R123" s="70" t="str">
        <f>IF(registreGarantie[[#This Row],[date paiement]]="","",registreGarantie[[#This Row],[MO
Demandé]]-registreGarantie[[#This Row],[MO
Remboursé]])</f>
        <v/>
      </c>
      <c r="S123" s="69"/>
      <c r="T123" s="70" t="str">
        <f>IF(registreGarantie[[#This Row],[date paiement]]="","",registreGarantie[[#This Row],[MO
Refusé]]+registreGarantie[[#This Row],[Pièces
Refusés]])</f>
        <v/>
      </c>
      <c r="U123" s="106"/>
      <c r="V123" s="71" t="str">
        <f>IF(registreGarantie[[#This Row],[Pièces 
Demandés]]="","",registreGarantie[[#This Row],[Date]])</f>
        <v/>
      </c>
      <c r="W123" s="103" t="str">
        <f>IF(registreGarantie[[#This Row],[Pièces 
Demandés]]="","",IF(registreGarantie[[#This Row],[date paiement]]="","",registreGarantie[[#This Row],[date paiement]]+91))</f>
        <v/>
      </c>
      <c r="X1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3" s="74" t="str">
        <f ca="1">IF(registreGarantie[[#This Row],[Colonne1]]=0,"",IF(TODAY()&gt;registreGarantie[[#This Row],[Date rebus]],0,1))</f>
        <v/>
      </c>
      <c r="Z123" s="66"/>
      <c r="AA123" s="73" t="str">
        <f>IF(AND(registreGarantie[[#This Row],[Montant non remboursé]]&gt;1,registreGarantie[[#This Row],[Montant non remboursé]]&lt;&gt;""),1,"")</f>
        <v/>
      </c>
      <c r="AB123" s="66"/>
      <c r="AC123" s="66"/>
      <c r="AD123" s="87">
        <f t="shared" si="1"/>
        <v>123</v>
      </c>
      <c r="AE123" s="109"/>
    </row>
    <row r="124" spans="1:31" ht="18" customHeight="1" thickBot="1" x14ac:dyDescent="0.4">
      <c r="A124" s="64">
        <v>44830</v>
      </c>
      <c r="B124" s="64">
        <v>5840</v>
      </c>
      <c r="C124" s="106">
        <v>45446</v>
      </c>
      <c r="D124" s="66" t="s">
        <v>333</v>
      </c>
      <c r="E124" s="66" t="s">
        <v>334</v>
      </c>
      <c r="F124" s="68" t="s">
        <v>2282</v>
      </c>
      <c r="G124" s="66" t="s">
        <v>1665</v>
      </c>
      <c r="H124" s="64" t="s">
        <v>1666</v>
      </c>
      <c r="I124" s="67" t="s">
        <v>2</v>
      </c>
      <c r="J124" s="97">
        <v>404249271</v>
      </c>
      <c r="K124" s="66"/>
      <c r="L124" s="68"/>
      <c r="M124" s="69"/>
      <c r="N124" s="69"/>
      <c r="O124" s="70">
        <f>IF(registreGarantie[[#This Row],[date paiement]]="","",registreGarantie[[#This Row],[Pièces 
Demandés]]-registreGarantie[[#This Row],[Pièces 
Remboursés]])</f>
        <v>0</v>
      </c>
      <c r="P124" s="69">
        <v>107.63</v>
      </c>
      <c r="Q124" s="69">
        <v>107.63</v>
      </c>
      <c r="R124" s="70">
        <f>IF(registreGarantie[[#This Row],[date paiement]]="","",registreGarantie[[#This Row],[MO
Demandé]]-registreGarantie[[#This Row],[MO
Remboursé]])</f>
        <v>0</v>
      </c>
      <c r="S124" s="69"/>
      <c r="T124" s="70">
        <f>IF(registreGarantie[[#This Row],[date paiement]]="","",registreGarantie[[#This Row],[MO
Refusé]]+registreGarantie[[#This Row],[Pièces
Refusés]])</f>
        <v>0</v>
      </c>
      <c r="U124" s="106">
        <v>45544</v>
      </c>
      <c r="V124" s="71" t="str">
        <f>IF(registreGarantie[[#This Row],[Pièces 
Demandés]]="","",registreGarantie[[#This Row],[Date]])</f>
        <v/>
      </c>
      <c r="W124" s="103" t="str">
        <f>IF(registreGarantie[[#This Row],[Pièces 
Demandés]]="","",IF(registreGarantie[[#This Row],[date paiement]]="","",registreGarantie[[#This Row],[date paiement]]+91))</f>
        <v/>
      </c>
      <c r="X1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4" s="74" t="str">
        <f ca="1">IF(registreGarantie[[#This Row],[Colonne1]]=0,"",IF(TODAY()&gt;registreGarantie[[#This Row],[Date rebus]],0,1))</f>
        <v/>
      </c>
      <c r="Z124" s="66"/>
      <c r="AA124" s="73" t="str">
        <f>IF(AND(registreGarantie[[#This Row],[Montant non remboursé]]&gt;1,registreGarantie[[#This Row],[Montant non remboursé]]&lt;&gt;""),1,"")</f>
        <v/>
      </c>
      <c r="AB124" s="66"/>
      <c r="AC124" s="66"/>
      <c r="AD124" s="87">
        <f t="shared" si="1"/>
        <v>124</v>
      </c>
      <c r="AE124" s="109"/>
    </row>
    <row r="125" spans="1:31" ht="18" customHeight="1" thickBot="1" x14ac:dyDescent="0.4">
      <c r="A125" s="64">
        <v>44831</v>
      </c>
      <c r="B125" s="64">
        <v>5833</v>
      </c>
      <c r="C125" s="106">
        <v>45446</v>
      </c>
      <c r="D125" s="66" t="s">
        <v>2261</v>
      </c>
      <c r="E125" s="66" t="s">
        <v>45</v>
      </c>
      <c r="F125" s="68" t="s">
        <v>2259</v>
      </c>
      <c r="G125" s="66" t="s">
        <v>1667</v>
      </c>
      <c r="H125" s="64" t="s">
        <v>1668</v>
      </c>
      <c r="I125" s="67" t="s">
        <v>2</v>
      </c>
      <c r="J125" s="97">
        <v>404249428</v>
      </c>
      <c r="K125" s="66"/>
      <c r="L125" s="68"/>
      <c r="M125" s="69">
        <v>7.02</v>
      </c>
      <c r="N125" s="69">
        <v>7.02</v>
      </c>
      <c r="O125" s="70">
        <f>IF(registreGarantie[[#This Row],[date paiement]]="","",registreGarantie[[#This Row],[Pièces 
Demandés]]-registreGarantie[[#This Row],[Pièces 
Remboursés]])</f>
        <v>0</v>
      </c>
      <c r="P125" s="69">
        <v>61.5</v>
      </c>
      <c r="Q125" s="69">
        <v>61.5</v>
      </c>
      <c r="R125" s="70">
        <f>IF(registreGarantie[[#This Row],[date paiement]]="","",registreGarantie[[#This Row],[MO
Demandé]]-registreGarantie[[#This Row],[MO
Remboursé]])</f>
        <v>0</v>
      </c>
      <c r="S125" s="69"/>
      <c r="T125" s="70">
        <f>IF(registreGarantie[[#This Row],[date paiement]]="","",registreGarantie[[#This Row],[MO
Refusé]]+registreGarantie[[#This Row],[Pièces
Refusés]])</f>
        <v>0</v>
      </c>
      <c r="U125" s="106">
        <v>45464</v>
      </c>
      <c r="V125" s="71">
        <f>IF(registreGarantie[[#This Row],[Pièces 
Demandés]]="","",registreGarantie[[#This Row],[Date]])</f>
        <v>45446</v>
      </c>
      <c r="W125" s="103">
        <f>IF(registreGarantie[[#This Row],[Pièces 
Demandés]]="","",IF(registreGarantie[[#This Row],[date paiement]]="","",registreGarantie[[#This Row],[date paiement]]+91))</f>
        <v>45555</v>
      </c>
      <c r="X1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25" s="74">
        <f ca="1">IF(registreGarantie[[#This Row],[Colonne1]]=0,"",IF(TODAY()&gt;registreGarantie[[#This Row],[Date rebus]],0,1))</f>
        <v>0</v>
      </c>
      <c r="Z125" s="66"/>
      <c r="AA125" s="73" t="str">
        <f>IF(AND(registreGarantie[[#This Row],[Montant non remboursé]]&gt;1,registreGarantie[[#This Row],[Montant non remboursé]]&lt;&gt;""),1,"")</f>
        <v/>
      </c>
      <c r="AB125" s="66"/>
      <c r="AC125" s="66"/>
      <c r="AD125" s="87">
        <f t="shared" si="1"/>
        <v>125</v>
      </c>
      <c r="AE125" s="109"/>
    </row>
    <row r="126" spans="1:31" ht="18" customHeight="1" thickBot="1" x14ac:dyDescent="0.4">
      <c r="A126" s="64">
        <v>44832</v>
      </c>
      <c r="B126" s="64">
        <v>5823</v>
      </c>
      <c r="C126" s="106">
        <v>45446</v>
      </c>
      <c r="D126" s="66" t="s">
        <v>74</v>
      </c>
      <c r="E126" s="66" t="s">
        <v>367</v>
      </c>
      <c r="F126" s="68" t="s">
        <v>2253</v>
      </c>
      <c r="G126" s="66" t="s">
        <v>1297</v>
      </c>
      <c r="H126" s="64" t="s">
        <v>1669</v>
      </c>
      <c r="I126" s="67" t="s">
        <v>2</v>
      </c>
      <c r="J126" s="97">
        <v>404249823</v>
      </c>
      <c r="K126" s="66"/>
      <c r="L126" s="68"/>
      <c r="M126" s="69">
        <v>104.79</v>
      </c>
      <c r="N126" s="69">
        <v>104.79</v>
      </c>
      <c r="O126" s="70">
        <f>IF(registreGarantie[[#This Row],[date paiement]]="","",registreGarantie[[#This Row],[Pièces 
Demandés]]-registreGarantie[[#This Row],[Pièces 
Remboursés]])</f>
        <v>0</v>
      </c>
      <c r="P126" s="69">
        <v>1814.25</v>
      </c>
      <c r="Q126" s="69">
        <v>1476</v>
      </c>
      <c r="R126" s="70">
        <f>IF(registreGarantie[[#This Row],[date paiement]]="","",registreGarantie[[#This Row],[MO
Demandé]]-registreGarantie[[#This Row],[MO
Remboursé]])</f>
        <v>338.25</v>
      </c>
      <c r="S126" s="69"/>
      <c r="T126" s="70">
        <f>IF(registreGarantie[[#This Row],[date paiement]]="","",registreGarantie[[#This Row],[MO
Refusé]]+registreGarantie[[#This Row],[Pièces
Refusés]])</f>
        <v>338.25</v>
      </c>
      <c r="U126" s="106">
        <v>45525</v>
      </c>
      <c r="V126" s="71">
        <f>IF(registreGarantie[[#This Row],[Pièces 
Demandés]]="","",registreGarantie[[#This Row],[Date]])</f>
        <v>45446</v>
      </c>
      <c r="W126" s="103">
        <f>IF(registreGarantie[[#This Row],[Pièces 
Demandés]]="","",IF(registreGarantie[[#This Row],[date paiement]]="","",registreGarantie[[#This Row],[date paiement]]+91))</f>
        <v>45616</v>
      </c>
      <c r="X1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26" s="74">
        <f ca="1">IF(registreGarantie[[#This Row],[Colonne1]]=0,"",IF(TODAY()&gt;registreGarantie[[#This Row],[Date rebus]],0,1))</f>
        <v>0</v>
      </c>
      <c r="Z126" s="66" t="s">
        <v>1670</v>
      </c>
      <c r="AA126" s="73">
        <f>IF(AND(registreGarantie[[#This Row],[Montant non remboursé]]&gt;1,registreGarantie[[#This Row],[Montant non remboursé]]&lt;&gt;""),1,"")</f>
        <v>1</v>
      </c>
      <c r="AB126" s="66">
        <v>1</v>
      </c>
      <c r="AC126" s="66" t="s">
        <v>1671</v>
      </c>
      <c r="AD126" s="87">
        <f t="shared" si="1"/>
        <v>126</v>
      </c>
      <c r="AE126" s="109"/>
    </row>
    <row r="127" spans="1:31" ht="18" customHeight="1" thickBot="1" x14ac:dyDescent="0.4">
      <c r="A127" s="64">
        <v>44833</v>
      </c>
      <c r="B127" s="64">
        <v>5752</v>
      </c>
      <c r="C127" s="106">
        <v>45447</v>
      </c>
      <c r="D127" s="66" t="s">
        <v>1099</v>
      </c>
      <c r="E127" s="66" t="s">
        <v>272</v>
      </c>
      <c r="F127" s="68"/>
      <c r="G127" s="66" t="s">
        <v>1672</v>
      </c>
      <c r="H127" s="64" t="s">
        <v>1673</v>
      </c>
      <c r="I127" s="67" t="s">
        <v>1915</v>
      </c>
      <c r="J127" s="97" t="s">
        <v>1674</v>
      </c>
      <c r="K127" s="66"/>
      <c r="L127" s="68"/>
      <c r="M127" s="69"/>
      <c r="N127" s="69"/>
      <c r="O127" s="70">
        <f>IF(registreGarantie[[#This Row],[date paiement]]="","",registreGarantie[[#This Row],[Pièces 
Demandés]]-registreGarantie[[#This Row],[Pièces 
Remboursés]])</f>
        <v>0</v>
      </c>
      <c r="P127" s="69"/>
      <c r="Q127" s="69"/>
      <c r="R127" s="70">
        <f>IF(registreGarantie[[#This Row],[date paiement]]="","",registreGarantie[[#This Row],[MO
Demandé]]-registreGarantie[[#This Row],[MO
Remboursé]])</f>
        <v>0</v>
      </c>
      <c r="S127" s="69"/>
      <c r="T127" s="70">
        <f>IF(registreGarantie[[#This Row],[date paiement]]="","",registreGarantie[[#This Row],[MO
Refusé]]+registreGarantie[[#This Row],[Pièces
Refusés]])</f>
        <v>0</v>
      </c>
      <c r="U127" s="106">
        <v>45473</v>
      </c>
      <c r="V127" s="71" t="str">
        <f>IF(registreGarantie[[#This Row],[Pièces 
Demandés]]="","",registreGarantie[[#This Row],[Date]])</f>
        <v/>
      </c>
      <c r="W127" s="103" t="str">
        <f>IF(registreGarantie[[#This Row],[Pièces 
Demandés]]="","",IF(registreGarantie[[#This Row],[date paiement]]="","",registreGarantie[[#This Row],[date paiement]]+91))</f>
        <v/>
      </c>
      <c r="X1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7" s="74" t="str">
        <f ca="1">IF(registreGarantie[[#This Row],[Colonne1]]=0,"",IF(TODAY()&gt;registreGarantie[[#This Row],[Date rebus]],0,1))</f>
        <v/>
      </c>
      <c r="Z127" s="66"/>
      <c r="AA127" s="73" t="str">
        <f>IF(AND(registreGarantie[[#This Row],[Montant non remboursé]]&gt;1,registreGarantie[[#This Row],[Montant non remboursé]]&lt;&gt;""),1,"")</f>
        <v/>
      </c>
      <c r="AB127" s="66"/>
      <c r="AC127" s="66"/>
      <c r="AD127" s="87">
        <f t="shared" si="1"/>
        <v>127</v>
      </c>
      <c r="AE127" s="109"/>
    </row>
    <row r="128" spans="1:31" ht="18" customHeight="1" thickBot="1" x14ac:dyDescent="0.4">
      <c r="A128" s="64">
        <v>44834</v>
      </c>
      <c r="B128" s="64">
        <v>42831</v>
      </c>
      <c r="C128" s="106">
        <v>45447</v>
      </c>
      <c r="D128" s="66" t="s">
        <v>1097</v>
      </c>
      <c r="E128" s="66" t="s">
        <v>106</v>
      </c>
      <c r="F128" s="68" t="s">
        <v>2313</v>
      </c>
      <c r="G128" s="66" t="s">
        <v>1675</v>
      </c>
      <c r="H128" s="64" t="s">
        <v>1676</v>
      </c>
      <c r="I128" s="67" t="s">
        <v>2</v>
      </c>
      <c r="J128" s="97">
        <v>404250801</v>
      </c>
      <c r="K128" s="66"/>
      <c r="L128" s="68"/>
      <c r="M128" s="69">
        <v>39.119999999999997</v>
      </c>
      <c r="N128" s="69">
        <v>39.119999999999997</v>
      </c>
      <c r="O128" s="70">
        <f>IF(registreGarantie[[#This Row],[date paiement]]="","",registreGarantie[[#This Row],[Pièces 
Demandés]]-registreGarantie[[#This Row],[Pièces 
Remboursés]])</f>
        <v>0</v>
      </c>
      <c r="P128" s="69">
        <v>153.75</v>
      </c>
      <c r="Q128" s="69">
        <v>153.75</v>
      </c>
      <c r="R128" s="70">
        <f>IF(registreGarantie[[#This Row],[date paiement]]="","",registreGarantie[[#This Row],[MO
Demandé]]-registreGarantie[[#This Row],[MO
Remboursé]])</f>
        <v>0</v>
      </c>
      <c r="S128" s="69"/>
      <c r="T128" s="70">
        <f>IF(registreGarantie[[#This Row],[date paiement]]="","",registreGarantie[[#This Row],[MO
Refusé]]+registreGarantie[[#This Row],[Pièces
Refusés]])</f>
        <v>0</v>
      </c>
      <c r="U128" s="106">
        <v>45525</v>
      </c>
      <c r="V128" s="71">
        <f>IF(registreGarantie[[#This Row],[Pièces 
Demandés]]="","",registreGarantie[[#This Row],[Date]])</f>
        <v>45447</v>
      </c>
      <c r="W128" s="103">
        <f>IF(registreGarantie[[#This Row],[Pièces 
Demandés]]="","",IF(registreGarantie[[#This Row],[date paiement]]="","",registreGarantie[[#This Row],[date paiement]]+91))</f>
        <v>45616</v>
      </c>
      <c r="X1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28" s="74">
        <f ca="1">IF(registreGarantie[[#This Row],[Colonne1]]=0,"",IF(TODAY()&gt;registreGarantie[[#This Row],[Date rebus]],0,1))</f>
        <v>0</v>
      </c>
      <c r="Z128" s="66"/>
      <c r="AA128" s="73" t="str">
        <f>IF(AND(registreGarantie[[#This Row],[Montant non remboursé]]&gt;1,registreGarantie[[#This Row],[Montant non remboursé]]&lt;&gt;""),1,"")</f>
        <v/>
      </c>
      <c r="AB128" s="66"/>
      <c r="AC128" s="66"/>
      <c r="AD128" s="87">
        <f t="shared" si="1"/>
        <v>128</v>
      </c>
      <c r="AE128" s="109"/>
    </row>
    <row r="129" spans="1:31" ht="18" customHeight="1" thickBot="1" x14ac:dyDescent="0.4">
      <c r="A129" s="75">
        <v>44835</v>
      </c>
      <c r="B129" s="75">
        <v>42918</v>
      </c>
      <c r="C129" s="107">
        <v>45449</v>
      </c>
      <c r="D129" s="76" t="s">
        <v>1081</v>
      </c>
      <c r="E129" s="76" t="s">
        <v>217</v>
      </c>
      <c r="F129" s="78" t="s">
        <v>2309</v>
      </c>
      <c r="G129" s="76" t="s">
        <v>255</v>
      </c>
      <c r="H129" s="75" t="s">
        <v>1677</v>
      </c>
      <c r="I129" s="77" t="s">
        <v>2</v>
      </c>
      <c r="J129" s="105"/>
      <c r="K129" s="76"/>
      <c r="L129" s="78"/>
      <c r="M129" s="79"/>
      <c r="N129" s="79"/>
      <c r="O129" s="80">
        <f>IF(registreGarantie[[#This Row],[date paiement]]="","",registreGarantie[[#This Row],[Pièces 
Demandés]]-registreGarantie[[#This Row],[Pièces 
Remboursés]])</f>
        <v>0</v>
      </c>
      <c r="P129" s="79"/>
      <c r="Q129" s="79"/>
      <c r="R129" s="80">
        <f>IF(registreGarantie[[#This Row],[date paiement]]="","",registreGarantie[[#This Row],[MO
Demandé]]-registreGarantie[[#This Row],[MO
Remboursé]])</f>
        <v>0</v>
      </c>
      <c r="S129" s="79"/>
      <c r="T129" s="80">
        <f>IF(registreGarantie[[#This Row],[date paiement]]="","",registreGarantie[[#This Row],[MO
Refusé]]+registreGarantie[[#This Row],[Pièces
Refusés]])</f>
        <v>0</v>
      </c>
      <c r="U129" s="107">
        <v>45449</v>
      </c>
      <c r="V129" s="81" t="str">
        <f>IF(registreGarantie[[#This Row],[Pièces 
Demandés]]="","",registreGarantie[[#This Row],[Date]])</f>
        <v/>
      </c>
      <c r="W129" s="104" t="str">
        <f>IF(registreGarantie[[#This Row],[Pièces 
Demandés]]="","",IF(registreGarantie[[#This Row],[date paiement]]="","",registreGarantie[[#This Row],[date paiement]]+91))</f>
        <v/>
      </c>
      <c r="X1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29" s="82" t="str">
        <f ca="1">IF(registreGarantie[[#This Row],[Colonne1]]=0,"",IF(TODAY()&gt;registreGarantie[[#This Row],[Date rebus]],0,1))</f>
        <v/>
      </c>
      <c r="Z129" s="76"/>
      <c r="AA129" s="83" t="str">
        <f>IF(AND(registreGarantie[[#This Row],[Montant non remboursé]]&gt;1,registreGarantie[[#This Row],[Montant non remboursé]]&lt;&gt;""),1,"")</f>
        <v/>
      </c>
      <c r="AB129" s="76"/>
      <c r="AC129" s="76"/>
      <c r="AD129" s="87">
        <f t="shared" si="1"/>
        <v>129</v>
      </c>
      <c r="AE129" s="109"/>
    </row>
    <row r="130" spans="1:31" ht="18" customHeight="1" thickBot="1" x14ac:dyDescent="0.4">
      <c r="A130" s="64">
        <v>44836</v>
      </c>
      <c r="B130" s="64">
        <v>5767</v>
      </c>
      <c r="C130" s="106">
        <v>45449</v>
      </c>
      <c r="D130" s="66" t="s">
        <v>611</v>
      </c>
      <c r="E130" s="66" t="s">
        <v>1238</v>
      </c>
      <c r="F130" s="68"/>
      <c r="G130" s="66" t="s">
        <v>1239</v>
      </c>
      <c r="H130" s="64"/>
      <c r="I130" s="67" t="s">
        <v>22</v>
      </c>
      <c r="J130" s="97" t="s">
        <v>1678</v>
      </c>
      <c r="K130" s="66"/>
      <c r="L130" s="68"/>
      <c r="M130" s="69">
        <v>586.91999999999996</v>
      </c>
      <c r="N130" s="69">
        <v>586.91999999999996</v>
      </c>
      <c r="O130" s="70">
        <f>IF(registreGarantie[[#This Row],[date paiement]]="","",registreGarantie[[#This Row],[Pièces 
Demandés]]-registreGarantie[[#This Row],[Pièces 
Remboursés]])</f>
        <v>0</v>
      </c>
      <c r="P130" s="69">
        <v>98</v>
      </c>
      <c r="Q130" s="69">
        <v>78</v>
      </c>
      <c r="R130" s="70">
        <f>IF(registreGarantie[[#This Row],[date paiement]]="","",registreGarantie[[#This Row],[MO
Demandé]]-registreGarantie[[#This Row],[MO
Remboursé]])</f>
        <v>20</v>
      </c>
      <c r="S130" s="69"/>
      <c r="T130" s="70">
        <f>IF(registreGarantie[[#This Row],[date paiement]]="","",registreGarantie[[#This Row],[MO
Refusé]]+registreGarantie[[#This Row],[Pièces
Refusés]])</f>
        <v>20</v>
      </c>
      <c r="U130" s="106">
        <v>45463</v>
      </c>
      <c r="V130" s="71">
        <f>IF(registreGarantie[[#This Row],[Pièces 
Demandés]]="","",registreGarantie[[#This Row],[Date]])</f>
        <v>45449</v>
      </c>
      <c r="W130" s="103">
        <f>IF(registreGarantie[[#This Row],[Pièces 
Demandés]]="","",IF(registreGarantie[[#This Row],[date paiement]]="","",registreGarantie[[#This Row],[date paiement]]+91))</f>
        <v>45554</v>
      </c>
      <c r="X1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0" s="74" t="str">
        <f ca="1">IF(registreGarantie[[#This Row],[Colonne1]]=0,"",IF(TODAY()&gt;registreGarantie[[#This Row],[Date rebus]],0,1))</f>
        <v/>
      </c>
      <c r="Z130" s="66" t="s">
        <v>1679</v>
      </c>
      <c r="AA130" s="73">
        <f>IF(AND(registreGarantie[[#This Row],[Montant non remboursé]]&gt;1,registreGarantie[[#This Row],[Montant non remboursé]]&lt;&gt;""),1,"")</f>
        <v>1</v>
      </c>
      <c r="AB130" s="66"/>
      <c r="AC130" s="66"/>
      <c r="AD130" s="87">
        <f t="shared" ref="AD130:AD193" si="2">ROW(AD130)</f>
        <v>130</v>
      </c>
      <c r="AE130" s="109"/>
    </row>
    <row r="131" spans="1:31" ht="18" customHeight="1" thickBot="1" x14ac:dyDescent="0.4">
      <c r="A131" s="64">
        <v>44837</v>
      </c>
      <c r="B131" s="64">
        <v>42666</v>
      </c>
      <c r="C131" s="106">
        <v>45483</v>
      </c>
      <c r="D131" s="66" t="s">
        <v>570</v>
      </c>
      <c r="E131" s="66" t="s">
        <v>466</v>
      </c>
      <c r="F131" s="68"/>
      <c r="G131" s="66" t="s">
        <v>1680</v>
      </c>
      <c r="H131" s="64">
        <v>554</v>
      </c>
      <c r="I131" s="67" t="s">
        <v>21</v>
      </c>
      <c r="J131" s="97" t="s">
        <v>1681</v>
      </c>
      <c r="K131" s="66"/>
      <c r="L131" s="68"/>
      <c r="M131" s="69">
        <v>146.86000000000001</v>
      </c>
      <c r="N131" s="69">
        <v>146.86000000000001</v>
      </c>
      <c r="O131" s="70">
        <f>IF(registreGarantie[[#This Row],[date paiement]]="","",registreGarantie[[#This Row],[Pièces 
Demandés]]-registreGarantie[[#This Row],[Pièces 
Remboursés]])</f>
        <v>0</v>
      </c>
      <c r="P131" s="69"/>
      <c r="Q131" s="69"/>
      <c r="R131" s="70">
        <f>IF(registreGarantie[[#This Row],[date paiement]]="","",registreGarantie[[#This Row],[MO
Demandé]]-registreGarantie[[#This Row],[MO
Remboursé]])</f>
        <v>0</v>
      </c>
      <c r="S131" s="69"/>
      <c r="T131" s="70">
        <f>IF(registreGarantie[[#This Row],[date paiement]]="","",registreGarantie[[#This Row],[MO
Refusé]]+registreGarantie[[#This Row],[Pièces
Refusés]])</f>
        <v>0</v>
      </c>
      <c r="U131" s="106">
        <v>45506</v>
      </c>
      <c r="V131" s="71">
        <f>IF(registreGarantie[[#This Row],[Pièces 
Demandés]]="","",registreGarantie[[#This Row],[Date]])</f>
        <v>45483</v>
      </c>
      <c r="W131" s="103">
        <f>IF(registreGarantie[[#This Row],[Pièces 
Demandés]]="","",IF(registreGarantie[[#This Row],[date paiement]]="","",registreGarantie[[#This Row],[date paiement]]+91))</f>
        <v>45597</v>
      </c>
      <c r="X1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1" s="74" t="str">
        <f ca="1">IF(registreGarantie[[#This Row],[Colonne1]]=0,"",IF(TODAY()&gt;registreGarantie[[#This Row],[Date rebus]],0,1))</f>
        <v/>
      </c>
      <c r="Z131" s="66"/>
      <c r="AA131" s="73" t="str">
        <f>IF(AND(registreGarantie[[#This Row],[Montant non remboursé]]&gt;1,registreGarantie[[#This Row],[Montant non remboursé]]&lt;&gt;""),1,"")</f>
        <v/>
      </c>
      <c r="AB131" s="66"/>
      <c r="AC131" s="66"/>
      <c r="AD131" s="87">
        <f t="shared" si="2"/>
        <v>131</v>
      </c>
      <c r="AE131" s="109"/>
    </row>
    <row r="132" spans="1:31" ht="18" customHeight="1" thickBot="1" x14ac:dyDescent="0.4">
      <c r="A132" s="64">
        <v>44838</v>
      </c>
      <c r="B132" s="64">
        <v>42701</v>
      </c>
      <c r="C132" s="106">
        <v>45449</v>
      </c>
      <c r="D132" s="66" t="s">
        <v>478</v>
      </c>
      <c r="E132" s="66" t="s">
        <v>466</v>
      </c>
      <c r="F132" s="68"/>
      <c r="G132" s="66" t="s">
        <v>1680</v>
      </c>
      <c r="H132" s="64" t="s">
        <v>1682</v>
      </c>
      <c r="I132" s="67" t="s">
        <v>21</v>
      </c>
      <c r="J132" s="97" t="s">
        <v>1683</v>
      </c>
      <c r="K132" s="66"/>
      <c r="L132" s="68"/>
      <c r="M132" s="69">
        <v>125.88</v>
      </c>
      <c r="N132" s="69">
        <v>125.88</v>
      </c>
      <c r="O132" s="70">
        <f>IF(registreGarantie[[#This Row],[date paiement]]="","",registreGarantie[[#This Row],[Pièces 
Demandés]]-registreGarantie[[#This Row],[Pièces 
Remboursés]])</f>
        <v>0</v>
      </c>
      <c r="P132" s="69"/>
      <c r="Q132" s="69"/>
      <c r="R132" s="70">
        <f>IF(registreGarantie[[#This Row],[date paiement]]="","",registreGarantie[[#This Row],[MO
Demandé]]-registreGarantie[[#This Row],[MO
Remboursé]])</f>
        <v>0</v>
      </c>
      <c r="S132" s="69"/>
      <c r="T132" s="70">
        <f>IF(registreGarantie[[#This Row],[date paiement]]="","",registreGarantie[[#This Row],[MO
Refusé]]+registreGarantie[[#This Row],[Pièces
Refusés]])</f>
        <v>0</v>
      </c>
      <c r="U132" s="106">
        <v>45527</v>
      </c>
      <c r="V132" s="71">
        <f>IF(registreGarantie[[#This Row],[Pièces 
Demandés]]="","",registreGarantie[[#This Row],[Date]])</f>
        <v>45449</v>
      </c>
      <c r="W132" s="103">
        <f>IF(registreGarantie[[#This Row],[Pièces 
Demandés]]="","",IF(registreGarantie[[#This Row],[date paiement]]="","",registreGarantie[[#This Row],[date paiement]]+91))</f>
        <v>45618</v>
      </c>
      <c r="X1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2" s="74" t="str">
        <f ca="1">IF(registreGarantie[[#This Row],[Colonne1]]=0,"",IF(TODAY()&gt;registreGarantie[[#This Row],[Date rebus]],0,1))</f>
        <v/>
      </c>
      <c r="Z132" s="66"/>
      <c r="AA132" s="73" t="str">
        <f>IF(AND(registreGarantie[[#This Row],[Montant non remboursé]]&gt;1,registreGarantie[[#This Row],[Montant non remboursé]]&lt;&gt;""),1,"")</f>
        <v/>
      </c>
      <c r="AB132" s="66"/>
      <c r="AC132" s="66"/>
      <c r="AD132" s="87">
        <f t="shared" si="2"/>
        <v>132</v>
      </c>
      <c r="AE132" s="109"/>
    </row>
    <row r="133" spans="1:31" ht="18" customHeight="1" thickBot="1" x14ac:dyDescent="0.4">
      <c r="A133" s="64">
        <v>44839</v>
      </c>
      <c r="B133" s="64">
        <v>42700</v>
      </c>
      <c r="C133" s="106">
        <v>45449</v>
      </c>
      <c r="D133" s="66" t="s">
        <v>476</v>
      </c>
      <c r="E133" s="66" t="s">
        <v>466</v>
      </c>
      <c r="F133" s="68"/>
      <c r="G133" s="66" t="s">
        <v>1680</v>
      </c>
      <c r="H133" s="64"/>
      <c r="I133" s="67" t="s">
        <v>21</v>
      </c>
      <c r="J133" s="97" t="s">
        <v>1684</v>
      </c>
      <c r="K133" s="66"/>
      <c r="L133" s="68"/>
      <c r="M133" s="69">
        <v>146.86000000000001</v>
      </c>
      <c r="N133" s="69">
        <v>146.86000000000001</v>
      </c>
      <c r="O133" s="70">
        <f>IF(registreGarantie[[#This Row],[date paiement]]="","",registreGarantie[[#This Row],[Pièces 
Demandés]]-registreGarantie[[#This Row],[Pièces 
Remboursés]])</f>
        <v>0</v>
      </c>
      <c r="P133" s="69"/>
      <c r="Q133" s="69"/>
      <c r="R133" s="70">
        <f>IF(registreGarantie[[#This Row],[date paiement]]="","",registreGarantie[[#This Row],[MO
Demandé]]-registreGarantie[[#This Row],[MO
Remboursé]])</f>
        <v>0</v>
      </c>
      <c r="S133" s="69"/>
      <c r="T133" s="70">
        <f>IF(registreGarantie[[#This Row],[date paiement]]="","",registreGarantie[[#This Row],[MO
Refusé]]+registreGarantie[[#This Row],[Pièces
Refusés]])</f>
        <v>0</v>
      </c>
      <c r="U133" s="106">
        <v>45527</v>
      </c>
      <c r="V133" s="71">
        <f>IF(registreGarantie[[#This Row],[Pièces 
Demandés]]="","",registreGarantie[[#This Row],[Date]])</f>
        <v>45449</v>
      </c>
      <c r="W133" s="103">
        <f>IF(registreGarantie[[#This Row],[Pièces 
Demandés]]="","",IF(registreGarantie[[#This Row],[date paiement]]="","",registreGarantie[[#This Row],[date paiement]]+91))</f>
        <v>45618</v>
      </c>
      <c r="X1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3" s="74" t="str">
        <f ca="1">IF(registreGarantie[[#This Row],[Colonne1]]=0,"",IF(TODAY()&gt;registreGarantie[[#This Row],[Date rebus]],0,1))</f>
        <v/>
      </c>
      <c r="Z133" s="66"/>
      <c r="AA133" s="73" t="str">
        <f>IF(AND(registreGarantie[[#This Row],[Montant non remboursé]]&gt;1,registreGarantie[[#This Row],[Montant non remboursé]]&lt;&gt;""),1,"")</f>
        <v/>
      </c>
      <c r="AB133" s="66"/>
      <c r="AC133" s="66"/>
      <c r="AD133" s="87">
        <f t="shared" si="2"/>
        <v>133</v>
      </c>
      <c r="AE133" s="109"/>
    </row>
    <row r="134" spans="1:31" ht="18" customHeight="1" thickBot="1" x14ac:dyDescent="0.4">
      <c r="A134" s="64">
        <v>44840</v>
      </c>
      <c r="B134" s="64">
        <v>42920</v>
      </c>
      <c r="C134" s="106">
        <v>45482</v>
      </c>
      <c r="D134" s="66" t="s">
        <v>195</v>
      </c>
      <c r="E134" s="66" t="s">
        <v>466</v>
      </c>
      <c r="F134" s="68"/>
      <c r="G134" s="66" t="s">
        <v>1680</v>
      </c>
      <c r="H134" s="64">
        <v>574</v>
      </c>
      <c r="I134" s="67" t="s">
        <v>21</v>
      </c>
      <c r="J134" s="97" t="s">
        <v>1685</v>
      </c>
      <c r="K134" s="66"/>
      <c r="L134" s="68"/>
      <c r="M134" s="69">
        <v>146.86000000000001</v>
      </c>
      <c r="N134" s="69">
        <v>146.86000000000001</v>
      </c>
      <c r="O134" s="70">
        <f>IF(registreGarantie[[#This Row],[date paiement]]="","",registreGarantie[[#This Row],[Pièces 
Demandés]]-registreGarantie[[#This Row],[Pièces 
Remboursés]])</f>
        <v>0</v>
      </c>
      <c r="P134" s="69"/>
      <c r="Q134" s="69"/>
      <c r="R134" s="70">
        <f>IF(registreGarantie[[#This Row],[date paiement]]="","",registreGarantie[[#This Row],[MO
Demandé]]-registreGarantie[[#This Row],[MO
Remboursé]])</f>
        <v>0</v>
      </c>
      <c r="S134" s="69"/>
      <c r="T134" s="70">
        <f>IF(registreGarantie[[#This Row],[date paiement]]="","",registreGarantie[[#This Row],[MO
Refusé]]+registreGarantie[[#This Row],[Pièces
Refusés]])</f>
        <v>0</v>
      </c>
      <c r="U134" s="106">
        <v>45527</v>
      </c>
      <c r="V134" s="71">
        <f>IF(registreGarantie[[#This Row],[Pièces 
Demandés]]="","",registreGarantie[[#This Row],[Date]])</f>
        <v>45482</v>
      </c>
      <c r="W134" s="103">
        <f>IF(registreGarantie[[#This Row],[Pièces 
Demandés]]="","",IF(registreGarantie[[#This Row],[date paiement]]="","",registreGarantie[[#This Row],[date paiement]]+91))</f>
        <v>45618</v>
      </c>
      <c r="X1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4" s="74" t="str">
        <f ca="1">IF(registreGarantie[[#This Row],[Colonne1]]=0,"",IF(TODAY()&gt;registreGarantie[[#This Row],[Date rebus]],0,1))</f>
        <v/>
      </c>
      <c r="Z134" s="66"/>
      <c r="AA134" s="73" t="str">
        <f>IF(AND(registreGarantie[[#This Row],[Montant non remboursé]]&gt;1,registreGarantie[[#This Row],[Montant non remboursé]]&lt;&gt;""),1,"")</f>
        <v/>
      </c>
      <c r="AB134" s="66"/>
      <c r="AC134" s="66"/>
      <c r="AD134" s="87">
        <f t="shared" si="2"/>
        <v>134</v>
      </c>
      <c r="AE134" s="109"/>
    </row>
    <row r="135" spans="1:31" ht="18" customHeight="1" thickBot="1" x14ac:dyDescent="0.4">
      <c r="A135" s="64">
        <v>44841</v>
      </c>
      <c r="B135" s="64">
        <v>42835</v>
      </c>
      <c r="C135" s="106">
        <v>45450</v>
      </c>
      <c r="D135" s="66" t="s">
        <v>239</v>
      </c>
      <c r="E135" s="66" t="s">
        <v>546</v>
      </c>
      <c r="F135" s="68">
        <v>78410241</v>
      </c>
      <c r="G135" s="66" t="s">
        <v>58</v>
      </c>
      <c r="H135" s="64" t="s">
        <v>1686</v>
      </c>
      <c r="I135" s="67" t="s">
        <v>23</v>
      </c>
      <c r="J135" s="97">
        <v>404269432</v>
      </c>
      <c r="K135" s="66"/>
      <c r="L135" s="68"/>
      <c r="M135" s="69">
        <v>934.31</v>
      </c>
      <c r="N135" s="69">
        <v>934.31</v>
      </c>
      <c r="O135" s="70">
        <f>IF(registreGarantie[[#This Row],[date paiement]]="","",registreGarantie[[#This Row],[Pièces 
Demandés]]-registreGarantie[[#This Row],[Pièces 
Remboursés]])</f>
        <v>0</v>
      </c>
      <c r="P135" s="69">
        <v>341.33</v>
      </c>
      <c r="Q135" s="69">
        <v>341.33</v>
      </c>
      <c r="R135" s="70">
        <f>IF(registreGarantie[[#This Row],[date paiement]]="","",registreGarantie[[#This Row],[MO
Demandé]]-registreGarantie[[#This Row],[MO
Remboursé]])</f>
        <v>0</v>
      </c>
      <c r="S135" s="69"/>
      <c r="T135" s="70">
        <f>IF(registreGarantie[[#This Row],[date paiement]]="","",registreGarantie[[#This Row],[MO
Refusé]]+registreGarantie[[#This Row],[Pièces
Refusés]])</f>
        <v>0</v>
      </c>
      <c r="U135" s="106">
        <v>45478</v>
      </c>
      <c r="V135" s="71">
        <f>IF(registreGarantie[[#This Row],[Pièces 
Demandés]]="","",registreGarantie[[#This Row],[Date]])</f>
        <v>45450</v>
      </c>
      <c r="W135" s="103">
        <f>IF(registreGarantie[[#This Row],[Pièces 
Demandés]]="","",IF(registreGarantie[[#This Row],[date paiement]]="","",registreGarantie[[#This Row],[date paiement]]+91))</f>
        <v>45569</v>
      </c>
      <c r="X1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5" s="74" t="str">
        <f ca="1">IF(registreGarantie[[#This Row],[Colonne1]]=0,"",IF(TODAY()&gt;registreGarantie[[#This Row],[Date rebus]],0,1))</f>
        <v/>
      </c>
      <c r="Z135" s="66"/>
      <c r="AA135" s="73" t="str">
        <f>IF(AND(registreGarantie[[#This Row],[Montant non remboursé]]&gt;1,registreGarantie[[#This Row],[Montant non remboursé]]&lt;&gt;""),1,"")</f>
        <v/>
      </c>
      <c r="AB135" s="66"/>
      <c r="AC135" s="66"/>
      <c r="AD135" s="87">
        <f t="shared" si="2"/>
        <v>135</v>
      </c>
      <c r="AE135" s="109"/>
    </row>
    <row r="136" spans="1:31" ht="18" customHeight="1" thickBot="1" x14ac:dyDescent="0.4">
      <c r="A136" s="64">
        <v>44841</v>
      </c>
      <c r="B136" s="64">
        <v>42835</v>
      </c>
      <c r="C136" s="106">
        <v>45450</v>
      </c>
      <c r="D136" s="66" t="s">
        <v>239</v>
      </c>
      <c r="E136" s="66" t="s">
        <v>546</v>
      </c>
      <c r="F136" s="68">
        <v>78410241</v>
      </c>
      <c r="G136" s="66" t="s">
        <v>58</v>
      </c>
      <c r="H136" s="64" t="s">
        <v>1686</v>
      </c>
      <c r="I136" s="67" t="s">
        <v>24</v>
      </c>
      <c r="J136" s="97">
        <v>404269477</v>
      </c>
      <c r="K136" s="66"/>
      <c r="L136" s="68"/>
      <c r="M136" s="69"/>
      <c r="N136" s="69"/>
      <c r="O136" s="70" t="str">
        <f>IF(registreGarantie[[#This Row],[date paiement]]="","",registreGarantie[[#This Row],[Pièces 
Demandés]]-registreGarantie[[#This Row],[Pièces 
Remboursés]])</f>
        <v/>
      </c>
      <c r="P136" s="69"/>
      <c r="Q136" s="69"/>
      <c r="R136" s="70" t="str">
        <f>IF(registreGarantie[[#This Row],[date paiement]]="","",registreGarantie[[#This Row],[MO
Demandé]]-registreGarantie[[#This Row],[MO
Remboursé]])</f>
        <v/>
      </c>
      <c r="S136" s="69"/>
      <c r="T136" s="70" t="str">
        <f>IF(registreGarantie[[#This Row],[date paiement]]="","",registreGarantie[[#This Row],[MO
Refusé]]+registreGarantie[[#This Row],[Pièces
Refusés]])</f>
        <v/>
      </c>
      <c r="U136" s="106"/>
      <c r="V136" s="71" t="str">
        <f>IF(registreGarantie[[#This Row],[Pièces 
Demandés]]="","",registreGarantie[[#This Row],[Date]])</f>
        <v/>
      </c>
      <c r="W136" s="103" t="str">
        <f>IF(registreGarantie[[#This Row],[Pièces 
Demandés]]="","",IF(registreGarantie[[#This Row],[date paiement]]="","",registreGarantie[[#This Row],[date paiement]]+91))</f>
        <v/>
      </c>
      <c r="X1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6" s="74" t="str">
        <f ca="1">IF(registreGarantie[[#This Row],[Colonne1]]=0,"",IF(TODAY()&gt;registreGarantie[[#This Row],[Date rebus]],0,1))</f>
        <v/>
      </c>
      <c r="Z136" s="66"/>
      <c r="AA136" s="73" t="str">
        <f>IF(AND(registreGarantie[[#This Row],[Montant non remboursé]]&gt;1,registreGarantie[[#This Row],[Montant non remboursé]]&lt;&gt;""),1,"")</f>
        <v/>
      </c>
      <c r="AB136" s="66"/>
      <c r="AC136" s="66"/>
      <c r="AD136" s="87">
        <f t="shared" si="2"/>
        <v>136</v>
      </c>
      <c r="AE136" s="109"/>
    </row>
    <row r="137" spans="1:31" ht="18" customHeight="1" thickBot="1" x14ac:dyDescent="0.4">
      <c r="A137" s="64">
        <v>44842</v>
      </c>
      <c r="B137" s="64">
        <v>42827</v>
      </c>
      <c r="C137" s="106">
        <v>45453</v>
      </c>
      <c r="D137" s="66" t="s">
        <v>535</v>
      </c>
      <c r="E137" s="66" t="s">
        <v>706</v>
      </c>
      <c r="F137" s="68"/>
      <c r="G137" s="66" t="s">
        <v>1687</v>
      </c>
      <c r="H137" s="64">
        <v>46</v>
      </c>
      <c r="I137" s="67" t="s">
        <v>22</v>
      </c>
      <c r="J137" s="97" t="s">
        <v>1688</v>
      </c>
      <c r="K137" s="66"/>
      <c r="L137" s="68"/>
      <c r="M137" s="69">
        <v>1387.75</v>
      </c>
      <c r="N137" s="69">
        <v>1387.75</v>
      </c>
      <c r="O137" s="70">
        <f>IF(registreGarantie[[#This Row],[date paiement]]="","",registreGarantie[[#This Row],[Pièces 
Demandés]]-registreGarantie[[#This Row],[Pièces 
Remboursés]])</f>
        <v>0</v>
      </c>
      <c r="P137" s="69">
        <v>98</v>
      </c>
      <c r="Q137" s="69">
        <v>78</v>
      </c>
      <c r="R137" s="70">
        <f>IF(registreGarantie[[#This Row],[date paiement]]="","",registreGarantie[[#This Row],[MO
Demandé]]-registreGarantie[[#This Row],[MO
Remboursé]])</f>
        <v>20</v>
      </c>
      <c r="S137" s="69"/>
      <c r="T137" s="70">
        <f>IF(registreGarantie[[#This Row],[date paiement]]="","",registreGarantie[[#This Row],[MO
Refusé]]+registreGarantie[[#This Row],[Pièces
Refusés]])</f>
        <v>20</v>
      </c>
      <c r="U137" s="106">
        <v>45492</v>
      </c>
      <c r="V137" s="71">
        <f>IF(registreGarantie[[#This Row],[Pièces 
Demandés]]="","",registreGarantie[[#This Row],[Date]])</f>
        <v>45453</v>
      </c>
      <c r="W137" s="103">
        <f>IF(registreGarantie[[#This Row],[Pièces 
Demandés]]="","",IF(registreGarantie[[#This Row],[date paiement]]="","",registreGarantie[[#This Row],[date paiement]]+91))</f>
        <v>45583</v>
      </c>
      <c r="X1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7" s="74" t="str">
        <f ca="1">IF(registreGarantie[[#This Row],[Colonne1]]=0,"",IF(TODAY()&gt;registreGarantie[[#This Row],[Date rebus]],0,1))</f>
        <v/>
      </c>
      <c r="Z137" s="66" t="s">
        <v>1679</v>
      </c>
      <c r="AA137" s="73">
        <f>IF(AND(registreGarantie[[#This Row],[Montant non remboursé]]&gt;1,registreGarantie[[#This Row],[Montant non remboursé]]&lt;&gt;""),1,"")</f>
        <v>1</v>
      </c>
      <c r="AB137" s="66"/>
      <c r="AC137" s="66"/>
      <c r="AD137" s="87">
        <f t="shared" si="2"/>
        <v>137</v>
      </c>
      <c r="AE137" s="109"/>
    </row>
    <row r="138" spans="1:31" ht="18" customHeight="1" thickBot="1" x14ac:dyDescent="0.4">
      <c r="A138" s="64">
        <v>44843</v>
      </c>
      <c r="B138" s="64">
        <v>42807</v>
      </c>
      <c r="C138" s="106">
        <v>45453</v>
      </c>
      <c r="D138" s="66" t="s">
        <v>551</v>
      </c>
      <c r="E138" s="66" t="s">
        <v>91</v>
      </c>
      <c r="F138" s="68"/>
      <c r="G138" s="66" t="s">
        <v>1689</v>
      </c>
      <c r="H138" s="64">
        <v>30</v>
      </c>
      <c r="I138" s="67" t="s">
        <v>22</v>
      </c>
      <c r="J138" s="97" t="s">
        <v>1690</v>
      </c>
      <c r="K138" s="66"/>
      <c r="L138" s="68"/>
      <c r="M138" s="69">
        <v>25.74</v>
      </c>
      <c r="N138" s="69">
        <v>25.74</v>
      </c>
      <c r="O138" s="70">
        <f>IF(registreGarantie[[#This Row],[date paiement]]="","",registreGarantie[[#This Row],[Pièces 
Demandés]]-registreGarantie[[#This Row],[Pièces 
Remboursés]])</f>
        <v>0</v>
      </c>
      <c r="P138" s="69">
        <v>171.5</v>
      </c>
      <c r="Q138" s="69">
        <v>136.5</v>
      </c>
      <c r="R138" s="70">
        <f>IF(registreGarantie[[#This Row],[date paiement]]="","",registreGarantie[[#This Row],[MO
Demandé]]-registreGarantie[[#This Row],[MO
Remboursé]])</f>
        <v>35</v>
      </c>
      <c r="S138" s="69"/>
      <c r="T138" s="70">
        <f>IF(registreGarantie[[#This Row],[date paiement]]="","",registreGarantie[[#This Row],[MO
Refusé]]+registreGarantie[[#This Row],[Pièces
Refusés]])</f>
        <v>35</v>
      </c>
      <c r="U138" s="106">
        <v>45463</v>
      </c>
      <c r="V138" s="71">
        <f>IF(registreGarantie[[#This Row],[Pièces 
Demandés]]="","",registreGarantie[[#This Row],[Date]])</f>
        <v>45453</v>
      </c>
      <c r="W138" s="103">
        <f>IF(registreGarantie[[#This Row],[Pièces 
Demandés]]="","",IF(registreGarantie[[#This Row],[date paiement]]="","",registreGarantie[[#This Row],[date paiement]]+91))</f>
        <v>45554</v>
      </c>
      <c r="X1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8" s="74" t="str">
        <f ca="1">IF(registreGarantie[[#This Row],[Colonne1]]=0,"",IF(TODAY()&gt;registreGarantie[[#This Row],[Date rebus]],0,1))</f>
        <v/>
      </c>
      <c r="Z138" s="66" t="s">
        <v>1679</v>
      </c>
      <c r="AA138" s="73">
        <f>IF(AND(registreGarantie[[#This Row],[Montant non remboursé]]&gt;1,registreGarantie[[#This Row],[Montant non remboursé]]&lt;&gt;""),1,"")</f>
        <v>1</v>
      </c>
      <c r="AB138" s="66"/>
      <c r="AC138" s="66"/>
      <c r="AD138" s="87">
        <f t="shared" si="2"/>
        <v>138</v>
      </c>
      <c r="AE138" s="109"/>
    </row>
    <row r="139" spans="1:31" ht="18" customHeight="1" thickBot="1" x14ac:dyDescent="0.4">
      <c r="A139" s="64">
        <v>44844</v>
      </c>
      <c r="B139" s="64">
        <v>42886</v>
      </c>
      <c r="C139" s="106">
        <v>45453</v>
      </c>
      <c r="D139" s="66" t="s">
        <v>1691</v>
      </c>
      <c r="E139" s="66" t="s">
        <v>596</v>
      </c>
      <c r="F139" s="68"/>
      <c r="G139" s="66" t="s">
        <v>1692</v>
      </c>
      <c r="H139" s="64">
        <v>135</v>
      </c>
      <c r="I139" s="67" t="s">
        <v>21</v>
      </c>
      <c r="J139" s="97" t="s">
        <v>1693</v>
      </c>
      <c r="K139" s="66"/>
      <c r="L139" s="68"/>
      <c r="M139" s="69">
        <v>1282</v>
      </c>
      <c r="N139" s="69">
        <v>1282</v>
      </c>
      <c r="O139" s="70">
        <f>IF(registreGarantie[[#This Row],[date paiement]]="","",registreGarantie[[#This Row],[Pièces 
Demandés]]-registreGarantie[[#This Row],[Pièces 
Remboursés]])</f>
        <v>0</v>
      </c>
      <c r="P139" s="69">
        <v>306</v>
      </c>
      <c r="Q139" s="69">
        <v>306</v>
      </c>
      <c r="R139" s="70">
        <f>IF(registreGarantie[[#This Row],[date paiement]]="","",registreGarantie[[#This Row],[MO
Demandé]]-registreGarantie[[#This Row],[MO
Remboursé]])</f>
        <v>0</v>
      </c>
      <c r="S139" s="69"/>
      <c r="T139" s="70">
        <f>IF(registreGarantie[[#This Row],[date paiement]]="","",registreGarantie[[#This Row],[MO
Refusé]]+registreGarantie[[#This Row],[Pièces
Refusés]])</f>
        <v>0</v>
      </c>
      <c r="U139" s="106">
        <v>45506</v>
      </c>
      <c r="V139" s="71">
        <f>IF(registreGarantie[[#This Row],[Pièces 
Demandés]]="","",registreGarantie[[#This Row],[Date]])</f>
        <v>45453</v>
      </c>
      <c r="W139" s="103">
        <f>IF(registreGarantie[[#This Row],[Pièces 
Demandés]]="","",IF(registreGarantie[[#This Row],[date paiement]]="","",registreGarantie[[#This Row],[date paiement]]+91))</f>
        <v>45597</v>
      </c>
      <c r="X1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39" s="74" t="str">
        <f ca="1">IF(registreGarantie[[#This Row],[Colonne1]]=0,"",IF(TODAY()&gt;registreGarantie[[#This Row],[Date rebus]],0,1))</f>
        <v/>
      </c>
      <c r="Z139" s="66"/>
      <c r="AA139" s="73" t="str">
        <f>IF(AND(registreGarantie[[#This Row],[Montant non remboursé]]&gt;1,registreGarantie[[#This Row],[Montant non remboursé]]&lt;&gt;""),1,"")</f>
        <v/>
      </c>
      <c r="AB139" s="66"/>
      <c r="AC139" s="66"/>
      <c r="AD139" s="87">
        <f t="shared" si="2"/>
        <v>139</v>
      </c>
      <c r="AE139" s="109"/>
    </row>
    <row r="140" spans="1:31" ht="18" customHeight="1" thickBot="1" x14ac:dyDescent="0.4">
      <c r="A140" s="64">
        <v>44845</v>
      </c>
      <c r="B140" s="64">
        <v>42935</v>
      </c>
      <c r="C140" s="106">
        <v>45453</v>
      </c>
      <c r="D140" s="66" t="s">
        <v>187</v>
      </c>
      <c r="E140" s="66" t="s">
        <v>148</v>
      </c>
      <c r="F140" s="68" t="s">
        <v>2342</v>
      </c>
      <c r="G140" s="66" t="s">
        <v>1508</v>
      </c>
      <c r="H140" s="64" t="s">
        <v>1694</v>
      </c>
      <c r="I140" s="67" t="s">
        <v>3</v>
      </c>
      <c r="J140" s="97">
        <v>404272710</v>
      </c>
      <c r="K140" s="66"/>
      <c r="L140" s="68"/>
      <c r="M140" s="69">
        <v>4167.3999999999996</v>
      </c>
      <c r="N140" s="69">
        <v>4167.3999999999996</v>
      </c>
      <c r="O140" s="70">
        <f>IF(registreGarantie[[#This Row],[date paiement]]="","",registreGarantie[[#This Row],[Pièces 
Demandés]]-registreGarantie[[#This Row],[Pièces 
Remboursés]])</f>
        <v>0</v>
      </c>
      <c r="P140" s="69">
        <v>830.25</v>
      </c>
      <c r="Q140" s="69">
        <v>615</v>
      </c>
      <c r="R140" s="70">
        <f>IF(registreGarantie[[#This Row],[date paiement]]="","",registreGarantie[[#This Row],[MO
Demandé]]-registreGarantie[[#This Row],[MO
Remboursé]])</f>
        <v>215.25</v>
      </c>
      <c r="S140" s="69"/>
      <c r="T140" s="70">
        <f>IF(registreGarantie[[#This Row],[date paiement]]="","",registreGarantie[[#This Row],[MO
Refusé]]+registreGarantie[[#This Row],[Pièces
Refusés]])</f>
        <v>215.25</v>
      </c>
      <c r="U140" s="106">
        <v>45525</v>
      </c>
      <c r="V140" s="71">
        <f>IF(registreGarantie[[#This Row],[Pièces 
Demandés]]="","",registreGarantie[[#This Row],[Date]])</f>
        <v>45453</v>
      </c>
      <c r="W140" s="103">
        <f>IF(registreGarantie[[#This Row],[Pièces 
Demandés]]="","",IF(registreGarantie[[#This Row],[date paiement]]="","",registreGarantie[[#This Row],[date paiement]]+91))</f>
        <v>45616</v>
      </c>
      <c r="X1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0" s="74">
        <f ca="1">IF(registreGarantie[[#This Row],[Colonne1]]=0,"",IF(TODAY()&gt;registreGarantie[[#This Row],[Date rebus]],0,1))</f>
        <v>0</v>
      </c>
      <c r="Z140" s="66" t="s">
        <v>1695</v>
      </c>
      <c r="AA140" s="73">
        <f>IF(AND(registreGarantie[[#This Row],[Montant non remboursé]]&gt;1,registreGarantie[[#This Row],[Montant non remboursé]]&lt;&gt;""),1,"")</f>
        <v>1</v>
      </c>
      <c r="AB140" s="66"/>
      <c r="AC140" s="66"/>
      <c r="AD140" s="87">
        <f t="shared" si="2"/>
        <v>140</v>
      </c>
      <c r="AE140" s="109"/>
    </row>
    <row r="141" spans="1:31" ht="18" customHeight="1" thickBot="1" x14ac:dyDescent="0.4">
      <c r="A141" s="64">
        <v>44846</v>
      </c>
      <c r="B141" s="64">
        <v>42796</v>
      </c>
      <c r="C141" s="106">
        <v>45453</v>
      </c>
      <c r="D141" s="66" t="s">
        <v>1696</v>
      </c>
      <c r="E141" s="66" t="s">
        <v>1697</v>
      </c>
      <c r="F141" s="68"/>
      <c r="G141" s="66" t="s">
        <v>1698</v>
      </c>
      <c r="H141" s="64" t="s">
        <v>1699</v>
      </c>
      <c r="I141" s="67" t="s">
        <v>20</v>
      </c>
      <c r="J141" s="97" t="s">
        <v>1700</v>
      </c>
      <c r="K141" s="66"/>
      <c r="L141" s="68"/>
      <c r="M141" s="69"/>
      <c r="N141" s="69"/>
      <c r="O141" s="70" t="str">
        <f>IF(registreGarantie[[#This Row],[date paiement]]="","",registreGarantie[[#This Row],[Pièces 
Demandés]]-registreGarantie[[#This Row],[Pièces 
Remboursés]])</f>
        <v/>
      </c>
      <c r="P141" s="69"/>
      <c r="Q141" s="69"/>
      <c r="R141" s="70" t="str">
        <f>IF(registreGarantie[[#This Row],[date paiement]]="","",registreGarantie[[#This Row],[MO
Demandé]]-registreGarantie[[#This Row],[MO
Remboursé]])</f>
        <v/>
      </c>
      <c r="S141" s="69"/>
      <c r="T141" s="70" t="str">
        <f>IF(registreGarantie[[#This Row],[date paiement]]="","",registreGarantie[[#This Row],[MO
Refusé]]+registreGarantie[[#This Row],[Pièces
Refusés]])</f>
        <v/>
      </c>
      <c r="U141" s="106"/>
      <c r="V141" s="71" t="str">
        <f>IF(registreGarantie[[#This Row],[Pièces 
Demandés]]="","",registreGarantie[[#This Row],[Date]])</f>
        <v/>
      </c>
      <c r="W141" s="103" t="str">
        <f>IF(registreGarantie[[#This Row],[Pièces 
Demandés]]="","",IF(registreGarantie[[#This Row],[date paiement]]="","",registreGarantie[[#This Row],[date paiement]]+91))</f>
        <v/>
      </c>
      <c r="X1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41" s="74" t="str">
        <f ca="1">IF(registreGarantie[[#This Row],[Colonne1]]=0,"",IF(TODAY()&gt;registreGarantie[[#This Row],[Date rebus]],0,1))</f>
        <v/>
      </c>
      <c r="Z141" s="66"/>
      <c r="AA141" s="73" t="str">
        <f>IF(AND(registreGarantie[[#This Row],[Montant non remboursé]]&gt;1,registreGarantie[[#This Row],[Montant non remboursé]]&lt;&gt;""),1,"")</f>
        <v/>
      </c>
      <c r="AB141" s="66"/>
      <c r="AC141" s="66"/>
      <c r="AD141" s="87">
        <f t="shared" si="2"/>
        <v>141</v>
      </c>
      <c r="AE141" s="109"/>
    </row>
    <row r="142" spans="1:31" ht="18" customHeight="1" thickBot="1" x14ac:dyDescent="0.4">
      <c r="A142" s="64">
        <v>44847</v>
      </c>
      <c r="B142" s="64">
        <v>5775</v>
      </c>
      <c r="C142" s="106">
        <v>45455</v>
      </c>
      <c r="D142" s="66" t="s">
        <v>36</v>
      </c>
      <c r="E142" s="66" t="s">
        <v>1539</v>
      </c>
      <c r="F142" s="68" t="s">
        <v>2252</v>
      </c>
      <c r="G142" s="66" t="s">
        <v>1249</v>
      </c>
      <c r="H142" s="64">
        <v>505</v>
      </c>
      <c r="I142" s="67" t="s">
        <v>2</v>
      </c>
      <c r="J142" s="97">
        <v>404275290</v>
      </c>
      <c r="K142" s="66"/>
      <c r="L142" s="68"/>
      <c r="M142" s="69">
        <v>16.489999999999998</v>
      </c>
      <c r="N142" s="69">
        <v>16.489999999999998</v>
      </c>
      <c r="O142" s="70">
        <f>IF(registreGarantie[[#This Row],[date paiement]]="","",registreGarantie[[#This Row],[Pièces 
Demandés]]-registreGarantie[[#This Row],[Pièces 
Remboursés]])</f>
        <v>0</v>
      </c>
      <c r="P142" s="69">
        <v>123</v>
      </c>
      <c r="Q142" s="69">
        <v>123</v>
      </c>
      <c r="R142" s="70">
        <f>IF(registreGarantie[[#This Row],[date paiement]]="","",registreGarantie[[#This Row],[MO
Demandé]]-registreGarantie[[#This Row],[MO
Remboursé]])</f>
        <v>0</v>
      </c>
      <c r="S142" s="69"/>
      <c r="T142" s="70">
        <f>IF(registreGarantie[[#This Row],[date paiement]]="","",registreGarantie[[#This Row],[MO
Refusé]]+registreGarantie[[#This Row],[Pièces
Refusés]])</f>
        <v>0</v>
      </c>
      <c r="U142" s="106">
        <v>45464</v>
      </c>
      <c r="V142" s="71">
        <f>IF(registreGarantie[[#This Row],[Pièces 
Demandés]]="","",registreGarantie[[#This Row],[Date]])</f>
        <v>45455</v>
      </c>
      <c r="W142" s="103">
        <f>IF(registreGarantie[[#This Row],[Pièces 
Demandés]]="","",IF(registreGarantie[[#This Row],[date paiement]]="","",registreGarantie[[#This Row],[date paiement]]+91))</f>
        <v>45555</v>
      </c>
      <c r="X1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2" s="74">
        <f ca="1">IF(registreGarantie[[#This Row],[Colonne1]]=0,"",IF(TODAY()&gt;registreGarantie[[#This Row],[Date rebus]],0,1))</f>
        <v>0</v>
      </c>
      <c r="Z142" s="66"/>
      <c r="AA142" s="73" t="str">
        <f>IF(AND(registreGarantie[[#This Row],[Montant non remboursé]]&gt;1,registreGarantie[[#This Row],[Montant non remboursé]]&lt;&gt;""),1,"")</f>
        <v/>
      </c>
      <c r="AB142" s="66"/>
      <c r="AC142" s="66"/>
      <c r="AD142" s="87">
        <f t="shared" si="2"/>
        <v>142</v>
      </c>
      <c r="AE142" s="109"/>
    </row>
    <row r="143" spans="1:31" ht="18" customHeight="1" thickBot="1" x14ac:dyDescent="0.4">
      <c r="A143" s="64">
        <v>44848</v>
      </c>
      <c r="B143" s="64">
        <v>5825</v>
      </c>
      <c r="C143" s="106">
        <v>45455</v>
      </c>
      <c r="D143" s="66" t="s">
        <v>36</v>
      </c>
      <c r="E143" s="66" t="s">
        <v>1539</v>
      </c>
      <c r="F143" s="68" t="s">
        <v>2252</v>
      </c>
      <c r="G143" s="66" t="s">
        <v>784</v>
      </c>
      <c r="H143" s="64">
        <v>505</v>
      </c>
      <c r="I143" s="67" t="s">
        <v>19</v>
      </c>
      <c r="J143" s="97">
        <v>404275091</v>
      </c>
      <c r="K143" s="66"/>
      <c r="L143" s="68"/>
      <c r="M143" s="69"/>
      <c r="N143" s="69"/>
      <c r="O143" s="70" t="str">
        <f>IF(registreGarantie[[#This Row],[date paiement]]="","",registreGarantie[[#This Row],[Pièces 
Demandés]]-registreGarantie[[#This Row],[Pièces 
Remboursés]])</f>
        <v/>
      </c>
      <c r="P143" s="69"/>
      <c r="Q143" s="69"/>
      <c r="R143" s="70" t="str">
        <f>IF(registreGarantie[[#This Row],[date paiement]]="","",registreGarantie[[#This Row],[MO
Demandé]]-registreGarantie[[#This Row],[MO
Remboursé]])</f>
        <v/>
      </c>
      <c r="S143" s="69"/>
      <c r="T143" s="70" t="str">
        <f>IF(registreGarantie[[#This Row],[date paiement]]="","",registreGarantie[[#This Row],[MO
Refusé]]+registreGarantie[[#This Row],[Pièces
Refusés]])</f>
        <v/>
      </c>
      <c r="U143" s="106"/>
      <c r="V143" s="71" t="str">
        <f>IF(registreGarantie[[#This Row],[Pièces 
Demandés]]="","",registreGarantie[[#This Row],[Date]])</f>
        <v/>
      </c>
      <c r="W143" s="103" t="str">
        <f>IF(registreGarantie[[#This Row],[Pièces 
Demandés]]="","",IF(registreGarantie[[#This Row],[date paiement]]="","",registreGarantie[[#This Row],[date paiement]]+91))</f>
        <v/>
      </c>
      <c r="X1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43" s="74" t="str">
        <f ca="1">IF(registreGarantie[[#This Row],[Colonne1]]=0,"",IF(TODAY()&gt;registreGarantie[[#This Row],[Date rebus]],0,1))</f>
        <v/>
      </c>
      <c r="Z143" s="66"/>
      <c r="AA143" s="73" t="str">
        <f>IF(AND(registreGarantie[[#This Row],[Montant non remboursé]]&gt;1,registreGarantie[[#This Row],[Montant non remboursé]]&lt;&gt;""),1,"")</f>
        <v/>
      </c>
      <c r="AB143" s="66"/>
      <c r="AC143" s="66"/>
      <c r="AD143" s="87">
        <f t="shared" si="2"/>
        <v>143</v>
      </c>
      <c r="AE143" s="109"/>
    </row>
    <row r="144" spans="1:31" ht="18" customHeight="1" thickBot="1" x14ac:dyDescent="0.4">
      <c r="A144" s="64">
        <v>44849</v>
      </c>
      <c r="B144" s="64">
        <v>5858</v>
      </c>
      <c r="C144" s="106">
        <v>45455</v>
      </c>
      <c r="D144" s="66" t="s">
        <v>1701</v>
      </c>
      <c r="E144" s="66" t="s">
        <v>563</v>
      </c>
      <c r="F144" s="68" t="s">
        <v>2348</v>
      </c>
      <c r="G144" s="66" t="s">
        <v>1006</v>
      </c>
      <c r="H144" s="64">
        <v>1111</v>
      </c>
      <c r="I144" s="67" t="s">
        <v>3</v>
      </c>
      <c r="J144" s="97">
        <v>404275408</v>
      </c>
      <c r="K144" s="66"/>
      <c r="L144" s="68" t="s">
        <v>2349</v>
      </c>
      <c r="M144" s="69">
        <v>879.34</v>
      </c>
      <c r="N144" s="69">
        <v>879.34</v>
      </c>
      <c r="O144" s="70">
        <f>IF(registreGarantie[[#This Row],[date paiement]]="","",registreGarantie[[#This Row],[Pièces 
Demandés]]-registreGarantie[[#This Row],[Pièces 
Remboursés]])</f>
        <v>0</v>
      </c>
      <c r="P144" s="69">
        <v>138.38</v>
      </c>
      <c r="Q144" s="69">
        <v>138.38</v>
      </c>
      <c r="R144" s="70">
        <f>IF(registreGarantie[[#This Row],[date paiement]]="","",registreGarantie[[#This Row],[MO
Demandé]]-registreGarantie[[#This Row],[MO
Remboursé]])</f>
        <v>0</v>
      </c>
      <c r="S144" s="69"/>
      <c r="T144" s="70">
        <f>IF(registreGarantie[[#This Row],[date paiement]]="","",registreGarantie[[#This Row],[MO
Refusé]]+registreGarantie[[#This Row],[Pièces
Refusés]])</f>
        <v>0</v>
      </c>
      <c r="U144" s="106">
        <v>45544</v>
      </c>
      <c r="V144" s="71">
        <f>IF(registreGarantie[[#This Row],[Pièces 
Demandés]]="","",registreGarantie[[#This Row],[Date]])</f>
        <v>45455</v>
      </c>
      <c r="W144" s="103">
        <f>IF(registreGarantie[[#This Row],[Pièces 
Demandés]]="","",IF(registreGarantie[[#This Row],[date paiement]]="","",registreGarantie[[#This Row],[date paiement]]+91))</f>
        <v>45635</v>
      </c>
      <c r="X1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4" s="74">
        <f ca="1">IF(registreGarantie[[#This Row],[Colonne1]]=0,"",IF(TODAY()&gt;registreGarantie[[#This Row],[Date rebus]],0,1))</f>
        <v>0</v>
      </c>
      <c r="Z144" s="66"/>
      <c r="AA144" s="73" t="str">
        <f>IF(AND(registreGarantie[[#This Row],[Montant non remboursé]]&gt;1,registreGarantie[[#This Row],[Montant non remboursé]]&lt;&gt;""),1,"")</f>
        <v/>
      </c>
      <c r="AB144" s="66"/>
      <c r="AC144" s="66"/>
      <c r="AD144" s="87">
        <f t="shared" si="2"/>
        <v>144</v>
      </c>
      <c r="AE144" s="109"/>
    </row>
    <row r="145" spans="1:31" ht="18" customHeight="1" thickBot="1" x14ac:dyDescent="0.4">
      <c r="A145" s="64">
        <v>44850</v>
      </c>
      <c r="B145" s="64">
        <v>5848</v>
      </c>
      <c r="C145" s="106">
        <v>45456</v>
      </c>
      <c r="D145" s="66" t="s">
        <v>41</v>
      </c>
      <c r="E145" s="66" t="s">
        <v>1702</v>
      </c>
      <c r="F145" s="68" t="s">
        <v>2268</v>
      </c>
      <c r="G145" s="66" t="s">
        <v>401</v>
      </c>
      <c r="H145" s="64">
        <v>3160</v>
      </c>
      <c r="I145" s="67" t="s">
        <v>3</v>
      </c>
      <c r="J145" s="97">
        <v>404275572</v>
      </c>
      <c r="K145" s="66"/>
      <c r="L145" s="68"/>
      <c r="M145" s="69">
        <v>177.21</v>
      </c>
      <c r="N145" s="69">
        <v>177.21</v>
      </c>
      <c r="O145" s="70">
        <f>IF(registreGarantie[[#This Row],[date paiement]]="","",registreGarantie[[#This Row],[Pièces 
Demandés]]-registreGarantie[[#This Row],[Pièces 
Remboursés]])</f>
        <v>0</v>
      </c>
      <c r="P145" s="69">
        <v>199.88</v>
      </c>
      <c r="Q145" s="69">
        <v>199.88</v>
      </c>
      <c r="R145" s="70">
        <f>IF(registreGarantie[[#This Row],[date paiement]]="","",registreGarantie[[#This Row],[MO
Demandé]]-registreGarantie[[#This Row],[MO
Remboursé]])</f>
        <v>0</v>
      </c>
      <c r="S145" s="69"/>
      <c r="T145" s="70">
        <f>IF(registreGarantie[[#This Row],[date paiement]]="","",registreGarantie[[#This Row],[MO
Refusé]]+registreGarantie[[#This Row],[Pièces
Refusés]])</f>
        <v>0</v>
      </c>
      <c r="U145" s="106">
        <v>45462</v>
      </c>
      <c r="V145" s="71">
        <f>IF(registreGarantie[[#This Row],[Pièces 
Demandés]]="","",registreGarantie[[#This Row],[Date]])</f>
        <v>45456</v>
      </c>
      <c r="W145" s="103">
        <f>IF(registreGarantie[[#This Row],[Pièces 
Demandés]]="","",IF(registreGarantie[[#This Row],[date paiement]]="","",registreGarantie[[#This Row],[date paiement]]+91))</f>
        <v>45553</v>
      </c>
      <c r="X1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5" s="74">
        <f ca="1">IF(registreGarantie[[#This Row],[Colonne1]]=0,"",IF(TODAY()&gt;registreGarantie[[#This Row],[Date rebus]],0,1))</f>
        <v>0</v>
      </c>
      <c r="Z145" s="66"/>
      <c r="AA145" s="73" t="str">
        <f>IF(AND(registreGarantie[[#This Row],[Montant non remboursé]]&gt;1,registreGarantie[[#This Row],[Montant non remboursé]]&lt;&gt;""),1,"")</f>
        <v/>
      </c>
      <c r="AB145" s="66"/>
      <c r="AC145" s="66"/>
      <c r="AD145" s="87">
        <f t="shared" si="2"/>
        <v>145</v>
      </c>
      <c r="AE145" s="109"/>
    </row>
    <row r="146" spans="1:31" ht="18" customHeight="1" thickBot="1" x14ac:dyDescent="0.4">
      <c r="A146" s="64">
        <v>44851</v>
      </c>
      <c r="B146" s="64">
        <v>5849</v>
      </c>
      <c r="C146" s="106">
        <v>45456</v>
      </c>
      <c r="D146" s="66" t="s">
        <v>41</v>
      </c>
      <c r="E146" s="66" t="s">
        <v>1702</v>
      </c>
      <c r="F146" s="68" t="s">
        <v>2268</v>
      </c>
      <c r="G146" s="66" t="s">
        <v>1523</v>
      </c>
      <c r="H146" s="64">
        <v>3165</v>
      </c>
      <c r="I146" s="67" t="s">
        <v>3</v>
      </c>
      <c r="J146" s="97">
        <v>404276174</v>
      </c>
      <c r="K146" s="66"/>
      <c r="L146" s="68"/>
      <c r="M146" s="69">
        <v>146.5</v>
      </c>
      <c r="N146" s="69">
        <v>146.5</v>
      </c>
      <c r="O146" s="70">
        <f>IF(registreGarantie[[#This Row],[date paiement]]="","",registreGarantie[[#This Row],[Pièces 
Demandés]]-registreGarantie[[#This Row],[Pièces 
Remboursés]])</f>
        <v>0</v>
      </c>
      <c r="P146" s="69">
        <v>184.5</v>
      </c>
      <c r="Q146" s="69">
        <v>184.5</v>
      </c>
      <c r="R146" s="70">
        <f>IF(registreGarantie[[#This Row],[date paiement]]="","",registreGarantie[[#This Row],[MO
Demandé]]-registreGarantie[[#This Row],[MO
Remboursé]])</f>
        <v>0</v>
      </c>
      <c r="S146" s="69"/>
      <c r="T146" s="70">
        <f>IF(registreGarantie[[#This Row],[date paiement]]="","",registreGarantie[[#This Row],[MO
Refusé]]+registreGarantie[[#This Row],[Pièces
Refusés]])</f>
        <v>0</v>
      </c>
      <c r="U146" s="106">
        <v>45525</v>
      </c>
      <c r="V146" s="71">
        <f>IF(registreGarantie[[#This Row],[Pièces 
Demandés]]="","",registreGarantie[[#This Row],[Date]])</f>
        <v>45456</v>
      </c>
      <c r="W146" s="103">
        <f>IF(registreGarantie[[#This Row],[Pièces 
Demandés]]="","",IF(registreGarantie[[#This Row],[date paiement]]="","",registreGarantie[[#This Row],[date paiement]]+91))</f>
        <v>45616</v>
      </c>
      <c r="X1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46" s="74">
        <f ca="1">IF(registreGarantie[[#This Row],[Colonne1]]=0,"",IF(TODAY()&gt;registreGarantie[[#This Row],[Date rebus]],0,1))</f>
        <v>0</v>
      </c>
      <c r="Z146" s="66"/>
      <c r="AA146" s="73" t="str">
        <f>IF(AND(registreGarantie[[#This Row],[Montant non remboursé]]&gt;1,registreGarantie[[#This Row],[Montant non remboursé]]&lt;&gt;""),1,"")</f>
        <v/>
      </c>
      <c r="AB146" s="66"/>
      <c r="AC146" s="66"/>
      <c r="AD146" s="87">
        <f t="shared" si="2"/>
        <v>146</v>
      </c>
      <c r="AE146" s="109"/>
    </row>
    <row r="147" spans="1:31" ht="18" customHeight="1" thickBot="1" x14ac:dyDescent="0.4">
      <c r="A147" s="64">
        <v>44852</v>
      </c>
      <c r="B147" s="64">
        <v>42983</v>
      </c>
      <c r="C147" s="106">
        <v>45533.353449074071</v>
      </c>
      <c r="D147" s="66" t="s">
        <v>41</v>
      </c>
      <c r="E147" s="66" t="s">
        <v>181</v>
      </c>
      <c r="F147" s="68" t="s">
        <v>2269</v>
      </c>
      <c r="G147" s="66" t="s">
        <v>690</v>
      </c>
      <c r="H147" s="64">
        <v>359</v>
      </c>
      <c r="I147" s="67" t="s">
        <v>5</v>
      </c>
      <c r="J147" s="97">
        <v>404275173</v>
      </c>
      <c r="K147" s="66"/>
      <c r="L147" s="68"/>
      <c r="M147" s="69"/>
      <c r="N147" s="69"/>
      <c r="O147" s="70">
        <f>IF(registreGarantie[[#This Row],[date paiement]]="","",registreGarantie[[#This Row],[Pièces 
Demandés]]-registreGarantie[[#This Row],[Pièces 
Remboursés]])</f>
        <v>0</v>
      </c>
      <c r="P147" s="69">
        <v>92.25</v>
      </c>
      <c r="Q147" s="69">
        <v>92.25</v>
      </c>
      <c r="R147" s="70">
        <f>IF(registreGarantie[[#This Row],[date paiement]]="","",registreGarantie[[#This Row],[MO
Demandé]]-registreGarantie[[#This Row],[MO
Remboursé]])</f>
        <v>0</v>
      </c>
      <c r="S147" s="69"/>
      <c r="T147" s="70">
        <f>IF(registreGarantie[[#This Row],[date paiement]]="","",registreGarantie[[#This Row],[MO
Refusé]]+registreGarantie[[#This Row],[Pièces
Refusés]])</f>
        <v>0</v>
      </c>
      <c r="U147" s="106">
        <v>45551</v>
      </c>
      <c r="V147" s="71" t="str">
        <f>IF(registreGarantie[[#This Row],[Pièces 
Demandés]]="","",registreGarantie[[#This Row],[Date]])</f>
        <v/>
      </c>
      <c r="W147" s="103" t="str">
        <f>IF(registreGarantie[[#This Row],[Pièces 
Demandés]]="","",IF(registreGarantie[[#This Row],[date paiement]]="","",registreGarantie[[#This Row],[date paiement]]+91))</f>
        <v/>
      </c>
      <c r="X1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47" s="74" t="str">
        <f ca="1">IF(registreGarantie[[#This Row],[Colonne1]]=0,"",IF(TODAY()&gt;registreGarantie[[#This Row],[Date rebus]],0,1))</f>
        <v/>
      </c>
      <c r="Z147" s="66"/>
      <c r="AA147" s="73" t="str">
        <f>IF(AND(registreGarantie[[#This Row],[Montant non remboursé]]&gt;1,registreGarantie[[#This Row],[Montant non remboursé]]&lt;&gt;""),1,"")</f>
        <v/>
      </c>
      <c r="AB147" s="66"/>
      <c r="AC147" s="66"/>
      <c r="AD147" s="87">
        <f t="shared" si="2"/>
        <v>147</v>
      </c>
      <c r="AE147" s="109"/>
    </row>
    <row r="148" spans="1:31" ht="18" customHeight="1" thickBot="1" x14ac:dyDescent="0.4">
      <c r="A148" s="64">
        <v>44853</v>
      </c>
      <c r="B148" s="64">
        <v>42984</v>
      </c>
      <c r="C148" s="106">
        <v>45461</v>
      </c>
      <c r="D148" s="66" t="s">
        <v>309</v>
      </c>
      <c r="E148" s="66" t="s">
        <v>45</v>
      </c>
      <c r="F148" s="68" t="s">
        <v>2339</v>
      </c>
      <c r="G148" s="66" t="s">
        <v>690</v>
      </c>
      <c r="H148" s="64">
        <v>178</v>
      </c>
      <c r="I148" s="67" t="s">
        <v>5</v>
      </c>
      <c r="J148" s="97">
        <v>404275174</v>
      </c>
      <c r="K148" s="66"/>
      <c r="L148" s="68"/>
      <c r="M148" s="69"/>
      <c r="N148" s="69"/>
      <c r="O148" s="70">
        <f>IF(registreGarantie[[#This Row],[date paiement]]="","",registreGarantie[[#This Row],[Pièces 
Demandés]]-registreGarantie[[#This Row],[Pièces 
Remboursés]])</f>
        <v>0</v>
      </c>
      <c r="P148" s="69">
        <v>92.25</v>
      </c>
      <c r="Q148" s="69">
        <v>92.25</v>
      </c>
      <c r="R148" s="70">
        <f>IF(registreGarantie[[#This Row],[date paiement]]="","",registreGarantie[[#This Row],[MO
Demandé]]-registreGarantie[[#This Row],[MO
Remboursé]])</f>
        <v>0</v>
      </c>
      <c r="S148" s="69"/>
      <c r="T148" s="70">
        <f>IF(registreGarantie[[#This Row],[date paiement]]="","",registreGarantie[[#This Row],[MO
Refusé]]+registreGarantie[[#This Row],[Pièces
Refusés]])</f>
        <v>0</v>
      </c>
      <c r="U148" s="106">
        <v>45464</v>
      </c>
      <c r="V148" s="71" t="str">
        <f>IF(registreGarantie[[#This Row],[Pièces 
Demandés]]="","",registreGarantie[[#This Row],[Date]])</f>
        <v/>
      </c>
      <c r="W148" s="103" t="str">
        <f>IF(registreGarantie[[#This Row],[Pièces 
Demandés]]="","",IF(registreGarantie[[#This Row],[date paiement]]="","",registreGarantie[[#This Row],[date paiement]]+91))</f>
        <v/>
      </c>
      <c r="X1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48" s="74" t="str">
        <f ca="1">IF(registreGarantie[[#This Row],[Colonne1]]=0,"",IF(TODAY()&gt;registreGarantie[[#This Row],[Date rebus]],0,1))</f>
        <v/>
      </c>
      <c r="Z148" s="66"/>
      <c r="AA148" s="73" t="str">
        <f>IF(AND(registreGarantie[[#This Row],[Montant non remboursé]]&gt;1,registreGarantie[[#This Row],[Montant non remboursé]]&lt;&gt;""),1,"")</f>
        <v/>
      </c>
      <c r="AB148" s="66">
        <v>1</v>
      </c>
      <c r="AC148" s="66" t="s">
        <v>1592</v>
      </c>
      <c r="AD148" s="87">
        <f t="shared" si="2"/>
        <v>148</v>
      </c>
      <c r="AE148" s="109"/>
    </row>
    <row r="149" spans="1:31" ht="18" customHeight="1" thickBot="1" x14ac:dyDescent="0.4">
      <c r="A149" s="64">
        <v>44854</v>
      </c>
      <c r="B149" s="64">
        <v>42985</v>
      </c>
      <c r="C149" s="106">
        <v>45525</v>
      </c>
      <c r="D149" s="66" t="s">
        <v>1536</v>
      </c>
      <c r="E149" s="66" t="s">
        <v>75</v>
      </c>
      <c r="F149" s="68" t="s">
        <v>2280</v>
      </c>
      <c r="G149" s="66" t="s">
        <v>690</v>
      </c>
      <c r="H149" s="64">
        <v>370</v>
      </c>
      <c r="I149" s="67" t="s">
        <v>5</v>
      </c>
      <c r="J149" s="97">
        <v>404275209</v>
      </c>
      <c r="K149" s="66"/>
      <c r="L149" s="68"/>
      <c r="M149" s="69"/>
      <c r="N149" s="69"/>
      <c r="O149" s="70">
        <f>IF(registreGarantie[[#This Row],[date paiement]]="","",registreGarantie[[#This Row],[Pièces 
Demandés]]-registreGarantie[[#This Row],[Pièces 
Remboursés]])</f>
        <v>0</v>
      </c>
      <c r="P149" s="69">
        <v>92.25</v>
      </c>
      <c r="Q149" s="69">
        <v>92.25</v>
      </c>
      <c r="R149" s="70">
        <f>IF(registreGarantie[[#This Row],[date paiement]]="","",registreGarantie[[#This Row],[MO
Demandé]]-registreGarantie[[#This Row],[MO
Remboursé]])</f>
        <v>0</v>
      </c>
      <c r="S149" s="69"/>
      <c r="T149" s="70">
        <f>IF(registreGarantie[[#This Row],[date paiement]]="","",registreGarantie[[#This Row],[MO
Refusé]]+registreGarantie[[#This Row],[Pièces
Refusés]])</f>
        <v>0</v>
      </c>
      <c r="U149" s="106">
        <v>45551</v>
      </c>
      <c r="V149" s="71" t="str">
        <f>IF(registreGarantie[[#This Row],[Pièces 
Demandés]]="","",registreGarantie[[#This Row],[Date]])</f>
        <v/>
      </c>
      <c r="W149" s="103" t="str">
        <f>IF(registreGarantie[[#This Row],[Pièces 
Demandés]]="","",IF(registreGarantie[[#This Row],[date paiement]]="","",registreGarantie[[#This Row],[date paiement]]+91))</f>
        <v/>
      </c>
      <c r="X1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49" s="74" t="str">
        <f ca="1">IF(registreGarantie[[#This Row],[Colonne1]]=0,"",IF(TODAY()&gt;registreGarantie[[#This Row],[Date rebus]],0,1))</f>
        <v/>
      </c>
      <c r="Z149" s="66"/>
      <c r="AA149" s="73" t="str">
        <f>IF(AND(registreGarantie[[#This Row],[Montant non remboursé]]&gt;1,registreGarantie[[#This Row],[Montant non remboursé]]&lt;&gt;""),1,"")</f>
        <v/>
      </c>
      <c r="AB149" s="66"/>
      <c r="AC149" s="66"/>
      <c r="AD149" s="87">
        <f t="shared" si="2"/>
        <v>149</v>
      </c>
      <c r="AE149" s="109"/>
    </row>
    <row r="150" spans="1:31" ht="18" customHeight="1" thickBot="1" x14ac:dyDescent="0.4">
      <c r="A150" s="64">
        <v>44855</v>
      </c>
      <c r="B150" s="64">
        <v>42986</v>
      </c>
      <c r="C150" s="106">
        <v>45525</v>
      </c>
      <c r="D150" s="66" t="s">
        <v>446</v>
      </c>
      <c r="E150" s="66" t="s">
        <v>75</v>
      </c>
      <c r="F150" s="68" t="s">
        <v>2324</v>
      </c>
      <c r="G150" s="66" t="s">
        <v>690</v>
      </c>
      <c r="H150" s="64">
        <v>371</v>
      </c>
      <c r="I150" s="67" t="s">
        <v>5</v>
      </c>
      <c r="J150" s="97">
        <v>404275242</v>
      </c>
      <c r="K150" s="66"/>
      <c r="L150" s="68"/>
      <c r="M150" s="69"/>
      <c r="N150" s="69"/>
      <c r="O150" s="70">
        <f>IF(registreGarantie[[#This Row],[date paiement]]="","",registreGarantie[[#This Row],[Pièces 
Demandés]]-registreGarantie[[#This Row],[Pièces 
Remboursés]])</f>
        <v>0</v>
      </c>
      <c r="P150" s="69">
        <v>92.25</v>
      </c>
      <c r="Q150" s="69">
        <v>92.25</v>
      </c>
      <c r="R150" s="70">
        <f>IF(registreGarantie[[#This Row],[date paiement]]="","",registreGarantie[[#This Row],[MO
Demandé]]-registreGarantie[[#This Row],[MO
Remboursé]])</f>
        <v>0</v>
      </c>
      <c r="S150" s="69"/>
      <c r="T150" s="70">
        <f>IF(registreGarantie[[#This Row],[date paiement]]="","",registreGarantie[[#This Row],[MO
Refusé]]+registreGarantie[[#This Row],[Pièces
Refusés]])</f>
        <v>0</v>
      </c>
      <c r="U150" s="106">
        <v>45551</v>
      </c>
      <c r="V150" s="71" t="str">
        <f>IF(registreGarantie[[#This Row],[Pièces 
Demandés]]="","",registreGarantie[[#This Row],[Date]])</f>
        <v/>
      </c>
      <c r="W150" s="103" t="str">
        <f>IF(registreGarantie[[#This Row],[Pièces 
Demandés]]="","",IF(registreGarantie[[#This Row],[date paiement]]="","",registreGarantie[[#This Row],[date paiement]]+91))</f>
        <v/>
      </c>
      <c r="X1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0" s="74" t="str">
        <f ca="1">IF(registreGarantie[[#This Row],[Colonne1]]=0,"",IF(TODAY()&gt;registreGarantie[[#This Row],[Date rebus]],0,1))</f>
        <v/>
      </c>
      <c r="Z150" s="66"/>
      <c r="AA150" s="73" t="str">
        <f>IF(AND(registreGarantie[[#This Row],[Montant non remboursé]]&gt;1,registreGarantie[[#This Row],[Montant non remboursé]]&lt;&gt;""),1,"")</f>
        <v/>
      </c>
      <c r="AB150" s="66"/>
      <c r="AC150" s="66"/>
      <c r="AD150" s="87">
        <f t="shared" si="2"/>
        <v>150</v>
      </c>
      <c r="AE150" s="109"/>
    </row>
    <row r="151" spans="1:31" ht="18" customHeight="1" thickBot="1" x14ac:dyDescent="0.4">
      <c r="A151" s="64">
        <v>44856</v>
      </c>
      <c r="B151" s="64">
        <v>42987</v>
      </c>
      <c r="C151" s="106">
        <v>45551.404548611114</v>
      </c>
      <c r="D151" s="66" t="s">
        <v>239</v>
      </c>
      <c r="E151" s="66" t="s">
        <v>546</v>
      </c>
      <c r="F151" s="68">
        <v>78410241</v>
      </c>
      <c r="G151" s="66" t="s">
        <v>691</v>
      </c>
      <c r="H151" s="64">
        <v>702</v>
      </c>
      <c r="I151" s="67" t="s">
        <v>5</v>
      </c>
      <c r="J151" s="97">
        <v>404276190</v>
      </c>
      <c r="K151" s="66"/>
      <c r="L151" s="68"/>
      <c r="M151" s="69">
        <v>234.71</v>
      </c>
      <c r="N151" s="69">
        <v>234.71</v>
      </c>
      <c r="O151" s="70">
        <f>IF(registreGarantie[[#This Row],[date paiement]]="","",registreGarantie[[#This Row],[Pièces 
Demandés]]-registreGarantie[[#This Row],[Pièces 
Remboursés]])</f>
        <v>0</v>
      </c>
      <c r="P151" s="69">
        <v>322.88</v>
      </c>
      <c r="Q151" s="69">
        <v>322.88</v>
      </c>
      <c r="R151" s="70">
        <f>IF(registreGarantie[[#This Row],[date paiement]]="","",registreGarantie[[#This Row],[MO
Demandé]]-registreGarantie[[#This Row],[MO
Remboursé]])</f>
        <v>0</v>
      </c>
      <c r="S151" s="69"/>
      <c r="T151" s="70">
        <f>IF(registreGarantie[[#This Row],[date paiement]]="","",registreGarantie[[#This Row],[MO
Refusé]]+registreGarantie[[#This Row],[Pièces
Refusés]])</f>
        <v>0</v>
      </c>
      <c r="U151" s="106">
        <v>45586</v>
      </c>
      <c r="V151" s="71">
        <f>IF(registreGarantie[[#This Row],[Pièces 
Demandés]]="","",registreGarantie[[#This Row],[Date]])</f>
        <v>45551.404548611114</v>
      </c>
      <c r="W151" s="103">
        <f>IF(registreGarantie[[#This Row],[Pièces 
Demandés]]="","",IF(registreGarantie[[#This Row],[date paiement]]="","",registreGarantie[[#This Row],[date paiement]]+91))</f>
        <v>45677</v>
      </c>
      <c r="X1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1" s="74" t="str">
        <f ca="1">IF(registreGarantie[[#This Row],[Colonne1]]=0,"",IF(TODAY()&gt;registreGarantie[[#This Row],[Date rebus]],0,1))</f>
        <v/>
      </c>
      <c r="Z151" s="66"/>
      <c r="AA151" s="73" t="str">
        <f>IF(AND(registreGarantie[[#This Row],[Montant non remboursé]]&gt;1,registreGarantie[[#This Row],[Montant non remboursé]]&lt;&gt;""),1,"")</f>
        <v/>
      </c>
      <c r="AB151" s="66"/>
      <c r="AC151" s="66"/>
      <c r="AD151" s="87">
        <f t="shared" si="2"/>
        <v>151</v>
      </c>
      <c r="AE151" s="109"/>
    </row>
    <row r="152" spans="1:31" ht="18" customHeight="1" thickBot="1" x14ac:dyDescent="0.4">
      <c r="A152" s="64">
        <v>44857</v>
      </c>
      <c r="B152" s="64">
        <v>42919</v>
      </c>
      <c r="C152" s="106">
        <v>45460</v>
      </c>
      <c r="D152" s="66" t="s">
        <v>86</v>
      </c>
      <c r="E152" s="66" t="s">
        <v>45</v>
      </c>
      <c r="F152" s="68" t="s">
        <v>2239</v>
      </c>
      <c r="G152" s="66" t="s">
        <v>784</v>
      </c>
      <c r="H152" s="64">
        <v>592</v>
      </c>
      <c r="I152" s="67" t="s">
        <v>18</v>
      </c>
      <c r="J152" s="97">
        <v>404278317</v>
      </c>
      <c r="K152" s="66"/>
      <c r="L152" s="68"/>
      <c r="M152" s="69"/>
      <c r="N152" s="69"/>
      <c r="O152" s="70" t="str">
        <f>IF(registreGarantie[[#This Row],[date paiement]]="","",registreGarantie[[#This Row],[Pièces 
Demandés]]-registreGarantie[[#This Row],[Pièces 
Remboursés]])</f>
        <v/>
      </c>
      <c r="P152" s="69"/>
      <c r="Q152" s="69"/>
      <c r="R152" s="70" t="str">
        <f>IF(registreGarantie[[#This Row],[date paiement]]="","",registreGarantie[[#This Row],[MO
Demandé]]-registreGarantie[[#This Row],[MO
Remboursé]])</f>
        <v/>
      </c>
      <c r="S152" s="69"/>
      <c r="T152" s="70" t="str">
        <f>IF(registreGarantie[[#This Row],[date paiement]]="","",registreGarantie[[#This Row],[MO
Refusé]]+registreGarantie[[#This Row],[Pièces
Refusés]])</f>
        <v/>
      </c>
      <c r="U152" s="106"/>
      <c r="V152" s="71" t="str">
        <f>IF(registreGarantie[[#This Row],[Pièces 
Demandés]]="","",registreGarantie[[#This Row],[Date]])</f>
        <v/>
      </c>
      <c r="W152" s="103" t="str">
        <f>IF(registreGarantie[[#This Row],[Pièces 
Demandés]]="","",IF(registreGarantie[[#This Row],[date paiement]]="","",registreGarantie[[#This Row],[date paiement]]+91))</f>
        <v/>
      </c>
      <c r="X1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2" s="74" t="str">
        <f ca="1">IF(registreGarantie[[#This Row],[Colonne1]]=0,"",IF(TODAY()&gt;registreGarantie[[#This Row],[Date rebus]],0,1))</f>
        <v/>
      </c>
      <c r="Z152" s="66"/>
      <c r="AA152" s="73" t="str">
        <f>IF(AND(registreGarantie[[#This Row],[Montant non remboursé]]&gt;1,registreGarantie[[#This Row],[Montant non remboursé]]&lt;&gt;""),1,"")</f>
        <v/>
      </c>
      <c r="AB152" s="66"/>
      <c r="AC152" s="66"/>
      <c r="AD152" s="87">
        <f t="shared" si="2"/>
        <v>152</v>
      </c>
      <c r="AE152" s="109"/>
    </row>
    <row r="153" spans="1:31" ht="18" customHeight="1" thickBot="1" x14ac:dyDescent="0.4">
      <c r="A153" s="64">
        <v>44858</v>
      </c>
      <c r="B153" s="64">
        <v>42939</v>
      </c>
      <c r="C153" s="106">
        <v>45457</v>
      </c>
      <c r="D153" s="66" t="s">
        <v>439</v>
      </c>
      <c r="E153" s="66" t="s">
        <v>466</v>
      </c>
      <c r="F153" s="68"/>
      <c r="G153" s="66" t="s">
        <v>1703</v>
      </c>
      <c r="H153" s="64">
        <v>250</v>
      </c>
      <c r="I153" s="67" t="s">
        <v>21</v>
      </c>
      <c r="J153" s="97" t="s">
        <v>1704</v>
      </c>
      <c r="K153" s="66"/>
      <c r="L153" s="68"/>
      <c r="M153" s="69">
        <v>248.15</v>
      </c>
      <c r="N153" s="69">
        <v>248.15</v>
      </c>
      <c r="O153" s="70">
        <f>IF(registreGarantie[[#This Row],[date paiement]]="","",registreGarantie[[#This Row],[Pièces 
Demandés]]-registreGarantie[[#This Row],[Pièces 
Remboursés]])</f>
        <v>0</v>
      </c>
      <c r="P153" s="69">
        <v>102</v>
      </c>
      <c r="Q153" s="69">
        <v>102</v>
      </c>
      <c r="R153" s="70">
        <f>IF(registreGarantie[[#This Row],[date paiement]]="","",registreGarantie[[#This Row],[MO
Demandé]]-registreGarantie[[#This Row],[MO
Remboursé]])</f>
        <v>0</v>
      </c>
      <c r="S153" s="69"/>
      <c r="T153" s="70">
        <f>IF(registreGarantie[[#This Row],[date paiement]]="","",registreGarantie[[#This Row],[MO
Refusé]]+registreGarantie[[#This Row],[Pièces
Refusés]])</f>
        <v>0</v>
      </c>
      <c r="U153" s="106">
        <v>45506</v>
      </c>
      <c r="V153" s="71">
        <f>IF(registreGarantie[[#This Row],[Pièces 
Demandés]]="","",registreGarantie[[#This Row],[Date]])</f>
        <v>45457</v>
      </c>
      <c r="W153" s="103">
        <f>IF(registreGarantie[[#This Row],[Pièces 
Demandés]]="","",IF(registreGarantie[[#This Row],[date paiement]]="","",registreGarantie[[#This Row],[date paiement]]+91))</f>
        <v>45597</v>
      </c>
      <c r="X1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3" s="74" t="str">
        <f ca="1">IF(registreGarantie[[#This Row],[Colonne1]]=0,"",IF(TODAY()&gt;registreGarantie[[#This Row],[Date rebus]],0,1))</f>
        <v/>
      </c>
      <c r="Z153" s="66"/>
      <c r="AA153" s="73" t="str">
        <f>IF(AND(registreGarantie[[#This Row],[Montant non remboursé]]&gt;1,registreGarantie[[#This Row],[Montant non remboursé]]&lt;&gt;""),1,"")</f>
        <v/>
      </c>
      <c r="AB153" s="66"/>
      <c r="AC153" s="66"/>
      <c r="AD153" s="87">
        <f t="shared" si="2"/>
        <v>153</v>
      </c>
      <c r="AE153" s="109"/>
    </row>
    <row r="154" spans="1:31" ht="18" customHeight="1" thickBot="1" x14ac:dyDescent="0.4">
      <c r="A154" s="64">
        <v>44859</v>
      </c>
      <c r="B154" s="64">
        <v>42881</v>
      </c>
      <c r="C154" s="106">
        <v>45461</v>
      </c>
      <c r="D154" s="66" t="s">
        <v>474</v>
      </c>
      <c r="E154" s="66" t="s">
        <v>45</v>
      </c>
      <c r="F154" s="68" t="s">
        <v>2281</v>
      </c>
      <c r="G154" s="66" t="s">
        <v>590</v>
      </c>
      <c r="H154" s="64" t="s">
        <v>1705</v>
      </c>
      <c r="I154" s="67" t="s">
        <v>15</v>
      </c>
      <c r="J154" s="97">
        <v>404280293</v>
      </c>
      <c r="K154" s="66"/>
      <c r="L154" s="68"/>
      <c r="M154" s="69">
        <v>137.88</v>
      </c>
      <c r="N154" s="69">
        <v>137.88</v>
      </c>
      <c r="O154" s="70">
        <f>IF(registreGarantie[[#This Row],[date paiement]]="","",registreGarantie[[#This Row],[Pièces 
Demandés]]-registreGarantie[[#This Row],[Pièces 
Remboursés]])</f>
        <v>0</v>
      </c>
      <c r="P154" s="69">
        <v>30.75</v>
      </c>
      <c r="Q154" s="69">
        <v>30.75</v>
      </c>
      <c r="R154" s="70">
        <f>IF(registreGarantie[[#This Row],[date paiement]]="","",registreGarantie[[#This Row],[MO
Demandé]]-registreGarantie[[#This Row],[MO
Remboursé]])</f>
        <v>0</v>
      </c>
      <c r="S154" s="69"/>
      <c r="T154" s="70">
        <f>IF(registreGarantie[[#This Row],[date paiement]]="","",registreGarantie[[#This Row],[MO
Refusé]]+registreGarantie[[#This Row],[Pièces
Refusés]])</f>
        <v>0</v>
      </c>
      <c r="U154" s="106">
        <v>45525</v>
      </c>
      <c r="V154" s="71">
        <f>IF(registreGarantie[[#This Row],[Pièces 
Demandés]]="","",registreGarantie[[#This Row],[Date]])</f>
        <v>45461</v>
      </c>
      <c r="W154" s="103">
        <f>IF(registreGarantie[[#This Row],[Pièces 
Demandés]]="","",IF(registreGarantie[[#This Row],[date paiement]]="","",registreGarantie[[#This Row],[date paiement]]+91))</f>
        <v>45616</v>
      </c>
      <c r="X1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54" s="74">
        <f ca="1">IF(registreGarantie[[#This Row],[Colonne1]]=0,"",IF(TODAY()&gt;registreGarantie[[#This Row],[Date rebus]],0,1))</f>
        <v>0</v>
      </c>
      <c r="Z154" s="66"/>
      <c r="AA154" s="73" t="str">
        <f>IF(AND(registreGarantie[[#This Row],[Montant non remboursé]]&gt;1,registreGarantie[[#This Row],[Montant non remboursé]]&lt;&gt;""),1,"")</f>
        <v/>
      </c>
      <c r="AB154" s="66"/>
      <c r="AC154" s="66"/>
      <c r="AD154" s="87">
        <f t="shared" si="2"/>
        <v>154</v>
      </c>
      <c r="AE154" s="109"/>
    </row>
    <row r="155" spans="1:31" ht="18" customHeight="1" thickBot="1" x14ac:dyDescent="0.4">
      <c r="A155" s="64">
        <v>44860</v>
      </c>
      <c r="B155" s="64">
        <v>42964</v>
      </c>
      <c r="C155" s="106">
        <v>45462</v>
      </c>
      <c r="D155" s="66" t="s">
        <v>1535</v>
      </c>
      <c r="E155" s="66" t="s">
        <v>45</v>
      </c>
      <c r="F155" s="68" t="s">
        <v>2265</v>
      </c>
      <c r="G155" s="66" t="s">
        <v>671</v>
      </c>
      <c r="H155" s="64">
        <v>978</v>
      </c>
      <c r="I155" s="67" t="s">
        <v>18</v>
      </c>
      <c r="J155" s="97">
        <v>404287053</v>
      </c>
      <c r="K155" s="66"/>
      <c r="L155" s="68"/>
      <c r="M155" s="69"/>
      <c r="N155" s="69"/>
      <c r="O155" s="70" t="str">
        <f>IF(registreGarantie[[#This Row],[date paiement]]="","",registreGarantie[[#This Row],[Pièces 
Demandés]]-registreGarantie[[#This Row],[Pièces 
Remboursés]])</f>
        <v/>
      </c>
      <c r="P155" s="69"/>
      <c r="Q155" s="69"/>
      <c r="R155" s="70" t="str">
        <f>IF(registreGarantie[[#This Row],[date paiement]]="","",registreGarantie[[#This Row],[MO
Demandé]]-registreGarantie[[#This Row],[MO
Remboursé]])</f>
        <v/>
      </c>
      <c r="S155" s="69"/>
      <c r="T155" s="70" t="str">
        <f>IF(registreGarantie[[#This Row],[date paiement]]="","",registreGarantie[[#This Row],[MO
Refusé]]+registreGarantie[[#This Row],[Pièces
Refusés]])</f>
        <v/>
      </c>
      <c r="U155" s="106"/>
      <c r="V155" s="71" t="str">
        <f>IF(registreGarantie[[#This Row],[Pièces 
Demandés]]="","",registreGarantie[[#This Row],[Date]])</f>
        <v/>
      </c>
      <c r="W155" s="103" t="str">
        <f>IF(registreGarantie[[#This Row],[Pièces 
Demandés]]="","",IF(registreGarantie[[#This Row],[date paiement]]="","",registreGarantie[[#This Row],[date paiement]]+91))</f>
        <v/>
      </c>
      <c r="X1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5" s="74" t="str">
        <f ca="1">IF(registreGarantie[[#This Row],[Colonne1]]=0,"",IF(TODAY()&gt;registreGarantie[[#This Row],[Date rebus]],0,1))</f>
        <v/>
      </c>
      <c r="Z155" s="66"/>
      <c r="AA155" s="73" t="str">
        <f>IF(AND(registreGarantie[[#This Row],[Montant non remboursé]]&gt;1,registreGarantie[[#This Row],[Montant non remboursé]]&lt;&gt;""),1,"")</f>
        <v/>
      </c>
      <c r="AB155" s="66"/>
      <c r="AC155" s="66"/>
      <c r="AD155" s="87">
        <f t="shared" si="2"/>
        <v>155</v>
      </c>
      <c r="AE155" s="109"/>
    </row>
    <row r="156" spans="1:31" ht="18" customHeight="1" thickBot="1" x14ac:dyDescent="0.4">
      <c r="A156" s="64">
        <v>44861</v>
      </c>
      <c r="B156" s="64">
        <v>42957</v>
      </c>
      <c r="C156" s="106">
        <v>45463</v>
      </c>
      <c r="D156" s="66" t="s">
        <v>516</v>
      </c>
      <c r="E156" s="66" t="s">
        <v>63</v>
      </c>
      <c r="F156" s="68" t="s">
        <v>2322</v>
      </c>
      <c r="G156" s="66" t="s">
        <v>1547</v>
      </c>
      <c r="H156" s="64">
        <v>229</v>
      </c>
      <c r="I156" s="67" t="s">
        <v>20</v>
      </c>
      <c r="J156" s="97">
        <v>404288092</v>
      </c>
      <c r="K156" s="66"/>
      <c r="L156" s="68"/>
      <c r="M156" s="69"/>
      <c r="N156" s="69"/>
      <c r="O156" s="70" t="str">
        <f>IF(registreGarantie[[#This Row],[date paiement]]="","",registreGarantie[[#This Row],[Pièces 
Demandés]]-registreGarantie[[#This Row],[Pièces 
Remboursés]])</f>
        <v/>
      </c>
      <c r="P156" s="69"/>
      <c r="Q156" s="69"/>
      <c r="R156" s="70" t="str">
        <f>IF(registreGarantie[[#This Row],[date paiement]]="","",registreGarantie[[#This Row],[MO
Demandé]]-registreGarantie[[#This Row],[MO
Remboursé]])</f>
        <v/>
      </c>
      <c r="S156" s="69"/>
      <c r="T156" s="70" t="str">
        <f>IF(registreGarantie[[#This Row],[date paiement]]="","",registreGarantie[[#This Row],[MO
Refusé]]+registreGarantie[[#This Row],[Pièces
Refusés]])</f>
        <v/>
      </c>
      <c r="U156" s="106"/>
      <c r="V156" s="71" t="str">
        <f>IF(registreGarantie[[#This Row],[Pièces 
Demandés]]="","",registreGarantie[[#This Row],[Date]])</f>
        <v/>
      </c>
      <c r="W156" s="103" t="str">
        <f>IF(registreGarantie[[#This Row],[Pièces 
Demandés]]="","",IF(registreGarantie[[#This Row],[date paiement]]="","",registreGarantie[[#This Row],[date paiement]]+91))</f>
        <v/>
      </c>
      <c r="X1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6" s="74" t="str">
        <f ca="1">IF(registreGarantie[[#This Row],[Colonne1]]=0,"",IF(TODAY()&gt;registreGarantie[[#This Row],[Date rebus]],0,1))</f>
        <v/>
      </c>
      <c r="Z156" s="66"/>
      <c r="AA156" s="73" t="str">
        <f>IF(AND(registreGarantie[[#This Row],[Montant non remboursé]]&gt;1,registreGarantie[[#This Row],[Montant non remboursé]]&lt;&gt;""),1,"")</f>
        <v/>
      </c>
      <c r="AB156" s="66"/>
      <c r="AC156" s="66"/>
      <c r="AD156" s="87">
        <f t="shared" si="2"/>
        <v>156</v>
      </c>
      <c r="AE156" s="109"/>
    </row>
    <row r="157" spans="1:31" ht="18" customHeight="1" thickBot="1" x14ac:dyDescent="0.4">
      <c r="A157" s="64">
        <v>44861</v>
      </c>
      <c r="B157" s="64">
        <v>42957</v>
      </c>
      <c r="C157" s="106">
        <v>45471</v>
      </c>
      <c r="D157" s="66" t="s">
        <v>516</v>
      </c>
      <c r="E157" s="66" t="s">
        <v>63</v>
      </c>
      <c r="F157" s="68" t="s">
        <v>2322</v>
      </c>
      <c r="G157" s="66" t="s">
        <v>1547</v>
      </c>
      <c r="H157" s="64">
        <v>229</v>
      </c>
      <c r="I157" s="67" t="s">
        <v>2</v>
      </c>
      <c r="J157" s="97">
        <v>404288092</v>
      </c>
      <c r="K157" s="66"/>
      <c r="L157" s="68" t="s">
        <v>2323</v>
      </c>
      <c r="M157" s="69">
        <v>129.31</v>
      </c>
      <c r="N157" s="69">
        <v>129.31</v>
      </c>
      <c r="O157" s="70">
        <f>IF(registreGarantie[[#This Row],[date paiement]]="","",registreGarantie[[#This Row],[Pièces 
Demandés]]-registreGarantie[[#This Row],[Pièces 
Remboursés]])</f>
        <v>0</v>
      </c>
      <c r="P157" s="69">
        <v>2183.25</v>
      </c>
      <c r="Q157" s="69">
        <v>2183.25</v>
      </c>
      <c r="R157" s="70">
        <f>IF(registreGarantie[[#This Row],[date paiement]]="","",registreGarantie[[#This Row],[MO
Demandé]]-registreGarantie[[#This Row],[MO
Remboursé]])</f>
        <v>0</v>
      </c>
      <c r="S157" s="69"/>
      <c r="T157" s="70">
        <f>IF(registreGarantie[[#This Row],[date paiement]]="","",registreGarantie[[#This Row],[MO
Refusé]]+registreGarantie[[#This Row],[Pièces
Refusés]])</f>
        <v>0</v>
      </c>
      <c r="U157" s="106">
        <v>45525</v>
      </c>
      <c r="V157" s="71">
        <f>IF(registreGarantie[[#This Row],[Pièces 
Demandés]]="","",registreGarantie[[#This Row],[Date]])</f>
        <v>45471</v>
      </c>
      <c r="W157" s="103">
        <f>IF(registreGarantie[[#This Row],[Pièces 
Demandés]]="","",IF(registreGarantie[[#This Row],[date paiement]]="","",registreGarantie[[#This Row],[date paiement]]+91))</f>
        <v>45616</v>
      </c>
      <c r="X1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57" s="74">
        <f ca="1">IF(registreGarantie[[#This Row],[Colonne1]]=0,"",IF(TODAY()&gt;registreGarantie[[#This Row],[Date rebus]],0,1))</f>
        <v>0</v>
      </c>
      <c r="Z157" s="66"/>
      <c r="AA157" s="73" t="str">
        <f>IF(AND(registreGarantie[[#This Row],[Montant non remboursé]]&gt;1,registreGarantie[[#This Row],[Montant non remboursé]]&lt;&gt;""),1,"")</f>
        <v/>
      </c>
      <c r="AB157" s="66"/>
      <c r="AC157" s="66"/>
      <c r="AD157" s="87">
        <f t="shared" si="2"/>
        <v>157</v>
      </c>
      <c r="AE157" s="109"/>
    </row>
    <row r="158" spans="1:31" ht="18" customHeight="1" thickBot="1" x14ac:dyDescent="0.4">
      <c r="A158" s="64">
        <v>44862</v>
      </c>
      <c r="B158" s="64">
        <v>42978</v>
      </c>
      <c r="C158" s="106">
        <v>45463</v>
      </c>
      <c r="D158" s="66" t="s">
        <v>516</v>
      </c>
      <c r="E158" s="66" t="s">
        <v>63</v>
      </c>
      <c r="F158" s="68" t="s">
        <v>2322</v>
      </c>
      <c r="G158" s="66" t="s">
        <v>682</v>
      </c>
      <c r="H158" s="64">
        <v>220</v>
      </c>
      <c r="I158" s="67" t="s">
        <v>5</v>
      </c>
      <c r="J158" s="97">
        <v>404104834</v>
      </c>
      <c r="K158" s="66"/>
      <c r="L158" s="68"/>
      <c r="M158" s="69">
        <v>61.5</v>
      </c>
      <c r="N158" s="69">
        <v>61.5</v>
      </c>
      <c r="O158" s="70">
        <f>IF(registreGarantie[[#This Row],[date paiement]]="","",registreGarantie[[#This Row],[Pièces 
Demandés]]-registreGarantie[[#This Row],[Pièces 
Remboursés]])</f>
        <v>0</v>
      </c>
      <c r="P158" s="69">
        <v>363.84</v>
      </c>
      <c r="Q158" s="69">
        <v>363.84</v>
      </c>
      <c r="R158" s="70">
        <f>IF(registreGarantie[[#This Row],[date paiement]]="","",registreGarantie[[#This Row],[MO
Demandé]]-registreGarantie[[#This Row],[MO
Remboursé]])</f>
        <v>0</v>
      </c>
      <c r="S158" s="69"/>
      <c r="T158" s="70">
        <f>IF(registreGarantie[[#This Row],[date paiement]]="","",registreGarantie[[#This Row],[MO
Refusé]]+registreGarantie[[#This Row],[Pièces
Refusés]])</f>
        <v>0</v>
      </c>
      <c r="U158" s="106">
        <v>45544</v>
      </c>
      <c r="V158" s="71">
        <f>IF(registreGarantie[[#This Row],[Pièces 
Demandés]]="","",registreGarantie[[#This Row],[Date]])</f>
        <v>45463</v>
      </c>
      <c r="W158" s="103">
        <f>IF(registreGarantie[[#This Row],[Pièces 
Demandés]]="","",IF(registreGarantie[[#This Row],[date paiement]]="","",registreGarantie[[#This Row],[date paiement]]+91))</f>
        <v>45635</v>
      </c>
      <c r="X1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8" s="74" t="str">
        <f ca="1">IF(registreGarantie[[#This Row],[Colonne1]]=0,"",IF(TODAY()&gt;registreGarantie[[#This Row],[Date rebus]],0,1))</f>
        <v/>
      </c>
      <c r="Z158" s="66"/>
      <c r="AA158" s="73" t="str">
        <f>IF(AND(registreGarantie[[#This Row],[Montant non remboursé]]&gt;1,registreGarantie[[#This Row],[Montant non remboursé]]&lt;&gt;""),1,"")</f>
        <v/>
      </c>
      <c r="AB158" s="66">
        <v>1</v>
      </c>
      <c r="AC158" s="66" t="s">
        <v>1592</v>
      </c>
      <c r="AD158" s="87">
        <f t="shared" si="2"/>
        <v>158</v>
      </c>
      <c r="AE158" s="109"/>
    </row>
    <row r="159" spans="1:31" ht="18" customHeight="1" thickBot="1" x14ac:dyDescent="0.4">
      <c r="A159" s="64">
        <v>44862</v>
      </c>
      <c r="B159" s="64">
        <v>42978</v>
      </c>
      <c r="C159" s="106">
        <v>45471</v>
      </c>
      <c r="D159" s="66" t="s">
        <v>516</v>
      </c>
      <c r="E159" s="66" t="s">
        <v>63</v>
      </c>
      <c r="F159" s="68" t="s">
        <v>2322</v>
      </c>
      <c r="G159" s="66" t="s">
        <v>682</v>
      </c>
      <c r="H159" s="64">
        <v>229</v>
      </c>
      <c r="I159" s="67" t="s">
        <v>5</v>
      </c>
      <c r="J159" s="97">
        <v>404104834</v>
      </c>
      <c r="K159" s="66"/>
      <c r="L159" s="68"/>
      <c r="M159" s="69">
        <v>363.84</v>
      </c>
      <c r="N159" s="69">
        <v>363.84</v>
      </c>
      <c r="O159" s="70">
        <f>IF(registreGarantie[[#This Row],[date paiement]]="","",registreGarantie[[#This Row],[Pièces 
Demandés]]-registreGarantie[[#This Row],[Pièces 
Remboursés]])</f>
        <v>0</v>
      </c>
      <c r="P159" s="69">
        <v>61.5</v>
      </c>
      <c r="Q159" s="69">
        <v>61.5</v>
      </c>
      <c r="R159" s="70">
        <f>IF(registreGarantie[[#This Row],[date paiement]]="","",registreGarantie[[#This Row],[MO
Demandé]]-registreGarantie[[#This Row],[MO
Remboursé]])</f>
        <v>0</v>
      </c>
      <c r="S159" s="69"/>
      <c r="T159" s="70">
        <f>IF(registreGarantie[[#This Row],[date paiement]]="","",registreGarantie[[#This Row],[MO
Refusé]]+registreGarantie[[#This Row],[Pièces
Refusés]])</f>
        <v>0</v>
      </c>
      <c r="U159" s="106">
        <v>45544</v>
      </c>
      <c r="V159" s="71">
        <f>IF(registreGarantie[[#This Row],[Pièces 
Demandés]]="","",registreGarantie[[#This Row],[Date]])</f>
        <v>45471</v>
      </c>
      <c r="W159" s="103">
        <f>IF(registreGarantie[[#This Row],[Pièces 
Demandés]]="","",IF(registreGarantie[[#This Row],[date paiement]]="","",registreGarantie[[#This Row],[date paiement]]+91))</f>
        <v>45635</v>
      </c>
      <c r="X1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59" s="74" t="str">
        <f ca="1">IF(registreGarantie[[#This Row],[Colonne1]]=0,"",IF(TODAY()&gt;registreGarantie[[#This Row],[Date rebus]],0,1))</f>
        <v/>
      </c>
      <c r="Z159" s="66"/>
      <c r="AA159" s="73" t="str">
        <f>IF(AND(registreGarantie[[#This Row],[Montant non remboursé]]&gt;1,registreGarantie[[#This Row],[Montant non remboursé]]&lt;&gt;""),1,"")</f>
        <v/>
      </c>
      <c r="AB159" s="66">
        <v>1</v>
      </c>
      <c r="AC159" s="66" t="s">
        <v>1592</v>
      </c>
      <c r="AD159" s="87">
        <f t="shared" si="2"/>
        <v>159</v>
      </c>
      <c r="AE159" s="109"/>
    </row>
    <row r="160" spans="1:31" ht="18" customHeight="1" thickBot="1" x14ac:dyDescent="0.4">
      <c r="A160" s="64">
        <v>44863</v>
      </c>
      <c r="B160" s="64">
        <v>43000</v>
      </c>
      <c r="C160" s="106">
        <v>45478</v>
      </c>
      <c r="D160" s="66" t="s">
        <v>516</v>
      </c>
      <c r="E160" s="66" t="s">
        <v>63</v>
      </c>
      <c r="F160" s="68" t="s">
        <v>2322</v>
      </c>
      <c r="G160" s="66" t="s">
        <v>1706</v>
      </c>
      <c r="H160" s="64">
        <v>229</v>
      </c>
      <c r="I160" s="67" t="s">
        <v>2</v>
      </c>
      <c r="J160" s="97">
        <v>404295223</v>
      </c>
      <c r="K160" s="66"/>
      <c r="L160" s="68"/>
      <c r="M160" s="69">
        <v>843.08</v>
      </c>
      <c r="N160" s="69">
        <v>843.08</v>
      </c>
      <c r="O160" s="70">
        <f>IF(registreGarantie[[#This Row],[date paiement]]="","",registreGarantie[[#This Row],[Pièces 
Demandés]]-registreGarantie[[#This Row],[Pièces 
Remboursés]])</f>
        <v>0</v>
      </c>
      <c r="P160" s="69">
        <v>1291.5</v>
      </c>
      <c r="Q160" s="69">
        <v>1291.5</v>
      </c>
      <c r="R160" s="70">
        <f>IF(registreGarantie[[#This Row],[date paiement]]="","",registreGarantie[[#This Row],[MO
Demandé]]-registreGarantie[[#This Row],[MO
Remboursé]])</f>
        <v>0</v>
      </c>
      <c r="S160" s="69"/>
      <c r="T160" s="70">
        <f>IF(registreGarantie[[#This Row],[date paiement]]="","",registreGarantie[[#This Row],[MO
Refusé]]+registreGarantie[[#This Row],[Pièces
Refusés]])</f>
        <v>0</v>
      </c>
      <c r="U160" s="106">
        <v>45525</v>
      </c>
      <c r="V160" s="71">
        <f>IF(registreGarantie[[#This Row],[Pièces 
Demandés]]="","",registreGarantie[[#This Row],[Date]])</f>
        <v>45478</v>
      </c>
      <c r="W160" s="103">
        <f>IF(registreGarantie[[#This Row],[Pièces 
Demandés]]="","",IF(registreGarantie[[#This Row],[date paiement]]="","",registreGarantie[[#This Row],[date paiement]]+91))</f>
        <v>45616</v>
      </c>
      <c r="X1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0" s="74">
        <f ca="1">IF(registreGarantie[[#This Row],[Colonne1]]=0,"",IF(TODAY()&gt;registreGarantie[[#This Row],[Date rebus]],0,1))</f>
        <v>0</v>
      </c>
      <c r="Z160" s="66"/>
      <c r="AA160" s="73" t="str">
        <f>IF(AND(registreGarantie[[#This Row],[Montant non remboursé]]&gt;1,registreGarantie[[#This Row],[Montant non remboursé]]&lt;&gt;""),1,"")</f>
        <v/>
      </c>
      <c r="AB160" s="66"/>
      <c r="AC160" s="66"/>
      <c r="AD160" s="87">
        <f t="shared" si="2"/>
        <v>160</v>
      </c>
      <c r="AE160" s="109"/>
    </row>
    <row r="161" spans="1:31" ht="18" customHeight="1" thickBot="1" x14ac:dyDescent="0.4">
      <c r="A161" s="64">
        <v>44864</v>
      </c>
      <c r="B161" s="64">
        <v>42707</v>
      </c>
      <c r="C161" s="106">
        <v>45509.730520833335</v>
      </c>
      <c r="D161" s="66" t="s">
        <v>306</v>
      </c>
      <c r="E161" s="66" t="s">
        <v>63</v>
      </c>
      <c r="F161" s="68" t="s">
        <v>2332</v>
      </c>
      <c r="G161" s="66" t="s">
        <v>1707</v>
      </c>
      <c r="H161" s="64">
        <v>5458</v>
      </c>
      <c r="I161" s="67" t="s">
        <v>16</v>
      </c>
      <c r="J161" s="97">
        <v>404346117</v>
      </c>
      <c r="K161" s="66"/>
      <c r="L161" s="68"/>
      <c r="M161" s="69">
        <v>3903.34</v>
      </c>
      <c r="N161" s="69">
        <v>3903.34</v>
      </c>
      <c r="O161" s="70">
        <f>IF(registreGarantie[[#This Row],[date paiement]]="","",registreGarantie[[#This Row],[Pièces 
Demandés]]-registreGarantie[[#This Row],[Pièces 
Remboursés]])</f>
        <v>0</v>
      </c>
      <c r="P161" s="69"/>
      <c r="Q161" s="69"/>
      <c r="R161" s="70">
        <f>IF(registreGarantie[[#This Row],[date paiement]]="","",registreGarantie[[#This Row],[MO
Demandé]]-registreGarantie[[#This Row],[MO
Remboursé]])</f>
        <v>0</v>
      </c>
      <c r="S161" s="69"/>
      <c r="T161" s="70">
        <f>IF(registreGarantie[[#This Row],[date paiement]]="","",registreGarantie[[#This Row],[MO
Refusé]]+registreGarantie[[#This Row],[Pièces
Refusés]])</f>
        <v>0</v>
      </c>
      <c r="U161" s="106">
        <v>45525</v>
      </c>
      <c r="V161" s="71">
        <f>IF(registreGarantie[[#This Row],[Pièces 
Demandés]]="","",registreGarantie[[#This Row],[Date]])</f>
        <v>45509.730520833335</v>
      </c>
      <c r="W161" s="103">
        <f>IF(registreGarantie[[#This Row],[Pièces 
Demandés]]="","",IF(registreGarantie[[#This Row],[date paiement]]="","",registreGarantie[[#This Row],[date paiement]]+91))</f>
        <v>45616</v>
      </c>
      <c r="X1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1" s="74">
        <f ca="1">IF(registreGarantie[[#This Row],[Colonne1]]=0,"",IF(TODAY()&gt;registreGarantie[[#This Row],[Date rebus]],0,1))</f>
        <v>0</v>
      </c>
      <c r="Z161" s="66"/>
      <c r="AA161" s="73" t="str">
        <f>IF(AND(registreGarantie[[#This Row],[Montant non remboursé]]&gt;1,registreGarantie[[#This Row],[Montant non remboursé]]&lt;&gt;""),1,"")</f>
        <v/>
      </c>
      <c r="AB161" s="66">
        <v>1</v>
      </c>
      <c r="AC161" s="66" t="s">
        <v>1708</v>
      </c>
      <c r="AD161" s="87">
        <f t="shared" si="2"/>
        <v>161</v>
      </c>
      <c r="AE161" s="109"/>
    </row>
    <row r="162" spans="1:31" ht="18" customHeight="1" thickBot="1" x14ac:dyDescent="0.4">
      <c r="A162" s="64">
        <v>44865</v>
      </c>
      <c r="B162" s="64">
        <v>43035</v>
      </c>
      <c r="C162" s="106">
        <v>45471</v>
      </c>
      <c r="D162" s="66" t="s">
        <v>102</v>
      </c>
      <c r="E162" s="66" t="s">
        <v>718</v>
      </c>
      <c r="F162" s="68" t="s">
        <v>2237</v>
      </c>
      <c r="G162" s="66" t="s">
        <v>1709</v>
      </c>
      <c r="H162" s="64">
        <v>1720</v>
      </c>
      <c r="I162" s="67" t="s">
        <v>5</v>
      </c>
      <c r="J162" s="97">
        <v>404063761</v>
      </c>
      <c r="K162" s="66"/>
      <c r="L162" s="68"/>
      <c r="M162" s="69"/>
      <c r="N162" s="69"/>
      <c r="O162" s="70">
        <f>IF(registreGarantie[[#This Row],[date paiement]]="","",registreGarantie[[#This Row],[Pièces 
Demandés]]-registreGarantie[[#This Row],[Pièces 
Remboursés]])</f>
        <v>0</v>
      </c>
      <c r="P162" s="69">
        <v>169.13</v>
      </c>
      <c r="Q162" s="69">
        <v>169.13</v>
      </c>
      <c r="R162" s="70">
        <f>IF(registreGarantie[[#This Row],[date paiement]]="","",registreGarantie[[#This Row],[MO
Demandé]]-registreGarantie[[#This Row],[MO
Remboursé]])</f>
        <v>0</v>
      </c>
      <c r="S162" s="69"/>
      <c r="T162" s="70">
        <f>IF(registreGarantie[[#This Row],[date paiement]]="","",registreGarantie[[#This Row],[MO
Refusé]]+registreGarantie[[#This Row],[Pièces
Refusés]])</f>
        <v>0</v>
      </c>
      <c r="U162" s="106">
        <v>45478</v>
      </c>
      <c r="V162" s="71" t="str">
        <f>IF(registreGarantie[[#This Row],[Pièces 
Demandés]]="","",registreGarantie[[#This Row],[Date]])</f>
        <v/>
      </c>
      <c r="W162" s="103" t="str">
        <f>IF(registreGarantie[[#This Row],[Pièces 
Demandés]]="","",IF(registreGarantie[[#This Row],[date paiement]]="","",registreGarantie[[#This Row],[date paiement]]+91))</f>
        <v/>
      </c>
      <c r="X1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62" s="74" t="str">
        <f ca="1">IF(registreGarantie[[#This Row],[Colonne1]]=0,"",IF(TODAY()&gt;registreGarantie[[#This Row],[Date rebus]],0,1))</f>
        <v/>
      </c>
      <c r="Z162" s="66"/>
      <c r="AA162" s="73" t="str">
        <f>IF(AND(registreGarantie[[#This Row],[Montant non remboursé]]&gt;1,registreGarantie[[#This Row],[Montant non remboursé]]&lt;&gt;""),1,"")</f>
        <v/>
      </c>
      <c r="AB162" s="66">
        <v>1</v>
      </c>
      <c r="AC162" s="66" t="s">
        <v>1592</v>
      </c>
      <c r="AD162" s="87">
        <f t="shared" si="2"/>
        <v>162</v>
      </c>
      <c r="AE162" s="109"/>
    </row>
    <row r="163" spans="1:31" ht="18" customHeight="1" thickBot="1" x14ac:dyDescent="0.4">
      <c r="A163" s="64">
        <v>44866</v>
      </c>
      <c r="B163" s="64">
        <v>42779</v>
      </c>
      <c r="C163" s="106">
        <v>45464</v>
      </c>
      <c r="D163" s="66" t="s">
        <v>521</v>
      </c>
      <c r="E163" s="66" t="s">
        <v>32</v>
      </c>
      <c r="F163" s="68" t="s">
        <v>2346</v>
      </c>
      <c r="G163" s="66" t="s">
        <v>1710</v>
      </c>
      <c r="H163" s="64">
        <v>3397</v>
      </c>
      <c r="I163" s="67" t="s">
        <v>18</v>
      </c>
      <c r="J163" s="97">
        <v>404286771</v>
      </c>
      <c r="K163" s="66"/>
      <c r="L163" s="68"/>
      <c r="M163" s="69"/>
      <c r="N163" s="69"/>
      <c r="O163" s="70" t="str">
        <f>IF(registreGarantie[[#This Row],[date paiement]]="","",registreGarantie[[#This Row],[Pièces 
Demandés]]-registreGarantie[[#This Row],[Pièces 
Remboursés]])</f>
        <v/>
      </c>
      <c r="P163" s="69"/>
      <c r="Q163" s="69"/>
      <c r="R163" s="70" t="str">
        <f>IF(registreGarantie[[#This Row],[date paiement]]="","",registreGarantie[[#This Row],[MO
Demandé]]-registreGarantie[[#This Row],[MO
Remboursé]])</f>
        <v/>
      </c>
      <c r="S163" s="69"/>
      <c r="T163" s="70" t="str">
        <f>IF(registreGarantie[[#This Row],[date paiement]]="","",registreGarantie[[#This Row],[MO
Refusé]]+registreGarantie[[#This Row],[Pièces
Refusés]])</f>
        <v/>
      </c>
      <c r="U163" s="106"/>
      <c r="V163" s="71" t="str">
        <f>IF(registreGarantie[[#This Row],[Pièces 
Demandés]]="","",registreGarantie[[#This Row],[Date]])</f>
        <v/>
      </c>
      <c r="W163" s="103" t="str">
        <f>IF(registreGarantie[[#This Row],[Pièces 
Demandés]]="","",IF(registreGarantie[[#This Row],[date paiement]]="","",registreGarantie[[#This Row],[date paiement]]+91))</f>
        <v/>
      </c>
      <c r="X1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63" s="74" t="str">
        <f ca="1">IF(registreGarantie[[#This Row],[Colonne1]]=0,"",IF(TODAY()&gt;registreGarantie[[#This Row],[Date rebus]],0,1))</f>
        <v/>
      </c>
      <c r="Z163" s="66"/>
      <c r="AA163" s="73" t="str">
        <f>IF(AND(registreGarantie[[#This Row],[Montant non remboursé]]&gt;1,registreGarantie[[#This Row],[Montant non remboursé]]&lt;&gt;""),1,"")</f>
        <v/>
      </c>
      <c r="AB163" s="66"/>
      <c r="AC163" s="66"/>
      <c r="AD163" s="87">
        <f t="shared" si="2"/>
        <v>163</v>
      </c>
      <c r="AE163" s="109"/>
    </row>
    <row r="164" spans="1:31" ht="18" customHeight="1" thickBot="1" x14ac:dyDescent="0.4">
      <c r="A164" s="64">
        <v>44867</v>
      </c>
      <c r="B164" s="64">
        <v>42903</v>
      </c>
      <c r="C164" s="106">
        <v>45506</v>
      </c>
      <c r="D164" s="66" t="s">
        <v>1711</v>
      </c>
      <c r="E164" s="66" t="s">
        <v>1712</v>
      </c>
      <c r="F164" s="68"/>
      <c r="G164" s="66" t="s">
        <v>1713</v>
      </c>
      <c r="H164" s="64" t="s">
        <v>1714</v>
      </c>
      <c r="I164" s="67" t="s">
        <v>21</v>
      </c>
      <c r="J164" s="97" t="s">
        <v>1715</v>
      </c>
      <c r="K164" s="66"/>
      <c r="L164" s="68"/>
      <c r="M164" s="69">
        <v>379.01</v>
      </c>
      <c r="N164" s="69">
        <v>379.01</v>
      </c>
      <c r="O164" s="70">
        <f>IF(registreGarantie[[#This Row],[date paiement]]="","",registreGarantie[[#This Row],[Pièces 
Demandés]]-registreGarantie[[#This Row],[Pièces 
Remboursés]])</f>
        <v>0</v>
      </c>
      <c r="P164" s="69">
        <v>102</v>
      </c>
      <c r="Q164" s="69">
        <v>102</v>
      </c>
      <c r="R164" s="70">
        <f>IF(registreGarantie[[#This Row],[date paiement]]="","",registreGarantie[[#This Row],[MO
Demandé]]-registreGarantie[[#This Row],[MO
Remboursé]])</f>
        <v>0</v>
      </c>
      <c r="S164" s="69"/>
      <c r="T164" s="70">
        <f>IF(registreGarantie[[#This Row],[date paiement]]="","",registreGarantie[[#This Row],[MO
Refusé]]+registreGarantie[[#This Row],[Pièces
Refusés]])</f>
        <v>0</v>
      </c>
      <c r="U164" s="106">
        <v>45527</v>
      </c>
      <c r="V164" s="71">
        <f>IF(registreGarantie[[#This Row],[Pièces 
Demandés]]="","",registreGarantie[[#This Row],[Date]])</f>
        <v>45506</v>
      </c>
      <c r="W164" s="103">
        <f>IF(registreGarantie[[#This Row],[Pièces 
Demandés]]="","",IF(registreGarantie[[#This Row],[date paiement]]="","",registreGarantie[[#This Row],[date paiement]]+91))</f>
        <v>45618</v>
      </c>
      <c r="X1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64" s="74" t="str">
        <f ca="1">IF(registreGarantie[[#This Row],[Colonne1]]=0,"",IF(TODAY()&gt;registreGarantie[[#This Row],[Date rebus]],0,1))</f>
        <v/>
      </c>
      <c r="Z164" s="66"/>
      <c r="AA164" s="73" t="str">
        <f>IF(AND(registreGarantie[[#This Row],[Montant non remboursé]]&gt;1,registreGarantie[[#This Row],[Montant non remboursé]]&lt;&gt;""),1,"")</f>
        <v/>
      </c>
      <c r="AB164" s="66"/>
      <c r="AC164" s="66"/>
      <c r="AD164" s="87">
        <f t="shared" si="2"/>
        <v>164</v>
      </c>
      <c r="AE164" s="109"/>
    </row>
    <row r="165" spans="1:31" ht="18" customHeight="1" thickBot="1" x14ac:dyDescent="0.4">
      <c r="A165" s="64">
        <v>44868</v>
      </c>
      <c r="B165" s="64">
        <v>42946</v>
      </c>
      <c r="C165" s="106">
        <v>45464</v>
      </c>
      <c r="D165" s="66" t="s">
        <v>259</v>
      </c>
      <c r="E165" s="66" t="s">
        <v>63</v>
      </c>
      <c r="F165" s="68"/>
      <c r="G165" s="66" t="s">
        <v>255</v>
      </c>
      <c r="H165" s="64">
        <v>493</v>
      </c>
      <c r="I165" s="67" t="s">
        <v>2</v>
      </c>
      <c r="J165" s="97">
        <v>404287324</v>
      </c>
      <c r="K165" s="66"/>
      <c r="L165" s="68"/>
      <c r="M165" s="69">
        <v>123.84</v>
      </c>
      <c r="N165" s="69">
        <v>123.84</v>
      </c>
      <c r="O165" s="70">
        <f>IF(registreGarantie[[#This Row],[date paiement]]="","",registreGarantie[[#This Row],[Pièces 
Demandés]]-registreGarantie[[#This Row],[Pièces 
Remboursés]])</f>
        <v>0</v>
      </c>
      <c r="P165" s="69">
        <v>123</v>
      </c>
      <c r="Q165" s="69">
        <v>123</v>
      </c>
      <c r="R165" s="70">
        <f>IF(registreGarantie[[#This Row],[date paiement]]="","",registreGarantie[[#This Row],[MO
Demandé]]-registreGarantie[[#This Row],[MO
Remboursé]])</f>
        <v>0</v>
      </c>
      <c r="S165" s="69"/>
      <c r="T165" s="70">
        <f>IF(registreGarantie[[#This Row],[date paiement]]="","",registreGarantie[[#This Row],[MO
Refusé]]+registreGarantie[[#This Row],[Pièces
Refusés]])</f>
        <v>0</v>
      </c>
      <c r="U165" s="106">
        <v>45478</v>
      </c>
      <c r="V165" s="71">
        <f>IF(registreGarantie[[#This Row],[Pièces 
Demandés]]="","",registreGarantie[[#This Row],[Date]])</f>
        <v>45464</v>
      </c>
      <c r="W165" s="103">
        <f>IF(registreGarantie[[#This Row],[Pièces 
Demandés]]="","",IF(registreGarantie[[#This Row],[date paiement]]="","",registreGarantie[[#This Row],[date paiement]]+91))</f>
        <v>45569</v>
      </c>
      <c r="X1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5" s="74">
        <f ca="1">IF(registreGarantie[[#This Row],[Colonne1]]=0,"",IF(TODAY()&gt;registreGarantie[[#This Row],[Date rebus]],0,1))</f>
        <v>0</v>
      </c>
      <c r="Z165" s="66"/>
      <c r="AA165" s="73" t="str">
        <f>IF(AND(registreGarantie[[#This Row],[Montant non remboursé]]&gt;1,registreGarantie[[#This Row],[Montant non remboursé]]&lt;&gt;""),1,"")</f>
        <v/>
      </c>
      <c r="AB165" s="66"/>
      <c r="AC165" s="66"/>
      <c r="AD165" s="87">
        <f t="shared" si="2"/>
        <v>165</v>
      </c>
      <c r="AE165" s="109"/>
    </row>
    <row r="166" spans="1:31" ht="18" customHeight="1" thickBot="1" x14ac:dyDescent="0.4">
      <c r="A166" s="64">
        <v>44869</v>
      </c>
      <c r="B166" s="64">
        <v>42965</v>
      </c>
      <c r="C166" s="106">
        <v>45464</v>
      </c>
      <c r="D166" s="66" t="s">
        <v>292</v>
      </c>
      <c r="E166" s="66" t="s">
        <v>293</v>
      </c>
      <c r="F166" s="68" t="s">
        <v>2246</v>
      </c>
      <c r="G166" s="66" t="s">
        <v>1293</v>
      </c>
      <c r="H166" s="64">
        <v>1454</v>
      </c>
      <c r="I166" s="67" t="s">
        <v>17</v>
      </c>
      <c r="J166" s="97">
        <v>404287269</v>
      </c>
      <c r="K166" s="66"/>
      <c r="L166" s="68"/>
      <c r="M166" s="69">
        <v>39.18</v>
      </c>
      <c r="N166" s="69">
        <v>0</v>
      </c>
      <c r="O166" s="70">
        <f>IF(registreGarantie[[#This Row],[date paiement]]="","",registreGarantie[[#This Row],[Pièces 
Demandés]]-registreGarantie[[#This Row],[Pièces 
Remboursés]])</f>
        <v>39.18</v>
      </c>
      <c r="P166" s="69">
        <v>92.25</v>
      </c>
      <c r="Q166" s="69">
        <v>0</v>
      </c>
      <c r="R166" s="70">
        <f>IF(registreGarantie[[#This Row],[date paiement]]="","",registreGarantie[[#This Row],[MO
Demandé]]-registreGarantie[[#This Row],[MO
Remboursé]])</f>
        <v>92.25</v>
      </c>
      <c r="S166" s="69"/>
      <c r="T166" s="70">
        <f>IF(registreGarantie[[#This Row],[date paiement]]="","",registreGarantie[[#This Row],[MO
Refusé]]+registreGarantie[[#This Row],[Pièces
Refusés]])</f>
        <v>131.43</v>
      </c>
      <c r="U166" s="106">
        <v>45504</v>
      </c>
      <c r="V166" s="71">
        <f>IF(registreGarantie[[#This Row],[Pièces 
Demandés]]="","",registreGarantie[[#This Row],[Date]])</f>
        <v>45464</v>
      </c>
      <c r="W166" s="103">
        <f>IF(registreGarantie[[#This Row],[Pièces 
Demandés]]="","",IF(registreGarantie[[#This Row],[date paiement]]="","",registreGarantie[[#This Row],[date paiement]]+91))</f>
        <v>45595</v>
      </c>
      <c r="X1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6" s="74">
        <f ca="1">IF(registreGarantie[[#This Row],[Colonne1]]=0,"",IF(TODAY()&gt;registreGarantie[[#This Row],[Date rebus]],0,1))</f>
        <v>0</v>
      </c>
      <c r="Z166" s="66" t="s">
        <v>17</v>
      </c>
      <c r="AA166" s="73">
        <f>IF(AND(registreGarantie[[#This Row],[Montant non remboursé]]&gt;1,registreGarantie[[#This Row],[Montant non remboursé]]&lt;&gt;""),1,"")</f>
        <v>1</v>
      </c>
      <c r="AB166" s="66"/>
      <c r="AC166" s="66"/>
      <c r="AD166" s="87">
        <f t="shared" si="2"/>
        <v>166</v>
      </c>
      <c r="AE166" s="109"/>
    </row>
    <row r="167" spans="1:31" ht="18" customHeight="1" thickBot="1" x14ac:dyDescent="0.4">
      <c r="A167" s="64">
        <v>44870</v>
      </c>
      <c r="B167" s="64">
        <v>42973</v>
      </c>
      <c r="C167" s="106">
        <v>45467</v>
      </c>
      <c r="D167" s="66" t="s">
        <v>1716</v>
      </c>
      <c r="E167" s="66" t="s">
        <v>1717</v>
      </c>
      <c r="F167" s="68"/>
      <c r="G167" s="66" t="s">
        <v>1718</v>
      </c>
      <c r="H167" s="64" t="s">
        <v>1719</v>
      </c>
      <c r="I167" s="67" t="s">
        <v>21</v>
      </c>
      <c r="J167" s="97" t="s">
        <v>1720</v>
      </c>
      <c r="K167" s="66"/>
      <c r="L167" s="68" t="s">
        <v>1721</v>
      </c>
      <c r="M167" s="69">
        <v>2008.81</v>
      </c>
      <c r="N167" s="69">
        <v>2008.81</v>
      </c>
      <c r="O167" s="70">
        <f>IF(registreGarantie[[#This Row],[date paiement]]="","",registreGarantie[[#This Row],[Pièces 
Demandés]]-registreGarantie[[#This Row],[Pièces 
Remboursés]])</f>
        <v>0</v>
      </c>
      <c r="P167" s="69">
        <v>357</v>
      </c>
      <c r="Q167" s="69">
        <v>357</v>
      </c>
      <c r="R167" s="70">
        <f>IF(registreGarantie[[#This Row],[date paiement]]="","",registreGarantie[[#This Row],[MO
Demandé]]-registreGarantie[[#This Row],[MO
Remboursé]])</f>
        <v>0</v>
      </c>
      <c r="S167" s="69"/>
      <c r="T167" s="70">
        <f>IF(registreGarantie[[#This Row],[date paiement]]="","",registreGarantie[[#This Row],[MO
Refusé]]+registreGarantie[[#This Row],[Pièces
Refusés]])</f>
        <v>0</v>
      </c>
      <c r="U167" s="106">
        <v>45532</v>
      </c>
      <c r="V167" s="71">
        <f>IF(registreGarantie[[#This Row],[Pièces 
Demandés]]="","",registreGarantie[[#This Row],[Date]])</f>
        <v>45467</v>
      </c>
      <c r="W167" s="103">
        <f>IF(registreGarantie[[#This Row],[Pièces 
Demandés]]="","",IF(registreGarantie[[#This Row],[date paiement]]="","",registreGarantie[[#This Row],[date paiement]]+91))</f>
        <v>45623</v>
      </c>
      <c r="X1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67" s="74" t="str">
        <f ca="1">IF(registreGarantie[[#This Row],[Colonne1]]=0,"",IF(TODAY()&gt;registreGarantie[[#This Row],[Date rebus]],0,1))</f>
        <v/>
      </c>
      <c r="Z167" s="66"/>
      <c r="AA167" s="73" t="str">
        <f>IF(AND(registreGarantie[[#This Row],[Montant non remboursé]]&gt;1,registreGarantie[[#This Row],[Montant non remboursé]]&lt;&gt;""),1,"")</f>
        <v/>
      </c>
      <c r="AB167" s="66"/>
      <c r="AC167" s="66"/>
      <c r="AD167" s="87">
        <f t="shared" si="2"/>
        <v>167</v>
      </c>
      <c r="AE167" s="109"/>
    </row>
    <row r="168" spans="1:31" ht="18" customHeight="1" thickBot="1" x14ac:dyDescent="0.4">
      <c r="A168" s="64">
        <v>44871</v>
      </c>
      <c r="B168" s="64" t="s">
        <v>1722</v>
      </c>
      <c r="C168" s="106">
        <v>45467</v>
      </c>
      <c r="D168" s="66" t="s">
        <v>309</v>
      </c>
      <c r="E168" s="66" t="s">
        <v>1723</v>
      </c>
      <c r="F168" s="68" t="s">
        <v>2340</v>
      </c>
      <c r="G168" s="66" t="s">
        <v>701</v>
      </c>
      <c r="H168" s="64">
        <v>408</v>
      </c>
      <c r="I168" s="67" t="s">
        <v>5</v>
      </c>
      <c r="J168" s="97">
        <v>404036945</v>
      </c>
      <c r="K168" s="66"/>
      <c r="L168" s="68"/>
      <c r="M168" s="69"/>
      <c r="N168" s="69"/>
      <c r="O168" s="70">
        <f>IF(registreGarantie[[#This Row],[date paiement]]="","",registreGarantie[[#This Row],[Pièces 
Demandés]]-registreGarantie[[#This Row],[Pièces 
Remboursés]])</f>
        <v>0</v>
      </c>
      <c r="P168" s="69">
        <v>118.8</v>
      </c>
      <c r="Q168" s="69">
        <v>118.8</v>
      </c>
      <c r="R168" s="70">
        <f>IF(registreGarantie[[#This Row],[date paiement]]="","",registreGarantie[[#This Row],[MO
Demandé]]-registreGarantie[[#This Row],[MO
Remboursé]])</f>
        <v>0</v>
      </c>
      <c r="S168" s="69"/>
      <c r="T168" s="70">
        <f>IF(registreGarantie[[#This Row],[date paiement]]="","",registreGarantie[[#This Row],[MO
Refusé]]+registreGarantie[[#This Row],[Pièces
Refusés]])</f>
        <v>0</v>
      </c>
      <c r="U168" s="106">
        <v>45478</v>
      </c>
      <c r="V168" s="71" t="str">
        <f>IF(registreGarantie[[#This Row],[Pièces 
Demandés]]="","",registreGarantie[[#This Row],[Date]])</f>
        <v/>
      </c>
      <c r="W168" s="103" t="str">
        <f>IF(registreGarantie[[#This Row],[Pièces 
Demandés]]="","",IF(registreGarantie[[#This Row],[date paiement]]="","",registreGarantie[[#This Row],[date paiement]]+91))</f>
        <v/>
      </c>
      <c r="X1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68" s="74" t="str">
        <f ca="1">IF(registreGarantie[[#This Row],[Colonne1]]=0,"",IF(TODAY()&gt;registreGarantie[[#This Row],[Date rebus]],0,1))</f>
        <v/>
      </c>
      <c r="Z168" s="66"/>
      <c r="AA168" s="73" t="str">
        <f>IF(AND(registreGarantie[[#This Row],[Montant non remboursé]]&gt;1,registreGarantie[[#This Row],[Montant non remboursé]]&lt;&gt;""),1,"")</f>
        <v/>
      </c>
      <c r="AB168" s="66">
        <v>1</v>
      </c>
      <c r="AC168" s="66" t="s">
        <v>1592</v>
      </c>
      <c r="AD168" s="87">
        <f t="shared" si="2"/>
        <v>168</v>
      </c>
      <c r="AE168" s="109"/>
    </row>
    <row r="169" spans="1:31" ht="18" customHeight="1" thickBot="1" x14ac:dyDescent="0.4">
      <c r="A169" s="64">
        <v>44872</v>
      </c>
      <c r="B169" s="64">
        <v>5832</v>
      </c>
      <c r="C169" s="106">
        <v>45468</v>
      </c>
      <c r="D169" s="66" t="s">
        <v>1302</v>
      </c>
      <c r="E169" s="66" t="s">
        <v>217</v>
      </c>
      <c r="F169" s="68" t="s">
        <v>2255</v>
      </c>
      <c r="G169" s="66" t="s">
        <v>1724</v>
      </c>
      <c r="H169" s="64">
        <v>2555</v>
      </c>
      <c r="I169" s="67" t="s">
        <v>3</v>
      </c>
      <c r="J169" s="97">
        <v>404290207</v>
      </c>
      <c r="K169" s="66"/>
      <c r="L169" s="68"/>
      <c r="M169" s="69">
        <v>345.4</v>
      </c>
      <c r="N169" s="69">
        <v>345.4</v>
      </c>
      <c r="O169" s="70">
        <f>IF(registreGarantie[[#This Row],[date paiement]]="","",registreGarantie[[#This Row],[Pièces 
Demandés]]-registreGarantie[[#This Row],[Pièces 
Remboursés]])</f>
        <v>0</v>
      </c>
      <c r="P169" s="69">
        <v>584.25</v>
      </c>
      <c r="Q169" s="69">
        <v>584.25</v>
      </c>
      <c r="R169" s="70">
        <f>IF(registreGarantie[[#This Row],[date paiement]]="","",registreGarantie[[#This Row],[MO
Demandé]]-registreGarantie[[#This Row],[MO
Remboursé]])</f>
        <v>0</v>
      </c>
      <c r="S169" s="69">
        <v>150</v>
      </c>
      <c r="T169" s="70">
        <f>IF(registreGarantie[[#This Row],[date paiement]]="","",registreGarantie[[#This Row],[MO
Refusé]]+registreGarantie[[#This Row],[Pièces
Refusés]])</f>
        <v>0</v>
      </c>
      <c r="U169" s="106">
        <v>45525</v>
      </c>
      <c r="V169" s="71">
        <f>IF(registreGarantie[[#This Row],[Pièces 
Demandés]]="","",registreGarantie[[#This Row],[Date]])</f>
        <v>45468</v>
      </c>
      <c r="W169" s="103">
        <f>IF(registreGarantie[[#This Row],[Pièces 
Demandés]]="","",IF(registreGarantie[[#This Row],[date paiement]]="","",registreGarantie[[#This Row],[date paiement]]+91))</f>
        <v>45616</v>
      </c>
      <c r="X1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69" s="74">
        <f ca="1">IF(registreGarantie[[#This Row],[Colonne1]]=0,"",IF(TODAY()&gt;registreGarantie[[#This Row],[Date rebus]],0,1))</f>
        <v>0</v>
      </c>
      <c r="Z169" s="66"/>
      <c r="AA169" s="73" t="str">
        <f>IF(AND(registreGarantie[[#This Row],[Montant non remboursé]]&gt;1,registreGarantie[[#This Row],[Montant non remboursé]]&lt;&gt;""),1,"")</f>
        <v/>
      </c>
      <c r="AB169" s="66"/>
      <c r="AC169" s="66"/>
      <c r="AD169" s="87">
        <f t="shared" si="2"/>
        <v>169</v>
      </c>
      <c r="AE169" s="109"/>
    </row>
    <row r="170" spans="1:31" ht="18" customHeight="1" thickBot="1" x14ac:dyDescent="0.4">
      <c r="A170" s="64">
        <v>44873</v>
      </c>
      <c r="B170" s="64"/>
      <c r="C170" s="106">
        <v>45469</v>
      </c>
      <c r="D170" s="66" t="s">
        <v>1725</v>
      </c>
      <c r="E170" s="66" t="s">
        <v>1726</v>
      </c>
      <c r="F170" s="68"/>
      <c r="G170" s="66"/>
      <c r="H170" s="64"/>
      <c r="I170" s="67" t="s">
        <v>21</v>
      </c>
      <c r="J170" s="97" t="s">
        <v>1727</v>
      </c>
      <c r="K170" s="66"/>
      <c r="L170" s="68"/>
      <c r="M170" s="69">
        <v>35</v>
      </c>
      <c r="N170" s="69">
        <v>35</v>
      </c>
      <c r="O170" s="70">
        <f>IF(registreGarantie[[#This Row],[date paiement]]="","",registreGarantie[[#This Row],[Pièces 
Demandés]]-registreGarantie[[#This Row],[Pièces 
Remboursés]])</f>
        <v>0</v>
      </c>
      <c r="P170" s="69"/>
      <c r="Q170" s="69"/>
      <c r="R170" s="70">
        <f>IF(registreGarantie[[#This Row],[date paiement]]="","",registreGarantie[[#This Row],[MO
Demandé]]-registreGarantie[[#This Row],[MO
Remboursé]])</f>
        <v>0</v>
      </c>
      <c r="S170" s="69"/>
      <c r="T170" s="70">
        <f>IF(registreGarantie[[#This Row],[date paiement]]="","",registreGarantie[[#This Row],[MO
Refusé]]+registreGarantie[[#This Row],[Pièces
Refusés]])</f>
        <v>0</v>
      </c>
      <c r="U170" s="106">
        <v>45484</v>
      </c>
      <c r="V170" s="71">
        <f>IF(registreGarantie[[#This Row],[Pièces 
Demandés]]="","",registreGarantie[[#This Row],[Date]])</f>
        <v>45469</v>
      </c>
      <c r="W170" s="103">
        <f>IF(registreGarantie[[#This Row],[Pièces 
Demandés]]="","",IF(registreGarantie[[#This Row],[date paiement]]="","",registreGarantie[[#This Row],[date paiement]]+91))</f>
        <v>45575</v>
      </c>
      <c r="X1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0" s="74" t="str">
        <f ca="1">IF(registreGarantie[[#This Row],[Colonne1]]=0,"",IF(TODAY()&gt;registreGarantie[[#This Row],[Date rebus]],0,1))</f>
        <v/>
      </c>
      <c r="Z170" s="66"/>
      <c r="AA170" s="73" t="str">
        <f>IF(AND(registreGarantie[[#This Row],[Montant non remboursé]]&gt;1,registreGarantie[[#This Row],[Montant non remboursé]]&lt;&gt;""),1,"")</f>
        <v/>
      </c>
      <c r="AB170" s="66"/>
      <c r="AC170" s="66"/>
      <c r="AD170" s="87">
        <f t="shared" si="2"/>
        <v>170</v>
      </c>
      <c r="AE170" s="109"/>
    </row>
    <row r="171" spans="1:31" ht="18" customHeight="1" thickBot="1" x14ac:dyDescent="0.4">
      <c r="A171" s="64">
        <v>44874</v>
      </c>
      <c r="B171" s="64">
        <v>42626</v>
      </c>
      <c r="C171" s="106">
        <v>45470</v>
      </c>
      <c r="D171" s="66" t="s">
        <v>36</v>
      </c>
      <c r="E171" s="66" t="s">
        <v>37</v>
      </c>
      <c r="F171" s="68"/>
      <c r="G171" s="66" t="s">
        <v>1728</v>
      </c>
      <c r="H171" s="64" t="s">
        <v>1729</v>
      </c>
      <c r="I171" s="67" t="s">
        <v>21</v>
      </c>
      <c r="J171" s="97" t="s">
        <v>1730</v>
      </c>
      <c r="K171" s="66"/>
      <c r="L171" s="68"/>
      <c r="M171" s="69">
        <v>247.8</v>
      </c>
      <c r="N171" s="69">
        <v>247.8</v>
      </c>
      <c r="O171" s="70">
        <f>IF(registreGarantie[[#This Row],[date paiement]]="","",registreGarantie[[#This Row],[Pièces 
Demandés]]-registreGarantie[[#This Row],[Pièces 
Remboursés]])</f>
        <v>0</v>
      </c>
      <c r="P171" s="69">
        <v>2091</v>
      </c>
      <c r="Q171" s="69">
        <v>2091</v>
      </c>
      <c r="R171" s="70">
        <f>IF(registreGarantie[[#This Row],[date paiement]]="","",registreGarantie[[#This Row],[MO
Demandé]]-registreGarantie[[#This Row],[MO
Remboursé]])</f>
        <v>0</v>
      </c>
      <c r="S171" s="69"/>
      <c r="T171" s="70">
        <f>IF(registreGarantie[[#This Row],[date paiement]]="","",registreGarantie[[#This Row],[MO
Refusé]]+registreGarantie[[#This Row],[Pièces
Refusés]])</f>
        <v>0</v>
      </c>
      <c r="U171" s="106">
        <v>45484</v>
      </c>
      <c r="V171" s="71">
        <f>IF(registreGarantie[[#This Row],[Pièces 
Demandés]]="","",registreGarantie[[#This Row],[Date]])</f>
        <v>45470</v>
      </c>
      <c r="W171" s="103">
        <f>IF(registreGarantie[[#This Row],[Pièces 
Demandés]]="","",IF(registreGarantie[[#This Row],[date paiement]]="","",registreGarantie[[#This Row],[date paiement]]+91))</f>
        <v>45575</v>
      </c>
      <c r="X1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1" s="74" t="str">
        <f ca="1">IF(registreGarantie[[#This Row],[Colonne1]]=0,"",IF(TODAY()&gt;registreGarantie[[#This Row],[Date rebus]],0,1))</f>
        <v/>
      </c>
      <c r="Z171" s="66"/>
      <c r="AA171" s="73" t="str">
        <f>IF(AND(registreGarantie[[#This Row],[Montant non remboursé]]&gt;1,registreGarantie[[#This Row],[Montant non remboursé]]&lt;&gt;""),1,"")</f>
        <v/>
      </c>
      <c r="AB171" s="66"/>
      <c r="AC171" s="66"/>
      <c r="AD171" s="87">
        <f t="shared" si="2"/>
        <v>171</v>
      </c>
      <c r="AE171" s="109"/>
    </row>
    <row r="172" spans="1:31" ht="18" customHeight="1" thickBot="1" x14ac:dyDescent="0.4">
      <c r="A172" s="64">
        <v>44875</v>
      </c>
      <c r="B172" s="64">
        <v>42979</v>
      </c>
      <c r="C172" s="106">
        <v>45471</v>
      </c>
      <c r="D172" s="66" t="s">
        <v>292</v>
      </c>
      <c r="E172" s="66" t="s">
        <v>293</v>
      </c>
      <c r="F172" s="68" t="s">
        <v>2246</v>
      </c>
      <c r="G172" s="66" t="s">
        <v>823</v>
      </c>
      <c r="H172" s="64">
        <v>1504</v>
      </c>
      <c r="I172" s="67" t="s">
        <v>17</v>
      </c>
      <c r="J172" s="97">
        <v>404295028</v>
      </c>
      <c r="K172" s="66"/>
      <c r="L172" s="68"/>
      <c r="M172" s="69">
        <v>454.8</v>
      </c>
      <c r="N172" s="69">
        <v>272.88</v>
      </c>
      <c r="O172" s="70">
        <f>IF(registreGarantie[[#This Row],[date paiement]]="","",registreGarantie[[#This Row],[Pièces 
Demandés]]-registreGarantie[[#This Row],[Pièces 
Remboursés]])</f>
        <v>181.92000000000002</v>
      </c>
      <c r="P172" s="69">
        <v>61.5</v>
      </c>
      <c r="Q172" s="69">
        <v>61.5</v>
      </c>
      <c r="R172" s="70">
        <f>IF(registreGarantie[[#This Row],[date paiement]]="","",registreGarantie[[#This Row],[MO
Demandé]]-registreGarantie[[#This Row],[MO
Remboursé]])</f>
        <v>0</v>
      </c>
      <c r="S172" s="69"/>
      <c r="T172" s="70">
        <f>IF(registreGarantie[[#This Row],[date paiement]]="","",registreGarantie[[#This Row],[MO
Refusé]]+registreGarantie[[#This Row],[Pièces
Refusés]])</f>
        <v>181.92000000000002</v>
      </c>
      <c r="U172" s="106">
        <v>45504</v>
      </c>
      <c r="V172" s="71">
        <f>IF(registreGarantie[[#This Row],[Pièces 
Demandés]]="","",registreGarantie[[#This Row],[Date]])</f>
        <v>45471</v>
      </c>
      <c r="W172" s="103">
        <f>IF(registreGarantie[[#This Row],[Pièces 
Demandés]]="","",IF(registreGarantie[[#This Row],[date paiement]]="","",registreGarantie[[#This Row],[date paiement]]+91))</f>
        <v>45595</v>
      </c>
      <c r="X1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72" s="74">
        <f ca="1">IF(registreGarantie[[#This Row],[Colonne1]]=0,"",IF(TODAY()&gt;registreGarantie[[#This Row],[Date rebus]],0,1))</f>
        <v>0</v>
      </c>
      <c r="Z172" s="66" t="s">
        <v>1991</v>
      </c>
      <c r="AA172" s="73">
        <f>IF(AND(registreGarantie[[#This Row],[Montant non remboursé]]&gt;1,registreGarantie[[#This Row],[Montant non remboursé]]&lt;&gt;""),1,"")</f>
        <v>1</v>
      </c>
      <c r="AB172" s="66">
        <v>1</v>
      </c>
      <c r="AC172" s="66" t="s">
        <v>1592</v>
      </c>
      <c r="AD172" s="87">
        <f t="shared" si="2"/>
        <v>172</v>
      </c>
      <c r="AE172" s="109"/>
    </row>
    <row r="173" spans="1:31" ht="18" customHeight="1" thickBot="1" x14ac:dyDescent="0.4">
      <c r="A173" s="64">
        <v>44876</v>
      </c>
      <c r="B173" s="64">
        <v>5756</v>
      </c>
      <c r="C173" s="106">
        <v>45476</v>
      </c>
      <c r="D173" s="66" t="s">
        <v>509</v>
      </c>
      <c r="E173" s="66" t="s">
        <v>227</v>
      </c>
      <c r="F173" s="68" t="s">
        <v>2299</v>
      </c>
      <c r="G173" s="66" t="s">
        <v>134</v>
      </c>
      <c r="H173" s="64">
        <v>3429</v>
      </c>
      <c r="I173" s="67" t="s">
        <v>17</v>
      </c>
      <c r="J173" s="97">
        <v>404299343</v>
      </c>
      <c r="K173" s="66"/>
      <c r="L173" s="68"/>
      <c r="M173" s="69">
        <v>640.49</v>
      </c>
      <c r="N173" s="69">
        <v>0</v>
      </c>
      <c r="O173" s="70">
        <f>IF(registreGarantie[[#This Row],[date paiement]]="","",registreGarantie[[#This Row],[Pièces 
Demandés]]-registreGarantie[[#This Row],[Pièces 
Remboursés]])</f>
        <v>640.49</v>
      </c>
      <c r="P173" s="69">
        <v>615</v>
      </c>
      <c r="Q173" s="69">
        <v>615</v>
      </c>
      <c r="R173" s="70">
        <f>IF(registreGarantie[[#This Row],[date paiement]]="","",registreGarantie[[#This Row],[MO
Demandé]]-registreGarantie[[#This Row],[MO
Remboursé]])</f>
        <v>0</v>
      </c>
      <c r="S173" s="69"/>
      <c r="T173" s="70">
        <f>IF(registreGarantie[[#This Row],[date paiement]]="","",registreGarantie[[#This Row],[MO
Refusé]]+registreGarantie[[#This Row],[Pièces
Refusés]])</f>
        <v>640.49</v>
      </c>
      <c r="U173" s="106">
        <v>45545</v>
      </c>
      <c r="V173" s="71">
        <f>IF(registreGarantie[[#This Row],[Pièces 
Demandés]]="","",registreGarantie[[#This Row],[Date]])</f>
        <v>45476</v>
      </c>
      <c r="W173" s="103">
        <f>IF(registreGarantie[[#This Row],[Pièces 
Demandés]]="","",IF(registreGarantie[[#This Row],[date paiement]]="","",registreGarantie[[#This Row],[date paiement]]+91))</f>
        <v>45636</v>
      </c>
      <c r="X1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73" s="74">
        <f ca="1">IF(registreGarantie[[#This Row],[Colonne1]]=0,"",IF(TODAY()&gt;registreGarantie[[#This Row],[Date rebus]],0,1))</f>
        <v>0</v>
      </c>
      <c r="Z173" s="66"/>
      <c r="AA173" s="73">
        <f>IF(AND(registreGarantie[[#This Row],[Montant non remboursé]]&gt;1,registreGarantie[[#This Row],[Montant non remboursé]]&lt;&gt;""),1,"")</f>
        <v>1</v>
      </c>
      <c r="AB173" s="66"/>
      <c r="AC173" s="66"/>
      <c r="AD173" s="87">
        <f t="shared" si="2"/>
        <v>173</v>
      </c>
      <c r="AE173" s="109"/>
    </row>
    <row r="174" spans="1:31" ht="18" customHeight="1" thickBot="1" x14ac:dyDescent="0.4">
      <c r="A174" s="64">
        <v>44877</v>
      </c>
      <c r="B174" s="64">
        <v>5878</v>
      </c>
      <c r="C174" s="106">
        <v>45476</v>
      </c>
      <c r="D174" s="66" t="s">
        <v>509</v>
      </c>
      <c r="E174" s="66" t="s">
        <v>440</v>
      </c>
      <c r="F174" s="68" t="s">
        <v>2300</v>
      </c>
      <c r="G174" s="66" t="s">
        <v>1731</v>
      </c>
      <c r="H174" s="64">
        <v>1469</v>
      </c>
      <c r="I174" s="67" t="s">
        <v>3</v>
      </c>
      <c r="J174" s="97">
        <v>404300045</v>
      </c>
      <c r="K174" s="66"/>
      <c r="L174" s="68"/>
      <c r="M174" s="69">
        <v>229.5</v>
      </c>
      <c r="N174" s="69">
        <v>229.5</v>
      </c>
      <c r="O174" s="70">
        <f>IF(registreGarantie[[#This Row],[date paiement]]="","",registreGarantie[[#This Row],[Pièces 
Demandés]]-registreGarantie[[#This Row],[Pièces 
Remboursés]])</f>
        <v>0</v>
      </c>
      <c r="P174" s="69">
        <v>30.75</v>
      </c>
      <c r="Q174" s="69">
        <v>30.75</v>
      </c>
      <c r="R174" s="70">
        <f>IF(registreGarantie[[#This Row],[date paiement]]="","",registreGarantie[[#This Row],[MO
Demandé]]-registreGarantie[[#This Row],[MO
Remboursé]])</f>
        <v>0</v>
      </c>
      <c r="S174" s="69" t="s">
        <v>2301</v>
      </c>
      <c r="T174" s="70">
        <f>IF(registreGarantie[[#This Row],[date paiement]]="","",registreGarantie[[#This Row],[MO
Refusé]]+registreGarantie[[#This Row],[Pièces
Refusés]])</f>
        <v>0</v>
      </c>
      <c r="U174" s="106">
        <v>45545</v>
      </c>
      <c r="V174" s="71">
        <f>IF(registreGarantie[[#This Row],[Pièces 
Demandés]]="","",registreGarantie[[#This Row],[Date]])</f>
        <v>45476</v>
      </c>
      <c r="W174" s="103">
        <f>IF(registreGarantie[[#This Row],[Pièces 
Demandés]]="","",IF(registreGarantie[[#This Row],[date paiement]]="","",registreGarantie[[#This Row],[date paiement]]+91))</f>
        <v>45636</v>
      </c>
      <c r="X1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74" s="74">
        <f ca="1">IF(registreGarantie[[#This Row],[Colonne1]]=0,"",IF(TODAY()&gt;registreGarantie[[#This Row],[Date rebus]],0,1))</f>
        <v>0</v>
      </c>
      <c r="Z174" s="66"/>
      <c r="AA174" s="73" t="str">
        <f>IF(AND(registreGarantie[[#This Row],[Montant non remboursé]]&gt;1,registreGarantie[[#This Row],[Montant non remboursé]]&lt;&gt;""),1,"")</f>
        <v/>
      </c>
      <c r="AB174" s="66"/>
      <c r="AC174" s="66"/>
      <c r="AD174" s="87">
        <f t="shared" si="2"/>
        <v>174</v>
      </c>
      <c r="AE174" s="109"/>
    </row>
    <row r="175" spans="1:31" ht="18" customHeight="1" thickBot="1" x14ac:dyDescent="0.4">
      <c r="A175" s="64">
        <v>44878</v>
      </c>
      <c r="B175" s="64">
        <v>5882</v>
      </c>
      <c r="C175" s="106">
        <v>45476</v>
      </c>
      <c r="D175" s="66" t="s">
        <v>509</v>
      </c>
      <c r="E175" s="66" t="s">
        <v>440</v>
      </c>
      <c r="F175" s="68" t="s">
        <v>2300</v>
      </c>
      <c r="G175" s="66" t="s">
        <v>1732</v>
      </c>
      <c r="H175" s="64">
        <v>1469</v>
      </c>
      <c r="I175" s="67" t="s">
        <v>3</v>
      </c>
      <c r="J175" s="97">
        <v>404300069</v>
      </c>
      <c r="K175" s="66"/>
      <c r="L175" s="68"/>
      <c r="M175" s="69"/>
      <c r="N175" s="69"/>
      <c r="O175" s="70">
        <f>IF(registreGarantie[[#This Row],[date paiement]]="","",registreGarantie[[#This Row],[Pièces 
Demandés]]-registreGarantie[[#This Row],[Pièces 
Remboursés]])</f>
        <v>0</v>
      </c>
      <c r="P175" s="69">
        <v>46.13</v>
      </c>
      <c r="Q175" s="69">
        <v>46.13</v>
      </c>
      <c r="R175" s="70">
        <f>IF(registreGarantie[[#This Row],[date paiement]]="","",registreGarantie[[#This Row],[MO
Demandé]]-registreGarantie[[#This Row],[MO
Remboursé]])</f>
        <v>0</v>
      </c>
      <c r="S175" s="69" t="s">
        <v>2302</v>
      </c>
      <c r="T175" s="70">
        <f>IF(registreGarantie[[#This Row],[date paiement]]="","",registreGarantie[[#This Row],[MO
Refusé]]+registreGarantie[[#This Row],[Pièces
Refusés]])</f>
        <v>0</v>
      </c>
      <c r="U175" s="106">
        <v>45544</v>
      </c>
      <c r="V175" s="71" t="str">
        <f>IF(registreGarantie[[#This Row],[Pièces 
Demandés]]="","",registreGarantie[[#This Row],[Date]])</f>
        <v/>
      </c>
      <c r="W175" s="103" t="str">
        <f>IF(registreGarantie[[#This Row],[Pièces 
Demandés]]="","",IF(registreGarantie[[#This Row],[date paiement]]="","",registreGarantie[[#This Row],[date paiement]]+91))</f>
        <v/>
      </c>
      <c r="X1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5" s="74" t="str">
        <f ca="1">IF(registreGarantie[[#This Row],[Colonne1]]=0,"",IF(TODAY()&gt;registreGarantie[[#This Row],[Date rebus]],0,1))</f>
        <v/>
      </c>
      <c r="Z175" s="66"/>
      <c r="AA175" s="73" t="str">
        <f>IF(AND(registreGarantie[[#This Row],[Montant non remboursé]]&gt;1,registreGarantie[[#This Row],[Montant non remboursé]]&lt;&gt;""),1,"")</f>
        <v/>
      </c>
      <c r="AB175" s="66"/>
      <c r="AC175" s="66"/>
      <c r="AD175" s="87">
        <f t="shared" si="2"/>
        <v>175</v>
      </c>
      <c r="AE175" s="109"/>
    </row>
    <row r="176" spans="1:31" ht="18" customHeight="1" thickBot="1" x14ac:dyDescent="0.4">
      <c r="A176" s="64">
        <v>44879</v>
      </c>
      <c r="B176" s="64">
        <v>5883</v>
      </c>
      <c r="C176" s="106">
        <v>45476</v>
      </c>
      <c r="D176" s="66" t="s">
        <v>509</v>
      </c>
      <c r="E176" s="66" t="s">
        <v>440</v>
      </c>
      <c r="F176" s="68" t="s">
        <v>2300</v>
      </c>
      <c r="G176" s="66" t="s">
        <v>1733</v>
      </c>
      <c r="H176" s="64">
        <v>1469</v>
      </c>
      <c r="I176" s="67" t="s">
        <v>3</v>
      </c>
      <c r="J176" s="97">
        <v>404300104</v>
      </c>
      <c r="K176" s="66"/>
      <c r="L176" s="68"/>
      <c r="M176" s="69"/>
      <c r="N176" s="69"/>
      <c r="O176" s="70">
        <f>IF(registreGarantie[[#This Row],[date paiement]]="","",registreGarantie[[#This Row],[Pièces 
Demandés]]-registreGarantie[[#This Row],[Pièces 
Remboursés]])</f>
        <v>0</v>
      </c>
      <c r="P176" s="69">
        <v>46.13</v>
      </c>
      <c r="Q176" s="69">
        <v>46.13</v>
      </c>
      <c r="R176" s="70">
        <f>IF(registreGarantie[[#This Row],[date paiement]]="","",registreGarantie[[#This Row],[MO
Demandé]]-registreGarantie[[#This Row],[MO
Remboursé]])</f>
        <v>0</v>
      </c>
      <c r="S176" s="69" t="s">
        <v>2303</v>
      </c>
      <c r="T176" s="70">
        <f>IF(registreGarantie[[#This Row],[date paiement]]="","",registreGarantie[[#This Row],[MO
Refusé]]+registreGarantie[[#This Row],[Pièces
Refusés]])</f>
        <v>0</v>
      </c>
      <c r="U176" s="106">
        <v>45544</v>
      </c>
      <c r="V176" s="71" t="str">
        <f>IF(registreGarantie[[#This Row],[Pièces 
Demandés]]="","",registreGarantie[[#This Row],[Date]])</f>
        <v/>
      </c>
      <c r="W176" s="103" t="str">
        <f>IF(registreGarantie[[#This Row],[Pièces 
Demandés]]="","",IF(registreGarantie[[#This Row],[date paiement]]="","",registreGarantie[[#This Row],[date paiement]]+91))</f>
        <v/>
      </c>
      <c r="X1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6" s="74" t="str">
        <f ca="1">IF(registreGarantie[[#This Row],[Colonne1]]=0,"",IF(TODAY()&gt;registreGarantie[[#This Row],[Date rebus]],0,1))</f>
        <v/>
      </c>
      <c r="Z176" s="66"/>
      <c r="AA176" s="73" t="str">
        <f>IF(AND(registreGarantie[[#This Row],[Montant non remboursé]]&gt;1,registreGarantie[[#This Row],[Montant non remboursé]]&lt;&gt;""),1,"")</f>
        <v/>
      </c>
      <c r="AB176" s="66"/>
      <c r="AC176" s="66"/>
      <c r="AD176" s="87">
        <f t="shared" si="2"/>
        <v>176</v>
      </c>
      <c r="AE176" s="109"/>
    </row>
    <row r="177" spans="1:31" ht="18" customHeight="1" thickBot="1" x14ac:dyDescent="0.4">
      <c r="A177" s="64">
        <v>44880</v>
      </c>
      <c r="B177" s="64">
        <v>5884</v>
      </c>
      <c r="C177" s="106">
        <v>45476</v>
      </c>
      <c r="D177" s="66" t="s">
        <v>509</v>
      </c>
      <c r="E177" s="66" t="s">
        <v>440</v>
      </c>
      <c r="F177" s="68" t="s">
        <v>2300</v>
      </c>
      <c r="G177" s="66" t="s">
        <v>1394</v>
      </c>
      <c r="H177" s="64">
        <v>1469</v>
      </c>
      <c r="I177" s="67" t="s">
        <v>3</v>
      </c>
      <c r="J177" s="97">
        <v>404300122</v>
      </c>
      <c r="K177" s="66"/>
      <c r="L177" s="68"/>
      <c r="M177" s="69"/>
      <c r="N177" s="69"/>
      <c r="O177" s="70">
        <f>IF(registreGarantie[[#This Row],[date paiement]]="","",registreGarantie[[#This Row],[Pièces 
Demandés]]-registreGarantie[[#This Row],[Pièces 
Remboursés]])</f>
        <v>0</v>
      </c>
      <c r="P177" s="69">
        <v>46.13</v>
      </c>
      <c r="Q177" s="69">
        <v>46.13</v>
      </c>
      <c r="R177" s="70">
        <f>IF(registreGarantie[[#This Row],[date paiement]]="","",registreGarantie[[#This Row],[MO
Demandé]]-registreGarantie[[#This Row],[MO
Remboursé]])</f>
        <v>0</v>
      </c>
      <c r="S177" s="69" t="s">
        <v>2303</v>
      </c>
      <c r="T177" s="70">
        <f>IF(registreGarantie[[#This Row],[date paiement]]="","",registreGarantie[[#This Row],[MO
Refusé]]+registreGarantie[[#This Row],[Pièces
Refusés]])</f>
        <v>0</v>
      </c>
      <c r="U177" s="106">
        <v>45544</v>
      </c>
      <c r="V177" s="71" t="str">
        <f>IF(registreGarantie[[#This Row],[Pièces 
Demandés]]="","",registreGarantie[[#This Row],[Date]])</f>
        <v/>
      </c>
      <c r="W177" s="103" t="str">
        <f>IF(registreGarantie[[#This Row],[Pièces 
Demandés]]="","",IF(registreGarantie[[#This Row],[date paiement]]="","",registreGarantie[[#This Row],[date paiement]]+91))</f>
        <v/>
      </c>
      <c r="X1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7" s="74" t="str">
        <f ca="1">IF(registreGarantie[[#This Row],[Colonne1]]=0,"",IF(TODAY()&gt;registreGarantie[[#This Row],[Date rebus]],0,1))</f>
        <v/>
      </c>
      <c r="Z177" s="66"/>
      <c r="AA177" s="73" t="str">
        <f>IF(AND(registreGarantie[[#This Row],[Montant non remboursé]]&gt;1,registreGarantie[[#This Row],[Montant non remboursé]]&lt;&gt;""),1,"")</f>
        <v/>
      </c>
      <c r="AB177" s="66"/>
      <c r="AC177" s="66"/>
      <c r="AD177" s="87">
        <f t="shared" si="2"/>
        <v>177</v>
      </c>
      <c r="AE177" s="109"/>
    </row>
    <row r="178" spans="1:31" ht="18" customHeight="1" thickBot="1" x14ac:dyDescent="0.4">
      <c r="A178" s="64">
        <v>44881</v>
      </c>
      <c r="B178" s="64">
        <v>5875</v>
      </c>
      <c r="C178" s="106">
        <v>45477</v>
      </c>
      <c r="D178" s="66" t="s">
        <v>333</v>
      </c>
      <c r="E178" s="66" t="s">
        <v>334</v>
      </c>
      <c r="F178" s="68" t="s">
        <v>2282</v>
      </c>
      <c r="G178" s="66" t="s">
        <v>1734</v>
      </c>
      <c r="H178" s="64">
        <v>170</v>
      </c>
      <c r="I178" s="67" t="s">
        <v>2</v>
      </c>
      <c r="J178" s="97">
        <v>404301111</v>
      </c>
      <c r="K178" s="66"/>
      <c r="L178" s="68"/>
      <c r="M178" s="69"/>
      <c r="N178" s="69"/>
      <c r="O178" s="70">
        <f>IF(registreGarantie[[#This Row],[date paiement]]="","",registreGarantie[[#This Row],[Pièces 
Demandés]]-registreGarantie[[#This Row],[Pièces 
Remboursés]])</f>
        <v>0</v>
      </c>
      <c r="P178" s="69">
        <v>92.25</v>
      </c>
      <c r="Q178" s="69">
        <v>92.25</v>
      </c>
      <c r="R178" s="70">
        <f>IF(registreGarantie[[#This Row],[date paiement]]="","",registreGarantie[[#This Row],[MO
Demandé]]-registreGarantie[[#This Row],[MO
Remboursé]])</f>
        <v>0</v>
      </c>
      <c r="S178" s="69"/>
      <c r="T178" s="70">
        <f>IF(registreGarantie[[#This Row],[date paiement]]="","",registreGarantie[[#This Row],[MO
Refusé]]+registreGarantie[[#This Row],[Pièces
Refusés]])</f>
        <v>0</v>
      </c>
      <c r="U178" s="106">
        <v>45544</v>
      </c>
      <c r="V178" s="71" t="str">
        <f>IF(registreGarantie[[#This Row],[Pièces 
Demandés]]="","",registreGarantie[[#This Row],[Date]])</f>
        <v/>
      </c>
      <c r="W178" s="103" t="str">
        <f>IF(registreGarantie[[#This Row],[Pièces 
Demandés]]="","",IF(registreGarantie[[#This Row],[date paiement]]="","",registreGarantie[[#This Row],[date paiement]]+91))</f>
        <v/>
      </c>
      <c r="X1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78" s="74" t="str">
        <f ca="1">IF(registreGarantie[[#This Row],[Colonne1]]=0,"",IF(TODAY()&gt;registreGarantie[[#This Row],[Date rebus]],0,1))</f>
        <v/>
      </c>
      <c r="Z178" s="66"/>
      <c r="AA178" s="73" t="str">
        <f>IF(AND(registreGarantie[[#This Row],[Montant non remboursé]]&gt;1,registreGarantie[[#This Row],[Montant non remboursé]]&lt;&gt;""),1,"")</f>
        <v/>
      </c>
      <c r="AB178" s="66"/>
      <c r="AC178" s="66"/>
      <c r="AD178" s="87">
        <f t="shared" si="2"/>
        <v>178</v>
      </c>
      <c r="AE178" s="109"/>
    </row>
    <row r="179" spans="1:31" ht="18" customHeight="1" thickBot="1" x14ac:dyDescent="0.4">
      <c r="A179" s="64">
        <v>44882</v>
      </c>
      <c r="B179" s="64">
        <v>43020</v>
      </c>
      <c r="C179" s="106">
        <v>45478</v>
      </c>
      <c r="D179" s="66" t="s">
        <v>1735</v>
      </c>
      <c r="E179" s="66" t="s">
        <v>334</v>
      </c>
      <c r="F179" s="68"/>
      <c r="G179" s="66" t="s">
        <v>1736</v>
      </c>
      <c r="H179" s="64">
        <v>0</v>
      </c>
      <c r="I179" s="67" t="s">
        <v>2</v>
      </c>
      <c r="J179" s="97">
        <v>404302570</v>
      </c>
      <c r="K179" s="66"/>
      <c r="L179" s="68"/>
      <c r="M179" s="69">
        <v>43.87</v>
      </c>
      <c r="N179" s="69">
        <v>43.87</v>
      </c>
      <c r="O179" s="70">
        <f>IF(registreGarantie[[#This Row],[date paiement]]="","",registreGarantie[[#This Row],[Pièces 
Demandés]]-registreGarantie[[#This Row],[Pièces 
Remboursés]])</f>
        <v>0</v>
      </c>
      <c r="P179" s="69"/>
      <c r="Q179" s="69"/>
      <c r="R179" s="70">
        <f>IF(registreGarantie[[#This Row],[date paiement]]="","",registreGarantie[[#This Row],[MO
Demandé]]-registreGarantie[[#This Row],[MO
Remboursé]])</f>
        <v>0</v>
      </c>
      <c r="S179" s="69"/>
      <c r="T179" s="70">
        <f>IF(registreGarantie[[#This Row],[date paiement]]="","",registreGarantie[[#This Row],[MO
Refusé]]+registreGarantie[[#This Row],[Pièces
Refusés]])</f>
        <v>0</v>
      </c>
      <c r="U179" s="106">
        <v>45504</v>
      </c>
      <c r="V179" s="71">
        <f>IF(registreGarantie[[#This Row],[Pièces 
Demandés]]="","",registreGarantie[[#This Row],[Date]])</f>
        <v>45478</v>
      </c>
      <c r="W179" s="103">
        <f>IF(registreGarantie[[#This Row],[Pièces 
Demandés]]="","",IF(registreGarantie[[#This Row],[date paiement]]="","",registreGarantie[[#This Row],[date paiement]]+91))</f>
        <v>45595</v>
      </c>
      <c r="X1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179" s="74">
        <f ca="1">IF(registreGarantie[[#This Row],[Colonne1]]=0,"",IF(TODAY()&gt;registreGarantie[[#This Row],[Date rebus]],0,1))</f>
        <v>0</v>
      </c>
      <c r="Z179" s="66"/>
      <c r="AA179" s="73" t="str">
        <f>IF(AND(registreGarantie[[#This Row],[Montant non remboursé]]&gt;1,registreGarantie[[#This Row],[Montant non remboursé]]&lt;&gt;""),1,"")</f>
        <v/>
      </c>
      <c r="AB179" s="66"/>
      <c r="AC179" s="66"/>
      <c r="AD179" s="87">
        <f t="shared" si="2"/>
        <v>179</v>
      </c>
      <c r="AE179" s="109"/>
    </row>
    <row r="180" spans="1:31" ht="18" customHeight="1" thickBot="1" x14ac:dyDescent="0.4">
      <c r="A180" s="64">
        <v>44883</v>
      </c>
      <c r="B180" s="64">
        <v>43072</v>
      </c>
      <c r="C180" s="106">
        <v>45482</v>
      </c>
      <c r="D180" s="66" t="s">
        <v>62</v>
      </c>
      <c r="E180" s="66" t="s">
        <v>63</v>
      </c>
      <c r="F180" s="68" t="s">
        <v>2250</v>
      </c>
      <c r="G180" s="66" t="s">
        <v>1737</v>
      </c>
      <c r="H180" s="64">
        <v>1537</v>
      </c>
      <c r="I180" s="67" t="s">
        <v>18</v>
      </c>
      <c r="J180" s="97">
        <v>404309618</v>
      </c>
      <c r="K180" s="66"/>
      <c r="L180" s="68"/>
      <c r="M180" s="69">
        <v>753.83</v>
      </c>
      <c r="N180" s="69">
        <v>753.83</v>
      </c>
      <c r="O180" s="70" t="str">
        <f>IF(registreGarantie[[#This Row],[date paiement]]="","",registreGarantie[[#This Row],[Pièces 
Demandés]]-registreGarantie[[#This Row],[Pièces 
Remboursés]])</f>
        <v/>
      </c>
      <c r="P180" s="69">
        <v>553.5</v>
      </c>
      <c r="Q180" s="69">
        <v>553.5</v>
      </c>
      <c r="R180" s="70" t="str">
        <f>IF(registreGarantie[[#This Row],[date paiement]]="","",registreGarantie[[#This Row],[MO
Demandé]]-registreGarantie[[#This Row],[MO
Remboursé]])</f>
        <v/>
      </c>
      <c r="S180" s="69"/>
      <c r="T180" s="70" t="str">
        <f>IF(registreGarantie[[#This Row],[date paiement]]="","",registreGarantie[[#This Row],[MO
Refusé]]+registreGarantie[[#This Row],[Pièces
Refusés]])</f>
        <v/>
      </c>
      <c r="U180" s="106"/>
      <c r="V180" s="71">
        <f>IF(registreGarantie[[#This Row],[Pièces 
Demandés]]="","",registreGarantie[[#This Row],[Date]])</f>
        <v>45482</v>
      </c>
      <c r="W180" s="103" t="str">
        <f>IF(registreGarantie[[#This Row],[Pièces 
Demandés]]="","",IF(registreGarantie[[#This Row],[date paiement]]="","",registreGarantie[[#This Row],[date paiement]]+91))</f>
        <v/>
      </c>
      <c r="X1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0" s="74" t="str">
        <f ca="1">IF(registreGarantie[[#This Row],[Colonne1]]=0,"",IF(TODAY()&gt;registreGarantie[[#This Row],[Date rebus]],0,1))</f>
        <v/>
      </c>
      <c r="Z180" s="66"/>
      <c r="AA180" s="73" t="str">
        <f>IF(AND(registreGarantie[[#This Row],[Montant non remboursé]]&gt;1,registreGarantie[[#This Row],[Montant non remboursé]]&lt;&gt;""),1,"")</f>
        <v/>
      </c>
      <c r="AB180" s="66"/>
      <c r="AC180" s="66"/>
      <c r="AD180" s="87">
        <f t="shared" si="2"/>
        <v>180</v>
      </c>
      <c r="AE180" s="109"/>
    </row>
    <row r="181" spans="1:31" ht="18" customHeight="1" thickBot="1" x14ac:dyDescent="0.4">
      <c r="A181" s="64">
        <v>44884</v>
      </c>
      <c r="B181" s="64">
        <v>42841</v>
      </c>
      <c r="C181" s="106">
        <v>45478</v>
      </c>
      <c r="D181" s="66" t="s">
        <v>150</v>
      </c>
      <c r="E181" s="66" t="s">
        <v>466</v>
      </c>
      <c r="F181" s="68"/>
      <c r="G181" s="66" t="s">
        <v>1738</v>
      </c>
      <c r="H181" s="64"/>
      <c r="I181" s="67" t="s">
        <v>21</v>
      </c>
      <c r="J181" s="97" t="s">
        <v>1739</v>
      </c>
      <c r="K181" s="66"/>
      <c r="L181" s="68"/>
      <c r="M181" s="69">
        <v>3.46</v>
      </c>
      <c r="N181" s="69">
        <v>3.46</v>
      </c>
      <c r="O181" s="70">
        <f>IF(registreGarantie[[#This Row],[date paiement]]="","",registreGarantie[[#This Row],[Pièces 
Demandés]]-registreGarantie[[#This Row],[Pièces 
Remboursés]])</f>
        <v>0</v>
      </c>
      <c r="P181" s="69"/>
      <c r="Q181" s="69"/>
      <c r="R181" s="70">
        <f>IF(registreGarantie[[#This Row],[date paiement]]="","",registreGarantie[[#This Row],[MO
Demandé]]-registreGarantie[[#This Row],[MO
Remboursé]])</f>
        <v>0</v>
      </c>
      <c r="S181" s="69"/>
      <c r="T181" s="70">
        <f>IF(registreGarantie[[#This Row],[date paiement]]="","",registreGarantie[[#This Row],[MO
Refusé]]+registreGarantie[[#This Row],[Pièces
Refusés]])</f>
        <v>0</v>
      </c>
      <c r="U181" s="106">
        <v>45527</v>
      </c>
      <c r="V181" s="71">
        <f>IF(registreGarantie[[#This Row],[Pièces 
Demandés]]="","",registreGarantie[[#This Row],[Date]])</f>
        <v>45478</v>
      </c>
      <c r="W181" s="103">
        <f>IF(registreGarantie[[#This Row],[Pièces 
Demandés]]="","",IF(registreGarantie[[#This Row],[date paiement]]="","",registreGarantie[[#This Row],[date paiement]]+91))</f>
        <v>45618</v>
      </c>
      <c r="X1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1" s="74" t="str">
        <f ca="1">IF(registreGarantie[[#This Row],[Colonne1]]=0,"",IF(TODAY()&gt;registreGarantie[[#This Row],[Date rebus]],0,1))</f>
        <v/>
      </c>
      <c r="Z181" s="66"/>
      <c r="AA181" s="73" t="str">
        <f>IF(AND(registreGarantie[[#This Row],[Montant non remboursé]]&gt;1,registreGarantie[[#This Row],[Montant non remboursé]]&lt;&gt;""),1,"")</f>
        <v/>
      </c>
      <c r="AB181" s="66"/>
      <c r="AC181" s="66"/>
      <c r="AD181" s="87">
        <f t="shared" si="2"/>
        <v>181</v>
      </c>
      <c r="AE181" s="109"/>
    </row>
    <row r="182" spans="1:31" ht="18" customHeight="1" thickBot="1" x14ac:dyDescent="0.4">
      <c r="A182" s="64">
        <v>44885</v>
      </c>
      <c r="B182" s="64">
        <v>43079</v>
      </c>
      <c r="C182" s="106">
        <v>45482</v>
      </c>
      <c r="D182" s="66" t="s">
        <v>1740</v>
      </c>
      <c r="E182" s="66" t="s">
        <v>466</v>
      </c>
      <c r="F182" s="68"/>
      <c r="G182" s="66" t="s">
        <v>1741</v>
      </c>
      <c r="H182" s="64" t="s">
        <v>1742</v>
      </c>
      <c r="I182" s="67" t="s">
        <v>21</v>
      </c>
      <c r="J182" s="97" t="s">
        <v>1743</v>
      </c>
      <c r="K182" s="66"/>
      <c r="L182" s="68"/>
      <c r="M182" s="69">
        <v>458.09</v>
      </c>
      <c r="N182" s="69">
        <v>458.09</v>
      </c>
      <c r="O182" s="70">
        <f>IF(registreGarantie[[#This Row],[date paiement]]="","",registreGarantie[[#This Row],[Pièces 
Demandés]]-registreGarantie[[#This Row],[Pièces 
Remboursés]])</f>
        <v>0</v>
      </c>
      <c r="P182" s="69"/>
      <c r="Q182" s="69"/>
      <c r="R182" s="70">
        <f>IF(registreGarantie[[#This Row],[date paiement]]="","",registreGarantie[[#This Row],[MO
Demandé]]-registreGarantie[[#This Row],[MO
Remboursé]])</f>
        <v>0</v>
      </c>
      <c r="S182" s="69"/>
      <c r="T182" s="70">
        <f>IF(registreGarantie[[#This Row],[date paiement]]="","",registreGarantie[[#This Row],[MO
Refusé]]+registreGarantie[[#This Row],[Pièces
Refusés]])</f>
        <v>0</v>
      </c>
      <c r="U182" s="106">
        <v>45506</v>
      </c>
      <c r="V182" s="71">
        <f>IF(registreGarantie[[#This Row],[Pièces 
Demandés]]="","",registreGarantie[[#This Row],[Date]])</f>
        <v>45482</v>
      </c>
      <c r="W182" s="103">
        <f>IF(registreGarantie[[#This Row],[Pièces 
Demandés]]="","",IF(registreGarantie[[#This Row],[date paiement]]="","",registreGarantie[[#This Row],[date paiement]]+91))</f>
        <v>45597</v>
      </c>
      <c r="X1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2" s="74" t="str">
        <f ca="1">IF(registreGarantie[[#This Row],[Colonne1]]=0,"",IF(TODAY()&gt;registreGarantie[[#This Row],[Date rebus]],0,1))</f>
        <v/>
      </c>
      <c r="Z182" s="66"/>
      <c r="AA182" s="73" t="str">
        <f>IF(AND(registreGarantie[[#This Row],[Montant non remboursé]]&gt;1,registreGarantie[[#This Row],[Montant non remboursé]]&lt;&gt;""),1,"")</f>
        <v/>
      </c>
      <c r="AB182" s="66"/>
      <c r="AC182" s="66"/>
      <c r="AD182" s="87">
        <f t="shared" si="2"/>
        <v>182</v>
      </c>
      <c r="AE182" s="109"/>
    </row>
    <row r="183" spans="1:31" ht="18" customHeight="1" thickBot="1" x14ac:dyDescent="0.4">
      <c r="A183" s="64">
        <v>44886</v>
      </c>
      <c r="B183" s="64">
        <v>42911</v>
      </c>
      <c r="C183" s="106">
        <v>45482</v>
      </c>
      <c r="D183" s="66" t="s">
        <v>619</v>
      </c>
      <c r="E183" s="66" t="s">
        <v>232</v>
      </c>
      <c r="F183" s="68"/>
      <c r="G183" s="66" t="s">
        <v>620</v>
      </c>
      <c r="H183" s="64" t="s">
        <v>1744</v>
      </c>
      <c r="I183" s="67" t="s">
        <v>21</v>
      </c>
      <c r="J183" s="97" t="s">
        <v>1745</v>
      </c>
      <c r="K183" s="66"/>
      <c r="L183" s="68"/>
      <c r="M183" s="69">
        <v>1142.24</v>
      </c>
      <c r="N183" s="69">
        <v>1142.24</v>
      </c>
      <c r="O183" s="70">
        <f>IF(registreGarantie[[#This Row],[date paiement]]="","",registreGarantie[[#This Row],[Pièces 
Demandés]]-registreGarantie[[#This Row],[Pièces 
Remboursés]])</f>
        <v>0</v>
      </c>
      <c r="P183" s="69"/>
      <c r="Q183" s="69"/>
      <c r="R183" s="70">
        <f>IF(registreGarantie[[#This Row],[date paiement]]="","",registreGarantie[[#This Row],[MO
Demandé]]-registreGarantie[[#This Row],[MO
Remboursé]])</f>
        <v>0</v>
      </c>
      <c r="S183" s="69"/>
      <c r="T183" s="70">
        <f>IF(registreGarantie[[#This Row],[date paiement]]="","",registreGarantie[[#This Row],[MO
Refusé]]+registreGarantie[[#This Row],[Pièces
Refusés]])</f>
        <v>0</v>
      </c>
      <c r="U183" s="106">
        <v>45506</v>
      </c>
      <c r="V183" s="71">
        <f>IF(registreGarantie[[#This Row],[Pièces 
Demandés]]="","",registreGarantie[[#This Row],[Date]])</f>
        <v>45482</v>
      </c>
      <c r="W183" s="103">
        <f>IF(registreGarantie[[#This Row],[Pièces 
Demandés]]="","",IF(registreGarantie[[#This Row],[date paiement]]="","",registreGarantie[[#This Row],[date paiement]]+91))</f>
        <v>45597</v>
      </c>
      <c r="X1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3" s="74" t="str">
        <f ca="1">IF(registreGarantie[[#This Row],[Colonne1]]=0,"",IF(TODAY()&gt;registreGarantie[[#This Row],[Date rebus]],0,1))</f>
        <v/>
      </c>
      <c r="Z183" s="66"/>
      <c r="AA183" s="73" t="str">
        <f>IF(AND(registreGarantie[[#This Row],[Montant non remboursé]]&gt;1,registreGarantie[[#This Row],[Montant non remboursé]]&lt;&gt;""),1,"")</f>
        <v/>
      </c>
      <c r="AB183" s="66"/>
      <c r="AC183" s="66"/>
      <c r="AD183" s="87">
        <f t="shared" si="2"/>
        <v>183</v>
      </c>
      <c r="AE183" s="109"/>
    </row>
    <row r="184" spans="1:31" ht="18" customHeight="1" thickBot="1" x14ac:dyDescent="0.4">
      <c r="A184" s="64">
        <v>44887</v>
      </c>
      <c r="B184" s="64">
        <v>42130</v>
      </c>
      <c r="C184" s="106">
        <v>45483</v>
      </c>
      <c r="D184" s="66" t="s">
        <v>62</v>
      </c>
      <c r="E184" s="66" t="s">
        <v>63</v>
      </c>
      <c r="F184" s="68" t="s">
        <v>2250</v>
      </c>
      <c r="G184" s="66" t="s">
        <v>423</v>
      </c>
      <c r="H184" s="64">
        <v>1537</v>
      </c>
      <c r="I184" s="67" t="s">
        <v>5</v>
      </c>
      <c r="J184" s="97">
        <v>403833384</v>
      </c>
      <c r="K184" s="66"/>
      <c r="L184" s="68"/>
      <c r="M184" s="69">
        <v>81.2</v>
      </c>
      <c r="N184" s="69">
        <v>81.2</v>
      </c>
      <c r="O184" s="70">
        <f>IF(registreGarantie[[#This Row],[date paiement]]="","",registreGarantie[[#This Row],[Pièces 
Demandés]]-registreGarantie[[#This Row],[Pièces 
Remboursés]])</f>
        <v>0</v>
      </c>
      <c r="P184" s="69">
        <v>86.13</v>
      </c>
      <c r="Q184" s="69">
        <v>86.13</v>
      </c>
      <c r="R184" s="70">
        <f>IF(registreGarantie[[#This Row],[date paiement]]="","",registreGarantie[[#This Row],[MO
Demandé]]-registreGarantie[[#This Row],[MO
Remboursé]])</f>
        <v>0</v>
      </c>
      <c r="S184" s="69"/>
      <c r="T184" s="70">
        <f>IF(registreGarantie[[#This Row],[date paiement]]="","",registreGarantie[[#This Row],[MO
Refusé]]+registreGarantie[[#This Row],[Pièces
Refusés]])</f>
        <v>0</v>
      </c>
      <c r="U184" s="106">
        <v>45496</v>
      </c>
      <c r="V184" s="71">
        <f>IF(registreGarantie[[#This Row],[Pièces 
Demandés]]="","",registreGarantie[[#This Row],[Date]])</f>
        <v>45483</v>
      </c>
      <c r="W184" s="103">
        <f>IF(registreGarantie[[#This Row],[Pièces 
Demandés]]="","",IF(registreGarantie[[#This Row],[date paiement]]="","",registreGarantie[[#This Row],[date paiement]]+91))</f>
        <v>45587</v>
      </c>
      <c r="X1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4" s="74" t="str">
        <f ca="1">IF(registreGarantie[[#This Row],[Colonne1]]=0,"",IF(TODAY()&gt;registreGarantie[[#This Row],[Date rebus]],0,1))</f>
        <v/>
      </c>
      <c r="Z184" s="66"/>
      <c r="AA184" s="73" t="str">
        <f>IF(AND(registreGarantie[[#This Row],[Montant non remboursé]]&gt;1,registreGarantie[[#This Row],[Montant non remboursé]]&lt;&gt;""),1,"")</f>
        <v/>
      </c>
      <c r="AB184" s="66"/>
      <c r="AC184" s="66"/>
      <c r="AD184" s="87">
        <f t="shared" si="2"/>
        <v>184</v>
      </c>
      <c r="AE184" s="109"/>
    </row>
    <row r="185" spans="1:31" ht="18" customHeight="1" thickBot="1" x14ac:dyDescent="0.4">
      <c r="A185" s="64">
        <v>44888</v>
      </c>
      <c r="B185" s="64"/>
      <c r="C185" s="106"/>
      <c r="D185" s="66"/>
      <c r="E185" s="66"/>
      <c r="F185" s="68"/>
      <c r="G185" s="66"/>
      <c r="H185" s="64"/>
      <c r="I185" s="67"/>
      <c r="J185" s="97"/>
      <c r="K185" s="66"/>
      <c r="L185" s="68"/>
      <c r="M185" s="69"/>
      <c r="N185" s="69"/>
      <c r="O185" s="70" t="str">
        <f>IF(registreGarantie[[#This Row],[date paiement]]="","",registreGarantie[[#This Row],[Pièces 
Demandés]]-registreGarantie[[#This Row],[Pièces 
Remboursés]])</f>
        <v/>
      </c>
      <c r="P185" s="69"/>
      <c r="Q185" s="69"/>
      <c r="R185" s="70" t="str">
        <f>IF(registreGarantie[[#This Row],[date paiement]]="","",registreGarantie[[#This Row],[MO
Demandé]]-registreGarantie[[#This Row],[MO
Remboursé]])</f>
        <v/>
      </c>
      <c r="S185" s="69"/>
      <c r="T185" s="70" t="str">
        <f>IF(registreGarantie[[#This Row],[date paiement]]="","",registreGarantie[[#This Row],[MO
Refusé]]+registreGarantie[[#This Row],[Pièces
Refusés]])</f>
        <v/>
      </c>
      <c r="U185" s="106"/>
      <c r="V185" s="71" t="str">
        <f>IF(registreGarantie[[#This Row],[Pièces 
Demandés]]="","",registreGarantie[[#This Row],[Date]])</f>
        <v/>
      </c>
      <c r="W185" s="103" t="str">
        <f>IF(registreGarantie[[#This Row],[Pièces 
Demandés]]="","",IF(registreGarantie[[#This Row],[date paiement]]="","",registreGarantie[[#This Row],[date paiement]]+91))</f>
        <v/>
      </c>
      <c r="X1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5" s="74" t="str">
        <f ca="1">IF(registreGarantie[[#This Row],[Colonne1]]=0,"",IF(TODAY()&gt;registreGarantie[[#This Row],[Date rebus]],0,1))</f>
        <v/>
      </c>
      <c r="Z185" s="66"/>
      <c r="AA185" s="73" t="str">
        <f>IF(AND(registreGarantie[[#This Row],[Montant non remboursé]]&gt;1,registreGarantie[[#This Row],[Montant non remboursé]]&lt;&gt;""),1,"")</f>
        <v/>
      </c>
      <c r="AB185" s="66"/>
      <c r="AC185" s="66"/>
      <c r="AD185" s="87">
        <f t="shared" si="2"/>
        <v>185</v>
      </c>
      <c r="AE185" s="109"/>
    </row>
    <row r="186" spans="1:31" ht="18" customHeight="1" thickBot="1" x14ac:dyDescent="0.4">
      <c r="A186" s="64">
        <v>44889</v>
      </c>
      <c r="B186" s="64">
        <v>42857</v>
      </c>
      <c r="C186" s="106">
        <v>45483</v>
      </c>
      <c r="D186" s="66" t="s">
        <v>262</v>
      </c>
      <c r="E186" s="66" t="s">
        <v>263</v>
      </c>
      <c r="F186" s="68"/>
      <c r="G186" s="66" t="s">
        <v>566</v>
      </c>
      <c r="H186" s="64" t="s">
        <v>1746</v>
      </c>
      <c r="I186" s="67" t="s">
        <v>21</v>
      </c>
      <c r="J186" s="97" t="s">
        <v>1747</v>
      </c>
      <c r="K186" s="66"/>
      <c r="L186" s="68"/>
      <c r="M186" s="69">
        <v>463.16</v>
      </c>
      <c r="N186" s="69">
        <v>463.16</v>
      </c>
      <c r="O186" s="70">
        <f>IF(registreGarantie[[#This Row],[date paiement]]="","",registreGarantie[[#This Row],[Pièces 
Demandés]]-registreGarantie[[#This Row],[Pièces 
Remboursés]])</f>
        <v>0</v>
      </c>
      <c r="P186" s="69">
        <v>51</v>
      </c>
      <c r="Q186" s="69">
        <v>51</v>
      </c>
      <c r="R186" s="70">
        <f>IF(registreGarantie[[#This Row],[date paiement]]="","",registreGarantie[[#This Row],[MO
Demandé]]-registreGarantie[[#This Row],[MO
Remboursé]])</f>
        <v>0</v>
      </c>
      <c r="S186" s="69"/>
      <c r="T186" s="70">
        <f>IF(registreGarantie[[#This Row],[date paiement]]="","",registreGarantie[[#This Row],[MO
Refusé]]+registreGarantie[[#This Row],[Pièces
Refusés]])</f>
        <v>0</v>
      </c>
      <c r="U186" s="106">
        <v>45506</v>
      </c>
      <c r="V186" s="71">
        <f>IF(registreGarantie[[#This Row],[Pièces 
Demandés]]="","",registreGarantie[[#This Row],[Date]])</f>
        <v>45483</v>
      </c>
      <c r="W186" s="103">
        <f>IF(registreGarantie[[#This Row],[Pièces 
Demandés]]="","",IF(registreGarantie[[#This Row],[date paiement]]="","",registreGarantie[[#This Row],[date paiement]]+91))</f>
        <v>45597</v>
      </c>
      <c r="X1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6" s="74" t="str">
        <f ca="1">IF(registreGarantie[[#This Row],[Colonne1]]=0,"",IF(TODAY()&gt;registreGarantie[[#This Row],[Date rebus]],0,1))</f>
        <v/>
      </c>
      <c r="Z186" s="66"/>
      <c r="AA186" s="73" t="str">
        <f>IF(AND(registreGarantie[[#This Row],[Montant non remboursé]]&gt;1,registreGarantie[[#This Row],[Montant non remboursé]]&lt;&gt;""),1,"")</f>
        <v/>
      </c>
      <c r="AB186" s="66"/>
      <c r="AC186" s="66"/>
      <c r="AD186" s="87">
        <f t="shared" si="2"/>
        <v>186</v>
      </c>
      <c r="AE186" s="109"/>
    </row>
    <row r="187" spans="1:31" ht="18" customHeight="1" thickBot="1" x14ac:dyDescent="0.4">
      <c r="A187" s="64">
        <v>44890</v>
      </c>
      <c r="B187" s="64">
        <v>42734</v>
      </c>
      <c r="C187" s="106">
        <v>45484</v>
      </c>
      <c r="D187" s="66" t="s">
        <v>758</v>
      </c>
      <c r="E187" s="66" t="s">
        <v>797</v>
      </c>
      <c r="F187" s="68"/>
      <c r="G187" s="66" t="s">
        <v>78</v>
      </c>
      <c r="H187" s="64" t="s">
        <v>1748</v>
      </c>
      <c r="I187" s="67" t="s">
        <v>21</v>
      </c>
      <c r="J187" s="97" t="s">
        <v>1749</v>
      </c>
      <c r="K187" s="66"/>
      <c r="L187" s="68"/>
      <c r="M187" s="69">
        <v>1940.7</v>
      </c>
      <c r="N187" s="69">
        <v>1940.7</v>
      </c>
      <c r="O187" s="70">
        <f>IF(registreGarantie[[#This Row],[date paiement]]="","",registreGarantie[[#This Row],[Pièces 
Demandés]]-registreGarantie[[#This Row],[Pièces 
Remboursés]])</f>
        <v>0</v>
      </c>
      <c r="P187" s="69"/>
      <c r="Q187" s="69"/>
      <c r="R187" s="70">
        <f>IF(registreGarantie[[#This Row],[date paiement]]="","",registreGarantie[[#This Row],[MO
Demandé]]-registreGarantie[[#This Row],[MO
Remboursé]])</f>
        <v>0</v>
      </c>
      <c r="S187" s="69"/>
      <c r="T187" s="70">
        <f>IF(registreGarantie[[#This Row],[date paiement]]="","",registreGarantie[[#This Row],[MO
Refusé]]+registreGarantie[[#This Row],[Pièces
Refusés]])</f>
        <v>0</v>
      </c>
      <c r="U187" s="106">
        <v>45532</v>
      </c>
      <c r="V187" s="71">
        <f>IF(registreGarantie[[#This Row],[Pièces 
Demandés]]="","",registreGarantie[[#This Row],[Date]])</f>
        <v>45484</v>
      </c>
      <c r="W187" s="103">
        <f>IF(registreGarantie[[#This Row],[Pièces 
Demandés]]="","",IF(registreGarantie[[#This Row],[date paiement]]="","",registreGarantie[[#This Row],[date paiement]]+91))</f>
        <v>45623</v>
      </c>
      <c r="X1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7" s="74" t="str">
        <f ca="1">IF(registreGarantie[[#This Row],[Colonne1]]=0,"",IF(TODAY()&gt;registreGarantie[[#This Row],[Date rebus]],0,1))</f>
        <v/>
      </c>
      <c r="Z187" s="66"/>
      <c r="AA187" s="73" t="str">
        <f>IF(AND(registreGarantie[[#This Row],[Montant non remboursé]]&gt;1,registreGarantie[[#This Row],[Montant non remboursé]]&lt;&gt;""),1,"")</f>
        <v/>
      </c>
      <c r="AB187" s="66"/>
      <c r="AC187" s="66"/>
      <c r="AD187" s="87">
        <f t="shared" si="2"/>
        <v>187</v>
      </c>
      <c r="AE187" s="109"/>
    </row>
    <row r="188" spans="1:31" ht="18" customHeight="1" thickBot="1" x14ac:dyDescent="0.4">
      <c r="A188" s="64">
        <v>44891</v>
      </c>
      <c r="B188" s="64">
        <v>43023</v>
      </c>
      <c r="C188" s="106">
        <v>45489</v>
      </c>
      <c r="D188" s="66" t="s">
        <v>486</v>
      </c>
      <c r="E188" s="66" t="s">
        <v>45</v>
      </c>
      <c r="F188" s="68" t="s">
        <v>2264</v>
      </c>
      <c r="G188" s="66" t="s">
        <v>1750</v>
      </c>
      <c r="H188" s="64">
        <v>2270</v>
      </c>
      <c r="I188" s="67" t="s">
        <v>18</v>
      </c>
      <c r="J188" s="97">
        <v>404319199</v>
      </c>
      <c r="K188" s="66"/>
      <c r="L188" s="68"/>
      <c r="M188" s="69"/>
      <c r="N188" s="69"/>
      <c r="O188" s="70" t="str">
        <f>IF(registreGarantie[[#This Row],[date paiement]]="","",registreGarantie[[#This Row],[Pièces 
Demandés]]-registreGarantie[[#This Row],[Pièces 
Remboursés]])</f>
        <v/>
      </c>
      <c r="P188" s="69"/>
      <c r="Q188" s="69"/>
      <c r="R188" s="70" t="str">
        <f>IF(registreGarantie[[#This Row],[date paiement]]="","",registreGarantie[[#This Row],[MO
Demandé]]-registreGarantie[[#This Row],[MO
Remboursé]])</f>
        <v/>
      </c>
      <c r="S188" s="69"/>
      <c r="T188" s="70" t="str">
        <f>IF(registreGarantie[[#This Row],[date paiement]]="","",registreGarantie[[#This Row],[MO
Refusé]]+registreGarantie[[#This Row],[Pièces
Refusés]])</f>
        <v/>
      </c>
      <c r="U188" s="106"/>
      <c r="V188" s="71" t="str">
        <f>IF(registreGarantie[[#This Row],[Pièces 
Demandés]]="","",registreGarantie[[#This Row],[Date]])</f>
        <v/>
      </c>
      <c r="W188" s="103" t="str">
        <f>IF(registreGarantie[[#This Row],[Pièces 
Demandés]]="","",IF(registreGarantie[[#This Row],[date paiement]]="","",registreGarantie[[#This Row],[date paiement]]+91))</f>
        <v/>
      </c>
      <c r="X1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8" s="74" t="str">
        <f ca="1">IF(registreGarantie[[#This Row],[Colonne1]]=0,"",IF(TODAY()&gt;registreGarantie[[#This Row],[Date rebus]],0,1))</f>
        <v/>
      </c>
      <c r="Z188" s="66"/>
      <c r="AA188" s="73" t="str">
        <f>IF(AND(registreGarantie[[#This Row],[Montant non remboursé]]&gt;1,registreGarantie[[#This Row],[Montant non remboursé]]&lt;&gt;""),1,"")</f>
        <v/>
      </c>
      <c r="AB188" s="66"/>
      <c r="AC188" s="66"/>
      <c r="AD188" s="87">
        <f t="shared" si="2"/>
        <v>188</v>
      </c>
      <c r="AE188" s="109"/>
    </row>
    <row r="189" spans="1:31" ht="18" customHeight="1" thickBot="1" x14ac:dyDescent="0.4">
      <c r="A189" s="64">
        <v>44892</v>
      </c>
      <c r="B189" s="64">
        <v>43139</v>
      </c>
      <c r="C189" s="106">
        <v>45488</v>
      </c>
      <c r="D189" s="66" t="s">
        <v>858</v>
      </c>
      <c r="E189" s="66" t="s">
        <v>45</v>
      </c>
      <c r="F189" s="68" t="s">
        <v>2278</v>
      </c>
      <c r="G189" s="66" t="s">
        <v>1751</v>
      </c>
      <c r="H189" s="64">
        <v>516</v>
      </c>
      <c r="I189" s="67" t="s">
        <v>19</v>
      </c>
      <c r="J189" s="97">
        <v>404317534</v>
      </c>
      <c r="K189" s="66"/>
      <c r="L189" s="68"/>
      <c r="M189" s="69">
        <v>333.09</v>
      </c>
      <c r="N189" s="69"/>
      <c r="O189" s="70" t="str">
        <f>IF(registreGarantie[[#This Row],[date paiement]]="","",registreGarantie[[#This Row],[Pièces 
Demandés]]-registreGarantie[[#This Row],[Pièces 
Remboursés]])</f>
        <v/>
      </c>
      <c r="P189" s="69">
        <v>319.8</v>
      </c>
      <c r="Q189" s="69"/>
      <c r="R189" s="70" t="str">
        <f>IF(registreGarantie[[#This Row],[date paiement]]="","",registreGarantie[[#This Row],[MO
Demandé]]-registreGarantie[[#This Row],[MO
Remboursé]])</f>
        <v/>
      </c>
      <c r="S189" s="69"/>
      <c r="T189" s="70" t="str">
        <f>IF(registreGarantie[[#This Row],[date paiement]]="","",registreGarantie[[#This Row],[MO
Refusé]]+registreGarantie[[#This Row],[Pièces
Refusés]])</f>
        <v/>
      </c>
      <c r="U189" s="106"/>
      <c r="V189" s="71">
        <f>IF(registreGarantie[[#This Row],[Pièces 
Demandés]]="","",registreGarantie[[#This Row],[Date]])</f>
        <v>45488</v>
      </c>
      <c r="W189" s="103" t="str">
        <f>IF(registreGarantie[[#This Row],[Pièces 
Demandés]]="","",IF(registreGarantie[[#This Row],[date paiement]]="","",registreGarantie[[#This Row],[date paiement]]+91))</f>
        <v/>
      </c>
      <c r="X1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89" s="74" t="str">
        <f ca="1">IF(registreGarantie[[#This Row],[Colonne1]]=0,"",IF(TODAY()&gt;registreGarantie[[#This Row],[Date rebus]],0,1))</f>
        <v/>
      </c>
      <c r="Z189" s="66"/>
      <c r="AA189" s="73" t="str">
        <f>IF(AND(registreGarantie[[#This Row],[Montant non remboursé]]&gt;1,registreGarantie[[#This Row],[Montant non remboursé]]&lt;&gt;""),1,"")</f>
        <v/>
      </c>
      <c r="AB189" s="66"/>
      <c r="AC189" s="66"/>
      <c r="AD189" s="87">
        <f t="shared" si="2"/>
        <v>189</v>
      </c>
      <c r="AE189" s="109"/>
    </row>
    <row r="190" spans="1:31" ht="18" customHeight="1" thickBot="1" x14ac:dyDescent="0.4">
      <c r="A190" s="64">
        <v>44892</v>
      </c>
      <c r="B190" s="64">
        <v>43139</v>
      </c>
      <c r="C190" s="106">
        <v>45488</v>
      </c>
      <c r="D190" s="66" t="s">
        <v>858</v>
      </c>
      <c r="E190" s="66" t="s">
        <v>45</v>
      </c>
      <c r="F190" s="68" t="s">
        <v>2278</v>
      </c>
      <c r="G190" s="66" t="s">
        <v>1751</v>
      </c>
      <c r="H190" s="64">
        <v>516</v>
      </c>
      <c r="I190" s="67" t="s">
        <v>18</v>
      </c>
      <c r="J190" s="97">
        <v>404317397</v>
      </c>
      <c r="K190" s="66"/>
      <c r="L190" s="68"/>
      <c r="M190" s="69">
        <v>484.31</v>
      </c>
      <c r="N190" s="69">
        <v>484.31</v>
      </c>
      <c r="O190" s="70">
        <f>IF(registreGarantie[[#This Row],[date paiement]]="","",registreGarantie[[#This Row],[Pièces 
Demandés]]-registreGarantie[[#This Row],[Pièces 
Remboursés]])</f>
        <v>0</v>
      </c>
      <c r="P190" s="69">
        <v>319.8</v>
      </c>
      <c r="Q190" s="69">
        <v>319.8</v>
      </c>
      <c r="R190" s="70">
        <f>IF(registreGarantie[[#This Row],[date paiement]]="","",registreGarantie[[#This Row],[MO
Demandé]]-registreGarantie[[#This Row],[MO
Remboursé]])</f>
        <v>0</v>
      </c>
      <c r="S190" s="69"/>
      <c r="T190" s="70">
        <f>IF(registreGarantie[[#This Row],[date paiement]]="","",registreGarantie[[#This Row],[MO
Refusé]]+registreGarantie[[#This Row],[Pièces
Refusés]])</f>
        <v>0</v>
      </c>
      <c r="U190" s="106">
        <v>45504</v>
      </c>
      <c r="V190" s="71">
        <f>IF(registreGarantie[[#This Row],[Pièces 
Demandés]]="","",registreGarantie[[#This Row],[Date]])</f>
        <v>45488</v>
      </c>
      <c r="W190" s="103">
        <f>IF(registreGarantie[[#This Row],[Pièces 
Demandés]]="","",IF(registreGarantie[[#This Row],[date paiement]]="","",registreGarantie[[#This Row],[date paiement]]+91))</f>
        <v>45595</v>
      </c>
      <c r="X1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0" s="74" t="str">
        <f ca="1">IF(registreGarantie[[#This Row],[Colonne1]]=0,"",IF(TODAY()&gt;registreGarantie[[#This Row],[Date rebus]],0,1))</f>
        <v/>
      </c>
      <c r="Z190" s="66"/>
      <c r="AA190" s="73" t="str">
        <f>IF(AND(registreGarantie[[#This Row],[Montant non remboursé]]&gt;1,registreGarantie[[#This Row],[Montant non remboursé]]&lt;&gt;""),1,"")</f>
        <v/>
      </c>
      <c r="AB190" s="66"/>
      <c r="AC190" s="66"/>
      <c r="AD190" s="87">
        <f t="shared" si="2"/>
        <v>190</v>
      </c>
      <c r="AE190" s="109"/>
    </row>
    <row r="191" spans="1:31" ht="18" customHeight="1" thickBot="1" x14ac:dyDescent="0.4">
      <c r="A191" s="64">
        <v>44893</v>
      </c>
      <c r="B191" s="64">
        <v>42603</v>
      </c>
      <c r="C191" s="106">
        <v>45489</v>
      </c>
      <c r="D191" s="66" t="s">
        <v>1752</v>
      </c>
      <c r="E191" s="66" t="s">
        <v>1753</v>
      </c>
      <c r="F191" s="68"/>
      <c r="G191" s="66" t="s">
        <v>1112</v>
      </c>
      <c r="H191" s="64" t="s">
        <v>1754</v>
      </c>
      <c r="I191" s="67" t="s">
        <v>21</v>
      </c>
      <c r="J191" s="97" t="s">
        <v>1755</v>
      </c>
      <c r="K191" s="66"/>
      <c r="L191" s="68"/>
      <c r="M191" s="69">
        <v>503.65000000000009</v>
      </c>
      <c r="N191" s="69">
        <v>503.65000000000003</v>
      </c>
      <c r="O191" s="70">
        <f>IF(registreGarantie[[#This Row],[date paiement]]="","",registreGarantie[[#This Row],[Pièces 
Demandés]]-registreGarantie[[#This Row],[Pièces 
Remboursés]])</f>
        <v>5.6843418860808015E-14</v>
      </c>
      <c r="P191" s="69">
        <v>816</v>
      </c>
      <c r="Q191" s="69">
        <v>816</v>
      </c>
      <c r="R191" s="70">
        <f>IF(registreGarantie[[#This Row],[date paiement]]="","",registreGarantie[[#This Row],[MO
Demandé]]-registreGarantie[[#This Row],[MO
Remboursé]])</f>
        <v>0</v>
      </c>
      <c r="S191" s="69"/>
      <c r="T191" s="70">
        <f>IF(registreGarantie[[#This Row],[date paiement]]="","",registreGarantie[[#This Row],[MO
Refusé]]+registreGarantie[[#This Row],[Pièces
Refusés]])</f>
        <v>5.6843418860808015E-14</v>
      </c>
      <c r="U191" s="106">
        <v>45532</v>
      </c>
      <c r="V191" s="71">
        <f>IF(registreGarantie[[#This Row],[Pièces 
Demandés]]="","",registreGarantie[[#This Row],[Date]])</f>
        <v>45489</v>
      </c>
      <c r="W191" s="103">
        <f>IF(registreGarantie[[#This Row],[Pièces 
Demandés]]="","",IF(registreGarantie[[#This Row],[date paiement]]="","",registreGarantie[[#This Row],[date paiement]]+91))</f>
        <v>45623</v>
      </c>
      <c r="X1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1" s="74" t="str">
        <f ca="1">IF(registreGarantie[[#This Row],[Colonne1]]=0,"",IF(TODAY()&gt;registreGarantie[[#This Row],[Date rebus]],0,1))</f>
        <v/>
      </c>
      <c r="Z191" s="66"/>
      <c r="AA191" s="73" t="str">
        <f>IF(AND(registreGarantie[[#This Row],[Montant non remboursé]]&gt;1,registreGarantie[[#This Row],[Montant non remboursé]]&lt;&gt;""),1,"")</f>
        <v/>
      </c>
      <c r="AB191" s="66"/>
      <c r="AC191" s="66"/>
      <c r="AD191" s="87">
        <f t="shared" si="2"/>
        <v>191</v>
      </c>
      <c r="AE191" s="109"/>
    </row>
    <row r="192" spans="1:31" ht="18" customHeight="1" thickBot="1" x14ac:dyDescent="0.4">
      <c r="A192" s="64">
        <v>44894</v>
      </c>
      <c r="B192" s="64">
        <v>42885</v>
      </c>
      <c r="C192" s="106">
        <v>45489</v>
      </c>
      <c r="D192" s="66" t="s">
        <v>262</v>
      </c>
      <c r="E192" s="66" t="s">
        <v>263</v>
      </c>
      <c r="F192" s="68"/>
      <c r="G192" s="66" t="s">
        <v>595</v>
      </c>
      <c r="H192" s="64">
        <v>301</v>
      </c>
      <c r="I192" s="67" t="s">
        <v>21</v>
      </c>
      <c r="J192" s="97" t="s">
        <v>1756</v>
      </c>
      <c r="K192" s="66"/>
      <c r="L192" s="68"/>
      <c r="M192" s="69">
        <v>45.38</v>
      </c>
      <c r="N192" s="69">
        <v>45.38</v>
      </c>
      <c r="O192" s="70">
        <f>IF(registreGarantie[[#This Row],[date paiement]]="","",registreGarantie[[#This Row],[Pièces 
Demandés]]-registreGarantie[[#This Row],[Pièces 
Remboursés]])</f>
        <v>0</v>
      </c>
      <c r="P192" s="69">
        <v>459</v>
      </c>
      <c r="Q192" s="69">
        <v>459</v>
      </c>
      <c r="R192" s="70">
        <f>IF(registreGarantie[[#This Row],[date paiement]]="","",registreGarantie[[#This Row],[MO
Demandé]]-registreGarantie[[#This Row],[MO
Remboursé]])</f>
        <v>0</v>
      </c>
      <c r="S192" s="69"/>
      <c r="T192" s="70">
        <f>IF(registreGarantie[[#This Row],[date paiement]]="","",registreGarantie[[#This Row],[MO
Refusé]]+registreGarantie[[#This Row],[Pièces
Refusés]])</f>
        <v>0</v>
      </c>
      <c r="U192" s="106">
        <v>45506</v>
      </c>
      <c r="V192" s="71">
        <f>IF(registreGarantie[[#This Row],[Pièces 
Demandés]]="","",registreGarantie[[#This Row],[Date]])</f>
        <v>45489</v>
      </c>
      <c r="W192" s="103">
        <f>IF(registreGarantie[[#This Row],[Pièces 
Demandés]]="","",IF(registreGarantie[[#This Row],[date paiement]]="","",registreGarantie[[#This Row],[date paiement]]+91))</f>
        <v>45597</v>
      </c>
      <c r="X1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2" s="74" t="str">
        <f ca="1">IF(registreGarantie[[#This Row],[Colonne1]]=0,"",IF(TODAY()&gt;registreGarantie[[#This Row],[Date rebus]],0,1))</f>
        <v/>
      </c>
      <c r="Z192" s="66"/>
      <c r="AA192" s="73" t="str">
        <f>IF(AND(registreGarantie[[#This Row],[Montant non remboursé]]&gt;1,registreGarantie[[#This Row],[Montant non remboursé]]&lt;&gt;""),1,"")</f>
        <v/>
      </c>
      <c r="AB192" s="66"/>
      <c r="AC192" s="66"/>
      <c r="AD192" s="87">
        <f t="shared" si="2"/>
        <v>192</v>
      </c>
      <c r="AE192" s="109"/>
    </row>
    <row r="193" spans="1:31" ht="18" customHeight="1" thickBot="1" x14ac:dyDescent="0.4">
      <c r="A193" s="64">
        <v>44895</v>
      </c>
      <c r="B193" s="64">
        <v>42910</v>
      </c>
      <c r="C193" s="106">
        <v>45489</v>
      </c>
      <c r="D193" s="66" t="s">
        <v>262</v>
      </c>
      <c r="E193" s="66" t="s">
        <v>263</v>
      </c>
      <c r="F193" s="68"/>
      <c r="G193" s="66" t="s">
        <v>1757</v>
      </c>
      <c r="H193" s="64">
        <v>301</v>
      </c>
      <c r="I193" s="67" t="s">
        <v>21</v>
      </c>
      <c r="J193" s="97" t="s">
        <v>1758</v>
      </c>
      <c r="K193" s="66"/>
      <c r="L193" s="68"/>
      <c r="M193" s="69">
        <v>17.48</v>
      </c>
      <c r="N193" s="69">
        <v>17.48</v>
      </c>
      <c r="O193" s="70">
        <f>IF(registreGarantie[[#This Row],[date paiement]]="","",registreGarantie[[#This Row],[Pièces 
Demandés]]-registreGarantie[[#This Row],[Pièces 
Remboursés]])</f>
        <v>0</v>
      </c>
      <c r="P193" s="69">
        <v>102</v>
      </c>
      <c r="Q193" s="69">
        <v>102</v>
      </c>
      <c r="R193" s="70">
        <f>IF(registreGarantie[[#This Row],[date paiement]]="","",registreGarantie[[#This Row],[MO
Demandé]]-registreGarantie[[#This Row],[MO
Remboursé]])</f>
        <v>0</v>
      </c>
      <c r="S193" s="69"/>
      <c r="T193" s="70">
        <f>IF(registreGarantie[[#This Row],[date paiement]]="","",registreGarantie[[#This Row],[MO
Refusé]]+registreGarantie[[#This Row],[Pièces
Refusés]])</f>
        <v>0</v>
      </c>
      <c r="U193" s="106">
        <v>45506</v>
      </c>
      <c r="V193" s="71">
        <f>IF(registreGarantie[[#This Row],[Pièces 
Demandés]]="","",registreGarantie[[#This Row],[Date]])</f>
        <v>45489</v>
      </c>
      <c r="W193" s="103">
        <f>IF(registreGarantie[[#This Row],[Pièces 
Demandés]]="","",IF(registreGarantie[[#This Row],[date paiement]]="","",registreGarantie[[#This Row],[date paiement]]+91))</f>
        <v>45597</v>
      </c>
      <c r="X1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3" s="74" t="str">
        <f ca="1">IF(registreGarantie[[#This Row],[Colonne1]]=0,"",IF(TODAY()&gt;registreGarantie[[#This Row],[Date rebus]],0,1))</f>
        <v/>
      </c>
      <c r="Z193" s="66"/>
      <c r="AA193" s="73" t="str">
        <f>IF(AND(registreGarantie[[#This Row],[Montant non remboursé]]&gt;1,registreGarantie[[#This Row],[Montant non remboursé]]&lt;&gt;""),1,"")</f>
        <v/>
      </c>
      <c r="AB193" s="66"/>
      <c r="AC193" s="66"/>
      <c r="AD193" s="87">
        <f t="shared" si="2"/>
        <v>193</v>
      </c>
      <c r="AE193" s="109"/>
    </row>
    <row r="194" spans="1:31" ht="18" customHeight="1" thickBot="1" x14ac:dyDescent="0.4">
      <c r="A194" s="64">
        <v>44896</v>
      </c>
      <c r="B194" s="64">
        <v>42991</v>
      </c>
      <c r="C194" s="106">
        <v>45489</v>
      </c>
      <c r="D194" s="66" t="s">
        <v>262</v>
      </c>
      <c r="E194" s="66" t="s">
        <v>263</v>
      </c>
      <c r="F194" s="68"/>
      <c r="G194" s="66" t="s">
        <v>1759</v>
      </c>
      <c r="H194" s="64">
        <v>301</v>
      </c>
      <c r="I194" s="67" t="s">
        <v>21</v>
      </c>
      <c r="J194" s="97" t="s">
        <v>1760</v>
      </c>
      <c r="K194" s="66"/>
      <c r="L194" s="68"/>
      <c r="M194" s="69">
        <v>2907.2</v>
      </c>
      <c r="N194" s="69">
        <v>2907.2</v>
      </c>
      <c r="O194" s="70">
        <f>IF(registreGarantie[[#This Row],[date paiement]]="","",registreGarantie[[#This Row],[Pièces 
Demandés]]-registreGarantie[[#This Row],[Pièces 
Remboursés]])</f>
        <v>0</v>
      </c>
      <c r="P194" s="69">
        <v>204</v>
      </c>
      <c r="Q194" s="69">
        <v>204</v>
      </c>
      <c r="R194" s="70">
        <f>IF(registreGarantie[[#This Row],[date paiement]]="","",registreGarantie[[#This Row],[MO
Demandé]]-registreGarantie[[#This Row],[MO
Remboursé]])</f>
        <v>0</v>
      </c>
      <c r="S194" s="69"/>
      <c r="T194" s="70">
        <f>IF(registreGarantie[[#This Row],[date paiement]]="","",registreGarantie[[#This Row],[MO
Refusé]]+registreGarantie[[#This Row],[Pièces
Refusés]])</f>
        <v>0</v>
      </c>
      <c r="U194" s="106">
        <v>45506</v>
      </c>
      <c r="V194" s="71">
        <f>IF(registreGarantie[[#This Row],[Pièces 
Demandés]]="","",registreGarantie[[#This Row],[Date]])</f>
        <v>45489</v>
      </c>
      <c r="W194" s="103">
        <f>IF(registreGarantie[[#This Row],[Pièces 
Demandés]]="","",IF(registreGarantie[[#This Row],[date paiement]]="","",registreGarantie[[#This Row],[date paiement]]+91))</f>
        <v>45597</v>
      </c>
      <c r="X1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4" s="74" t="str">
        <f ca="1">IF(registreGarantie[[#This Row],[Colonne1]]=0,"",IF(TODAY()&gt;registreGarantie[[#This Row],[Date rebus]],0,1))</f>
        <v/>
      </c>
      <c r="Z194" s="66"/>
      <c r="AA194" s="73" t="str">
        <f>IF(AND(registreGarantie[[#This Row],[Montant non remboursé]]&gt;1,registreGarantie[[#This Row],[Montant non remboursé]]&lt;&gt;""),1,"")</f>
        <v/>
      </c>
      <c r="AB194" s="66"/>
      <c r="AC194" s="66"/>
      <c r="AD194" s="87">
        <f t="shared" ref="AD194:AD257" si="3">ROW(AD194)</f>
        <v>194</v>
      </c>
      <c r="AE194" s="109"/>
    </row>
    <row r="195" spans="1:31" ht="18" customHeight="1" thickBot="1" x14ac:dyDescent="0.4">
      <c r="A195" s="64">
        <v>44897</v>
      </c>
      <c r="B195" s="64">
        <v>43111</v>
      </c>
      <c r="C195" s="106">
        <v>45490</v>
      </c>
      <c r="D195" s="66" t="s">
        <v>262</v>
      </c>
      <c r="E195" s="66" t="s">
        <v>263</v>
      </c>
      <c r="F195" s="68"/>
      <c r="G195" s="66" t="s">
        <v>767</v>
      </c>
      <c r="H195" s="64">
        <v>301</v>
      </c>
      <c r="I195" s="67" t="s">
        <v>21</v>
      </c>
      <c r="J195" s="97" t="s">
        <v>1761</v>
      </c>
      <c r="K195" s="66"/>
      <c r="L195" s="68"/>
      <c r="M195" s="69">
        <v>37.11</v>
      </c>
      <c r="N195" s="69">
        <v>0</v>
      </c>
      <c r="O195" s="70">
        <f>IF(registreGarantie[[#This Row],[date paiement]]="","",registreGarantie[[#This Row],[Pièces 
Demandés]]-registreGarantie[[#This Row],[Pièces 
Remboursés]])</f>
        <v>37.11</v>
      </c>
      <c r="P195" s="69">
        <v>51</v>
      </c>
      <c r="Q195" s="69">
        <v>0</v>
      </c>
      <c r="R195" s="70">
        <f>IF(registreGarantie[[#This Row],[date paiement]]="","",registreGarantie[[#This Row],[MO
Demandé]]-registreGarantie[[#This Row],[MO
Remboursé]])</f>
        <v>51</v>
      </c>
      <c r="S195" s="69"/>
      <c r="T195" s="70">
        <f>IF(registreGarantie[[#This Row],[date paiement]]="","",registreGarantie[[#This Row],[MO
Refusé]]+registreGarantie[[#This Row],[Pièces
Refusés]])</f>
        <v>88.11</v>
      </c>
      <c r="U195" s="106">
        <v>45526</v>
      </c>
      <c r="V195" s="71">
        <f>IF(registreGarantie[[#This Row],[Pièces 
Demandés]]="","",registreGarantie[[#This Row],[Date]])</f>
        <v>45490</v>
      </c>
      <c r="W195" s="103">
        <f>IF(registreGarantie[[#This Row],[Pièces 
Demandés]]="","",IF(registreGarantie[[#This Row],[date paiement]]="","",registreGarantie[[#This Row],[date paiement]]+91))</f>
        <v>45617</v>
      </c>
      <c r="X1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5" s="74" t="str">
        <f ca="1">IF(registreGarantie[[#This Row],[Colonne1]]=0,"",IF(TODAY()&gt;registreGarantie[[#This Row],[Date rebus]],0,1))</f>
        <v/>
      </c>
      <c r="Z195" s="66" t="s">
        <v>1762</v>
      </c>
      <c r="AA195" s="73">
        <f>IF(AND(registreGarantie[[#This Row],[Montant non remboursé]]&gt;1,registreGarantie[[#This Row],[Montant non remboursé]]&lt;&gt;""),1,"")</f>
        <v>1</v>
      </c>
      <c r="AB195" s="66"/>
      <c r="AC195" s="66"/>
      <c r="AD195" s="87">
        <f t="shared" si="3"/>
        <v>195</v>
      </c>
      <c r="AE195" s="109"/>
    </row>
    <row r="196" spans="1:31" ht="18" customHeight="1" thickBot="1" x14ac:dyDescent="0.4">
      <c r="A196" s="64">
        <v>44898</v>
      </c>
      <c r="B196" s="64">
        <v>43041</v>
      </c>
      <c r="C196" s="106">
        <v>45490</v>
      </c>
      <c r="D196" s="66" t="s">
        <v>262</v>
      </c>
      <c r="E196" s="66" t="s">
        <v>596</v>
      </c>
      <c r="F196" s="68"/>
      <c r="G196" s="66" t="s">
        <v>1763</v>
      </c>
      <c r="H196" s="64">
        <v>352</v>
      </c>
      <c r="I196" s="67" t="s">
        <v>21</v>
      </c>
      <c r="J196" s="97" t="s">
        <v>1764</v>
      </c>
      <c r="K196" s="66"/>
      <c r="L196" s="68"/>
      <c r="M196" s="69">
        <v>112.67</v>
      </c>
      <c r="N196" s="69">
        <v>112.67</v>
      </c>
      <c r="O196" s="70">
        <f>IF(registreGarantie[[#This Row],[date paiement]]="","",registreGarantie[[#This Row],[Pièces 
Demandés]]-registreGarantie[[#This Row],[Pièces 
Remboursés]])</f>
        <v>0</v>
      </c>
      <c r="P196" s="69">
        <v>153</v>
      </c>
      <c r="Q196" s="69">
        <v>153</v>
      </c>
      <c r="R196" s="70">
        <f>IF(registreGarantie[[#This Row],[date paiement]]="","",registreGarantie[[#This Row],[MO
Demandé]]-registreGarantie[[#This Row],[MO
Remboursé]])</f>
        <v>0</v>
      </c>
      <c r="S196" s="69"/>
      <c r="T196" s="70">
        <f>IF(registreGarantie[[#This Row],[date paiement]]="","",registreGarantie[[#This Row],[MO
Refusé]]+registreGarantie[[#This Row],[Pièces
Refusés]])</f>
        <v>0</v>
      </c>
      <c r="U196" s="106">
        <v>45506</v>
      </c>
      <c r="V196" s="71">
        <f>IF(registreGarantie[[#This Row],[Pièces 
Demandés]]="","",registreGarantie[[#This Row],[Date]])</f>
        <v>45490</v>
      </c>
      <c r="W196" s="103">
        <f>IF(registreGarantie[[#This Row],[Pièces 
Demandés]]="","",IF(registreGarantie[[#This Row],[date paiement]]="","",registreGarantie[[#This Row],[date paiement]]+91))</f>
        <v>45597</v>
      </c>
      <c r="X1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6" s="74" t="str">
        <f ca="1">IF(registreGarantie[[#This Row],[Colonne1]]=0,"",IF(TODAY()&gt;registreGarantie[[#This Row],[Date rebus]],0,1))</f>
        <v/>
      </c>
      <c r="Z196" s="66"/>
      <c r="AA196" s="73" t="str">
        <f>IF(AND(registreGarantie[[#This Row],[Montant non remboursé]]&gt;1,registreGarantie[[#This Row],[Montant non remboursé]]&lt;&gt;""),1,"")</f>
        <v/>
      </c>
      <c r="AB196" s="66"/>
      <c r="AC196" s="66"/>
      <c r="AD196" s="87">
        <f t="shared" si="3"/>
        <v>196</v>
      </c>
      <c r="AE196" s="109"/>
    </row>
    <row r="197" spans="1:31" ht="18" customHeight="1" thickBot="1" x14ac:dyDescent="0.4">
      <c r="A197" s="64">
        <v>44899</v>
      </c>
      <c r="B197" s="64">
        <v>43134</v>
      </c>
      <c r="C197" s="106">
        <v>45490</v>
      </c>
      <c r="D197" s="66" t="s">
        <v>1097</v>
      </c>
      <c r="E197" s="66" t="s">
        <v>106</v>
      </c>
      <c r="F197" s="68" t="s">
        <v>2313</v>
      </c>
      <c r="G197" s="66" t="s">
        <v>784</v>
      </c>
      <c r="H197" s="64">
        <v>666</v>
      </c>
      <c r="I197" s="67" t="s">
        <v>18</v>
      </c>
      <c r="J197" s="97">
        <v>404321774</v>
      </c>
      <c r="K197" s="66"/>
      <c r="L197" s="68"/>
      <c r="M197" s="69"/>
      <c r="N197" s="69"/>
      <c r="O197" s="70" t="str">
        <f>IF(registreGarantie[[#This Row],[date paiement]]="","",registreGarantie[[#This Row],[Pièces 
Demandés]]-registreGarantie[[#This Row],[Pièces 
Remboursés]])</f>
        <v/>
      </c>
      <c r="P197" s="69"/>
      <c r="Q197" s="69"/>
      <c r="R197" s="70" t="str">
        <f>IF(registreGarantie[[#This Row],[date paiement]]="","",registreGarantie[[#This Row],[MO
Demandé]]-registreGarantie[[#This Row],[MO
Remboursé]])</f>
        <v/>
      </c>
      <c r="S197" s="69"/>
      <c r="T197" s="70" t="str">
        <f>IF(registreGarantie[[#This Row],[date paiement]]="","",registreGarantie[[#This Row],[MO
Refusé]]+registreGarantie[[#This Row],[Pièces
Refusés]])</f>
        <v/>
      </c>
      <c r="U197" s="106"/>
      <c r="V197" s="71" t="str">
        <f>IF(registreGarantie[[#This Row],[Pièces 
Demandés]]="","",registreGarantie[[#This Row],[Date]])</f>
        <v/>
      </c>
      <c r="W197" s="103" t="str">
        <f>IF(registreGarantie[[#This Row],[Pièces 
Demandés]]="","",IF(registreGarantie[[#This Row],[date paiement]]="","",registreGarantie[[#This Row],[date paiement]]+91))</f>
        <v/>
      </c>
      <c r="X1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7" s="74" t="str">
        <f ca="1">IF(registreGarantie[[#This Row],[Colonne1]]=0,"",IF(TODAY()&gt;registreGarantie[[#This Row],[Date rebus]],0,1))</f>
        <v/>
      </c>
      <c r="Z197" s="66"/>
      <c r="AA197" s="73" t="str">
        <f>IF(AND(registreGarantie[[#This Row],[Montant non remboursé]]&gt;1,registreGarantie[[#This Row],[Montant non remboursé]]&lt;&gt;""),1,"")</f>
        <v/>
      </c>
      <c r="AB197" s="66"/>
      <c r="AC197" s="66"/>
      <c r="AD197" s="87">
        <f t="shared" si="3"/>
        <v>197</v>
      </c>
      <c r="AE197" s="109"/>
    </row>
    <row r="198" spans="1:31" ht="18" customHeight="1" thickBot="1" x14ac:dyDescent="0.4">
      <c r="A198" s="64">
        <v>44900</v>
      </c>
      <c r="B198" s="64">
        <v>42168</v>
      </c>
      <c r="C198" s="106">
        <v>45490</v>
      </c>
      <c r="D198" s="66" t="s">
        <v>290</v>
      </c>
      <c r="E198" s="66" t="s">
        <v>63</v>
      </c>
      <c r="F198" s="68"/>
      <c r="G198" s="66" t="s">
        <v>424</v>
      </c>
      <c r="H198" s="64">
        <v>703</v>
      </c>
      <c r="I198" s="67" t="s">
        <v>18</v>
      </c>
      <c r="J198" s="97">
        <v>404322072</v>
      </c>
      <c r="K198" s="66"/>
      <c r="L198" s="68"/>
      <c r="M198" s="69"/>
      <c r="N198" s="69"/>
      <c r="O198" s="70" t="str">
        <f>IF(registreGarantie[[#This Row],[date paiement]]="","",registreGarantie[[#This Row],[Pièces 
Demandés]]-registreGarantie[[#This Row],[Pièces 
Remboursés]])</f>
        <v/>
      </c>
      <c r="P198" s="69"/>
      <c r="Q198" s="69"/>
      <c r="R198" s="70" t="str">
        <f>IF(registreGarantie[[#This Row],[date paiement]]="","",registreGarantie[[#This Row],[MO
Demandé]]-registreGarantie[[#This Row],[MO
Remboursé]])</f>
        <v/>
      </c>
      <c r="S198" s="69"/>
      <c r="T198" s="70" t="str">
        <f>IF(registreGarantie[[#This Row],[date paiement]]="","",registreGarantie[[#This Row],[MO
Refusé]]+registreGarantie[[#This Row],[Pièces
Refusés]])</f>
        <v/>
      </c>
      <c r="U198" s="106"/>
      <c r="V198" s="71" t="str">
        <f>IF(registreGarantie[[#This Row],[Pièces 
Demandés]]="","",registreGarantie[[#This Row],[Date]])</f>
        <v/>
      </c>
      <c r="W198" s="103" t="str">
        <f>IF(registreGarantie[[#This Row],[Pièces 
Demandés]]="","",IF(registreGarantie[[#This Row],[date paiement]]="","",registreGarantie[[#This Row],[date paiement]]+91))</f>
        <v/>
      </c>
      <c r="X1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8" s="74" t="str">
        <f ca="1">IF(registreGarantie[[#This Row],[Colonne1]]=0,"",IF(TODAY()&gt;registreGarantie[[#This Row],[Date rebus]],0,1))</f>
        <v/>
      </c>
      <c r="Z198" s="66"/>
      <c r="AA198" s="73" t="str">
        <f>IF(AND(registreGarantie[[#This Row],[Montant non remboursé]]&gt;1,registreGarantie[[#This Row],[Montant non remboursé]]&lt;&gt;""),1,"")</f>
        <v/>
      </c>
      <c r="AB198" s="66"/>
      <c r="AC198" s="66"/>
      <c r="AD198" s="87">
        <f t="shared" si="3"/>
        <v>198</v>
      </c>
      <c r="AE198" s="109"/>
    </row>
    <row r="199" spans="1:31" ht="18" customHeight="1" thickBot="1" x14ac:dyDescent="0.4">
      <c r="A199" s="64">
        <v>44901</v>
      </c>
      <c r="B199" s="64">
        <v>43162</v>
      </c>
      <c r="C199" s="106">
        <v>45492</v>
      </c>
      <c r="D199" s="66" t="s">
        <v>155</v>
      </c>
      <c r="E199" s="66" t="s">
        <v>75</v>
      </c>
      <c r="F199" s="68" t="s">
        <v>2287</v>
      </c>
      <c r="G199" s="66" t="s">
        <v>58</v>
      </c>
      <c r="H199" s="64">
        <v>147</v>
      </c>
      <c r="I199" s="67" t="s">
        <v>18</v>
      </c>
      <c r="J199" s="97">
        <v>404324242</v>
      </c>
      <c r="K199" s="66"/>
      <c r="L199" s="68"/>
      <c r="M199" s="69"/>
      <c r="N199" s="69"/>
      <c r="O199" s="70" t="str">
        <f>IF(registreGarantie[[#This Row],[date paiement]]="","",registreGarantie[[#This Row],[Pièces 
Demandés]]-registreGarantie[[#This Row],[Pièces 
Remboursés]])</f>
        <v/>
      </c>
      <c r="P199" s="69"/>
      <c r="Q199" s="69"/>
      <c r="R199" s="70" t="str">
        <f>IF(registreGarantie[[#This Row],[date paiement]]="","",registreGarantie[[#This Row],[MO
Demandé]]-registreGarantie[[#This Row],[MO
Remboursé]])</f>
        <v/>
      </c>
      <c r="S199" s="69"/>
      <c r="T199" s="70" t="str">
        <f>IF(registreGarantie[[#This Row],[date paiement]]="","",registreGarantie[[#This Row],[MO
Refusé]]+registreGarantie[[#This Row],[Pièces
Refusés]])</f>
        <v/>
      </c>
      <c r="U199" s="106"/>
      <c r="V199" s="71" t="str">
        <f>IF(registreGarantie[[#This Row],[Pièces 
Demandés]]="","",registreGarantie[[#This Row],[Date]])</f>
        <v/>
      </c>
      <c r="W199" s="103" t="str">
        <f>IF(registreGarantie[[#This Row],[Pièces 
Demandés]]="","",IF(registreGarantie[[#This Row],[date paiement]]="","",registreGarantie[[#This Row],[date paiement]]+91))</f>
        <v/>
      </c>
      <c r="X1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199" s="74" t="str">
        <f ca="1">IF(registreGarantie[[#This Row],[Colonne1]]=0,"",IF(TODAY()&gt;registreGarantie[[#This Row],[Date rebus]],0,1))</f>
        <v/>
      </c>
      <c r="Z199" s="66"/>
      <c r="AA199" s="73" t="str">
        <f>IF(AND(registreGarantie[[#This Row],[Montant non remboursé]]&gt;1,registreGarantie[[#This Row],[Montant non remboursé]]&lt;&gt;""),1,"")</f>
        <v/>
      </c>
      <c r="AB199" s="66"/>
      <c r="AC199" s="66"/>
      <c r="AD199" s="87">
        <f t="shared" si="3"/>
        <v>199</v>
      </c>
      <c r="AE199" s="109"/>
    </row>
    <row r="200" spans="1:31" ht="18" customHeight="1" thickBot="1" x14ac:dyDescent="0.4">
      <c r="A200" s="64">
        <v>44902</v>
      </c>
      <c r="B200" s="64">
        <v>43190</v>
      </c>
      <c r="C200" s="106">
        <v>45495</v>
      </c>
      <c r="D200" s="66" t="s">
        <v>262</v>
      </c>
      <c r="E200" s="66" t="s">
        <v>263</v>
      </c>
      <c r="F200" s="68"/>
      <c r="G200" s="66" t="s">
        <v>1765</v>
      </c>
      <c r="H200" s="64" t="s">
        <v>1766</v>
      </c>
      <c r="I200" s="67" t="s">
        <v>21</v>
      </c>
      <c r="J200" s="97" t="s">
        <v>1767</v>
      </c>
      <c r="K200" s="66"/>
      <c r="L200" s="68"/>
      <c r="M200" s="69">
        <v>552.64</v>
      </c>
      <c r="N200" s="69">
        <v>552.64</v>
      </c>
      <c r="O200" s="70">
        <f>IF(registreGarantie[[#This Row],[date paiement]]="","",registreGarantie[[#This Row],[Pièces 
Demandés]]-registreGarantie[[#This Row],[Pièces 
Remboursés]])</f>
        <v>0</v>
      </c>
      <c r="P200" s="69"/>
      <c r="Q200" s="69"/>
      <c r="R200" s="70">
        <f>IF(registreGarantie[[#This Row],[date paiement]]="","",registreGarantie[[#This Row],[MO
Demandé]]-registreGarantie[[#This Row],[MO
Remboursé]])</f>
        <v>0</v>
      </c>
      <c r="S200" s="69"/>
      <c r="T200" s="70">
        <f>IF(registreGarantie[[#This Row],[date paiement]]="","",registreGarantie[[#This Row],[MO
Refusé]]+registreGarantie[[#This Row],[Pièces
Refusés]])</f>
        <v>0</v>
      </c>
      <c r="U200" s="106">
        <v>45506</v>
      </c>
      <c r="V200" s="71">
        <f>IF(registreGarantie[[#This Row],[Pièces 
Demandés]]="","",registreGarantie[[#This Row],[Date]])</f>
        <v>45495</v>
      </c>
      <c r="W200" s="103">
        <f>IF(registreGarantie[[#This Row],[Pièces 
Demandés]]="","",IF(registreGarantie[[#This Row],[date paiement]]="","",registreGarantie[[#This Row],[date paiement]]+91))</f>
        <v>45597</v>
      </c>
      <c r="X2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00" s="74" t="str">
        <f ca="1">IF(registreGarantie[[#This Row],[Colonne1]]=0,"",IF(TODAY()&gt;registreGarantie[[#This Row],[Date rebus]],0,1))</f>
        <v/>
      </c>
      <c r="Z200" s="66"/>
      <c r="AA200" s="73" t="str">
        <f>IF(AND(registreGarantie[[#This Row],[Montant non remboursé]]&gt;1,registreGarantie[[#This Row],[Montant non remboursé]]&lt;&gt;""),1,"")</f>
        <v/>
      </c>
      <c r="AB200" s="66"/>
      <c r="AC200" s="66"/>
      <c r="AD200" s="87">
        <f t="shared" si="3"/>
        <v>200</v>
      </c>
      <c r="AE200" s="109"/>
    </row>
    <row r="201" spans="1:31" ht="18" customHeight="1" thickBot="1" x14ac:dyDescent="0.4">
      <c r="A201" s="64">
        <v>44903</v>
      </c>
      <c r="B201" s="64">
        <v>43053</v>
      </c>
      <c r="C201" s="106">
        <v>45503</v>
      </c>
      <c r="D201" s="66" t="s">
        <v>325</v>
      </c>
      <c r="E201" s="66" t="s">
        <v>367</v>
      </c>
      <c r="F201" s="68" t="s">
        <v>2311</v>
      </c>
      <c r="G201" s="66" t="s">
        <v>163</v>
      </c>
      <c r="H201" s="64" t="s">
        <v>1768</v>
      </c>
      <c r="I201" s="67" t="s">
        <v>3</v>
      </c>
      <c r="J201" s="97">
        <v>404338545</v>
      </c>
      <c r="K201" s="66"/>
      <c r="L201" s="68"/>
      <c r="M201" s="69">
        <v>102.38</v>
      </c>
      <c r="N201" s="69">
        <v>102.38</v>
      </c>
      <c r="O201" s="70">
        <f>IF(registreGarantie[[#This Row],[date paiement]]="","",registreGarantie[[#This Row],[Pièces 
Demandés]]-registreGarantie[[#This Row],[Pièces 
Remboursés]])</f>
        <v>0</v>
      </c>
      <c r="P201" s="69">
        <v>430.5</v>
      </c>
      <c r="Q201" s="69">
        <v>307.5</v>
      </c>
      <c r="R201" s="70">
        <f>IF(registreGarantie[[#This Row],[date paiement]]="","",registreGarantie[[#This Row],[MO
Demandé]]-registreGarantie[[#This Row],[MO
Remboursé]])</f>
        <v>123</v>
      </c>
      <c r="S201" s="69"/>
      <c r="T201" s="70">
        <f>IF(registreGarantie[[#This Row],[date paiement]]="","",registreGarantie[[#This Row],[MO
Refusé]]+registreGarantie[[#This Row],[Pièces
Refusés]])</f>
        <v>123</v>
      </c>
      <c r="U201" s="106">
        <v>45581</v>
      </c>
      <c r="V201" s="71">
        <f>IF(registreGarantie[[#This Row],[Pièces 
Demandés]]="","",registreGarantie[[#This Row],[Date]])</f>
        <v>45503</v>
      </c>
      <c r="W201" s="103">
        <f>IF(registreGarantie[[#This Row],[Pièces 
Demandés]]="","",IF(registreGarantie[[#This Row],[date paiement]]="","",registreGarantie[[#This Row],[date paiement]]+91))</f>
        <v>45672</v>
      </c>
      <c r="X2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1" s="74">
        <f ca="1">IF(registreGarantie[[#This Row],[Colonne1]]=0,"",IF(TODAY()&gt;registreGarantie[[#This Row],[Date rebus]],0,1))</f>
        <v>0</v>
      </c>
      <c r="Z201" s="66" t="s">
        <v>1769</v>
      </c>
      <c r="AA201" s="73">
        <f>IF(AND(registreGarantie[[#This Row],[Montant non remboursé]]&gt;1,registreGarantie[[#This Row],[Montant non remboursé]]&lt;&gt;""),1,"")</f>
        <v>1</v>
      </c>
      <c r="AB201" s="66"/>
      <c r="AC201" s="66"/>
      <c r="AD201" s="87">
        <f t="shared" si="3"/>
        <v>201</v>
      </c>
      <c r="AE201" s="109"/>
    </row>
    <row r="202" spans="1:31" ht="18" customHeight="1" thickBot="1" x14ac:dyDescent="0.4">
      <c r="A202" s="64">
        <v>44904</v>
      </c>
      <c r="B202" s="64">
        <v>43152</v>
      </c>
      <c r="C202" s="106">
        <v>45503</v>
      </c>
      <c r="D202" s="66" t="s">
        <v>1770</v>
      </c>
      <c r="E202" s="66" t="s">
        <v>1717</v>
      </c>
      <c r="F202" s="68"/>
      <c r="G202" s="66" t="s">
        <v>1771</v>
      </c>
      <c r="H202" s="64">
        <v>167</v>
      </c>
      <c r="I202" s="67" t="s">
        <v>21</v>
      </c>
      <c r="J202" s="97" t="s">
        <v>1772</v>
      </c>
      <c r="K202" s="66"/>
      <c r="L202" s="68"/>
      <c r="M202" s="69">
        <v>176.06</v>
      </c>
      <c r="N202" s="69">
        <v>176.06</v>
      </c>
      <c r="O202" s="70">
        <f>IF(registreGarantie[[#This Row],[date paiement]]="","",registreGarantie[[#This Row],[Pièces 
Demandés]]-registreGarantie[[#This Row],[Pièces 
Remboursés]])</f>
        <v>0</v>
      </c>
      <c r="P202" s="69">
        <v>51</v>
      </c>
      <c r="Q202" s="69">
        <v>51</v>
      </c>
      <c r="R202" s="70">
        <f>IF(registreGarantie[[#This Row],[date paiement]]="","",registreGarantie[[#This Row],[MO
Demandé]]-registreGarantie[[#This Row],[MO
Remboursé]])</f>
        <v>0</v>
      </c>
      <c r="S202" s="69"/>
      <c r="T202" s="70">
        <f>IF(registreGarantie[[#This Row],[date paiement]]="","",registreGarantie[[#This Row],[MO
Refusé]]+registreGarantie[[#This Row],[Pièces
Refusés]])</f>
        <v>0</v>
      </c>
      <c r="U202" s="106">
        <v>45532</v>
      </c>
      <c r="V202" s="71">
        <f>IF(registreGarantie[[#This Row],[Pièces 
Demandés]]="","",registreGarantie[[#This Row],[Date]])</f>
        <v>45503</v>
      </c>
      <c r="W202" s="103">
        <f>IF(registreGarantie[[#This Row],[Pièces 
Demandés]]="","",IF(registreGarantie[[#This Row],[date paiement]]="","",registreGarantie[[#This Row],[date paiement]]+91))</f>
        <v>45623</v>
      </c>
      <c r="X2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02" s="74" t="str">
        <f ca="1">IF(registreGarantie[[#This Row],[Colonne1]]=0,"",IF(TODAY()&gt;registreGarantie[[#This Row],[Date rebus]],0,1))</f>
        <v/>
      </c>
      <c r="Z202" s="66"/>
      <c r="AA202" s="73" t="str">
        <f>IF(AND(registreGarantie[[#This Row],[Montant non remboursé]]&gt;1,registreGarantie[[#This Row],[Montant non remboursé]]&lt;&gt;""),1,"")</f>
        <v/>
      </c>
      <c r="AB202" s="66"/>
      <c r="AC202" s="66"/>
      <c r="AD202" s="87">
        <f t="shared" si="3"/>
        <v>202</v>
      </c>
      <c r="AE202" s="109"/>
    </row>
    <row r="203" spans="1:31" ht="18" customHeight="1" thickBot="1" x14ac:dyDescent="0.4">
      <c r="A203" s="64">
        <v>44905</v>
      </c>
      <c r="B203" s="64">
        <v>43201</v>
      </c>
      <c r="C203" s="106">
        <v>45503</v>
      </c>
      <c r="D203" s="66" t="s">
        <v>1097</v>
      </c>
      <c r="E203" s="66" t="s">
        <v>533</v>
      </c>
      <c r="F203" s="68" t="s">
        <v>2313</v>
      </c>
      <c r="G203" s="66" t="s">
        <v>683</v>
      </c>
      <c r="H203" s="64" t="s">
        <v>1773</v>
      </c>
      <c r="I203" s="67" t="s">
        <v>3</v>
      </c>
      <c r="J203" s="97">
        <v>404338674</v>
      </c>
      <c r="K203" s="66"/>
      <c r="L203" s="68"/>
      <c r="M203" s="69">
        <v>91.8</v>
      </c>
      <c r="N203" s="69">
        <v>91.8</v>
      </c>
      <c r="O203" s="70">
        <f>IF(registreGarantie[[#This Row],[date paiement]]="","",registreGarantie[[#This Row],[Pièces 
Demandés]]-registreGarantie[[#This Row],[Pièces 
Remboursés]])</f>
        <v>0</v>
      </c>
      <c r="P203" s="69">
        <v>61.5</v>
      </c>
      <c r="Q203" s="69">
        <v>61.5</v>
      </c>
      <c r="R203" s="70">
        <f>IF(registreGarantie[[#This Row],[date paiement]]="","",registreGarantie[[#This Row],[MO
Demandé]]-registreGarantie[[#This Row],[MO
Remboursé]])</f>
        <v>0</v>
      </c>
      <c r="S203" s="69"/>
      <c r="T203" s="70">
        <f>IF(registreGarantie[[#This Row],[date paiement]]="","",registreGarantie[[#This Row],[MO
Refusé]]+registreGarantie[[#This Row],[Pièces
Refusés]])</f>
        <v>0</v>
      </c>
      <c r="U203" s="106">
        <v>45545</v>
      </c>
      <c r="V203" s="71">
        <f>IF(registreGarantie[[#This Row],[Pièces 
Demandés]]="","",registreGarantie[[#This Row],[Date]])</f>
        <v>45503</v>
      </c>
      <c r="W203" s="103">
        <f>IF(registreGarantie[[#This Row],[Pièces 
Demandés]]="","",IF(registreGarantie[[#This Row],[date paiement]]="","",registreGarantie[[#This Row],[date paiement]]+91))</f>
        <v>45636</v>
      </c>
      <c r="X2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3" s="74">
        <f ca="1">IF(registreGarantie[[#This Row],[Colonne1]]=0,"",IF(TODAY()&gt;registreGarantie[[#This Row],[Date rebus]],0,1))</f>
        <v>0</v>
      </c>
      <c r="Z203" s="66"/>
      <c r="AA203" s="73" t="str">
        <f>IF(AND(registreGarantie[[#This Row],[Montant non remboursé]]&gt;1,registreGarantie[[#This Row],[Montant non remboursé]]&lt;&gt;""),1,"")</f>
        <v/>
      </c>
      <c r="AB203" s="66">
        <v>1</v>
      </c>
      <c r="AC203" s="66" t="s">
        <v>1592</v>
      </c>
      <c r="AD203" s="87">
        <f t="shared" si="3"/>
        <v>203</v>
      </c>
      <c r="AE203" s="109"/>
    </row>
    <row r="204" spans="1:31" ht="18" customHeight="1" thickBot="1" x14ac:dyDescent="0.4">
      <c r="A204" s="64">
        <v>44906</v>
      </c>
      <c r="B204" s="64">
        <v>5918</v>
      </c>
      <c r="C204" s="106">
        <v>45503</v>
      </c>
      <c r="D204" s="66" t="s">
        <v>1212</v>
      </c>
      <c r="E204" s="66" t="s">
        <v>161</v>
      </c>
      <c r="F204" s="68">
        <v>76007597</v>
      </c>
      <c r="G204" s="66" t="s">
        <v>1774</v>
      </c>
      <c r="H204" s="64" t="s">
        <v>1775</v>
      </c>
      <c r="I204" s="67" t="s">
        <v>2</v>
      </c>
      <c r="J204" s="97">
        <v>404344145</v>
      </c>
      <c r="K204" s="66"/>
      <c r="L204" s="68"/>
      <c r="M204" s="69">
        <v>246</v>
      </c>
      <c r="N204" s="69">
        <v>246</v>
      </c>
      <c r="O204" s="70">
        <f>IF(registreGarantie[[#This Row],[date paiement]]="","",registreGarantie[[#This Row],[Pièces 
Demandés]]-registreGarantie[[#This Row],[Pièces 
Remboursés]])</f>
        <v>0</v>
      </c>
      <c r="P204" s="69">
        <v>0.49</v>
      </c>
      <c r="Q204" s="69">
        <v>0.49</v>
      </c>
      <c r="R204" s="70">
        <f>IF(registreGarantie[[#This Row],[date paiement]]="","",registreGarantie[[#This Row],[MO
Demandé]]-registreGarantie[[#This Row],[MO
Remboursé]])</f>
        <v>0</v>
      </c>
      <c r="S204" s="69"/>
      <c r="T204" s="70">
        <f>IF(registreGarantie[[#This Row],[date paiement]]="","",registreGarantie[[#This Row],[MO
Refusé]]+registreGarantie[[#This Row],[Pièces
Refusés]])</f>
        <v>0</v>
      </c>
      <c r="U204" s="106">
        <v>45525</v>
      </c>
      <c r="V204" s="71">
        <f>IF(registreGarantie[[#This Row],[Pièces 
Demandés]]="","",registreGarantie[[#This Row],[Date]])</f>
        <v>45503</v>
      </c>
      <c r="W204" s="103">
        <f>IF(registreGarantie[[#This Row],[Pièces 
Demandés]]="","",IF(registreGarantie[[#This Row],[date paiement]]="","",registreGarantie[[#This Row],[date paiement]]+91))</f>
        <v>45616</v>
      </c>
      <c r="X2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4" s="74">
        <f ca="1">IF(registreGarantie[[#This Row],[Colonne1]]=0,"",IF(TODAY()&gt;registreGarantie[[#This Row],[Date rebus]],0,1))</f>
        <v>0</v>
      </c>
      <c r="Z204" s="66"/>
      <c r="AA204" s="73" t="str">
        <f>IF(AND(registreGarantie[[#This Row],[Montant non remboursé]]&gt;1,registreGarantie[[#This Row],[Montant non remboursé]]&lt;&gt;""),1,"")</f>
        <v/>
      </c>
      <c r="AB204" s="66">
        <v>1</v>
      </c>
      <c r="AC204" s="66" t="s">
        <v>1776</v>
      </c>
      <c r="AD204" s="87">
        <f t="shared" si="3"/>
        <v>204</v>
      </c>
      <c r="AE204" s="109"/>
    </row>
    <row r="205" spans="1:31" ht="18" customHeight="1" thickBot="1" x14ac:dyDescent="0.4">
      <c r="A205" s="64">
        <v>44907</v>
      </c>
      <c r="B205" s="64">
        <v>43129</v>
      </c>
      <c r="C205" s="106">
        <v>45503</v>
      </c>
      <c r="D205" s="66" t="s">
        <v>86</v>
      </c>
      <c r="E205" s="66" t="s">
        <v>45</v>
      </c>
      <c r="F205" s="68" t="s">
        <v>2239</v>
      </c>
      <c r="G205" s="66" t="s">
        <v>163</v>
      </c>
      <c r="H205" s="64">
        <v>658</v>
      </c>
      <c r="I205" s="67" t="s">
        <v>2</v>
      </c>
      <c r="J205" s="97">
        <v>404341696</v>
      </c>
      <c r="K205" s="66"/>
      <c r="L205" s="68"/>
      <c r="M205" s="69">
        <v>238.22</v>
      </c>
      <c r="N205" s="69">
        <v>238.22</v>
      </c>
      <c r="O205" s="70">
        <f>IF(registreGarantie[[#This Row],[date paiement]]="","",registreGarantie[[#This Row],[Pièces 
Demandés]]-registreGarantie[[#This Row],[Pièces 
Remboursés]])</f>
        <v>0</v>
      </c>
      <c r="P205" s="69">
        <v>123</v>
      </c>
      <c r="Q205" s="69">
        <v>123</v>
      </c>
      <c r="R205" s="70">
        <f>IF(registreGarantie[[#This Row],[date paiement]]="","",registreGarantie[[#This Row],[MO
Demandé]]-registreGarantie[[#This Row],[MO
Remboursé]])</f>
        <v>0</v>
      </c>
      <c r="S205" s="69"/>
      <c r="T205" s="70">
        <f>IF(registreGarantie[[#This Row],[date paiement]]="","",registreGarantie[[#This Row],[MO
Refusé]]+registreGarantie[[#This Row],[Pièces
Refusés]])</f>
        <v>0</v>
      </c>
      <c r="U205" s="106">
        <v>45525</v>
      </c>
      <c r="V205" s="71">
        <f>IF(registreGarantie[[#This Row],[Pièces 
Demandés]]="","",registreGarantie[[#This Row],[Date]])</f>
        <v>45503</v>
      </c>
      <c r="W205" s="103">
        <f>IF(registreGarantie[[#This Row],[Pièces 
Demandés]]="","",IF(registreGarantie[[#This Row],[date paiement]]="","",registreGarantie[[#This Row],[date paiement]]+91))</f>
        <v>45616</v>
      </c>
      <c r="X2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5" s="74">
        <f ca="1">IF(registreGarantie[[#This Row],[Colonne1]]=0,"",IF(TODAY()&gt;registreGarantie[[#This Row],[Date rebus]],0,1))</f>
        <v>0</v>
      </c>
      <c r="Z205" s="66"/>
      <c r="AA205" s="73" t="str">
        <f>IF(AND(registreGarantie[[#This Row],[Montant non remboursé]]&gt;1,registreGarantie[[#This Row],[Montant non remboursé]]&lt;&gt;""),1,"")</f>
        <v/>
      </c>
      <c r="AB205" s="66">
        <v>1</v>
      </c>
      <c r="AC205" s="66" t="s">
        <v>1777</v>
      </c>
      <c r="AD205" s="87">
        <f t="shared" si="3"/>
        <v>205</v>
      </c>
      <c r="AE205" s="109"/>
    </row>
    <row r="206" spans="1:31" ht="18" customHeight="1" thickBot="1" x14ac:dyDescent="0.4">
      <c r="A206" s="64">
        <v>44908</v>
      </c>
      <c r="B206" s="64">
        <v>43165</v>
      </c>
      <c r="C206" s="106">
        <v>45505</v>
      </c>
      <c r="D206" s="66" t="s">
        <v>41</v>
      </c>
      <c r="E206" s="66" t="s">
        <v>1702</v>
      </c>
      <c r="F206" s="68" t="s">
        <v>2268</v>
      </c>
      <c r="G206" s="66" t="s">
        <v>1778</v>
      </c>
      <c r="H206" s="64">
        <v>3250</v>
      </c>
      <c r="I206" s="67" t="s">
        <v>18</v>
      </c>
      <c r="J206" s="97">
        <v>404341257</v>
      </c>
      <c r="K206" s="66"/>
      <c r="L206" s="68"/>
      <c r="M206" s="69">
        <v>453.37</v>
      </c>
      <c r="N206" s="69"/>
      <c r="O206" s="70" t="str">
        <f>IF(registreGarantie[[#This Row],[date paiement]]="","",registreGarantie[[#This Row],[Pièces 
Demandés]]-registreGarantie[[#This Row],[Pièces 
Remboursés]])</f>
        <v/>
      </c>
      <c r="P206" s="69">
        <v>307.5</v>
      </c>
      <c r="Q206" s="69"/>
      <c r="R206" s="70" t="str">
        <f>IF(registreGarantie[[#This Row],[date paiement]]="","",registreGarantie[[#This Row],[MO
Demandé]]-registreGarantie[[#This Row],[MO
Remboursé]])</f>
        <v/>
      </c>
      <c r="S206" s="69"/>
      <c r="T206" s="70" t="str">
        <f>IF(registreGarantie[[#This Row],[date paiement]]="","",registreGarantie[[#This Row],[MO
Refusé]]+registreGarantie[[#This Row],[Pièces
Refusés]])</f>
        <v/>
      </c>
      <c r="U206" s="106"/>
      <c r="V206" s="71">
        <f>IF(registreGarantie[[#This Row],[Pièces 
Demandés]]="","",registreGarantie[[#This Row],[Date]])</f>
        <v>45505</v>
      </c>
      <c r="W206" s="103" t="str">
        <f>IF(registreGarantie[[#This Row],[Pièces 
Demandés]]="","",IF(registreGarantie[[#This Row],[date paiement]]="","",registreGarantie[[#This Row],[date paiement]]+91))</f>
        <v/>
      </c>
      <c r="X2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06" s="74" t="str">
        <f ca="1">IF(registreGarantie[[#This Row],[Colonne1]]=0,"",IF(TODAY()&gt;registreGarantie[[#This Row],[Date rebus]],0,1))</f>
        <v/>
      </c>
      <c r="Z206" s="66"/>
      <c r="AA206" s="73" t="str">
        <f>IF(AND(registreGarantie[[#This Row],[Montant non remboursé]]&gt;1,registreGarantie[[#This Row],[Montant non remboursé]]&lt;&gt;""),1,"")</f>
        <v/>
      </c>
      <c r="AB206" s="66"/>
      <c r="AC206" s="66"/>
      <c r="AD206" s="87">
        <f t="shared" si="3"/>
        <v>206</v>
      </c>
      <c r="AE206" s="109"/>
    </row>
    <row r="207" spans="1:31" ht="18" customHeight="1" thickBot="1" x14ac:dyDescent="0.4">
      <c r="A207" s="64">
        <v>44909</v>
      </c>
      <c r="B207" s="64" t="s">
        <v>1779</v>
      </c>
      <c r="C207" s="106">
        <v>45504</v>
      </c>
      <c r="D207" s="66" t="s">
        <v>1117</v>
      </c>
      <c r="E207" s="66" t="s">
        <v>32</v>
      </c>
      <c r="F207" s="68" t="s">
        <v>2297</v>
      </c>
      <c r="G207" s="66" t="s">
        <v>58</v>
      </c>
      <c r="H207" s="64" t="s">
        <v>1780</v>
      </c>
      <c r="I207" s="67" t="s">
        <v>18</v>
      </c>
      <c r="J207" s="97">
        <v>404340542</v>
      </c>
      <c r="K207" s="66"/>
      <c r="L207" s="68"/>
      <c r="M207" s="69">
        <v>390.74</v>
      </c>
      <c r="N207" s="69"/>
      <c r="O207" s="70" t="str">
        <f>IF(registreGarantie[[#This Row],[date paiement]]="","",registreGarantie[[#This Row],[Pièces 
Demandés]]-registreGarantie[[#This Row],[Pièces 
Remboursés]])</f>
        <v/>
      </c>
      <c r="P207" s="69"/>
      <c r="Q207" s="69"/>
      <c r="R207" s="70" t="str">
        <f>IF(registreGarantie[[#This Row],[date paiement]]="","",registreGarantie[[#This Row],[MO
Demandé]]-registreGarantie[[#This Row],[MO
Remboursé]])</f>
        <v/>
      </c>
      <c r="S207" s="69"/>
      <c r="T207" s="70" t="str">
        <f>IF(registreGarantie[[#This Row],[date paiement]]="","",registreGarantie[[#This Row],[MO
Refusé]]+registreGarantie[[#This Row],[Pièces
Refusés]])</f>
        <v/>
      </c>
      <c r="U207" s="106"/>
      <c r="V207" s="71">
        <f>IF(registreGarantie[[#This Row],[Pièces 
Demandés]]="","",registreGarantie[[#This Row],[Date]])</f>
        <v>45504</v>
      </c>
      <c r="W207" s="103" t="str">
        <f>IF(registreGarantie[[#This Row],[Pièces 
Demandés]]="","",IF(registreGarantie[[#This Row],[date paiement]]="","",registreGarantie[[#This Row],[date paiement]]+91))</f>
        <v/>
      </c>
      <c r="X2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07" s="74" t="str">
        <f ca="1">IF(registreGarantie[[#This Row],[Colonne1]]=0,"",IF(TODAY()&gt;registreGarantie[[#This Row],[Date rebus]],0,1))</f>
        <v/>
      </c>
      <c r="Z207" s="66"/>
      <c r="AA207" s="73" t="str">
        <f>IF(AND(registreGarantie[[#This Row],[Montant non remboursé]]&gt;1,registreGarantie[[#This Row],[Montant non remboursé]]&lt;&gt;""),1,"")</f>
        <v/>
      </c>
      <c r="AB207" s="66"/>
      <c r="AC207" s="66"/>
      <c r="AD207" s="87">
        <f t="shared" si="3"/>
        <v>207</v>
      </c>
      <c r="AE207" s="109"/>
    </row>
    <row r="208" spans="1:31" ht="18" customHeight="1" thickBot="1" x14ac:dyDescent="0.4">
      <c r="A208" s="64">
        <v>44910</v>
      </c>
      <c r="B208" s="64">
        <v>43037</v>
      </c>
      <c r="C208" s="106">
        <v>45504</v>
      </c>
      <c r="D208" s="66" t="s">
        <v>516</v>
      </c>
      <c r="E208" s="66" t="s">
        <v>63</v>
      </c>
      <c r="F208" s="68" t="s">
        <v>2322</v>
      </c>
      <c r="G208" s="66" t="s">
        <v>1781</v>
      </c>
      <c r="H208" s="64">
        <v>294</v>
      </c>
      <c r="I208" s="67" t="s">
        <v>2</v>
      </c>
      <c r="J208" s="97">
        <v>404340014</v>
      </c>
      <c r="K208" s="66"/>
      <c r="L208" s="68"/>
      <c r="M208" s="69">
        <v>340.96</v>
      </c>
      <c r="N208" s="69">
        <v>340.96</v>
      </c>
      <c r="O208" s="70">
        <f>IF(registreGarantie[[#This Row],[date paiement]]="","",registreGarantie[[#This Row],[Pièces 
Demandés]]-registreGarantie[[#This Row],[Pièces 
Remboursés]])</f>
        <v>0</v>
      </c>
      <c r="P208" s="69">
        <v>615</v>
      </c>
      <c r="Q208" s="69">
        <v>615</v>
      </c>
      <c r="R208" s="70">
        <f>IF(registreGarantie[[#This Row],[date paiement]]="","",registreGarantie[[#This Row],[MO
Demandé]]-registreGarantie[[#This Row],[MO
Remboursé]])</f>
        <v>0</v>
      </c>
      <c r="S208" s="69"/>
      <c r="T208" s="70">
        <f>IF(registreGarantie[[#This Row],[date paiement]]="","",registreGarantie[[#This Row],[MO
Refusé]]+registreGarantie[[#This Row],[Pièces
Refusés]])</f>
        <v>0</v>
      </c>
      <c r="U208" s="106">
        <v>45545</v>
      </c>
      <c r="V208" s="71">
        <f>IF(registreGarantie[[#This Row],[Pièces 
Demandés]]="","",registreGarantie[[#This Row],[Date]])</f>
        <v>45504</v>
      </c>
      <c r="W208" s="103">
        <f>IF(registreGarantie[[#This Row],[Pièces 
Demandés]]="","",IF(registreGarantie[[#This Row],[date paiement]]="","",registreGarantie[[#This Row],[date paiement]]+91))</f>
        <v>45636</v>
      </c>
      <c r="X2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08" s="74">
        <f ca="1">IF(registreGarantie[[#This Row],[Colonne1]]=0,"",IF(TODAY()&gt;registreGarantie[[#This Row],[Date rebus]],0,1))</f>
        <v>0</v>
      </c>
      <c r="Z208" s="66"/>
      <c r="AA208" s="73" t="str">
        <f>IF(AND(registreGarantie[[#This Row],[Montant non remboursé]]&gt;1,registreGarantie[[#This Row],[Montant non remboursé]]&lt;&gt;""),1,"")</f>
        <v/>
      </c>
      <c r="AB208" s="66"/>
      <c r="AC208" s="66"/>
      <c r="AD208" s="87">
        <f t="shared" si="3"/>
        <v>208</v>
      </c>
      <c r="AE208" s="109"/>
    </row>
    <row r="209" spans="1:31" ht="18" customHeight="1" thickBot="1" x14ac:dyDescent="0.4">
      <c r="A209" s="64">
        <v>44911</v>
      </c>
      <c r="B209" s="64">
        <v>43240</v>
      </c>
      <c r="C209" s="106">
        <v>45504</v>
      </c>
      <c r="D209" s="66" t="s">
        <v>41</v>
      </c>
      <c r="E209" s="66" t="s">
        <v>1782</v>
      </c>
      <c r="F209" s="68" t="s">
        <v>2272</v>
      </c>
      <c r="G209" s="66" t="s">
        <v>1068</v>
      </c>
      <c r="H209" s="64" t="s">
        <v>1783</v>
      </c>
      <c r="I209" s="67" t="s">
        <v>18</v>
      </c>
      <c r="J209" s="97">
        <v>404340283</v>
      </c>
      <c r="K209" s="66"/>
      <c r="L209" s="68"/>
      <c r="M209" s="69"/>
      <c r="N209" s="69"/>
      <c r="O209" s="70" t="str">
        <f>IF(registreGarantie[[#This Row],[date paiement]]="","",registreGarantie[[#This Row],[Pièces 
Demandés]]-registreGarantie[[#This Row],[Pièces 
Remboursés]])</f>
        <v/>
      </c>
      <c r="P209" s="69"/>
      <c r="Q209" s="69"/>
      <c r="R209" s="70" t="str">
        <f>IF(registreGarantie[[#This Row],[date paiement]]="","",registreGarantie[[#This Row],[MO
Demandé]]-registreGarantie[[#This Row],[MO
Remboursé]])</f>
        <v/>
      </c>
      <c r="S209" s="69"/>
      <c r="T209" s="70" t="str">
        <f>IF(registreGarantie[[#This Row],[date paiement]]="","",registreGarantie[[#This Row],[MO
Refusé]]+registreGarantie[[#This Row],[Pièces
Refusés]])</f>
        <v/>
      </c>
      <c r="U209" s="106"/>
      <c r="V209" s="71" t="str">
        <f>IF(registreGarantie[[#This Row],[Pièces 
Demandés]]="","",registreGarantie[[#This Row],[Date]])</f>
        <v/>
      </c>
      <c r="W209" s="103" t="str">
        <f>IF(registreGarantie[[#This Row],[Pièces 
Demandés]]="","",IF(registreGarantie[[#This Row],[date paiement]]="","",registreGarantie[[#This Row],[date paiement]]+91))</f>
        <v/>
      </c>
      <c r="X2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09" s="74" t="str">
        <f ca="1">IF(registreGarantie[[#This Row],[Colonne1]]=0,"",IF(TODAY()&gt;registreGarantie[[#This Row],[Date rebus]],0,1))</f>
        <v/>
      </c>
      <c r="Z209" s="66"/>
      <c r="AA209" s="73" t="str">
        <f>IF(AND(registreGarantie[[#This Row],[Montant non remboursé]]&gt;1,registreGarantie[[#This Row],[Montant non remboursé]]&lt;&gt;""),1,"")</f>
        <v/>
      </c>
      <c r="AB209" s="66"/>
      <c r="AC209" s="66"/>
      <c r="AD209" s="87">
        <f t="shared" si="3"/>
        <v>209</v>
      </c>
      <c r="AE209" s="109"/>
    </row>
    <row r="210" spans="1:31" ht="18" customHeight="1" thickBot="1" x14ac:dyDescent="0.4">
      <c r="A210" s="64">
        <v>44912</v>
      </c>
      <c r="B210" s="64">
        <v>43238</v>
      </c>
      <c r="C210" s="106">
        <v>45504</v>
      </c>
      <c r="D210" s="66" t="s">
        <v>41</v>
      </c>
      <c r="E210" s="66" t="s">
        <v>1784</v>
      </c>
      <c r="F210" s="68" t="s">
        <v>2273</v>
      </c>
      <c r="G210" s="66" t="s">
        <v>1068</v>
      </c>
      <c r="H210" s="64" t="s">
        <v>1785</v>
      </c>
      <c r="I210" s="67" t="s">
        <v>18</v>
      </c>
      <c r="J210" s="97">
        <v>404340290</v>
      </c>
      <c r="K210" s="66"/>
      <c r="L210" s="68"/>
      <c r="M210" s="69"/>
      <c r="N210" s="69"/>
      <c r="O210" s="70" t="str">
        <f>IF(registreGarantie[[#This Row],[date paiement]]="","",registreGarantie[[#This Row],[Pièces 
Demandés]]-registreGarantie[[#This Row],[Pièces 
Remboursés]])</f>
        <v/>
      </c>
      <c r="P210" s="69"/>
      <c r="Q210" s="69"/>
      <c r="R210" s="70" t="str">
        <f>IF(registreGarantie[[#This Row],[date paiement]]="","",registreGarantie[[#This Row],[MO
Demandé]]-registreGarantie[[#This Row],[MO
Remboursé]])</f>
        <v/>
      </c>
      <c r="S210" s="69"/>
      <c r="T210" s="70" t="str">
        <f>IF(registreGarantie[[#This Row],[date paiement]]="","",registreGarantie[[#This Row],[MO
Refusé]]+registreGarantie[[#This Row],[Pièces
Refusés]])</f>
        <v/>
      </c>
      <c r="U210" s="106"/>
      <c r="V210" s="71" t="str">
        <f>IF(registreGarantie[[#This Row],[Pièces 
Demandés]]="","",registreGarantie[[#This Row],[Date]])</f>
        <v/>
      </c>
      <c r="W210" s="103" t="str">
        <f>IF(registreGarantie[[#This Row],[Pièces 
Demandés]]="","",IF(registreGarantie[[#This Row],[date paiement]]="","",registreGarantie[[#This Row],[date paiement]]+91))</f>
        <v/>
      </c>
      <c r="X2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0" s="74" t="str">
        <f ca="1">IF(registreGarantie[[#This Row],[Colonne1]]=0,"",IF(TODAY()&gt;registreGarantie[[#This Row],[Date rebus]],0,1))</f>
        <v/>
      </c>
      <c r="Z210" s="66"/>
      <c r="AA210" s="73" t="str">
        <f>IF(AND(registreGarantie[[#This Row],[Montant non remboursé]]&gt;1,registreGarantie[[#This Row],[Montant non remboursé]]&lt;&gt;""),1,"")</f>
        <v/>
      </c>
      <c r="AB210" s="66"/>
      <c r="AC210" s="66"/>
      <c r="AD210" s="87">
        <f t="shared" si="3"/>
        <v>210</v>
      </c>
      <c r="AE210" s="109"/>
    </row>
    <row r="211" spans="1:31" ht="18" customHeight="1" thickBot="1" x14ac:dyDescent="0.4">
      <c r="A211" s="64">
        <v>44913</v>
      </c>
      <c r="B211" s="64">
        <v>43141</v>
      </c>
      <c r="C211" s="106">
        <v>45505</v>
      </c>
      <c r="D211" s="66" t="s">
        <v>262</v>
      </c>
      <c r="E211" s="66" t="s">
        <v>263</v>
      </c>
      <c r="F211" s="68"/>
      <c r="G211" s="66" t="s">
        <v>1741</v>
      </c>
      <c r="H211" s="64" t="s">
        <v>1786</v>
      </c>
      <c r="I211" s="67" t="s">
        <v>21</v>
      </c>
      <c r="J211" s="97" t="s">
        <v>1787</v>
      </c>
      <c r="K211" s="66"/>
      <c r="L211" s="68"/>
      <c r="M211" s="69">
        <v>586.46</v>
      </c>
      <c r="N211" s="69">
        <v>586.46</v>
      </c>
      <c r="O211" s="70">
        <f>IF(registreGarantie[[#This Row],[date paiement]]="","",registreGarantie[[#This Row],[Pièces 
Demandés]]-registreGarantie[[#This Row],[Pièces 
Remboursés]])</f>
        <v>0</v>
      </c>
      <c r="P211" s="69">
        <v>153</v>
      </c>
      <c r="Q211" s="69">
        <v>153</v>
      </c>
      <c r="R211" s="70">
        <f>IF(registreGarantie[[#This Row],[date paiement]]="","",registreGarantie[[#This Row],[MO
Demandé]]-registreGarantie[[#This Row],[MO
Remboursé]])</f>
        <v>0</v>
      </c>
      <c r="S211" s="69"/>
      <c r="T211" s="70">
        <f>IF(registreGarantie[[#This Row],[date paiement]]="","",registreGarantie[[#This Row],[MO
Refusé]]+registreGarantie[[#This Row],[Pièces
Refusés]])</f>
        <v>0</v>
      </c>
      <c r="U211" s="106">
        <v>45532</v>
      </c>
      <c r="V211" s="71">
        <f>IF(registreGarantie[[#This Row],[Pièces 
Demandés]]="","",registreGarantie[[#This Row],[Date]])</f>
        <v>45505</v>
      </c>
      <c r="W211" s="103">
        <f>IF(registreGarantie[[#This Row],[Pièces 
Demandés]]="","",IF(registreGarantie[[#This Row],[date paiement]]="","",registreGarantie[[#This Row],[date paiement]]+91))</f>
        <v>45623</v>
      </c>
      <c r="X2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1" s="74" t="str">
        <f ca="1">IF(registreGarantie[[#This Row],[Colonne1]]=0,"",IF(TODAY()&gt;registreGarantie[[#This Row],[Date rebus]],0,1))</f>
        <v/>
      </c>
      <c r="Z211" s="66"/>
      <c r="AA211" s="73" t="str">
        <f>IF(AND(registreGarantie[[#This Row],[Montant non remboursé]]&gt;1,registreGarantie[[#This Row],[Montant non remboursé]]&lt;&gt;""),1,"")</f>
        <v/>
      </c>
      <c r="AB211" s="66"/>
      <c r="AC211" s="66"/>
      <c r="AD211" s="87">
        <f t="shared" si="3"/>
        <v>211</v>
      </c>
      <c r="AE211" s="109"/>
    </row>
    <row r="212" spans="1:31" ht="18" customHeight="1" thickBot="1" x14ac:dyDescent="0.4">
      <c r="A212" s="64">
        <v>44914</v>
      </c>
      <c r="B212" s="64">
        <v>5926</v>
      </c>
      <c r="C212" s="106">
        <v>45534.530289351853</v>
      </c>
      <c r="D212" s="66" t="s">
        <v>205</v>
      </c>
      <c r="E212" s="66" t="s">
        <v>106</v>
      </c>
      <c r="F212" s="68" t="s">
        <v>2356</v>
      </c>
      <c r="G212" s="66" t="s">
        <v>1467</v>
      </c>
      <c r="H212" s="64">
        <v>576</v>
      </c>
      <c r="I212" s="67" t="s">
        <v>2</v>
      </c>
      <c r="J212" s="97">
        <v>404376224</v>
      </c>
      <c r="K212" s="66"/>
      <c r="L212" s="68"/>
      <c r="M212" s="69"/>
      <c r="N212" s="69"/>
      <c r="O212" s="70">
        <f>IF(registreGarantie[[#This Row],[date paiement]]="","",registreGarantie[[#This Row],[Pièces 
Demandés]]-registreGarantie[[#This Row],[Pièces 
Remboursés]])</f>
        <v>0</v>
      </c>
      <c r="P212" s="69">
        <v>123</v>
      </c>
      <c r="Q212" s="69">
        <v>123</v>
      </c>
      <c r="R212" s="70">
        <f>IF(registreGarantie[[#This Row],[date paiement]]="","",registreGarantie[[#This Row],[MO
Demandé]]-registreGarantie[[#This Row],[MO
Remboursé]])</f>
        <v>0</v>
      </c>
      <c r="S212" s="69">
        <v>123</v>
      </c>
      <c r="T212" s="70">
        <f>IF(registreGarantie[[#This Row],[date paiement]]="","",registreGarantie[[#This Row],[MO
Refusé]]+registreGarantie[[#This Row],[Pièces
Refusés]])</f>
        <v>0</v>
      </c>
      <c r="U212" s="106">
        <v>45553</v>
      </c>
      <c r="V212" s="71" t="str">
        <f>IF(registreGarantie[[#This Row],[Pièces 
Demandés]]="","",registreGarantie[[#This Row],[Date]])</f>
        <v/>
      </c>
      <c r="W212" s="103" t="str">
        <f>IF(registreGarantie[[#This Row],[Pièces 
Demandés]]="","",IF(registreGarantie[[#This Row],[date paiement]]="","",registreGarantie[[#This Row],[date paiement]]+91))</f>
        <v/>
      </c>
      <c r="X2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2" s="74" t="str">
        <f ca="1">IF(registreGarantie[[#This Row],[Colonne1]]=0,"",IF(TODAY()&gt;registreGarantie[[#This Row],[Date rebus]],0,1))</f>
        <v/>
      </c>
      <c r="Z212" s="66"/>
      <c r="AA212" s="73" t="str">
        <f>IF(AND(registreGarantie[[#This Row],[Montant non remboursé]]&gt;1,registreGarantie[[#This Row],[Montant non remboursé]]&lt;&gt;""),1,"")</f>
        <v/>
      </c>
      <c r="AB212" s="66"/>
      <c r="AC212" s="66"/>
      <c r="AD212" s="87">
        <f t="shared" si="3"/>
        <v>212</v>
      </c>
      <c r="AE212" s="109"/>
    </row>
    <row r="213" spans="1:31" ht="18" customHeight="1" thickBot="1" x14ac:dyDescent="0.4">
      <c r="A213" s="64">
        <v>44915</v>
      </c>
      <c r="B213" s="64">
        <v>43241</v>
      </c>
      <c r="C213" s="106">
        <v>45509.368784722225</v>
      </c>
      <c r="D213" s="66" t="s">
        <v>773</v>
      </c>
      <c r="E213" s="66" t="s">
        <v>181</v>
      </c>
      <c r="F213" s="68" t="s">
        <v>2304</v>
      </c>
      <c r="G213" s="66" t="s">
        <v>844</v>
      </c>
      <c r="H213" s="64">
        <v>648</v>
      </c>
      <c r="I213" s="67" t="s">
        <v>3</v>
      </c>
      <c r="J213" s="97">
        <v>404344714</v>
      </c>
      <c r="K213" s="66"/>
      <c r="L213" s="68"/>
      <c r="M213" s="69">
        <v>997.23</v>
      </c>
      <c r="N213" s="69">
        <v>997.23</v>
      </c>
      <c r="O213" s="70">
        <f>IF(registreGarantie[[#This Row],[date paiement]]="","",registreGarantie[[#This Row],[Pièces 
Demandés]]-registreGarantie[[#This Row],[Pièces 
Remboursés]])</f>
        <v>0</v>
      </c>
      <c r="P213" s="69">
        <v>738</v>
      </c>
      <c r="Q213" s="69">
        <v>738</v>
      </c>
      <c r="R213" s="70">
        <f>IF(registreGarantie[[#This Row],[date paiement]]="","",registreGarantie[[#This Row],[MO
Demandé]]-registreGarantie[[#This Row],[MO
Remboursé]])</f>
        <v>0</v>
      </c>
      <c r="S213" s="69">
        <v>150</v>
      </c>
      <c r="T213" s="70">
        <f>IF(registreGarantie[[#This Row],[date paiement]]="","",registreGarantie[[#This Row],[MO
Refusé]]+registreGarantie[[#This Row],[Pièces
Refusés]])</f>
        <v>0</v>
      </c>
      <c r="U213" s="106">
        <v>45545</v>
      </c>
      <c r="V213" s="71">
        <f>IF(registreGarantie[[#This Row],[Pièces 
Demandés]]="","",registreGarantie[[#This Row],[Date]])</f>
        <v>45509.368784722225</v>
      </c>
      <c r="W213" s="103">
        <f>IF(registreGarantie[[#This Row],[Pièces 
Demandés]]="","",IF(registreGarantie[[#This Row],[date paiement]]="","",registreGarantie[[#This Row],[date paiement]]+91))</f>
        <v>45636</v>
      </c>
      <c r="X2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13" s="74">
        <f ca="1">IF(registreGarantie[[#This Row],[Colonne1]]=0,"",IF(TODAY()&gt;registreGarantie[[#This Row],[Date rebus]],0,1))</f>
        <v>0</v>
      </c>
      <c r="Z213" s="66"/>
      <c r="AA213" s="73" t="str">
        <f>IF(AND(registreGarantie[[#This Row],[Montant non remboursé]]&gt;1,registreGarantie[[#This Row],[Montant non remboursé]]&lt;&gt;""),1,"")</f>
        <v/>
      </c>
      <c r="AB213" s="66">
        <v>1</v>
      </c>
      <c r="AC213" s="66" t="s">
        <v>1788</v>
      </c>
      <c r="AD213" s="87">
        <f t="shared" si="3"/>
        <v>213</v>
      </c>
      <c r="AE213" s="109"/>
    </row>
    <row r="214" spans="1:31" ht="18" customHeight="1" thickBot="1" x14ac:dyDescent="0.4">
      <c r="A214" s="64">
        <v>44916</v>
      </c>
      <c r="B214" s="64">
        <v>43233</v>
      </c>
      <c r="C214" s="106">
        <v>45510.692465277774</v>
      </c>
      <c r="D214" s="66" t="s">
        <v>446</v>
      </c>
      <c r="E214" s="66" t="s">
        <v>75</v>
      </c>
      <c r="F214" s="68" t="s">
        <v>2324</v>
      </c>
      <c r="G214" s="66" t="s">
        <v>1789</v>
      </c>
      <c r="H214" s="64">
        <v>352</v>
      </c>
      <c r="I214" s="67" t="s">
        <v>2</v>
      </c>
      <c r="J214" s="97">
        <v>404347447</v>
      </c>
      <c r="K214" s="66"/>
      <c r="L214" s="68" t="s">
        <v>2325</v>
      </c>
      <c r="M214" s="69">
        <v>91.3</v>
      </c>
      <c r="N214" s="69">
        <v>91.3</v>
      </c>
      <c r="O214" s="70">
        <f>IF(registreGarantie[[#This Row],[date paiement]]="","",registreGarantie[[#This Row],[Pièces 
Demandés]]-registreGarantie[[#This Row],[Pièces 
Remboursés]])</f>
        <v>0</v>
      </c>
      <c r="P214" s="69">
        <v>61.5</v>
      </c>
      <c r="Q214" s="69">
        <v>61.5</v>
      </c>
      <c r="R214" s="70">
        <f>IF(registreGarantie[[#This Row],[date paiement]]="","",registreGarantie[[#This Row],[MO
Demandé]]-registreGarantie[[#This Row],[MO
Remboursé]])</f>
        <v>0</v>
      </c>
      <c r="S214" s="69"/>
      <c r="T214" s="70">
        <f>IF(registreGarantie[[#This Row],[date paiement]]="","",registreGarantie[[#This Row],[MO
Refusé]]+registreGarantie[[#This Row],[Pièces
Refusés]])</f>
        <v>0</v>
      </c>
      <c r="U214" s="106">
        <v>45525</v>
      </c>
      <c r="V214" s="71">
        <f>IF(registreGarantie[[#This Row],[Pièces 
Demandés]]="","",registreGarantie[[#This Row],[Date]])</f>
        <v>45510.692465277774</v>
      </c>
      <c r="W214" s="103">
        <f>IF(registreGarantie[[#This Row],[Pièces 
Demandés]]="","",IF(registreGarantie[[#This Row],[date paiement]]="","",registreGarantie[[#This Row],[date paiement]]+91))</f>
        <v>45616</v>
      </c>
      <c r="X2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14" s="74">
        <f ca="1">IF(registreGarantie[[#This Row],[Colonne1]]=0,"",IF(TODAY()&gt;registreGarantie[[#This Row],[Date rebus]],0,1))</f>
        <v>0</v>
      </c>
      <c r="Z214" s="66"/>
      <c r="AA214" s="73" t="str">
        <f>IF(AND(registreGarantie[[#This Row],[Montant non remboursé]]&gt;1,registreGarantie[[#This Row],[Montant non remboursé]]&lt;&gt;""),1,"")</f>
        <v/>
      </c>
      <c r="AB214" s="66"/>
      <c r="AC214" s="66"/>
      <c r="AD214" s="87">
        <f t="shared" si="3"/>
        <v>214</v>
      </c>
      <c r="AE214" s="109"/>
    </row>
    <row r="215" spans="1:31" ht="18" customHeight="1" thickBot="1" x14ac:dyDescent="0.4">
      <c r="A215" s="64">
        <v>44917</v>
      </c>
      <c r="B215" s="64">
        <v>43220</v>
      </c>
      <c r="C215" s="106">
        <v>45511.352395833332</v>
      </c>
      <c r="D215" s="66" t="s">
        <v>1081</v>
      </c>
      <c r="E215" s="66" t="s">
        <v>1790</v>
      </c>
      <c r="F215" s="68" t="s">
        <v>2307</v>
      </c>
      <c r="G215" s="66" t="s">
        <v>1791</v>
      </c>
      <c r="H215" s="64" t="s">
        <v>1792</v>
      </c>
      <c r="I215" s="67" t="s">
        <v>2</v>
      </c>
      <c r="J215" s="97">
        <v>404347735</v>
      </c>
      <c r="K215" s="66"/>
      <c r="L215" s="68" t="s">
        <v>2308</v>
      </c>
      <c r="M215" s="69">
        <v>61.5</v>
      </c>
      <c r="N215" s="69">
        <v>61.5</v>
      </c>
      <c r="O215" s="70">
        <f>IF(registreGarantie[[#This Row],[date paiement]]="","",registreGarantie[[#This Row],[Pièces 
Demandés]]-registreGarantie[[#This Row],[Pièces 
Remboursés]])</f>
        <v>0</v>
      </c>
      <c r="P215" s="69">
        <v>615</v>
      </c>
      <c r="Q215" s="69">
        <v>615</v>
      </c>
      <c r="R215" s="70">
        <f>IF(registreGarantie[[#This Row],[date paiement]]="","",registreGarantie[[#This Row],[MO
Demandé]]-registreGarantie[[#This Row],[MO
Remboursé]])</f>
        <v>0</v>
      </c>
      <c r="S215" s="69"/>
      <c r="T215" s="70">
        <f>IF(registreGarantie[[#This Row],[date paiement]]="","",registreGarantie[[#This Row],[MO
Refusé]]+registreGarantie[[#This Row],[Pièces
Refusés]])</f>
        <v>0</v>
      </c>
      <c r="U215" s="106">
        <v>45553</v>
      </c>
      <c r="V215" s="71">
        <f>IF(registreGarantie[[#This Row],[Pièces 
Demandés]]="","",registreGarantie[[#This Row],[Date]])</f>
        <v>45511.352395833332</v>
      </c>
      <c r="W215" s="103">
        <f>IF(registreGarantie[[#This Row],[Pièces 
Demandés]]="","",IF(registreGarantie[[#This Row],[date paiement]]="","",registreGarantie[[#This Row],[date paiement]]+91))</f>
        <v>45644</v>
      </c>
      <c r="X2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15" s="74">
        <f ca="1">IF(registreGarantie[[#This Row],[Colonne1]]=0,"",IF(TODAY()&gt;registreGarantie[[#This Row],[Date rebus]],0,1))</f>
        <v>0</v>
      </c>
      <c r="Z215" s="66"/>
      <c r="AA215" s="73" t="str">
        <f>IF(AND(registreGarantie[[#This Row],[Montant non remboursé]]&gt;1,registreGarantie[[#This Row],[Montant non remboursé]]&lt;&gt;""),1,"")</f>
        <v/>
      </c>
      <c r="AB215" s="66">
        <v>1</v>
      </c>
      <c r="AC215" s="66" t="s">
        <v>1777</v>
      </c>
      <c r="AD215" s="87">
        <f t="shared" si="3"/>
        <v>215</v>
      </c>
      <c r="AE215" s="109"/>
    </row>
    <row r="216" spans="1:31" ht="18" customHeight="1" thickBot="1" x14ac:dyDescent="0.4">
      <c r="A216" s="64">
        <v>44918</v>
      </c>
      <c r="B216" s="64">
        <v>43252</v>
      </c>
      <c r="C216" s="106">
        <v>45511.37023148148</v>
      </c>
      <c r="D216" s="66" t="s">
        <v>1793</v>
      </c>
      <c r="E216" s="66" t="s">
        <v>533</v>
      </c>
      <c r="F216" s="68" t="s">
        <v>2333</v>
      </c>
      <c r="G216" s="66" t="s">
        <v>1794</v>
      </c>
      <c r="H216" s="64" t="s">
        <v>1795</v>
      </c>
      <c r="I216" s="67" t="s">
        <v>2</v>
      </c>
      <c r="J216" s="97">
        <v>404347764</v>
      </c>
      <c r="K216" s="66"/>
      <c r="L216" s="68"/>
      <c r="M216" s="69"/>
      <c r="N216" s="69"/>
      <c r="O216" s="70">
        <f>IF(registreGarantie[[#This Row],[date paiement]]="","",registreGarantie[[#This Row],[Pièces 
Demandés]]-registreGarantie[[#This Row],[Pièces 
Remboursés]])</f>
        <v>0</v>
      </c>
      <c r="P216" s="69">
        <v>123</v>
      </c>
      <c r="Q216" s="69">
        <v>123</v>
      </c>
      <c r="R216" s="70">
        <f>IF(registreGarantie[[#This Row],[date paiement]]="","",registreGarantie[[#This Row],[MO
Demandé]]-registreGarantie[[#This Row],[MO
Remboursé]])</f>
        <v>0</v>
      </c>
      <c r="S216" s="69"/>
      <c r="T216" s="70">
        <f>IF(registreGarantie[[#This Row],[date paiement]]="","",registreGarantie[[#This Row],[MO
Refusé]]+registreGarantie[[#This Row],[Pièces
Refusés]])</f>
        <v>0</v>
      </c>
      <c r="U216" s="106">
        <v>45544</v>
      </c>
      <c r="V216" s="71" t="str">
        <f>IF(registreGarantie[[#This Row],[Pièces 
Demandés]]="","",registreGarantie[[#This Row],[Date]])</f>
        <v/>
      </c>
      <c r="W216" s="103" t="str">
        <f>IF(registreGarantie[[#This Row],[Pièces 
Demandés]]="","",IF(registreGarantie[[#This Row],[date paiement]]="","",registreGarantie[[#This Row],[date paiement]]+91))</f>
        <v/>
      </c>
      <c r="X2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6" s="74" t="str">
        <f ca="1">IF(registreGarantie[[#This Row],[Colonne1]]=0,"",IF(TODAY()&gt;registreGarantie[[#This Row],[Date rebus]],0,1))</f>
        <v/>
      </c>
      <c r="Z216" s="66"/>
      <c r="AA216" s="73" t="str">
        <f>IF(AND(registreGarantie[[#This Row],[Montant non remboursé]]&gt;1,registreGarantie[[#This Row],[Montant non remboursé]]&lt;&gt;""),1,"")</f>
        <v/>
      </c>
      <c r="AB216" s="66">
        <v>1</v>
      </c>
      <c r="AC216" s="66" t="s">
        <v>1796</v>
      </c>
      <c r="AD216" s="87">
        <f t="shared" si="3"/>
        <v>216</v>
      </c>
      <c r="AE216" s="109"/>
    </row>
    <row r="217" spans="1:31" ht="18" customHeight="1" thickBot="1" x14ac:dyDescent="0.4">
      <c r="A217" s="64">
        <v>44919</v>
      </c>
      <c r="B217" s="64">
        <v>43250</v>
      </c>
      <c r="C217" s="106">
        <v>45511.403043981481</v>
      </c>
      <c r="D217" s="66" t="s">
        <v>1793</v>
      </c>
      <c r="E217" s="66" t="s">
        <v>533</v>
      </c>
      <c r="F217" s="68" t="s">
        <v>2333</v>
      </c>
      <c r="G217" s="66" t="s">
        <v>1664</v>
      </c>
      <c r="H217" s="64" t="s">
        <v>1797</v>
      </c>
      <c r="I217" s="67" t="s">
        <v>18</v>
      </c>
      <c r="J217" s="97">
        <v>404347996</v>
      </c>
      <c r="K217" s="66"/>
      <c r="L217" s="68"/>
      <c r="M217" s="69">
        <v>265.92</v>
      </c>
      <c r="N217" s="69"/>
      <c r="O217" s="70" t="str">
        <f>IF(registreGarantie[[#This Row],[date paiement]]="","",registreGarantie[[#This Row],[Pièces 
Demandés]]-registreGarantie[[#This Row],[Pièces 
Remboursés]])</f>
        <v/>
      </c>
      <c r="P217" s="69">
        <v>184.5</v>
      </c>
      <c r="Q217" s="69"/>
      <c r="R217" s="70" t="str">
        <f>IF(registreGarantie[[#This Row],[date paiement]]="","",registreGarantie[[#This Row],[MO
Demandé]]-registreGarantie[[#This Row],[MO
Remboursé]])</f>
        <v/>
      </c>
      <c r="S217" s="69"/>
      <c r="T217" s="70" t="str">
        <f>IF(registreGarantie[[#This Row],[date paiement]]="","",registreGarantie[[#This Row],[MO
Refusé]]+registreGarantie[[#This Row],[Pièces
Refusés]])</f>
        <v/>
      </c>
      <c r="U217" s="106"/>
      <c r="V217" s="71">
        <f>IF(registreGarantie[[#This Row],[Pièces 
Demandés]]="","",registreGarantie[[#This Row],[Date]])</f>
        <v>45511.403043981481</v>
      </c>
      <c r="W217" s="103" t="str">
        <f>IF(registreGarantie[[#This Row],[Pièces 
Demandés]]="","",IF(registreGarantie[[#This Row],[date paiement]]="","",registreGarantie[[#This Row],[date paiement]]+91))</f>
        <v/>
      </c>
      <c r="X2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7" s="74" t="str">
        <f ca="1">IF(registreGarantie[[#This Row],[Colonne1]]=0,"",IF(TODAY()&gt;registreGarantie[[#This Row],[Date rebus]],0,1))</f>
        <v/>
      </c>
      <c r="Z217" s="66"/>
      <c r="AA217" s="73" t="str">
        <f>IF(AND(registreGarantie[[#This Row],[Montant non remboursé]]&gt;1,registreGarantie[[#This Row],[Montant non remboursé]]&lt;&gt;""),1,"")</f>
        <v/>
      </c>
      <c r="AB217" s="66"/>
      <c r="AC217" s="66"/>
      <c r="AD217" s="87">
        <f t="shared" si="3"/>
        <v>217</v>
      </c>
      <c r="AE217" s="109"/>
    </row>
    <row r="218" spans="1:31" ht="18" customHeight="1" thickBot="1" x14ac:dyDescent="0.4">
      <c r="A218" s="64">
        <v>44919</v>
      </c>
      <c r="B218" s="64">
        <v>43250</v>
      </c>
      <c r="C218" s="106">
        <v>45511.430023148147</v>
      </c>
      <c r="D218" s="66" t="s">
        <v>1793</v>
      </c>
      <c r="E218" s="66" t="s">
        <v>533</v>
      </c>
      <c r="F218" s="68" t="s">
        <v>2333</v>
      </c>
      <c r="G218" s="66" t="s">
        <v>1664</v>
      </c>
      <c r="H218" s="64">
        <v>103</v>
      </c>
      <c r="I218" s="67" t="s">
        <v>19</v>
      </c>
      <c r="J218" s="97">
        <v>404348054</v>
      </c>
      <c r="K218" s="66"/>
      <c r="L218" s="68"/>
      <c r="M218" s="69"/>
      <c r="N218" s="69"/>
      <c r="O218" s="70" t="str">
        <f>IF(registreGarantie[[#This Row],[date paiement]]="","",registreGarantie[[#This Row],[Pièces 
Demandés]]-registreGarantie[[#This Row],[Pièces 
Remboursés]])</f>
        <v/>
      </c>
      <c r="P218" s="69"/>
      <c r="Q218" s="69"/>
      <c r="R218" s="70" t="str">
        <f>IF(registreGarantie[[#This Row],[date paiement]]="","",registreGarantie[[#This Row],[MO
Demandé]]-registreGarantie[[#This Row],[MO
Remboursé]])</f>
        <v/>
      </c>
      <c r="S218" s="69"/>
      <c r="T218" s="70" t="str">
        <f>IF(registreGarantie[[#This Row],[date paiement]]="","",registreGarantie[[#This Row],[MO
Refusé]]+registreGarantie[[#This Row],[Pièces
Refusés]])</f>
        <v/>
      </c>
      <c r="U218" s="106"/>
      <c r="V218" s="71" t="str">
        <f>IF(registreGarantie[[#This Row],[Pièces 
Demandés]]="","",registreGarantie[[#This Row],[Date]])</f>
        <v/>
      </c>
      <c r="W218" s="103" t="str">
        <f>IF(registreGarantie[[#This Row],[Pièces 
Demandés]]="","",IF(registreGarantie[[#This Row],[date paiement]]="","",registreGarantie[[#This Row],[date paiement]]+91))</f>
        <v/>
      </c>
      <c r="X2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8" s="74" t="str">
        <f ca="1">IF(registreGarantie[[#This Row],[Colonne1]]=0,"",IF(TODAY()&gt;registreGarantie[[#This Row],[Date rebus]],0,1))</f>
        <v/>
      </c>
      <c r="Z218" s="66"/>
      <c r="AA218" s="73" t="str">
        <f>IF(AND(registreGarantie[[#This Row],[Montant non remboursé]]&gt;1,registreGarantie[[#This Row],[Montant non remboursé]]&lt;&gt;""),1,"")</f>
        <v/>
      </c>
      <c r="AB218" s="66"/>
      <c r="AC218" s="66"/>
      <c r="AD218" s="87">
        <f t="shared" si="3"/>
        <v>218</v>
      </c>
      <c r="AE218" s="109"/>
    </row>
    <row r="219" spans="1:31" ht="18" customHeight="1" thickBot="1" x14ac:dyDescent="0.4">
      <c r="A219" s="64">
        <v>44920</v>
      </c>
      <c r="B219" s="64">
        <v>43148</v>
      </c>
      <c r="C219" s="106">
        <v>45511.430046296293</v>
      </c>
      <c r="D219" s="66" t="s">
        <v>294</v>
      </c>
      <c r="E219" s="66" t="s">
        <v>94</v>
      </c>
      <c r="F219" s="68" t="s">
        <v>2294</v>
      </c>
      <c r="G219" s="66" t="s">
        <v>1798</v>
      </c>
      <c r="H219" s="64" t="s">
        <v>1605</v>
      </c>
      <c r="I219" s="67" t="s">
        <v>18</v>
      </c>
      <c r="J219" s="97">
        <v>404348121</v>
      </c>
      <c r="K219" s="66"/>
      <c r="L219" s="68"/>
      <c r="M219" s="69">
        <v>708.68</v>
      </c>
      <c r="N219" s="69"/>
      <c r="O219" s="70" t="str">
        <f>IF(registreGarantie[[#This Row],[date paiement]]="","",registreGarantie[[#This Row],[Pièces 
Demandés]]-registreGarantie[[#This Row],[Pièces 
Remboursés]])</f>
        <v/>
      </c>
      <c r="P219" s="69">
        <v>246</v>
      </c>
      <c r="Q219" s="69"/>
      <c r="R219" s="70" t="str">
        <f>IF(registreGarantie[[#This Row],[date paiement]]="","",registreGarantie[[#This Row],[MO
Demandé]]-registreGarantie[[#This Row],[MO
Remboursé]])</f>
        <v/>
      </c>
      <c r="S219" s="69"/>
      <c r="T219" s="70" t="str">
        <f>IF(registreGarantie[[#This Row],[date paiement]]="","",registreGarantie[[#This Row],[MO
Refusé]]+registreGarantie[[#This Row],[Pièces
Refusés]])</f>
        <v/>
      </c>
      <c r="U219" s="106"/>
      <c r="V219" s="71">
        <f>IF(registreGarantie[[#This Row],[Pièces 
Demandés]]="","",registreGarantie[[#This Row],[Date]])</f>
        <v>45511.430046296293</v>
      </c>
      <c r="W219" s="103" t="str">
        <f>IF(registreGarantie[[#This Row],[Pièces 
Demandés]]="","",IF(registreGarantie[[#This Row],[date paiement]]="","",registreGarantie[[#This Row],[date paiement]]+91))</f>
        <v/>
      </c>
      <c r="X2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19" s="74" t="str">
        <f ca="1">IF(registreGarantie[[#This Row],[Colonne1]]=0,"",IF(TODAY()&gt;registreGarantie[[#This Row],[Date rebus]],0,1))</f>
        <v/>
      </c>
      <c r="Z219" s="66"/>
      <c r="AA219" s="73" t="str">
        <f>IF(AND(registreGarantie[[#This Row],[Montant non remboursé]]&gt;1,registreGarantie[[#This Row],[Montant non remboursé]]&lt;&gt;""),1,"")</f>
        <v/>
      </c>
      <c r="AB219" s="66"/>
      <c r="AC219" s="66"/>
      <c r="AD219" s="87">
        <f t="shared" si="3"/>
        <v>219</v>
      </c>
      <c r="AE219" s="109"/>
    </row>
    <row r="220" spans="1:31" ht="18" customHeight="1" thickBot="1" x14ac:dyDescent="0.4">
      <c r="A220" s="64">
        <v>44921</v>
      </c>
      <c r="B220" s="64">
        <v>43168</v>
      </c>
      <c r="C220" s="106">
        <v>45511.609398148146</v>
      </c>
      <c r="D220" s="66" t="s">
        <v>619</v>
      </c>
      <c r="E220" s="66" t="s">
        <v>232</v>
      </c>
      <c r="F220" s="68"/>
      <c r="G220" s="66" t="s">
        <v>1799</v>
      </c>
      <c r="H220" s="64" t="s">
        <v>1800</v>
      </c>
      <c r="I220" s="67" t="s">
        <v>21</v>
      </c>
      <c r="J220" s="97" t="s">
        <v>1801</v>
      </c>
      <c r="K220" s="66"/>
      <c r="L220" s="68"/>
      <c r="M220" s="69"/>
      <c r="N220" s="69"/>
      <c r="O220" s="70">
        <f>IF(registreGarantie[[#This Row],[date paiement]]="","",registreGarantie[[#This Row],[Pièces 
Demandés]]-registreGarantie[[#This Row],[Pièces 
Remboursés]])</f>
        <v>0</v>
      </c>
      <c r="P220" s="69">
        <v>204</v>
      </c>
      <c r="Q220" s="69">
        <v>204</v>
      </c>
      <c r="R220" s="70">
        <f>IF(registreGarantie[[#This Row],[date paiement]]="","",registreGarantie[[#This Row],[MO
Demandé]]-registreGarantie[[#This Row],[MO
Remboursé]])</f>
        <v>0</v>
      </c>
      <c r="S220" s="69"/>
      <c r="T220" s="70">
        <f>IF(registreGarantie[[#This Row],[date paiement]]="","",registreGarantie[[#This Row],[MO
Refusé]]+registreGarantie[[#This Row],[Pièces
Refusés]])</f>
        <v>0</v>
      </c>
      <c r="U220" s="106">
        <v>45527</v>
      </c>
      <c r="V220" s="71" t="str">
        <f>IF(registreGarantie[[#This Row],[Pièces 
Demandés]]="","",registreGarantie[[#This Row],[Date]])</f>
        <v/>
      </c>
      <c r="W220" s="103" t="str">
        <f>IF(registreGarantie[[#This Row],[Pièces 
Demandés]]="","",IF(registreGarantie[[#This Row],[date paiement]]="","",registreGarantie[[#This Row],[date paiement]]+91))</f>
        <v/>
      </c>
      <c r="X2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0" s="74" t="str">
        <f ca="1">IF(registreGarantie[[#This Row],[Colonne1]]=0,"",IF(TODAY()&gt;registreGarantie[[#This Row],[Date rebus]],0,1))</f>
        <v/>
      </c>
      <c r="Z220" s="66"/>
      <c r="AA220" s="73" t="str">
        <f>IF(AND(registreGarantie[[#This Row],[Montant non remboursé]]&gt;1,registreGarantie[[#This Row],[Montant non remboursé]]&lt;&gt;""),1,"")</f>
        <v/>
      </c>
      <c r="AB220" s="66"/>
      <c r="AC220" s="66"/>
      <c r="AD220" s="87">
        <f t="shared" si="3"/>
        <v>220</v>
      </c>
      <c r="AE220" s="109"/>
    </row>
    <row r="221" spans="1:31" ht="18" customHeight="1" thickBot="1" x14ac:dyDescent="0.4">
      <c r="A221" s="64">
        <v>44922</v>
      </c>
      <c r="B221" s="64">
        <v>43222</v>
      </c>
      <c r="C221" s="106">
        <v>45512.33971064815</v>
      </c>
      <c r="D221" s="66" t="s">
        <v>439</v>
      </c>
      <c r="E221" s="66" t="s">
        <v>133</v>
      </c>
      <c r="F221" s="68"/>
      <c r="G221" s="66" t="s">
        <v>1706</v>
      </c>
      <c r="H221" s="64" t="s">
        <v>1802</v>
      </c>
      <c r="I221" s="67" t="s">
        <v>2</v>
      </c>
      <c r="J221" s="97">
        <v>404349901</v>
      </c>
      <c r="K221" s="66"/>
      <c r="L221" s="68"/>
      <c r="M221" s="69">
        <v>445.01</v>
      </c>
      <c r="N221" s="69">
        <v>445.01</v>
      </c>
      <c r="O221" s="70">
        <f>IF(registreGarantie[[#This Row],[date paiement]]="","",registreGarantie[[#This Row],[Pièces 
Demandés]]-registreGarantie[[#This Row],[Pièces 
Remboursés]])</f>
        <v>0</v>
      </c>
      <c r="P221" s="69">
        <v>61.5</v>
      </c>
      <c r="Q221" s="69">
        <v>61.5</v>
      </c>
      <c r="R221" s="70">
        <f>IF(registreGarantie[[#This Row],[date paiement]]="","",registreGarantie[[#This Row],[MO
Demandé]]-registreGarantie[[#This Row],[MO
Remboursé]])</f>
        <v>0</v>
      </c>
      <c r="S221" s="69"/>
      <c r="T221" s="70">
        <f>IF(registreGarantie[[#This Row],[date paiement]]="","",registreGarantie[[#This Row],[MO
Refusé]]+registreGarantie[[#This Row],[Pièces
Refusés]])</f>
        <v>0</v>
      </c>
      <c r="U221" s="106">
        <v>45581</v>
      </c>
      <c r="V221" s="71">
        <f>IF(registreGarantie[[#This Row],[Pièces 
Demandés]]="","",registreGarantie[[#This Row],[Date]])</f>
        <v>45512.33971064815</v>
      </c>
      <c r="W221" s="103">
        <f>IF(registreGarantie[[#This Row],[Pièces 
Demandés]]="","",IF(registreGarantie[[#This Row],[date paiement]]="","",registreGarantie[[#This Row],[date paiement]]+91))</f>
        <v>45672</v>
      </c>
      <c r="X2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21" s="74">
        <f ca="1">IF(registreGarantie[[#This Row],[Colonne1]]=0,"",IF(TODAY()&gt;registreGarantie[[#This Row],[Date rebus]],0,1))</f>
        <v>0</v>
      </c>
      <c r="Z221" s="66"/>
      <c r="AA221" s="73" t="str">
        <f>IF(AND(registreGarantie[[#This Row],[Montant non remboursé]]&gt;1,registreGarantie[[#This Row],[Montant non remboursé]]&lt;&gt;""),1,"")</f>
        <v/>
      </c>
      <c r="AB221" s="66"/>
      <c r="AC221" s="66"/>
      <c r="AD221" s="87">
        <f t="shared" si="3"/>
        <v>221</v>
      </c>
      <c r="AE221" s="109"/>
    </row>
    <row r="222" spans="1:31" ht="18" customHeight="1" thickBot="1" x14ac:dyDescent="0.4">
      <c r="A222" s="64">
        <v>44923</v>
      </c>
      <c r="B222" s="64">
        <v>43055</v>
      </c>
      <c r="C222" s="106">
        <v>45512.413946759261</v>
      </c>
      <c r="D222" s="66" t="s">
        <v>1803</v>
      </c>
      <c r="E222" s="66" t="s">
        <v>727</v>
      </c>
      <c r="F222" s="68" t="s">
        <v>2305</v>
      </c>
      <c r="G222" s="66" t="s">
        <v>1804</v>
      </c>
      <c r="H222" s="64" t="s">
        <v>1805</v>
      </c>
      <c r="I222" s="67" t="s">
        <v>20</v>
      </c>
      <c r="J222" s="97">
        <v>404350090</v>
      </c>
      <c r="K222" s="66"/>
      <c r="L222" s="68"/>
      <c r="M222" s="69"/>
      <c r="N222" s="69"/>
      <c r="O222" s="70" t="str">
        <f>IF(registreGarantie[[#This Row],[date paiement]]="","",registreGarantie[[#This Row],[Pièces 
Demandés]]-registreGarantie[[#This Row],[Pièces 
Remboursés]])</f>
        <v/>
      </c>
      <c r="P222" s="69"/>
      <c r="Q222" s="69"/>
      <c r="R222" s="70" t="str">
        <f>IF(registreGarantie[[#This Row],[date paiement]]="","",registreGarantie[[#This Row],[MO
Demandé]]-registreGarantie[[#This Row],[MO
Remboursé]])</f>
        <v/>
      </c>
      <c r="S222" s="69"/>
      <c r="T222" s="70" t="str">
        <f>IF(registreGarantie[[#This Row],[date paiement]]="","",registreGarantie[[#This Row],[MO
Refusé]]+registreGarantie[[#This Row],[Pièces
Refusés]])</f>
        <v/>
      </c>
      <c r="U222" s="106"/>
      <c r="V222" s="71" t="str">
        <f>IF(registreGarantie[[#This Row],[Pièces 
Demandés]]="","",registreGarantie[[#This Row],[Date]])</f>
        <v/>
      </c>
      <c r="W222" s="103" t="str">
        <f>IF(registreGarantie[[#This Row],[Pièces 
Demandés]]="","",IF(registreGarantie[[#This Row],[date paiement]]="","",registreGarantie[[#This Row],[date paiement]]+91))</f>
        <v/>
      </c>
      <c r="X2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2" s="74" t="str">
        <f ca="1">IF(registreGarantie[[#This Row],[Colonne1]]=0,"",IF(TODAY()&gt;registreGarantie[[#This Row],[Date rebus]],0,1))</f>
        <v/>
      </c>
      <c r="Z222" s="66"/>
      <c r="AA222" s="73" t="str">
        <f>IF(AND(registreGarantie[[#This Row],[Montant non remboursé]]&gt;1,registreGarantie[[#This Row],[Montant non remboursé]]&lt;&gt;""),1,"")</f>
        <v/>
      </c>
      <c r="AB222" s="66"/>
      <c r="AC222" s="66"/>
      <c r="AD222" s="87">
        <f t="shared" si="3"/>
        <v>222</v>
      </c>
      <c r="AE222" s="109"/>
    </row>
    <row r="223" spans="1:31" ht="18" customHeight="1" thickBot="1" x14ac:dyDescent="0.4">
      <c r="A223" s="64">
        <v>44923</v>
      </c>
      <c r="B223" s="64">
        <v>43055</v>
      </c>
      <c r="C223" s="106">
        <v>45513</v>
      </c>
      <c r="D223" s="66" t="s">
        <v>1803</v>
      </c>
      <c r="E223" s="66" t="s">
        <v>727</v>
      </c>
      <c r="F223" s="68" t="s">
        <v>2305</v>
      </c>
      <c r="G223" s="66" t="s">
        <v>1804</v>
      </c>
      <c r="H223" s="64" t="s">
        <v>1806</v>
      </c>
      <c r="I223" s="67" t="s">
        <v>17</v>
      </c>
      <c r="J223" s="97">
        <v>404350090</v>
      </c>
      <c r="K223" s="66"/>
      <c r="L223" s="68"/>
      <c r="M223" s="69">
        <v>539.29</v>
      </c>
      <c r="N223" s="69">
        <v>539.29</v>
      </c>
      <c r="O223" s="70">
        <f>IF(registreGarantie[[#This Row],[date paiement]]="","",registreGarantie[[#This Row],[Pièces 
Demandés]]-registreGarantie[[#This Row],[Pièces 
Remboursés]])</f>
        <v>0</v>
      </c>
      <c r="P223" s="69">
        <v>153.75</v>
      </c>
      <c r="Q223" s="69">
        <v>153.75</v>
      </c>
      <c r="R223" s="70">
        <f>IF(registreGarantie[[#This Row],[date paiement]]="","",registreGarantie[[#This Row],[MO
Demandé]]-registreGarantie[[#This Row],[MO
Remboursé]])</f>
        <v>0</v>
      </c>
      <c r="S223" s="69"/>
      <c r="T223" s="70">
        <f>IF(registreGarantie[[#This Row],[date paiement]]="","",registreGarantie[[#This Row],[MO
Refusé]]+registreGarantie[[#This Row],[Pièces
Refusés]])</f>
        <v>0</v>
      </c>
      <c r="U223" s="106">
        <v>45545</v>
      </c>
      <c r="V223" s="71">
        <f>IF(registreGarantie[[#This Row],[Pièces 
Demandés]]="","",registreGarantie[[#This Row],[Date]])</f>
        <v>45513</v>
      </c>
      <c r="W223" s="103">
        <f>IF(registreGarantie[[#This Row],[Pièces 
Demandés]]="","",IF(registreGarantie[[#This Row],[date paiement]]="","",registreGarantie[[#This Row],[date paiement]]+91))</f>
        <v>45636</v>
      </c>
      <c r="X2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23" s="74">
        <f ca="1">IF(registreGarantie[[#This Row],[Colonne1]]=0,"",IF(TODAY()&gt;registreGarantie[[#This Row],[Date rebus]],0,1))</f>
        <v>0</v>
      </c>
      <c r="Z223" s="66"/>
      <c r="AA223" s="73" t="str">
        <f>IF(AND(registreGarantie[[#This Row],[Montant non remboursé]]&gt;1,registreGarantie[[#This Row],[Montant non remboursé]]&lt;&gt;""),1,"")</f>
        <v/>
      </c>
      <c r="AB223" s="66">
        <v>1</v>
      </c>
      <c r="AC223" s="66" t="s">
        <v>1796</v>
      </c>
      <c r="AD223" s="87">
        <f t="shared" si="3"/>
        <v>223</v>
      </c>
      <c r="AE223" s="109"/>
    </row>
    <row r="224" spans="1:31" ht="18" customHeight="1" thickBot="1" x14ac:dyDescent="0.4">
      <c r="A224" s="64">
        <v>44924</v>
      </c>
      <c r="B224" s="64">
        <v>43284</v>
      </c>
      <c r="C224" s="106">
        <v>45538.529143518521</v>
      </c>
      <c r="D224" s="66" t="s">
        <v>486</v>
      </c>
      <c r="E224" s="66" t="s">
        <v>487</v>
      </c>
      <c r="F224" s="68" t="s">
        <v>2262</v>
      </c>
      <c r="G224" s="66" t="s">
        <v>221</v>
      </c>
      <c r="H224" s="64">
        <v>1697</v>
      </c>
      <c r="I224" s="67" t="s">
        <v>3</v>
      </c>
      <c r="J224" s="97">
        <v>404369857</v>
      </c>
      <c r="K224" s="66"/>
      <c r="L224" s="68"/>
      <c r="M224" s="69">
        <v>9995.9</v>
      </c>
      <c r="N224" s="69">
        <v>9995.9</v>
      </c>
      <c r="O224" s="70">
        <f>IF(registreGarantie[[#This Row],[date paiement]]="","",registreGarantie[[#This Row],[Pièces 
Demandés]]-registreGarantie[[#This Row],[Pièces 
Remboursés]])</f>
        <v>0</v>
      </c>
      <c r="P224" s="69">
        <v>830.25</v>
      </c>
      <c r="Q224" s="69">
        <v>830.25</v>
      </c>
      <c r="R224" s="70">
        <f>IF(registreGarantie[[#This Row],[date paiement]]="","",registreGarantie[[#This Row],[MO
Demandé]]-registreGarantie[[#This Row],[MO
Remboursé]])</f>
        <v>0</v>
      </c>
      <c r="S224" s="69">
        <v>150</v>
      </c>
      <c r="T224" s="70">
        <f>IF(registreGarantie[[#This Row],[date paiement]]="","",registreGarantie[[#This Row],[MO
Refusé]]+registreGarantie[[#This Row],[Pièces
Refusés]])</f>
        <v>0</v>
      </c>
      <c r="U224" s="106">
        <v>45644</v>
      </c>
      <c r="V224" s="71">
        <f>IF(registreGarantie[[#This Row],[Pièces 
Demandés]]="","",registreGarantie[[#This Row],[Date]])</f>
        <v>45538.529143518521</v>
      </c>
      <c r="W224" s="103">
        <f>IF(registreGarantie[[#This Row],[Pièces 
Demandés]]="","",IF(registreGarantie[[#This Row],[date paiement]]="","",registreGarantie[[#This Row],[date paiement]]+91))</f>
        <v>45735</v>
      </c>
      <c r="X2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24" s="74">
        <f ca="1">IF(registreGarantie[[#This Row],[Colonne1]]=0,"",IF(TODAY()&gt;registreGarantie[[#This Row],[Date rebus]],0,1))</f>
        <v>0</v>
      </c>
      <c r="Z224" s="66"/>
      <c r="AA224" s="73" t="str">
        <f>IF(AND(registreGarantie[[#This Row],[Montant non remboursé]]&gt;1,registreGarantie[[#This Row],[Montant non remboursé]]&lt;&gt;""),1,"")</f>
        <v/>
      </c>
      <c r="AB224" s="66"/>
      <c r="AC224" s="66"/>
      <c r="AD224" s="87">
        <f t="shared" si="3"/>
        <v>224</v>
      </c>
      <c r="AE224" s="109"/>
    </row>
    <row r="225" spans="1:31" ht="18" customHeight="1" thickBot="1" x14ac:dyDescent="0.4">
      <c r="A225" s="64">
        <v>44925</v>
      </c>
      <c r="B225" s="64">
        <v>5940</v>
      </c>
      <c r="C225" s="106">
        <v>45629</v>
      </c>
      <c r="D225" s="66" t="s">
        <v>1212</v>
      </c>
      <c r="E225" s="66" t="s">
        <v>161</v>
      </c>
      <c r="F225" s="68">
        <v>76007597</v>
      </c>
      <c r="G225" s="66" t="s">
        <v>1390</v>
      </c>
      <c r="H225" s="64" t="s">
        <v>1775</v>
      </c>
      <c r="I225" s="67" t="s">
        <v>5</v>
      </c>
      <c r="J225" s="97">
        <v>404361600</v>
      </c>
      <c r="K225" s="66"/>
      <c r="L225" s="68"/>
      <c r="M225" s="69">
        <v>2.8</v>
      </c>
      <c r="N225" s="69">
        <v>2.8</v>
      </c>
      <c r="O225" s="70">
        <f>IF(registreGarantie[[#This Row],[date paiement]]="","",registreGarantie[[#This Row],[Pièces 
Demandés]]-registreGarantie[[#This Row],[Pièces 
Remboursés]])</f>
        <v>0</v>
      </c>
      <c r="P225" s="69">
        <v>123</v>
      </c>
      <c r="Q225" s="69">
        <v>123</v>
      </c>
      <c r="R225" s="70">
        <f>IF(registreGarantie[[#This Row],[date paiement]]="","",registreGarantie[[#This Row],[MO
Demandé]]-registreGarantie[[#This Row],[MO
Remboursé]])</f>
        <v>0</v>
      </c>
      <c r="S225" s="69"/>
      <c r="T225" s="70">
        <f>IF(registreGarantie[[#This Row],[date paiement]]="","",registreGarantie[[#This Row],[MO
Refusé]]+registreGarantie[[#This Row],[Pièces
Refusés]])</f>
        <v>0</v>
      </c>
      <c r="U225" s="106">
        <v>45644</v>
      </c>
      <c r="V225" s="71">
        <f>IF(registreGarantie[[#This Row],[Pièces 
Demandés]]="","",registreGarantie[[#This Row],[Date]])</f>
        <v>45629</v>
      </c>
      <c r="W225" s="103">
        <f>IF(registreGarantie[[#This Row],[Pièces 
Demandés]]="","",IF(registreGarantie[[#This Row],[date paiement]]="","",registreGarantie[[#This Row],[date paiement]]+91))</f>
        <v>45735</v>
      </c>
      <c r="X2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5" s="74" t="str">
        <f ca="1">IF(registreGarantie[[#This Row],[Colonne1]]=0,"",IF(TODAY()&gt;registreGarantie[[#This Row],[Date rebus]],0,1))</f>
        <v/>
      </c>
      <c r="Z225" s="66"/>
      <c r="AA225" s="73" t="str">
        <f>IF(AND(registreGarantie[[#This Row],[Montant non remboursé]]&gt;1,registreGarantie[[#This Row],[Montant non remboursé]]&lt;&gt;""),1,"")</f>
        <v/>
      </c>
      <c r="AB225" s="66"/>
      <c r="AC225" s="66"/>
      <c r="AD225" s="87">
        <f t="shared" si="3"/>
        <v>225</v>
      </c>
      <c r="AE225" s="109"/>
    </row>
    <row r="226" spans="1:31" ht="18" customHeight="1" thickBot="1" x14ac:dyDescent="0.4">
      <c r="A226" s="64">
        <v>44926</v>
      </c>
      <c r="B226" s="64">
        <v>43269</v>
      </c>
      <c r="C226" s="106">
        <v>45530.475011574075</v>
      </c>
      <c r="D226" s="66" t="s">
        <v>439</v>
      </c>
      <c r="E226" s="66" t="s">
        <v>148</v>
      </c>
      <c r="F226" s="68" t="s">
        <v>2289</v>
      </c>
      <c r="G226" s="66" t="s">
        <v>1807</v>
      </c>
      <c r="H226" s="64">
        <v>1692</v>
      </c>
      <c r="I226" s="67" t="s">
        <v>18</v>
      </c>
      <c r="J226" s="97">
        <v>404370165</v>
      </c>
      <c r="K226" s="66"/>
      <c r="L226" s="68"/>
      <c r="M226" s="69"/>
      <c r="N226" s="69"/>
      <c r="O226" s="70" t="str">
        <f>IF(registreGarantie[[#This Row],[date paiement]]="","",registreGarantie[[#This Row],[Pièces 
Demandés]]-registreGarantie[[#This Row],[Pièces 
Remboursés]])</f>
        <v/>
      </c>
      <c r="P226" s="69"/>
      <c r="Q226" s="69"/>
      <c r="R226" s="70" t="str">
        <f>IF(registreGarantie[[#This Row],[date paiement]]="","",registreGarantie[[#This Row],[MO
Demandé]]-registreGarantie[[#This Row],[MO
Remboursé]])</f>
        <v/>
      </c>
      <c r="S226" s="69"/>
      <c r="T226" s="70" t="str">
        <f>IF(registreGarantie[[#This Row],[date paiement]]="","",registreGarantie[[#This Row],[MO
Refusé]]+registreGarantie[[#This Row],[Pièces
Refusés]])</f>
        <v/>
      </c>
      <c r="U226" s="106"/>
      <c r="V226" s="71" t="str">
        <f>IF(registreGarantie[[#This Row],[Pièces 
Demandés]]="","",registreGarantie[[#This Row],[Date]])</f>
        <v/>
      </c>
      <c r="W226" s="103" t="str">
        <f>IF(registreGarantie[[#This Row],[Pièces 
Demandés]]="","",IF(registreGarantie[[#This Row],[date paiement]]="","",registreGarantie[[#This Row],[date paiement]]+91))</f>
        <v/>
      </c>
      <c r="X2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6" s="74" t="str">
        <f ca="1">IF(registreGarantie[[#This Row],[Colonne1]]=0,"",IF(TODAY()&gt;registreGarantie[[#This Row],[Date rebus]],0,1))</f>
        <v/>
      </c>
      <c r="Z226" s="66"/>
      <c r="AA226" s="73" t="str">
        <f>IF(AND(registreGarantie[[#This Row],[Montant non remboursé]]&gt;1,registreGarantie[[#This Row],[Montant non remboursé]]&lt;&gt;""),1,"")</f>
        <v/>
      </c>
      <c r="AB226" s="66"/>
      <c r="AC226" s="66"/>
      <c r="AD226" s="87">
        <f t="shared" si="3"/>
        <v>226</v>
      </c>
      <c r="AE226" s="109"/>
    </row>
    <row r="227" spans="1:31" ht="18" customHeight="1" thickBot="1" x14ac:dyDescent="0.4">
      <c r="A227" s="64">
        <v>44927</v>
      </c>
      <c r="B227" s="64">
        <v>43274</v>
      </c>
      <c r="C227" s="106">
        <v>45530.488599537035</v>
      </c>
      <c r="D227" s="66" t="s">
        <v>439</v>
      </c>
      <c r="E227" s="66" t="s">
        <v>148</v>
      </c>
      <c r="F227" s="68" t="s">
        <v>2289</v>
      </c>
      <c r="G227" s="66" t="s">
        <v>1808</v>
      </c>
      <c r="H227" s="64">
        <v>1692</v>
      </c>
      <c r="I227" s="67" t="s">
        <v>3</v>
      </c>
      <c r="J227" s="97">
        <v>404370504</v>
      </c>
      <c r="K227" s="66"/>
      <c r="L227" s="68"/>
      <c r="M227" s="69">
        <v>445.01</v>
      </c>
      <c r="N227" s="69">
        <v>445.01</v>
      </c>
      <c r="O227" s="70">
        <f>IF(registreGarantie[[#This Row],[date paiement]]="","",registreGarantie[[#This Row],[Pièces 
Demandés]]-registreGarantie[[#This Row],[Pièces 
Remboursés]])</f>
        <v>0</v>
      </c>
      <c r="P227" s="69">
        <v>61.5</v>
      </c>
      <c r="Q227" s="69">
        <v>61.5</v>
      </c>
      <c r="R227" s="70">
        <f>IF(registreGarantie[[#This Row],[date paiement]]="","",registreGarantie[[#This Row],[MO
Demandé]]-registreGarantie[[#This Row],[MO
Remboursé]])</f>
        <v>0</v>
      </c>
      <c r="S227" s="69" t="s">
        <v>2290</v>
      </c>
      <c r="T227" s="70">
        <f>IF(registreGarantie[[#This Row],[date paiement]]="","",registreGarantie[[#This Row],[MO
Refusé]]+registreGarantie[[#This Row],[Pièces
Refusés]])</f>
        <v>0</v>
      </c>
      <c r="U227" s="106">
        <v>45545</v>
      </c>
      <c r="V227" s="71">
        <f>IF(registreGarantie[[#This Row],[Pièces 
Demandés]]="","",registreGarantie[[#This Row],[Date]])</f>
        <v>45530.488599537035</v>
      </c>
      <c r="W227" s="103">
        <f>IF(registreGarantie[[#This Row],[Pièces 
Demandés]]="","",IF(registreGarantie[[#This Row],[date paiement]]="","",registreGarantie[[#This Row],[date paiement]]+91))</f>
        <v>45636</v>
      </c>
      <c r="X2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27" s="74">
        <f ca="1">IF(registreGarantie[[#This Row],[Colonne1]]=0,"",IF(TODAY()&gt;registreGarantie[[#This Row],[Date rebus]],0,1))</f>
        <v>0</v>
      </c>
      <c r="Z227" s="66"/>
      <c r="AA227" s="73" t="str">
        <f>IF(AND(registreGarantie[[#This Row],[Montant non remboursé]]&gt;1,registreGarantie[[#This Row],[Montant non remboursé]]&lt;&gt;""),1,"")</f>
        <v/>
      </c>
      <c r="AB227" s="66">
        <v>1</v>
      </c>
      <c r="AC227" s="66" t="s">
        <v>1809</v>
      </c>
      <c r="AD227" s="87">
        <f t="shared" si="3"/>
        <v>227</v>
      </c>
      <c r="AE227" s="109"/>
    </row>
    <row r="228" spans="1:31" ht="18" customHeight="1" thickBot="1" x14ac:dyDescent="0.4">
      <c r="A228" s="64">
        <v>44928</v>
      </c>
      <c r="B228" s="64">
        <v>43289</v>
      </c>
      <c r="C228" s="106">
        <v>45530.48909722222</v>
      </c>
      <c r="D228" s="66" t="s">
        <v>439</v>
      </c>
      <c r="E228" s="66" t="s">
        <v>148</v>
      </c>
      <c r="F228" s="68" t="s">
        <v>2289</v>
      </c>
      <c r="G228" s="66" t="s">
        <v>255</v>
      </c>
      <c r="H228" s="64">
        <v>1693</v>
      </c>
      <c r="I228" s="67" t="s">
        <v>3</v>
      </c>
      <c r="J228" s="97">
        <v>404370536</v>
      </c>
      <c r="K228" s="66"/>
      <c r="L228" s="68"/>
      <c r="M228" s="69"/>
      <c r="N228" s="69"/>
      <c r="O228" s="70">
        <f>IF(registreGarantie[[#This Row],[date paiement]]="","",registreGarantie[[#This Row],[Pièces 
Demandés]]-registreGarantie[[#This Row],[Pièces 
Remboursés]])</f>
        <v>0</v>
      </c>
      <c r="P228" s="69">
        <v>61.5</v>
      </c>
      <c r="Q228" s="69">
        <v>61.5</v>
      </c>
      <c r="R228" s="70">
        <f>IF(registreGarantie[[#This Row],[date paiement]]="","",registreGarantie[[#This Row],[MO
Demandé]]-registreGarantie[[#This Row],[MO
Remboursé]])</f>
        <v>0</v>
      </c>
      <c r="S228" s="69" t="s">
        <v>2291</v>
      </c>
      <c r="T228" s="70">
        <f>IF(registreGarantie[[#This Row],[date paiement]]="","",registreGarantie[[#This Row],[MO
Refusé]]+registreGarantie[[#This Row],[Pièces
Refusés]])</f>
        <v>0</v>
      </c>
      <c r="U228" s="106">
        <v>45551</v>
      </c>
      <c r="V228" s="71" t="str">
        <f>IF(registreGarantie[[#This Row],[Pièces 
Demandés]]="","",registreGarantie[[#This Row],[Date]])</f>
        <v/>
      </c>
      <c r="W228" s="103" t="str">
        <f>IF(registreGarantie[[#This Row],[Pièces 
Demandés]]="","",IF(registreGarantie[[#This Row],[date paiement]]="","",registreGarantie[[#This Row],[date paiement]]+91))</f>
        <v/>
      </c>
      <c r="X2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8" s="74" t="str">
        <f ca="1">IF(registreGarantie[[#This Row],[Colonne1]]=0,"",IF(TODAY()&gt;registreGarantie[[#This Row],[Date rebus]],0,1))</f>
        <v/>
      </c>
      <c r="Z228" s="66"/>
      <c r="AA228" s="73" t="str">
        <f>IF(AND(registreGarantie[[#This Row],[Montant non remboursé]]&gt;1,registreGarantie[[#This Row],[Montant non remboursé]]&lt;&gt;""),1,"")</f>
        <v/>
      </c>
      <c r="AB228" s="66"/>
      <c r="AC228" s="66"/>
      <c r="AD228" s="87">
        <f t="shared" si="3"/>
        <v>228</v>
      </c>
      <c r="AE228" s="109"/>
    </row>
    <row r="229" spans="1:31" ht="18" customHeight="1" thickBot="1" x14ac:dyDescent="0.4">
      <c r="A229" s="64">
        <v>44929</v>
      </c>
      <c r="B229" s="64">
        <v>43234</v>
      </c>
      <c r="C229" s="106">
        <v>45530.672199074077</v>
      </c>
      <c r="D229" s="66" t="s">
        <v>411</v>
      </c>
      <c r="E229" s="66" t="s">
        <v>179</v>
      </c>
      <c r="F229" s="68" t="s">
        <v>2347</v>
      </c>
      <c r="G229" s="66" t="s">
        <v>840</v>
      </c>
      <c r="H229" s="64">
        <v>3613</v>
      </c>
      <c r="I229" s="67" t="s">
        <v>18</v>
      </c>
      <c r="J229" s="97">
        <v>404371009</v>
      </c>
      <c r="K229" s="66"/>
      <c r="L229" s="68"/>
      <c r="M229" s="69"/>
      <c r="N229" s="69"/>
      <c r="O229" s="70" t="str">
        <f>IF(registreGarantie[[#This Row],[date paiement]]="","",registreGarantie[[#This Row],[Pièces 
Demandés]]-registreGarantie[[#This Row],[Pièces 
Remboursés]])</f>
        <v/>
      </c>
      <c r="P229" s="69"/>
      <c r="Q229" s="69"/>
      <c r="R229" s="70" t="str">
        <f>IF(registreGarantie[[#This Row],[date paiement]]="","",registreGarantie[[#This Row],[MO
Demandé]]-registreGarantie[[#This Row],[MO
Remboursé]])</f>
        <v/>
      </c>
      <c r="S229" s="69"/>
      <c r="T229" s="70" t="str">
        <f>IF(registreGarantie[[#This Row],[date paiement]]="","",registreGarantie[[#This Row],[MO
Refusé]]+registreGarantie[[#This Row],[Pièces
Refusés]])</f>
        <v/>
      </c>
      <c r="U229" s="106"/>
      <c r="V229" s="71" t="str">
        <f>IF(registreGarantie[[#This Row],[Pièces 
Demandés]]="","",registreGarantie[[#This Row],[Date]])</f>
        <v/>
      </c>
      <c r="W229" s="103" t="str">
        <f>IF(registreGarantie[[#This Row],[Pièces 
Demandés]]="","",IF(registreGarantie[[#This Row],[date paiement]]="","",registreGarantie[[#This Row],[date paiement]]+91))</f>
        <v/>
      </c>
      <c r="X2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29" s="74" t="str">
        <f ca="1">IF(registreGarantie[[#This Row],[Colonne1]]=0,"",IF(TODAY()&gt;registreGarantie[[#This Row],[Date rebus]],0,1))</f>
        <v/>
      </c>
      <c r="Z229" s="66"/>
      <c r="AA229" s="73" t="str">
        <f>IF(AND(registreGarantie[[#This Row],[Montant non remboursé]]&gt;1,registreGarantie[[#This Row],[Montant non remboursé]]&lt;&gt;""),1,"")</f>
        <v/>
      </c>
      <c r="AB229" s="66"/>
      <c r="AC229" s="66"/>
      <c r="AD229" s="87">
        <f t="shared" si="3"/>
        <v>229</v>
      </c>
      <c r="AE229" s="109"/>
    </row>
    <row r="230" spans="1:31" ht="18" customHeight="1" thickBot="1" x14ac:dyDescent="0.4">
      <c r="A230" s="64">
        <v>44930</v>
      </c>
      <c r="B230" s="64">
        <v>43290</v>
      </c>
      <c r="C230" s="106">
        <v>45533.342013888891</v>
      </c>
      <c r="D230" s="66" t="s">
        <v>611</v>
      </c>
      <c r="E230" s="66" t="s">
        <v>45</v>
      </c>
      <c r="F230" s="68" t="s">
        <v>2259</v>
      </c>
      <c r="G230" s="66" t="s">
        <v>1810</v>
      </c>
      <c r="H230" s="64">
        <v>1057</v>
      </c>
      <c r="I230" s="67" t="s">
        <v>3</v>
      </c>
      <c r="J230" s="97">
        <v>404374427</v>
      </c>
      <c r="K230" s="66"/>
      <c r="L230" s="68"/>
      <c r="M230" s="69">
        <v>125.2</v>
      </c>
      <c r="N230" s="69">
        <v>125.2</v>
      </c>
      <c r="O230" s="70">
        <f>IF(registreGarantie[[#This Row],[date paiement]]="","",registreGarantie[[#This Row],[Pièces 
Demandés]]-registreGarantie[[#This Row],[Pièces 
Remboursés]])</f>
        <v>0</v>
      </c>
      <c r="P230" s="69">
        <v>123</v>
      </c>
      <c r="Q230" s="69">
        <v>123</v>
      </c>
      <c r="R230" s="70">
        <f>IF(registreGarantie[[#This Row],[date paiement]]="","",registreGarantie[[#This Row],[MO
Demandé]]-registreGarantie[[#This Row],[MO
Remboursé]])</f>
        <v>0</v>
      </c>
      <c r="S230" s="69">
        <v>150</v>
      </c>
      <c r="T230" s="70">
        <f>IF(registreGarantie[[#This Row],[date paiement]]="","",registreGarantie[[#This Row],[MO
Refusé]]+registreGarantie[[#This Row],[Pièces
Refusés]])</f>
        <v>0</v>
      </c>
      <c r="U230" s="106">
        <v>45545</v>
      </c>
      <c r="V230" s="71">
        <f>IF(registreGarantie[[#This Row],[Pièces 
Demandés]]="","",registreGarantie[[#This Row],[Date]])</f>
        <v>45533.342013888891</v>
      </c>
      <c r="W230" s="103">
        <f>IF(registreGarantie[[#This Row],[Pièces 
Demandés]]="","",IF(registreGarantie[[#This Row],[date paiement]]="","",registreGarantie[[#This Row],[date paiement]]+91))</f>
        <v>45636</v>
      </c>
      <c r="X2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30" s="74">
        <f ca="1">IF(registreGarantie[[#This Row],[Colonne1]]=0,"",IF(TODAY()&gt;registreGarantie[[#This Row],[Date rebus]],0,1))</f>
        <v>0</v>
      </c>
      <c r="Z230" s="66"/>
      <c r="AA230" s="73" t="str">
        <f>IF(AND(registreGarantie[[#This Row],[Montant non remboursé]]&gt;1,registreGarantie[[#This Row],[Montant non remboursé]]&lt;&gt;""),1,"")</f>
        <v/>
      </c>
      <c r="AB230" s="66">
        <v>1</v>
      </c>
      <c r="AC230" s="66" t="s">
        <v>1811</v>
      </c>
      <c r="AD230" s="87">
        <f t="shared" si="3"/>
        <v>230</v>
      </c>
      <c r="AE230" s="109"/>
    </row>
    <row r="231" spans="1:31" ht="18" customHeight="1" thickBot="1" x14ac:dyDescent="0.4">
      <c r="A231" s="64">
        <v>44931</v>
      </c>
      <c r="B231" s="64">
        <v>43315</v>
      </c>
      <c r="C231" s="106">
        <v>45541.604479166665</v>
      </c>
      <c r="D231" s="66" t="s">
        <v>1097</v>
      </c>
      <c r="E231" s="66" t="s">
        <v>533</v>
      </c>
      <c r="F231" s="68" t="s">
        <v>2314</v>
      </c>
      <c r="G231" s="66" t="s">
        <v>898</v>
      </c>
      <c r="H231" s="64">
        <v>12805</v>
      </c>
      <c r="I231" s="67" t="s">
        <v>18</v>
      </c>
      <c r="J231" s="97">
        <v>404385134</v>
      </c>
      <c r="K231" s="66"/>
      <c r="L231" s="68"/>
      <c r="M231" s="69"/>
      <c r="N231" s="69"/>
      <c r="O231" s="70" t="str">
        <f>IF(registreGarantie[[#This Row],[date paiement]]="","",registreGarantie[[#This Row],[Pièces 
Demandés]]-registreGarantie[[#This Row],[Pièces 
Remboursés]])</f>
        <v/>
      </c>
      <c r="P231" s="69"/>
      <c r="Q231" s="69"/>
      <c r="R231" s="70" t="str">
        <f>IF(registreGarantie[[#This Row],[date paiement]]="","",registreGarantie[[#This Row],[MO
Demandé]]-registreGarantie[[#This Row],[MO
Remboursé]])</f>
        <v/>
      </c>
      <c r="S231" s="69"/>
      <c r="T231" s="70" t="str">
        <f>IF(registreGarantie[[#This Row],[date paiement]]="","",registreGarantie[[#This Row],[MO
Refusé]]+registreGarantie[[#This Row],[Pièces
Refusés]])</f>
        <v/>
      </c>
      <c r="U231" s="106"/>
      <c r="V231" s="71" t="str">
        <f>IF(registreGarantie[[#This Row],[Pièces 
Demandés]]="","",registreGarantie[[#This Row],[Date]])</f>
        <v/>
      </c>
      <c r="W231" s="103" t="str">
        <f>IF(registreGarantie[[#This Row],[Pièces 
Demandés]]="","",IF(registreGarantie[[#This Row],[date paiement]]="","",registreGarantie[[#This Row],[date paiement]]+91))</f>
        <v/>
      </c>
      <c r="X2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1" s="74" t="str">
        <f ca="1">IF(registreGarantie[[#This Row],[Colonne1]]=0,"",IF(TODAY()&gt;registreGarantie[[#This Row],[Date rebus]],0,1))</f>
        <v/>
      </c>
      <c r="Z231" s="66"/>
      <c r="AA231" s="73" t="str">
        <f>IF(AND(registreGarantie[[#This Row],[Montant non remboursé]]&gt;1,registreGarantie[[#This Row],[Montant non remboursé]]&lt;&gt;""),1,"")</f>
        <v/>
      </c>
      <c r="AB231" s="66"/>
      <c r="AC231" s="66"/>
      <c r="AD231" s="87">
        <f t="shared" si="3"/>
        <v>231</v>
      </c>
      <c r="AE231" s="109"/>
    </row>
    <row r="232" spans="1:31" ht="18" customHeight="1" thickBot="1" x14ac:dyDescent="0.4">
      <c r="A232" s="64">
        <v>44932</v>
      </c>
      <c r="B232" s="64">
        <v>43316</v>
      </c>
      <c r="C232" s="106">
        <v>45541.63621527778</v>
      </c>
      <c r="D232" s="66" t="s">
        <v>1097</v>
      </c>
      <c r="E232" s="66" t="s">
        <v>533</v>
      </c>
      <c r="F232" s="68" t="s">
        <v>2315</v>
      </c>
      <c r="G232" s="66" t="s">
        <v>1812</v>
      </c>
      <c r="H232" s="64">
        <v>10530</v>
      </c>
      <c r="I232" s="67" t="s">
        <v>18</v>
      </c>
      <c r="J232" s="97">
        <v>404385209</v>
      </c>
      <c r="K232" s="66"/>
      <c r="L232" s="68"/>
      <c r="M232" s="69"/>
      <c r="N232" s="69"/>
      <c r="O232" s="70" t="str">
        <f>IF(registreGarantie[[#This Row],[date paiement]]="","",registreGarantie[[#This Row],[Pièces 
Demandés]]-registreGarantie[[#This Row],[Pièces 
Remboursés]])</f>
        <v/>
      </c>
      <c r="P232" s="69"/>
      <c r="Q232" s="69"/>
      <c r="R232" s="70" t="str">
        <f>IF(registreGarantie[[#This Row],[date paiement]]="","",registreGarantie[[#This Row],[MO
Demandé]]-registreGarantie[[#This Row],[MO
Remboursé]])</f>
        <v/>
      </c>
      <c r="S232" s="69"/>
      <c r="T232" s="70" t="str">
        <f>IF(registreGarantie[[#This Row],[date paiement]]="","",registreGarantie[[#This Row],[MO
Refusé]]+registreGarantie[[#This Row],[Pièces
Refusés]])</f>
        <v/>
      </c>
      <c r="U232" s="106"/>
      <c r="V232" s="71" t="str">
        <f>IF(registreGarantie[[#This Row],[Pièces 
Demandés]]="","",registreGarantie[[#This Row],[Date]])</f>
        <v/>
      </c>
      <c r="W232" s="103" t="str">
        <f>IF(registreGarantie[[#This Row],[Pièces 
Demandés]]="","",IF(registreGarantie[[#This Row],[date paiement]]="","",registreGarantie[[#This Row],[date paiement]]+91))</f>
        <v/>
      </c>
      <c r="X2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2" s="74" t="str">
        <f ca="1">IF(registreGarantie[[#This Row],[Colonne1]]=0,"",IF(TODAY()&gt;registreGarantie[[#This Row],[Date rebus]],0,1))</f>
        <v/>
      </c>
      <c r="Z232" s="66"/>
      <c r="AA232" s="73" t="str">
        <f>IF(AND(registreGarantie[[#This Row],[Montant non remboursé]]&gt;1,registreGarantie[[#This Row],[Montant non remboursé]]&lt;&gt;""),1,"")</f>
        <v/>
      </c>
      <c r="AB232" s="66"/>
      <c r="AC232" s="66"/>
      <c r="AD232" s="87">
        <f t="shared" si="3"/>
        <v>232</v>
      </c>
      <c r="AE232" s="109"/>
    </row>
    <row r="233" spans="1:31" ht="18" customHeight="1" thickBot="1" x14ac:dyDescent="0.4">
      <c r="A233" s="64">
        <v>44933</v>
      </c>
      <c r="B233" s="64">
        <v>43320</v>
      </c>
      <c r="C233" s="106">
        <v>45541.662627314814</v>
      </c>
      <c r="D233" s="66" t="s">
        <v>1097</v>
      </c>
      <c r="E233" s="66" t="s">
        <v>533</v>
      </c>
      <c r="F233" s="68" t="s">
        <v>2316</v>
      </c>
      <c r="G233" s="66" t="s">
        <v>485</v>
      </c>
      <c r="H233" s="64">
        <v>3072</v>
      </c>
      <c r="I233" s="67" t="s">
        <v>18</v>
      </c>
      <c r="J233" s="97">
        <v>404385261</v>
      </c>
      <c r="K233" s="66"/>
      <c r="L233" s="68"/>
      <c r="M233" s="69"/>
      <c r="N233" s="69"/>
      <c r="O233" s="70" t="str">
        <f>IF(registreGarantie[[#This Row],[date paiement]]="","",registreGarantie[[#This Row],[Pièces 
Demandés]]-registreGarantie[[#This Row],[Pièces 
Remboursés]])</f>
        <v/>
      </c>
      <c r="P233" s="69"/>
      <c r="Q233" s="69"/>
      <c r="R233" s="70" t="str">
        <f>IF(registreGarantie[[#This Row],[date paiement]]="","",registreGarantie[[#This Row],[MO
Demandé]]-registreGarantie[[#This Row],[MO
Remboursé]])</f>
        <v/>
      </c>
      <c r="S233" s="69"/>
      <c r="T233" s="70" t="str">
        <f>IF(registreGarantie[[#This Row],[date paiement]]="","",registreGarantie[[#This Row],[MO
Refusé]]+registreGarantie[[#This Row],[Pièces
Refusés]])</f>
        <v/>
      </c>
      <c r="U233" s="106"/>
      <c r="V233" s="71" t="str">
        <f>IF(registreGarantie[[#This Row],[Pièces 
Demandés]]="","",registreGarantie[[#This Row],[Date]])</f>
        <v/>
      </c>
      <c r="W233" s="103" t="str">
        <f>IF(registreGarantie[[#This Row],[Pièces 
Demandés]]="","",IF(registreGarantie[[#This Row],[date paiement]]="","",registreGarantie[[#This Row],[date paiement]]+91))</f>
        <v/>
      </c>
      <c r="X2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3" s="74" t="str">
        <f ca="1">IF(registreGarantie[[#This Row],[Colonne1]]=0,"",IF(TODAY()&gt;registreGarantie[[#This Row],[Date rebus]],0,1))</f>
        <v/>
      </c>
      <c r="Z233" s="66"/>
      <c r="AA233" s="73" t="str">
        <f>IF(AND(registreGarantie[[#This Row],[Montant non remboursé]]&gt;1,registreGarantie[[#This Row],[Montant non remboursé]]&lt;&gt;""),1,"")</f>
        <v/>
      </c>
      <c r="AB233" s="66"/>
      <c r="AC233" s="66"/>
      <c r="AD233" s="87">
        <f t="shared" si="3"/>
        <v>233</v>
      </c>
      <c r="AE233" s="109"/>
    </row>
    <row r="234" spans="1:31" ht="18" customHeight="1" thickBot="1" x14ac:dyDescent="0.4">
      <c r="A234" s="64">
        <v>44934</v>
      </c>
      <c r="B234" s="64">
        <v>43326</v>
      </c>
      <c r="C234" s="106">
        <v>45541.691828703704</v>
      </c>
      <c r="D234" s="66" t="s">
        <v>1097</v>
      </c>
      <c r="E234" s="66" t="s">
        <v>32</v>
      </c>
      <c r="F234" s="68" t="s">
        <v>2317</v>
      </c>
      <c r="G234" s="66" t="s">
        <v>1813</v>
      </c>
      <c r="H234" s="64">
        <v>3688</v>
      </c>
      <c r="I234" s="67" t="s">
        <v>18</v>
      </c>
      <c r="J234" s="97">
        <v>404385354</v>
      </c>
      <c r="K234" s="66"/>
      <c r="L234" s="68"/>
      <c r="M234" s="69"/>
      <c r="N234" s="69"/>
      <c r="O234" s="70" t="str">
        <f>IF(registreGarantie[[#This Row],[date paiement]]="","",registreGarantie[[#This Row],[Pièces 
Demandés]]-registreGarantie[[#This Row],[Pièces 
Remboursés]])</f>
        <v/>
      </c>
      <c r="P234" s="69"/>
      <c r="Q234" s="69"/>
      <c r="R234" s="70" t="str">
        <f>IF(registreGarantie[[#This Row],[date paiement]]="","",registreGarantie[[#This Row],[MO
Demandé]]-registreGarantie[[#This Row],[MO
Remboursé]])</f>
        <v/>
      </c>
      <c r="S234" s="69"/>
      <c r="T234" s="70" t="str">
        <f>IF(registreGarantie[[#This Row],[date paiement]]="","",registreGarantie[[#This Row],[MO
Refusé]]+registreGarantie[[#This Row],[Pièces
Refusés]])</f>
        <v/>
      </c>
      <c r="U234" s="106"/>
      <c r="V234" s="71" t="str">
        <f>IF(registreGarantie[[#This Row],[Pièces 
Demandés]]="","",registreGarantie[[#This Row],[Date]])</f>
        <v/>
      </c>
      <c r="W234" s="103" t="str">
        <f>IF(registreGarantie[[#This Row],[Pièces 
Demandés]]="","",IF(registreGarantie[[#This Row],[date paiement]]="","",registreGarantie[[#This Row],[date paiement]]+91))</f>
        <v/>
      </c>
      <c r="X2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4" s="74" t="str">
        <f ca="1">IF(registreGarantie[[#This Row],[Colonne1]]=0,"",IF(TODAY()&gt;registreGarantie[[#This Row],[Date rebus]],0,1))</f>
        <v/>
      </c>
      <c r="Z234" s="66"/>
      <c r="AA234" s="73" t="str">
        <f>IF(AND(registreGarantie[[#This Row],[Montant non remboursé]]&gt;1,registreGarantie[[#This Row],[Montant non remboursé]]&lt;&gt;""),1,"")</f>
        <v/>
      </c>
      <c r="AB234" s="66"/>
      <c r="AC234" s="66"/>
      <c r="AD234" s="87">
        <f t="shared" si="3"/>
        <v>234</v>
      </c>
      <c r="AE234" s="109"/>
    </row>
    <row r="235" spans="1:31" ht="18" customHeight="1" thickBot="1" x14ac:dyDescent="0.4">
      <c r="A235" s="64">
        <v>44935</v>
      </c>
      <c r="B235" s="64">
        <v>5952</v>
      </c>
      <c r="C235" s="106">
        <v>45555.556481481479</v>
      </c>
      <c r="D235" s="66" t="s">
        <v>239</v>
      </c>
      <c r="E235" s="66" t="s">
        <v>546</v>
      </c>
      <c r="F235" s="68">
        <v>78410241</v>
      </c>
      <c r="G235" s="66" t="s">
        <v>787</v>
      </c>
      <c r="H235" s="64">
        <v>701</v>
      </c>
      <c r="I235" s="67" t="s">
        <v>20</v>
      </c>
      <c r="J235" s="97">
        <v>404392895</v>
      </c>
      <c r="K235" s="66"/>
      <c r="L235" s="68"/>
      <c r="M235" s="69">
        <v>284.12</v>
      </c>
      <c r="N235" s="69">
        <v>284.12</v>
      </c>
      <c r="O235" s="70" t="str">
        <f>IF(registreGarantie[[#This Row],[date paiement]]="","",registreGarantie[[#This Row],[Pièces 
Demandés]]-registreGarantie[[#This Row],[Pièces 
Remboursés]])</f>
        <v/>
      </c>
      <c r="P235" s="69">
        <v>2383.13</v>
      </c>
      <c r="Q235" s="69">
        <v>1845</v>
      </c>
      <c r="R235" s="70" t="str">
        <f>IF(registreGarantie[[#This Row],[date paiement]]="","",registreGarantie[[#This Row],[MO
Demandé]]-registreGarantie[[#This Row],[MO
Remboursé]])</f>
        <v/>
      </c>
      <c r="S235" s="69"/>
      <c r="T235" s="70" t="str">
        <f>IF(registreGarantie[[#This Row],[date paiement]]="","",registreGarantie[[#This Row],[MO
Refusé]]+registreGarantie[[#This Row],[Pièces
Refusés]])</f>
        <v/>
      </c>
      <c r="U235" s="106"/>
      <c r="V235" s="71">
        <f>IF(registreGarantie[[#This Row],[Pièces 
Demandés]]="","",registreGarantie[[#This Row],[Date]])</f>
        <v>45555.556481481479</v>
      </c>
      <c r="W235" s="103" t="str">
        <f>IF(registreGarantie[[#This Row],[Pièces 
Demandés]]="","",IF(registreGarantie[[#This Row],[date paiement]]="","",registreGarantie[[#This Row],[date paiement]]+91))</f>
        <v/>
      </c>
      <c r="X2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5" s="74" t="str">
        <f ca="1">IF(registreGarantie[[#This Row],[Colonne1]]=0,"",IF(TODAY()&gt;registreGarantie[[#This Row],[Date rebus]],0,1))</f>
        <v/>
      </c>
      <c r="Z235" s="66"/>
      <c r="AA235" s="73" t="str">
        <f>IF(AND(registreGarantie[[#This Row],[Montant non remboursé]]&gt;1,registreGarantie[[#This Row],[Montant non remboursé]]&lt;&gt;""),1,"")</f>
        <v/>
      </c>
      <c r="AB235" s="66"/>
      <c r="AC235" s="66"/>
      <c r="AD235" s="87">
        <f t="shared" si="3"/>
        <v>235</v>
      </c>
      <c r="AE235" s="109"/>
    </row>
    <row r="236" spans="1:31" ht="18" customHeight="1" thickBot="1" x14ac:dyDescent="0.4">
      <c r="A236" s="64">
        <v>44935</v>
      </c>
      <c r="B236" s="64">
        <v>5952</v>
      </c>
      <c r="C236" s="106">
        <v>45555.556481481479</v>
      </c>
      <c r="D236" s="66" t="s">
        <v>239</v>
      </c>
      <c r="E236" s="66" t="s">
        <v>546</v>
      </c>
      <c r="F236" s="68">
        <v>78410241</v>
      </c>
      <c r="G236" s="66" t="s">
        <v>787</v>
      </c>
      <c r="H236" s="64">
        <v>701</v>
      </c>
      <c r="I236" s="67" t="s">
        <v>2</v>
      </c>
      <c r="J236" s="97">
        <v>404392895</v>
      </c>
      <c r="K236" s="66"/>
      <c r="L236" s="68"/>
      <c r="M236" s="69">
        <v>284.12</v>
      </c>
      <c r="N236" s="69">
        <v>284.12</v>
      </c>
      <c r="O236" s="70">
        <f>IF(registreGarantie[[#This Row],[date paiement]]="","",registreGarantie[[#This Row],[Pièces 
Demandés]]-registreGarantie[[#This Row],[Pièces 
Remboursés]])</f>
        <v>0</v>
      </c>
      <c r="P236" s="69">
        <v>2383.13</v>
      </c>
      <c r="Q236" s="69">
        <v>1845</v>
      </c>
      <c r="R236" s="70">
        <f>IF(registreGarantie[[#This Row],[date paiement]]="","",registreGarantie[[#This Row],[MO
Demandé]]-registreGarantie[[#This Row],[MO
Remboursé]])</f>
        <v>538.13000000000011</v>
      </c>
      <c r="S236" s="69"/>
      <c r="T236" s="70">
        <f>IF(registreGarantie[[#This Row],[date paiement]]="","",registreGarantie[[#This Row],[MO
Refusé]]+registreGarantie[[#This Row],[Pièces
Refusés]])</f>
        <v>538.13000000000011</v>
      </c>
      <c r="U236" s="106">
        <v>45628</v>
      </c>
      <c r="V236" s="71">
        <f>IF(registreGarantie[[#This Row],[Pièces 
Demandés]]="","",registreGarantie[[#This Row],[Date]])</f>
        <v>45555.556481481479</v>
      </c>
      <c r="W236" s="103">
        <f>IF(registreGarantie[[#This Row],[Pièces 
Demandés]]="","",IF(registreGarantie[[#This Row],[date paiement]]="","",registreGarantie[[#This Row],[date paiement]]+91))</f>
        <v>45719</v>
      </c>
      <c r="X2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36" s="74">
        <f ca="1">IF(registreGarantie[[#This Row],[Colonne1]]=0,"",IF(TODAY()&gt;registreGarantie[[#This Row],[Date rebus]],0,1))</f>
        <v>0</v>
      </c>
      <c r="Z236" s="66" t="s">
        <v>1814</v>
      </c>
      <c r="AA236" s="73">
        <f>IF(AND(registreGarantie[[#This Row],[Montant non remboursé]]&gt;1,registreGarantie[[#This Row],[Montant non remboursé]]&lt;&gt;""),1,"")</f>
        <v>1</v>
      </c>
      <c r="AB236" s="66"/>
      <c r="AC236" s="66"/>
      <c r="AD236" s="87">
        <f t="shared" si="3"/>
        <v>236</v>
      </c>
      <c r="AE236" s="109"/>
    </row>
    <row r="237" spans="1:31" ht="18" customHeight="1" thickBot="1" x14ac:dyDescent="0.4">
      <c r="A237" s="64">
        <v>44936</v>
      </c>
      <c r="B237" s="64">
        <v>5954</v>
      </c>
      <c r="C237" s="106">
        <v>45548.465601851851</v>
      </c>
      <c r="D237" s="66" t="s">
        <v>239</v>
      </c>
      <c r="E237" s="66" t="s">
        <v>546</v>
      </c>
      <c r="F237" s="68">
        <v>78410241</v>
      </c>
      <c r="G237" s="66" t="s">
        <v>1815</v>
      </c>
      <c r="H237" s="64">
        <v>701</v>
      </c>
      <c r="I237" s="67" t="s">
        <v>20</v>
      </c>
      <c r="J237" s="97">
        <v>404393319</v>
      </c>
      <c r="K237" s="66"/>
      <c r="L237" s="68"/>
      <c r="M237" s="69"/>
      <c r="N237" s="69"/>
      <c r="O237" s="70" t="str">
        <f>IF(registreGarantie[[#This Row],[date paiement]]="","",registreGarantie[[#This Row],[Pièces 
Demandés]]-registreGarantie[[#This Row],[Pièces 
Remboursés]])</f>
        <v/>
      </c>
      <c r="P237" s="69"/>
      <c r="Q237" s="69"/>
      <c r="R237" s="70" t="str">
        <f>IF(registreGarantie[[#This Row],[date paiement]]="","",registreGarantie[[#This Row],[MO
Demandé]]-registreGarantie[[#This Row],[MO
Remboursé]])</f>
        <v/>
      </c>
      <c r="S237" s="69"/>
      <c r="T237" s="70" t="str">
        <f>IF(registreGarantie[[#This Row],[date paiement]]="","",registreGarantie[[#This Row],[MO
Refusé]]+registreGarantie[[#This Row],[Pièces
Refusés]])</f>
        <v/>
      </c>
      <c r="U237" s="106"/>
      <c r="V237" s="71" t="str">
        <f>IF(registreGarantie[[#This Row],[Pièces 
Demandés]]="","",registreGarantie[[#This Row],[Date]])</f>
        <v/>
      </c>
      <c r="W237" s="103" t="str">
        <f>IF(registreGarantie[[#This Row],[Pièces 
Demandés]]="","",IF(registreGarantie[[#This Row],[date paiement]]="","",registreGarantie[[#This Row],[date paiement]]+91))</f>
        <v/>
      </c>
      <c r="X2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7" s="74" t="str">
        <f ca="1">IF(registreGarantie[[#This Row],[Colonne1]]=0,"",IF(TODAY()&gt;registreGarantie[[#This Row],[Date rebus]],0,1))</f>
        <v/>
      </c>
      <c r="Z237" s="66"/>
      <c r="AA237" s="73" t="str">
        <f>IF(AND(registreGarantie[[#This Row],[Montant non remboursé]]&gt;1,registreGarantie[[#This Row],[Montant non remboursé]]&lt;&gt;""),1,"")</f>
        <v/>
      </c>
      <c r="AB237" s="66"/>
      <c r="AC237" s="66"/>
      <c r="AD237" s="87">
        <f t="shared" si="3"/>
        <v>237</v>
      </c>
      <c r="AE237" s="109"/>
    </row>
    <row r="238" spans="1:31" ht="18" customHeight="1" thickBot="1" x14ac:dyDescent="0.4">
      <c r="A238" s="64">
        <v>44936</v>
      </c>
      <c r="B238" s="64">
        <v>5954</v>
      </c>
      <c r="C238" s="106">
        <v>45555.556979166664</v>
      </c>
      <c r="D238" s="66" t="s">
        <v>239</v>
      </c>
      <c r="E238" s="66" t="s">
        <v>546</v>
      </c>
      <c r="F238" s="68">
        <v>78410241</v>
      </c>
      <c r="G238" s="66" t="s">
        <v>1815</v>
      </c>
      <c r="H238" s="64">
        <v>701</v>
      </c>
      <c r="I238" s="67" t="s">
        <v>2</v>
      </c>
      <c r="J238" s="97">
        <v>404393319</v>
      </c>
      <c r="K238" s="66"/>
      <c r="L238" s="68"/>
      <c r="M238" s="69">
        <v>192.97</v>
      </c>
      <c r="N238" s="69">
        <v>192.97</v>
      </c>
      <c r="O238" s="70">
        <f>IF(registreGarantie[[#This Row],[date paiement]]="","",registreGarantie[[#This Row],[Pièces 
Demandés]]-registreGarantie[[#This Row],[Pièces 
Remboursés]])</f>
        <v>0</v>
      </c>
      <c r="P238" s="69">
        <v>61.5</v>
      </c>
      <c r="Q238" s="69">
        <v>61.5</v>
      </c>
      <c r="R238" s="70">
        <f>IF(registreGarantie[[#This Row],[date paiement]]="","",registreGarantie[[#This Row],[MO
Demandé]]-registreGarantie[[#This Row],[MO
Remboursé]])</f>
        <v>0</v>
      </c>
      <c r="S238" s="69"/>
      <c r="T238" s="70">
        <f>IF(registreGarantie[[#This Row],[date paiement]]="","",registreGarantie[[#This Row],[MO
Refusé]]+registreGarantie[[#This Row],[Pièces
Refusés]])</f>
        <v>0</v>
      </c>
      <c r="U238" s="106">
        <v>45581</v>
      </c>
      <c r="V238" s="71">
        <f>IF(registreGarantie[[#This Row],[Pièces 
Demandés]]="","",registreGarantie[[#This Row],[Date]])</f>
        <v>45555.556979166664</v>
      </c>
      <c r="W238" s="103">
        <f>IF(registreGarantie[[#This Row],[Pièces 
Demandés]]="","",IF(registreGarantie[[#This Row],[date paiement]]="","",registreGarantie[[#This Row],[date paiement]]+91))</f>
        <v>45672</v>
      </c>
      <c r="X2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38" s="74">
        <f ca="1">IF(registreGarantie[[#This Row],[Colonne1]]=0,"",IF(TODAY()&gt;registreGarantie[[#This Row],[Date rebus]],0,1))</f>
        <v>0</v>
      </c>
      <c r="Z238" s="66"/>
      <c r="AA238" s="73" t="str">
        <f>IF(AND(registreGarantie[[#This Row],[Montant non remboursé]]&gt;1,registreGarantie[[#This Row],[Montant non remboursé]]&lt;&gt;""),1,"")</f>
        <v/>
      </c>
      <c r="AB238" s="66"/>
      <c r="AC238" s="66"/>
      <c r="AD238" s="87">
        <f t="shared" si="3"/>
        <v>238</v>
      </c>
      <c r="AE238" s="109"/>
    </row>
    <row r="239" spans="1:31" ht="18" customHeight="1" thickBot="1" x14ac:dyDescent="0.4">
      <c r="A239" s="64">
        <v>44937</v>
      </c>
      <c r="B239" s="64">
        <v>5955</v>
      </c>
      <c r="C239" s="106">
        <v>45548.656504629631</v>
      </c>
      <c r="D239" s="66" t="s">
        <v>239</v>
      </c>
      <c r="E239" s="66" t="s">
        <v>546</v>
      </c>
      <c r="F239" s="68">
        <v>78410241</v>
      </c>
      <c r="G239" s="66" t="s">
        <v>1816</v>
      </c>
      <c r="H239" s="64">
        <v>701</v>
      </c>
      <c r="I239" s="67" t="s">
        <v>20</v>
      </c>
      <c r="J239" s="97">
        <v>404393448</v>
      </c>
      <c r="K239" s="66"/>
      <c r="L239" s="68"/>
      <c r="M239" s="69"/>
      <c r="N239" s="69"/>
      <c r="O239" s="70" t="str">
        <f>IF(registreGarantie[[#This Row],[date paiement]]="","",registreGarantie[[#This Row],[Pièces 
Demandés]]-registreGarantie[[#This Row],[Pièces 
Remboursés]])</f>
        <v/>
      </c>
      <c r="P239" s="69"/>
      <c r="Q239" s="69"/>
      <c r="R239" s="70" t="str">
        <f>IF(registreGarantie[[#This Row],[date paiement]]="","",registreGarantie[[#This Row],[MO
Demandé]]-registreGarantie[[#This Row],[MO
Remboursé]])</f>
        <v/>
      </c>
      <c r="S239" s="69"/>
      <c r="T239" s="70" t="str">
        <f>IF(registreGarantie[[#This Row],[date paiement]]="","",registreGarantie[[#This Row],[MO
Refusé]]+registreGarantie[[#This Row],[Pièces
Refusés]])</f>
        <v/>
      </c>
      <c r="U239" s="106"/>
      <c r="V239" s="71" t="str">
        <f>IF(registreGarantie[[#This Row],[Pièces 
Demandés]]="","",registreGarantie[[#This Row],[Date]])</f>
        <v/>
      </c>
      <c r="W239" s="103" t="str">
        <f>IF(registreGarantie[[#This Row],[Pièces 
Demandés]]="","",IF(registreGarantie[[#This Row],[date paiement]]="","",registreGarantie[[#This Row],[date paiement]]+91))</f>
        <v/>
      </c>
      <c r="X2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39" s="74" t="str">
        <f ca="1">IF(registreGarantie[[#This Row],[Colonne1]]=0,"",IF(TODAY()&gt;registreGarantie[[#This Row],[Date rebus]],0,1))</f>
        <v/>
      </c>
      <c r="Z239" s="66"/>
      <c r="AA239" s="73" t="str">
        <f>IF(AND(registreGarantie[[#This Row],[Montant non remboursé]]&gt;1,registreGarantie[[#This Row],[Montant non remboursé]]&lt;&gt;""),1,"")</f>
        <v/>
      </c>
      <c r="AB239" s="66"/>
      <c r="AC239" s="66"/>
      <c r="AD239" s="87">
        <f t="shared" si="3"/>
        <v>239</v>
      </c>
      <c r="AE239" s="109"/>
    </row>
    <row r="240" spans="1:31" ht="18" customHeight="1" thickBot="1" x14ac:dyDescent="0.4">
      <c r="A240" s="64">
        <v>44937</v>
      </c>
      <c r="B240" s="64">
        <v>5955</v>
      </c>
      <c r="C240" s="106">
        <v>45555.557002314818</v>
      </c>
      <c r="D240" s="66" t="s">
        <v>239</v>
      </c>
      <c r="E240" s="66" t="s">
        <v>546</v>
      </c>
      <c r="F240" s="68">
        <v>78410241</v>
      </c>
      <c r="G240" s="66" t="s">
        <v>1816</v>
      </c>
      <c r="H240" s="64">
        <v>701</v>
      </c>
      <c r="I240" s="67" t="s">
        <v>2</v>
      </c>
      <c r="J240" s="97">
        <v>404393448</v>
      </c>
      <c r="K240" s="66"/>
      <c r="L240" s="68"/>
      <c r="M240" s="69">
        <v>39.69</v>
      </c>
      <c r="N240" s="69">
        <v>39.69</v>
      </c>
      <c r="O240" s="70">
        <f>IF(registreGarantie[[#This Row],[date paiement]]="","",registreGarantie[[#This Row],[Pièces 
Demandés]]-registreGarantie[[#This Row],[Pièces 
Remboursés]])</f>
        <v>0</v>
      </c>
      <c r="P240" s="69">
        <v>76.88</v>
      </c>
      <c r="Q240" s="69">
        <v>76.88</v>
      </c>
      <c r="R240" s="70">
        <f>IF(registreGarantie[[#This Row],[date paiement]]="","",registreGarantie[[#This Row],[MO
Demandé]]-registreGarantie[[#This Row],[MO
Remboursé]])</f>
        <v>0</v>
      </c>
      <c r="S240" s="69"/>
      <c r="T240" s="70">
        <f>IF(registreGarantie[[#This Row],[date paiement]]="","",registreGarantie[[#This Row],[MO
Refusé]]+registreGarantie[[#This Row],[Pièces
Refusés]])</f>
        <v>0</v>
      </c>
      <c r="U240" s="106">
        <v>45581</v>
      </c>
      <c r="V240" s="71">
        <f>IF(registreGarantie[[#This Row],[Pièces 
Demandés]]="","",registreGarantie[[#This Row],[Date]])</f>
        <v>45555.557002314818</v>
      </c>
      <c r="W240" s="103">
        <f>IF(registreGarantie[[#This Row],[Pièces 
Demandés]]="","",IF(registreGarantie[[#This Row],[date paiement]]="","",registreGarantie[[#This Row],[date paiement]]+91))</f>
        <v>45672</v>
      </c>
      <c r="X2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40" s="74">
        <f ca="1">IF(registreGarantie[[#This Row],[Colonne1]]=0,"",IF(TODAY()&gt;registreGarantie[[#This Row],[Date rebus]],0,1))</f>
        <v>0</v>
      </c>
      <c r="Z240" s="66"/>
      <c r="AA240" s="73" t="str">
        <f>IF(AND(registreGarantie[[#This Row],[Montant non remboursé]]&gt;1,registreGarantie[[#This Row],[Montant non remboursé]]&lt;&gt;""),1,"")</f>
        <v/>
      </c>
      <c r="AB240" s="66"/>
      <c r="AC240" s="66"/>
      <c r="AD240" s="87">
        <f t="shared" si="3"/>
        <v>240</v>
      </c>
      <c r="AE240" s="109"/>
    </row>
    <row r="241" spans="1:31" ht="18" customHeight="1" thickBot="1" x14ac:dyDescent="0.4">
      <c r="A241" s="64">
        <v>44938</v>
      </c>
      <c r="B241" s="64">
        <v>43151</v>
      </c>
      <c r="C241" s="106">
        <v>45553.395092592589</v>
      </c>
      <c r="D241" s="66" t="s">
        <v>758</v>
      </c>
      <c r="E241" s="66" t="s">
        <v>797</v>
      </c>
      <c r="F241" s="68"/>
      <c r="G241" s="66" t="s">
        <v>78</v>
      </c>
      <c r="H241" s="64" t="s">
        <v>1817</v>
      </c>
      <c r="I241" s="67" t="s">
        <v>21</v>
      </c>
      <c r="J241" s="97" t="s">
        <v>1818</v>
      </c>
      <c r="K241" s="66"/>
      <c r="L241" s="68"/>
      <c r="M241" s="69">
        <v>3680.96</v>
      </c>
      <c r="N241" s="69">
        <v>3680.96</v>
      </c>
      <c r="O241" s="70">
        <f>IF(registreGarantie[[#This Row],[date paiement]]="","",registreGarantie[[#This Row],[Pièces 
Demandés]]-registreGarantie[[#This Row],[Pièces 
Remboursés]])</f>
        <v>0</v>
      </c>
      <c r="P241" s="69">
        <v>51</v>
      </c>
      <c r="Q241" s="69">
        <v>51</v>
      </c>
      <c r="R241" s="70">
        <f>IF(registreGarantie[[#This Row],[date paiement]]="","",registreGarantie[[#This Row],[MO
Demandé]]-registreGarantie[[#This Row],[MO
Remboursé]])</f>
        <v>0</v>
      </c>
      <c r="S241" s="69"/>
      <c r="T241" s="70">
        <f>IF(registreGarantie[[#This Row],[date paiement]]="","",registreGarantie[[#This Row],[MO
Refusé]]+registreGarantie[[#This Row],[Pièces
Refusés]])</f>
        <v>0</v>
      </c>
      <c r="U241" s="106">
        <v>45721</v>
      </c>
      <c r="V241" s="71">
        <f>IF(registreGarantie[[#This Row],[Pièces 
Demandés]]="","",registreGarantie[[#This Row],[Date]])</f>
        <v>45553.395092592589</v>
      </c>
      <c r="W241" s="103">
        <f>IF(registreGarantie[[#This Row],[Pièces 
Demandés]]="","",IF(registreGarantie[[#This Row],[date paiement]]="","",registreGarantie[[#This Row],[date paiement]]+91))</f>
        <v>45812</v>
      </c>
      <c r="X2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1" s="74" t="str">
        <f ca="1">IF(registreGarantie[[#This Row],[Colonne1]]=0,"",IF(TODAY()&gt;registreGarantie[[#This Row],[Date rebus]],0,1))</f>
        <v/>
      </c>
      <c r="Z241" s="66"/>
      <c r="AA241" s="73" t="str">
        <f>IF(AND(registreGarantie[[#This Row],[Montant non remboursé]]&gt;1,registreGarantie[[#This Row],[Montant non remboursé]]&lt;&gt;""),1,"")</f>
        <v/>
      </c>
      <c r="AB241" s="66"/>
      <c r="AC241" s="66"/>
      <c r="AD241" s="87">
        <f t="shared" si="3"/>
        <v>241</v>
      </c>
      <c r="AE241" s="109"/>
    </row>
    <row r="242" spans="1:31" ht="18" customHeight="1" thickBot="1" x14ac:dyDescent="0.4">
      <c r="A242" s="64">
        <v>44939</v>
      </c>
      <c r="B242" s="64">
        <v>43400</v>
      </c>
      <c r="C242" s="106">
        <v>45554.697465277779</v>
      </c>
      <c r="D242" s="66" t="s">
        <v>41</v>
      </c>
      <c r="E242" s="66" t="s">
        <v>1819</v>
      </c>
      <c r="F242" s="68"/>
      <c r="G242" s="66" t="s">
        <v>818</v>
      </c>
      <c r="H242" s="64">
        <v>110</v>
      </c>
      <c r="I242" s="67" t="s">
        <v>21</v>
      </c>
      <c r="J242" s="97" t="s">
        <v>1820</v>
      </c>
      <c r="K242" s="66"/>
      <c r="L242" s="68"/>
      <c r="M242" s="69">
        <v>1092.92</v>
      </c>
      <c r="N242" s="69">
        <v>1092.92</v>
      </c>
      <c r="O242" s="70">
        <f>IF(registreGarantie[[#This Row],[date paiement]]="","",registreGarantie[[#This Row],[Pièces 
Demandés]]-registreGarantie[[#This Row],[Pièces 
Remboursés]])</f>
        <v>0</v>
      </c>
      <c r="P242" s="69">
        <v>25.5</v>
      </c>
      <c r="Q242" s="69">
        <v>25.5</v>
      </c>
      <c r="R242" s="70">
        <f>IF(registreGarantie[[#This Row],[date paiement]]="","",registreGarantie[[#This Row],[MO
Demandé]]-registreGarantie[[#This Row],[MO
Remboursé]])</f>
        <v>0</v>
      </c>
      <c r="S242" s="69"/>
      <c r="T242" s="70">
        <f>IF(registreGarantie[[#This Row],[date paiement]]="","",registreGarantie[[#This Row],[MO
Refusé]]+registreGarantie[[#This Row],[Pièces
Refusés]])</f>
        <v>0</v>
      </c>
      <c r="U242" s="106">
        <v>45574</v>
      </c>
      <c r="V242" s="71">
        <f>IF(registreGarantie[[#This Row],[Pièces 
Demandés]]="","",registreGarantie[[#This Row],[Date]])</f>
        <v>45554.697465277779</v>
      </c>
      <c r="W242" s="103">
        <f>IF(registreGarantie[[#This Row],[Pièces 
Demandés]]="","",IF(registreGarantie[[#This Row],[date paiement]]="","",registreGarantie[[#This Row],[date paiement]]+91))</f>
        <v>45665</v>
      </c>
      <c r="X2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2" s="74" t="str">
        <f ca="1">IF(registreGarantie[[#This Row],[Colonne1]]=0,"",IF(TODAY()&gt;registreGarantie[[#This Row],[Date rebus]],0,1))</f>
        <v/>
      </c>
      <c r="Z242" s="66"/>
      <c r="AA242" s="73" t="str">
        <f>IF(AND(registreGarantie[[#This Row],[Montant non remboursé]]&gt;1,registreGarantie[[#This Row],[Montant non remboursé]]&lt;&gt;""),1,"")</f>
        <v/>
      </c>
      <c r="AB242" s="66"/>
      <c r="AC242" s="66"/>
      <c r="AD242" s="87">
        <f t="shared" si="3"/>
        <v>242</v>
      </c>
      <c r="AE242" s="109"/>
    </row>
    <row r="243" spans="1:31" ht="18" customHeight="1" thickBot="1" x14ac:dyDescent="0.4">
      <c r="A243" s="64">
        <v>44940</v>
      </c>
      <c r="B243" s="64">
        <v>43342</v>
      </c>
      <c r="C243" s="106">
        <v>45555</v>
      </c>
      <c r="D243" s="66" t="s">
        <v>325</v>
      </c>
      <c r="E243" s="66" t="s">
        <v>367</v>
      </c>
      <c r="F243" s="68" t="s">
        <v>2311</v>
      </c>
      <c r="G243" s="66" t="s">
        <v>1821</v>
      </c>
      <c r="H243" s="64">
        <v>834</v>
      </c>
      <c r="I243" s="67" t="s">
        <v>3</v>
      </c>
      <c r="J243" s="97">
        <v>404403755</v>
      </c>
      <c r="K243" s="66"/>
      <c r="L243" s="68"/>
      <c r="M243" s="69"/>
      <c r="N243" s="69"/>
      <c r="O243" s="70">
        <f>IF(registreGarantie[[#This Row],[date paiement]]="","",registreGarantie[[#This Row],[Pièces 
Demandés]]-registreGarantie[[#This Row],[Pièces 
Remboursés]])</f>
        <v>0</v>
      </c>
      <c r="P243" s="69">
        <v>184.5</v>
      </c>
      <c r="Q243" s="69">
        <v>184.5</v>
      </c>
      <c r="R243" s="70">
        <f>IF(registreGarantie[[#This Row],[date paiement]]="","",registreGarantie[[#This Row],[MO
Demandé]]-registreGarantie[[#This Row],[MO
Remboursé]])</f>
        <v>0</v>
      </c>
      <c r="S243" s="69"/>
      <c r="T243" s="70">
        <f>IF(registreGarantie[[#This Row],[date paiement]]="","",registreGarantie[[#This Row],[MO
Refusé]]+registreGarantie[[#This Row],[Pièces
Refusés]])</f>
        <v>0</v>
      </c>
      <c r="U243" s="106">
        <v>45586</v>
      </c>
      <c r="V243" s="71" t="str">
        <f>IF(registreGarantie[[#This Row],[Pièces 
Demandés]]="","",registreGarantie[[#This Row],[Date]])</f>
        <v/>
      </c>
      <c r="W243" s="103" t="str">
        <f>IF(registreGarantie[[#This Row],[Pièces 
Demandés]]="","",IF(registreGarantie[[#This Row],[date paiement]]="","",registreGarantie[[#This Row],[date paiement]]+91))</f>
        <v/>
      </c>
      <c r="X2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3" s="74" t="str">
        <f ca="1">IF(registreGarantie[[#This Row],[Colonne1]]=0,"",IF(TODAY()&gt;registreGarantie[[#This Row],[Date rebus]],0,1))</f>
        <v/>
      </c>
      <c r="Z243" s="66"/>
      <c r="AA243" s="73" t="str">
        <f>IF(AND(registreGarantie[[#This Row],[Montant non remboursé]]&gt;1,registreGarantie[[#This Row],[Montant non remboursé]]&lt;&gt;""),1,"")</f>
        <v/>
      </c>
      <c r="AB243" s="66"/>
      <c r="AC243" s="66"/>
      <c r="AD243" s="87">
        <f t="shared" si="3"/>
        <v>243</v>
      </c>
      <c r="AE243" s="109"/>
    </row>
    <row r="244" spans="1:31" ht="18" customHeight="1" thickBot="1" x14ac:dyDescent="0.4">
      <c r="A244" s="64">
        <v>44941</v>
      </c>
      <c r="B244" s="64">
        <v>43309</v>
      </c>
      <c r="C244" s="106">
        <v>45555</v>
      </c>
      <c r="D244" s="66" t="s">
        <v>450</v>
      </c>
      <c r="E244" s="66" t="s">
        <v>254</v>
      </c>
      <c r="F244" s="68"/>
      <c r="G244" s="66" t="s">
        <v>1822</v>
      </c>
      <c r="H244" s="64">
        <v>4824</v>
      </c>
      <c r="I244" s="67" t="s">
        <v>15</v>
      </c>
      <c r="J244" s="97">
        <v>404399842</v>
      </c>
      <c r="K244" s="66"/>
      <c r="L244" s="68"/>
      <c r="M244" s="69">
        <v>968.8</v>
      </c>
      <c r="N244" s="69">
        <v>968.8</v>
      </c>
      <c r="O244" s="70">
        <f>IF(registreGarantie[[#This Row],[date paiement]]="","",registreGarantie[[#This Row],[Pièces 
Demandés]]-registreGarantie[[#This Row],[Pièces 
Remboursés]])</f>
        <v>0</v>
      </c>
      <c r="P244" s="69">
        <v>184.5</v>
      </c>
      <c r="Q244" s="69">
        <v>184.5</v>
      </c>
      <c r="R244" s="70">
        <f>IF(registreGarantie[[#This Row],[date paiement]]="","",registreGarantie[[#This Row],[MO
Demandé]]-registreGarantie[[#This Row],[MO
Remboursé]])</f>
        <v>0</v>
      </c>
      <c r="S244" s="69"/>
      <c r="T244" s="70">
        <f>IF(registreGarantie[[#This Row],[date paiement]]="","",registreGarantie[[#This Row],[MO
Refusé]]+registreGarantie[[#This Row],[Pièces
Refusés]])</f>
        <v>0</v>
      </c>
      <c r="U244" s="106">
        <v>45610</v>
      </c>
      <c r="V244" s="71">
        <f>IF(registreGarantie[[#This Row],[Pièces 
Demandés]]="","",registreGarantie[[#This Row],[Date]])</f>
        <v>45555</v>
      </c>
      <c r="W244" s="103">
        <f>IF(registreGarantie[[#This Row],[Pièces 
Demandés]]="","",IF(registreGarantie[[#This Row],[date paiement]]="","",registreGarantie[[#This Row],[date paiement]]+91))</f>
        <v>45701</v>
      </c>
      <c r="X2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44" s="74">
        <f ca="1">IF(registreGarantie[[#This Row],[Colonne1]]=0,"",IF(TODAY()&gt;registreGarantie[[#This Row],[Date rebus]],0,1))</f>
        <v>0</v>
      </c>
      <c r="Z244" s="66"/>
      <c r="AA244" s="73" t="str">
        <f>IF(AND(registreGarantie[[#This Row],[Montant non remboursé]]&gt;1,registreGarantie[[#This Row],[Montant non remboursé]]&lt;&gt;""),1,"")</f>
        <v/>
      </c>
      <c r="AB244" s="66"/>
      <c r="AC244" s="66"/>
      <c r="AD244" s="87">
        <f t="shared" si="3"/>
        <v>244</v>
      </c>
      <c r="AE244" s="109"/>
    </row>
    <row r="245" spans="1:31" ht="18" customHeight="1" thickBot="1" x14ac:dyDescent="0.4">
      <c r="A245" s="64">
        <v>44942</v>
      </c>
      <c r="B245" s="64">
        <v>43410</v>
      </c>
      <c r="C245" s="106">
        <v>45558.571400462963</v>
      </c>
      <c r="D245" s="66" t="s">
        <v>187</v>
      </c>
      <c r="E245" s="66" t="s">
        <v>148</v>
      </c>
      <c r="F245" s="68" t="s">
        <v>2342</v>
      </c>
      <c r="G245" s="66" t="s">
        <v>940</v>
      </c>
      <c r="H245" s="64">
        <v>2524</v>
      </c>
      <c r="I245" s="67" t="s">
        <v>18</v>
      </c>
      <c r="J245" s="97">
        <v>404402076</v>
      </c>
      <c r="K245" s="66"/>
      <c r="L245" s="68"/>
      <c r="M245" s="69"/>
      <c r="N245" s="69"/>
      <c r="O245" s="70" t="str">
        <f>IF(registreGarantie[[#This Row],[date paiement]]="","",registreGarantie[[#This Row],[Pièces 
Demandés]]-registreGarantie[[#This Row],[Pièces 
Remboursés]])</f>
        <v/>
      </c>
      <c r="P245" s="69"/>
      <c r="Q245" s="69"/>
      <c r="R245" s="70" t="str">
        <f>IF(registreGarantie[[#This Row],[date paiement]]="","",registreGarantie[[#This Row],[MO
Demandé]]-registreGarantie[[#This Row],[MO
Remboursé]])</f>
        <v/>
      </c>
      <c r="S245" s="69"/>
      <c r="T245" s="70" t="str">
        <f>IF(registreGarantie[[#This Row],[date paiement]]="","",registreGarantie[[#This Row],[MO
Refusé]]+registreGarantie[[#This Row],[Pièces
Refusés]])</f>
        <v/>
      </c>
      <c r="U245" s="106"/>
      <c r="V245" s="71" t="str">
        <f>IF(registreGarantie[[#This Row],[Pièces 
Demandés]]="","",registreGarantie[[#This Row],[Date]])</f>
        <v/>
      </c>
      <c r="W245" s="103" t="str">
        <f>IF(registreGarantie[[#This Row],[Pièces 
Demandés]]="","",IF(registreGarantie[[#This Row],[date paiement]]="","",registreGarantie[[#This Row],[date paiement]]+91))</f>
        <v/>
      </c>
      <c r="X2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5" s="74" t="str">
        <f ca="1">IF(registreGarantie[[#This Row],[Colonne1]]=0,"",IF(TODAY()&gt;registreGarantie[[#This Row],[Date rebus]],0,1))</f>
        <v/>
      </c>
      <c r="Z245" s="66"/>
      <c r="AA245" s="73" t="str">
        <f>IF(AND(registreGarantie[[#This Row],[Montant non remboursé]]&gt;1,registreGarantie[[#This Row],[Montant non remboursé]]&lt;&gt;""),1,"")</f>
        <v/>
      </c>
      <c r="AB245" s="66"/>
      <c r="AC245" s="66"/>
      <c r="AD245" s="87">
        <f t="shared" si="3"/>
        <v>245</v>
      </c>
      <c r="AE245" s="109"/>
    </row>
    <row r="246" spans="1:31" ht="18" customHeight="1" thickBot="1" x14ac:dyDescent="0.4">
      <c r="A246" s="64">
        <v>44942</v>
      </c>
      <c r="B246" s="64">
        <v>43410</v>
      </c>
      <c r="C246" s="106">
        <v>45558.571400462963</v>
      </c>
      <c r="D246" s="66" t="s">
        <v>187</v>
      </c>
      <c r="E246" s="66" t="s">
        <v>148</v>
      </c>
      <c r="F246" s="68" t="s">
        <v>2342</v>
      </c>
      <c r="G246" s="66" t="s">
        <v>940</v>
      </c>
      <c r="H246" s="64">
        <v>2524</v>
      </c>
      <c r="I246" s="67" t="s">
        <v>19</v>
      </c>
      <c r="J246" s="97">
        <v>404402102</v>
      </c>
      <c r="K246" s="66"/>
      <c r="L246" s="68"/>
      <c r="M246" s="69"/>
      <c r="N246" s="69"/>
      <c r="O246" s="70" t="str">
        <f>IF(registreGarantie[[#This Row],[date paiement]]="","",registreGarantie[[#This Row],[Pièces 
Demandés]]-registreGarantie[[#This Row],[Pièces 
Remboursés]])</f>
        <v/>
      </c>
      <c r="P246" s="69"/>
      <c r="Q246" s="69"/>
      <c r="R246" s="70" t="str">
        <f>IF(registreGarantie[[#This Row],[date paiement]]="","",registreGarantie[[#This Row],[MO
Demandé]]-registreGarantie[[#This Row],[MO
Remboursé]])</f>
        <v/>
      </c>
      <c r="S246" s="69"/>
      <c r="T246" s="70" t="str">
        <f>IF(registreGarantie[[#This Row],[date paiement]]="","",registreGarantie[[#This Row],[MO
Refusé]]+registreGarantie[[#This Row],[Pièces
Refusés]])</f>
        <v/>
      </c>
      <c r="U246" s="106"/>
      <c r="V246" s="71" t="str">
        <f>IF(registreGarantie[[#This Row],[Pièces 
Demandés]]="","",registreGarantie[[#This Row],[Date]])</f>
        <v/>
      </c>
      <c r="W246" s="103" t="str">
        <f>IF(registreGarantie[[#This Row],[Pièces 
Demandés]]="","",IF(registreGarantie[[#This Row],[date paiement]]="","",registreGarantie[[#This Row],[date paiement]]+91))</f>
        <v/>
      </c>
      <c r="X2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6" s="74" t="str">
        <f ca="1">IF(registreGarantie[[#This Row],[Colonne1]]=0,"",IF(TODAY()&gt;registreGarantie[[#This Row],[Date rebus]],0,1))</f>
        <v/>
      </c>
      <c r="Z246" s="66"/>
      <c r="AA246" s="73" t="str">
        <f>IF(AND(registreGarantie[[#This Row],[Montant non remboursé]]&gt;1,registreGarantie[[#This Row],[Montant non remboursé]]&lt;&gt;""),1,"")</f>
        <v/>
      </c>
      <c r="AB246" s="66"/>
      <c r="AC246" s="66"/>
      <c r="AD246" s="87">
        <f t="shared" si="3"/>
        <v>246</v>
      </c>
      <c r="AE246" s="109"/>
    </row>
    <row r="247" spans="1:31" ht="18" customHeight="1" thickBot="1" x14ac:dyDescent="0.4">
      <c r="A247" s="64">
        <v>44943</v>
      </c>
      <c r="B247" s="64">
        <v>43447</v>
      </c>
      <c r="C247" s="106">
        <v>45559.723414351851</v>
      </c>
      <c r="D247" s="66" t="s">
        <v>1081</v>
      </c>
      <c r="E247" s="66" t="s">
        <v>217</v>
      </c>
      <c r="F247" s="68" t="s">
        <v>2309</v>
      </c>
      <c r="G247" s="66" t="s">
        <v>163</v>
      </c>
      <c r="H247" s="64">
        <v>1708</v>
      </c>
      <c r="I247" s="67" t="s">
        <v>11</v>
      </c>
      <c r="J247" s="97" t="s">
        <v>1823</v>
      </c>
      <c r="K247" s="66"/>
      <c r="L247" s="68"/>
      <c r="M247" s="69"/>
      <c r="N247" s="69"/>
      <c r="O247" s="70">
        <f>IF(registreGarantie[[#This Row],[date paiement]]="","",registreGarantie[[#This Row],[Pièces 
Demandés]]-registreGarantie[[#This Row],[Pièces 
Remboursés]])</f>
        <v>0</v>
      </c>
      <c r="P247" s="69"/>
      <c r="Q247" s="69"/>
      <c r="R247" s="70">
        <f>IF(registreGarantie[[#This Row],[date paiement]]="","",registreGarantie[[#This Row],[MO
Demandé]]-registreGarantie[[#This Row],[MO
Remboursé]])</f>
        <v>0</v>
      </c>
      <c r="S247" s="69"/>
      <c r="T247" s="70">
        <f>IF(registreGarantie[[#This Row],[date paiement]]="","",registreGarantie[[#This Row],[MO
Refusé]]+registreGarantie[[#This Row],[Pièces
Refusés]])</f>
        <v>0</v>
      </c>
      <c r="U247" s="106">
        <v>45559</v>
      </c>
      <c r="V247" s="71" t="str">
        <f>IF(registreGarantie[[#This Row],[Pièces 
Demandés]]="","",registreGarantie[[#This Row],[Date]])</f>
        <v/>
      </c>
      <c r="W247" s="103" t="str">
        <f>IF(registreGarantie[[#This Row],[Pièces 
Demandés]]="","",IF(registreGarantie[[#This Row],[date paiement]]="","",registreGarantie[[#This Row],[date paiement]]+91))</f>
        <v/>
      </c>
      <c r="X2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7" s="74" t="str">
        <f ca="1">IF(registreGarantie[[#This Row],[Colonne1]]=0,"",IF(TODAY()&gt;registreGarantie[[#This Row],[Date rebus]],0,1))</f>
        <v/>
      </c>
      <c r="Z247" s="66"/>
      <c r="AA247" s="73" t="str">
        <f>IF(AND(registreGarantie[[#This Row],[Montant non remboursé]]&gt;1,registreGarantie[[#This Row],[Montant non remboursé]]&lt;&gt;""),1,"")</f>
        <v/>
      </c>
      <c r="AB247" s="66"/>
      <c r="AC247" s="66"/>
      <c r="AD247" s="87">
        <f t="shared" si="3"/>
        <v>247</v>
      </c>
      <c r="AE247" s="109"/>
    </row>
    <row r="248" spans="1:31" ht="18" customHeight="1" thickBot="1" x14ac:dyDescent="0.4">
      <c r="A248" s="64">
        <v>44944</v>
      </c>
      <c r="B248" s="64">
        <v>43447</v>
      </c>
      <c r="C248" s="106">
        <v>45560</v>
      </c>
      <c r="D248" s="66" t="s">
        <v>1081</v>
      </c>
      <c r="E248" s="66" t="s">
        <v>217</v>
      </c>
      <c r="F248" s="68" t="s">
        <v>2309</v>
      </c>
      <c r="G248" s="66" t="s">
        <v>163</v>
      </c>
      <c r="H248" s="64">
        <v>1708</v>
      </c>
      <c r="I248" s="67" t="s">
        <v>20</v>
      </c>
      <c r="J248" s="97">
        <v>404404958</v>
      </c>
      <c r="K248" s="66"/>
      <c r="L248" s="68"/>
      <c r="M248" s="69"/>
      <c r="N248" s="69"/>
      <c r="O248" s="70" t="str">
        <f>IF(registreGarantie[[#This Row],[date paiement]]="","",registreGarantie[[#This Row],[Pièces 
Demandés]]-registreGarantie[[#This Row],[Pièces 
Remboursés]])</f>
        <v/>
      </c>
      <c r="P248" s="69"/>
      <c r="Q248" s="69"/>
      <c r="R248" s="70" t="str">
        <f>IF(registreGarantie[[#This Row],[date paiement]]="","",registreGarantie[[#This Row],[MO
Demandé]]-registreGarantie[[#This Row],[MO
Remboursé]])</f>
        <v/>
      </c>
      <c r="S248" s="69"/>
      <c r="T248" s="70" t="str">
        <f>IF(registreGarantie[[#This Row],[date paiement]]="","",registreGarantie[[#This Row],[MO
Refusé]]+registreGarantie[[#This Row],[Pièces
Refusés]])</f>
        <v/>
      </c>
      <c r="U248" s="106"/>
      <c r="V248" s="71" t="str">
        <f>IF(registreGarantie[[#This Row],[Pièces 
Demandés]]="","",registreGarantie[[#This Row],[Date]])</f>
        <v/>
      </c>
      <c r="W248" s="103" t="str">
        <f>IF(registreGarantie[[#This Row],[Pièces 
Demandés]]="","",IF(registreGarantie[[#This Row],[date paiement]]="","",registreGarantie[[#This Row],[date paiement]]+91))</f>
        <v/>
      </c>
      <c r="X2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8" s="74" t="str">
        <f ca="1">IF(registreGarantie[[#This Row],[Colonne1]]=0,"",IF(TODAY()&gt;registreGarantie[[#This Row],[Date rebus]],0,1))</f>
        <v/>
      </c>
      <c r="Z248" s="66"/>
      <c r="AA248" s="73" t="str">
        <f>IF(AND(registreGarantie[[#This Row],[Montant non remboursé]]&gt;1,registreGarantie[[#This Row],[Montant non remboursé]]&lt;&gt;""),1,"")</f>
        <v/>
      </c>
      <c r="AB248" s="66"/>
      <c r="AC248" s="66"/>
      <c r="AD248" s="87">
        <f t="shared" si="3"/>
        <v>248</v>
      </c>
      <c r="AE248" s="109"/>
    </row>
    <row r="249" spans="1:31" ht="18" customHeight="1" thickBot="1" x14ac:dyDescent="0.4">
      <c r="A249" s="64">
        <v>44945</v>
      </c>
      <c r="B249" s="64">
        <v>42688</v>
      </c>
      <c r="C249" s="106">
        <v>45560</v>
      </c>
      <c r="D249" s="66" t="s">
        <v>41</v>
      </c>
      <c r="E249" s="66" t="s">
        <v>472</v>
      </c>
      <c r="F249" s="68"/>
      <c r="G249" s="66" t="s">
        <v>1824</v>
      </c>
      <c r="H249" s="64"/>
      <c r="I249" s="67" t="s">
        <v>21</v>
      </c>
      <c r="J249" s="97" t="s">
        <v>1825</v>
      </c>
      <c r="K249" s="66"/>
      <c r="L249" s="68"/>
      <c r="M249" s="69">
        <v>567.69000000000005</v>
      </c>
      <c r="N249" s="69">
        <v>567.69000000000005</v>
      </c>
      <c r="O249" s="70">
        <f>IF(registreGarantie[[#This Row],[date paiement]]="","",registreGarantie[[#This Row],[Pièces 
Demandés]]-registreGarantie[[#This Row],[Pièces 
Remboursés]])</f>
        <v>0</v>
      </c>
      <c r="P249" s="69">
        <v>127.5</v>
      </c>
      <c r="Q249" s="69">
        <v>127.5</v>
      </c>
      <c r="R249" s="70">
        <f>IF(registreGarantie[[#This Row],[date paiement]]="","",registreGarantie[[#This Row],[MO
Demandé]]-registreGarantie[[#This Row],[MO
Remboursé]])</f>
        <v>0</v>
      </c>
      <c r="S249" s="69"/>
      <c r="T249" s="70">
        <f>IF(registreGarantie[[#This Row],[date paiement]]="","",registreGarantie[[#This Row],[MO
Refusé]]+registreGarantie[[#This Row],[Pièces
Refusés]])</f>
        <v>0</v>
      </c>
      <c r="U249" s="106">
        <v>45593</v>
      </c>
      <c r="V249" s="71">
        <f>IF(registreGarantie[[#This Row],[Pièces 
Demandés]]="","",registreGarantie[[#This Row],[Date]])</f>
        <v>45560</v>
      </c>
      <c r="W249" s="103">
        <f>IF(registreGarantie[[#This Row],[Pièces 
Demandés]]="","",IF(registreGarantie[[#This Row],[date paiement]]="","",registreGarantie[[#This Row],[date paiement]]+91))</f>
        <v>45684</v>
      </c>
      <c r="X2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49" s="74" t="str">
        <f ca="1">IF(registreGarantie[[#This Row],[Colonne1]]=0,"",IF(TODAY()&gt;registreGarantie[[#This Row],[Date rebus]],0,1))</f>
        <v/>
      </c>
      <c r="Z249" s="66"/>
      <c r="AA249" s="73" t="str">
        <f>IF(AND(registreGarantie[[#This Row],[Montant non remboursé]]&gt;1,registreGarantie[[#This Row],[Montant non remboursé]]&lt;&gt;""),1,"")</f>
        <v/>
      </c>
      <c r="AB249" s="66"/>
      <c r="AC249" s="66"/>
      <c r="AD249" s="87">
        <f t="shared" si="3"/>
        <v>249</v>
      </c>
      <c r="AE249" s="109"/>
    </row>
    <row r="250" spans="1:31" ht="18" customHeight="1" thickBot="1" x14ac:dyDescent="0.4">
      <c r="A250" s="64">
        <v>44946</v>
      </c>
      <c r="B250" s="64">
        <v>43425</v>
      </c>
      <c r="C250" s="106">
        <v>45562.430937500001</v>
      </c>
      <c r="D250" s="66" t="s">
        <v>102</v>
      </c>
      <c r="E250" s="66" t="s">
        <v>32</v>
      </c>
      <c r="F250" s="68" t="s">
        <v>2238</v>
      </c>
      <c r="G250" s="66" t="s">
        <v>1826</v>
      </c>
      <c r="H250" s="64" t="s">
        <v>1827</v>
      </c>
      <c r="I250" s="67" t="s">
        <v>18</v>
      </c>
      <c r="J250" s="97">
        <v>404408899</v>
      </c>
      <c r="K250" s="66"/>
      <c r="L250" s="68"/>
      <c r="M250" s="69"/>
      <c r="N250" s="69"/>
      <c r="O250" s="70" t="str">
        <f>IF(registreGarantie[[#This Row],[date paiement]]="","",registreGarantie[[#This Row],[Pièces 
Demandés]]-registreGarantie[[#This Row],[Pièces 
Remboursés]])</f>
        <v/>
      </c>
      <c r="P250" s="69"/>
      <c r="Q250" s="69"/>
      <c r="R250" s="70" t="str">
        <f>IF(registreGarantie[[#This Row],[date paiement]]="","",registreGarantie[[#This Row],[MO
Demandé]]-registreGarantie[[#This Row],[MO
Remboursé]])</f>
        <v/>
      </c>
      <c r="S250" s="69"/>
      <c r="T250" s="70" t="str">
        <f>IF(registreGarantie[[#This Row],[date paiement]]="","",registreGarantie[[#This Row],[MO
Refusé]]+registreGarantie[[#This Row],[Pièces
Refusés]])</f>
        <v/>
      </c>
      <c r="U250" s="106"/>
      <c r="V250" s="71" t="str">
        <f>IF(registreGarantie[[#This Row],[Pièces 
Demandés]]="","",registreGarantie[[#This Row],[Date]])</f>
        <v/>
      </c>
      <c r="W250" s="103" t="str">
        <f>IF(registreGarantie[[#This Row],[Pièces 
Demandés]]="","",IF(registreGarantie[[#This Row],[date paiement]]="","",registreGarantie[[#This Row],[date paiement]]+91))</f>
        <v/>
      </c>
      <c r="X2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0" s="74" t="str">
        <f ca="1">IF(registreGarantie[[#This Row],[Colonne1]]=0,"",IF(TODAY()&gt;registreGarantie[[#This Row],[Date rebus]],0,1))</f>
        <v/>
      </c>
      <c r="Z250" s="66"/>
      <c r="AA250" s="73" t="str">
        <f>IF(AND(registreGarantie[[#This Row],[Montant non remboursé]]&gt;1,registreGarantie[[#This Row],[Montant non remboursé]]&lt;&gt;""),1,"")</f>
        <v/>
      </c>
      <c r="AB250" s="66"/>
      <c r="AC250" s="66"/>
      <c r="AD250" s="87">
        <f t="shared" si="3"/>
        <v>250</v>
      </c>
      <c r="AE250" s="109"/>
    </row>
    <row r="251" spans="1:31" ht="18" customHeight="1" thickBot="1" x14ac:dyDescent="0.4">
      <c r="A251" s="64">
        <v>44946</v>
      </c>
      <c r="B251" s="64">
        <v>43425</v>
      </c>
      <c r="C251" s="106">
        <v>45562.430949074071</v>
      </c>
      <c r="D251" s="66" t="s">
        <v>102</v>
      </c>
      <c r="E251" s="66" t="s">
        <v>32</v>
      </c>
      <c r="F251" s="68" t="s">
        <v>2238</v>
      </c>
      <c r="G251" s="66" t="s">
        <v>1826</v>
      </c>
      <c r="H251" s="64" t="s">
        <v>1827</v>
      </c>
      <c r="I251" s="67" t="s">
        <v>19</v>
      </c>
      <c r="J251" s="97">
        <v>40440919</v>
      </c>
      <c r="K251" s="66"/>
      <c r="L251" s="68"/>
      <c r="M251" s="69"/>
      <c r="N251" s="69"/>
      <c r="O251" s="70" t="str">
        <f>IF(registreGarantie[[#This Row],[date paiement]]="","",registreGarantie[[#This Row],[Pièces 
Demandés]]-registreGarantie[[#This Row],[Pièces 
Remboursés]])</f>
        <v/>
      </c>
      <c r="P251" s="69"/>
      <c r="Q251" s="69"/>
      <c r="R251" s="70" t="str">
        <f>IF(registreGarantie[[#This Row],[date paiement]]="","",registreGarantie[[#This Row],[MO
Demandé]]-registreGarantie[[#This Row],[MO
Remboursé]])</f>
        <v/>
      </c>
      <c r="S251" s="69"/>
      <c r="T251" s="70" t="str">
        <f>IF(registreGarantie[[#This Row],[date paiement]]="","",registreGarantie[[#This Row],[MO
Refusé]]+registreGarantie[[#This Row],[Pièces
Refusés]])</f>
        <v/>
      </c>
      <c r="U251" s="106"/>
      <c r="V251" s="71" t="str">
        <f>IF(registreGarantie[[#This Row],[Pièces 
Demandés]]="","",registreGarantie[[#This Row],[Date]])</f>
        <v/>
      </c>
      <c r="W251" s="103" t="str">
        <f>IF(registreGarantie[[#This Row],[Pièces 
Demandés]]="","",IF(registreGarantie[[#This Row],[date paiement]]="","",registreGarantie[[#This Row],[date paiement]]+91))</f>
        <v/>
      </c>
      <c r="X2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1" s="74" t="str">
        <f ca="1">IF(registreGarantie[[#This Row],[Colonne1]]=0,"",IF(TODAY()&gt;registreGarantie[[#This Row],[Date rebus]],0,1))</f>
        <v/>
      </c>
      <c r="Z251" s="66"/>
      <c r="AA251" s="73" t="str">
        <f>IF(AND(registreGarantie[[#This Row],[Montant non remboursé]]&gt;1,registreGarantie[[#This Row],[Montant non remboursé]]&lt;&gt;""),1,"")</f>
        <v/>
      </c>
      <c r="AB251" s="66"/>
      <c r="AC251" s="66"/>
      <c r="AD251" s="87">
        <f t="shared" si="3"/>
        <v>251</v>
      </c>
      <c r="AE251" s="109"/>
    </row>
    <row r="252" spans="1:31" ht="18" customHeight="1" thickBot="1" x14ac:dyDescent="0.4">
      <c r="A252" s="64">
        <v>44947</v>
      </c>
      <c r="B252" s="64">
        <v>43386</v>
      </c>
      <c r="C252" s="106">
        <v>45562</v>
      </c>
      <c r="D252" s="66" t="s">
        <v>705</v>
      </c>
      <c r="E252" s="66" t="s">
        <v>133</v>
      </c>
      <c r="F252" s="68"/>
      <c r="G252" s="66" t="s">
        <v>1828</v>
      </c>
      <c r="H252" s="64">
        <v>4136</v>
      </c>
      <c r="I252" s="67" t="s">
        <v>3</v>
      </c>
      <c r="J252" s="97">
        <v>404409488</v>
      </c>
      <c r="K252" s="66"/>
      <c r="L252" s="68"/>
      <c r="M252" s="69"/>
      <c r="N252" s="69"/>
      <c r="O252" s="70">
        <f>IF(registreGarantie[[#This Row],[date paiement]]="","",registreGarantie[[#This Row],[Pièces 
Demandés]]-registreGarantie[[#This Row],[Pièces 
Remboursés]])</f>
        <v>0</v>
      </c>
      <c r="P252" s="69">
        <v>184.5</v>
      </c>
      <c r="Q252" s="66">
        <v>184.5</v>
      </c>
      <c r="R252" s="70">
        <f>IF(registreGarantie[[#This Row],[date paiement]]="","",registreGarantie[[#This Row],[MO
Demandé]]-registreGarantie[[#This Row],[MO
Remboursé]])</f>
        <v>0</v>
      </c>
      <c r="S252" s="69">
        <v>150</v>
      </c>
      <c r="T252" s="70">
        <f>IF(registreGarantie[[#This Row],[date paiement]]="","",registreGarantie[[#This Row],[MO
Refusé]]+registreGarantie[[#This Row],[Pièces
Refusés]])</f>
        <v>0</v>
      </c>
      <c r="U252" s="106">
        <v>45629</v>
      </c>
      <c r="V252" s="71" t="str">
        <f>IF(registreGarantie[[#This Row],[Pièces 
Demandés]]="","",registreGarantie[[#This Row],[Date]])</f>
        <v/>
      </c>
      <c r="W252" s="103" t="str">
        <f>IF(registreGarantie[[#This Row],[Pièces 
Demandés]]="","",IF(registreGarantie[[#This Row],[date paiement]]="","",registreGarantie[[#This Row],[date paiement]]+91))</f>
        <v/>
      </c>
      <c r="X2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2" s="74" t="str">
        <f ca="1">IF(registreGarantie[[#This Row],[Colonne1]]=0,"",IF(TODAY()&gt;registreGarantie[[#This Row],[Date rebus]],0,1))</f>
        <v/>
      </c>
      <c r="Z252" s="66"/>
      <c r="AA252" s="73" t="str">
        <f>IF(AND(registreGarantie[[#This Row],[Montant non remboursé]]&gt;1,registreGarantie[[#This Row],[Montant non remboursé]]&lt;&gt;""),1,"")</f>
        <v/>
      </c>
      <c r="AB252" s="66"/>
      <c r="AC252" s="66"/>
      <c r="AD252" s="87">
        <f t="shared" si="3"/>
        <v>252</v>
      </c>
      <c r="AE252" s="109"/>
    </row>
    <row r="253" spans="1:31" ht="18" customHeight="1" thickBot="1" x14ac:dyDescent="0.4">
      <c r="A253" s="64">
        <v>44948</v>
      </c>
      <c r="B253" s="64">
        <v>43451</v>
      </c>
      <c r="C253" s="106">
        <v>45565.626979166664</v>
      </c>
      <c r="D253" s="66" t="s">
        <v>325</v>
      </c>
      <c r="E253" s="66" t="s">
        <v>367</v>
      </c>
      <c r="F253" s="68" t="s">
        <v>2311</v>
      </c>
      <c r="G253" s="66" t="s">
        <v>163</v>
      </c>
      <c r="H253" s="64">
        <v>865</v>
      </c>
      <c r="I253" s="67" t="s">
        <v>3</v>
      </c>
      <c r="J253" s="97">
        <v>404411761</v>
      </c>
      <c r="K253" s="66"/>
      <c r="L253" s="68"/>
      <c r="M253" s="69"/>
      <c r="N253" s="69"/>
      <c r="O253" s="70">
        <f>IF(registreGarantie[[#This Row],[date paiement]]="","",registreGarantie[[#This Row],[Pièces 
Demandés]]-registreGarantie[[#This Row],[Pièces 
Remboursés]])</f>
        <v>0</v>
      </c>
      <c r="P253" s="69">
        <v>246</v>
      </c>
      <c r="Q253" s="69">
        <v>246</v>
      </c>
      <c r="R253" s="70">
        <f>IF(registreGarantie[[#This Row],[date paiement]]="","",registreGarantie[[#This Row],[MO
Demandé]]-registreGarantie[[#This Row],[MO
Remboursé]])</f>
        <v>0</v>
      </c>
      <c r="S253" s="69"/>
      <c r="T253" s="70">
        <f>IF(registreGarantie[[#This Row],[date paiement]]="","",registreGarantie[[#This Row],[MO
Refusé]]+registreGarantie[[#This Row],[Pièces
Refusés]])</f>
        <v>0</v>
      </c>
      <c r="U253" s="106">
        <v>45628</v>
      </c>
      <c r="V253" s="71" t="str">
        <f>IF(registreGarantie[[#This Row],[Pièces 
Demandés]]="","",registreGarantie[[#This Row],[Date]])</f>
        <v/>
      </c>
      <c r="W253" s="103" t="str">
        <f>IF(registreGarantie[[#This Row],[Pièces 
Demandés]]="","",IF(registreGarantie[[#This Row],[date paiement]]="","",registreGarantie[[#This Row],[date paiement]]+91))</f>
        <v/>
      </c>
      <c r="X2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3" s="74" t="str">
        <f ca="1">IF(registreGarantie[[#This Row],[Colonne1]]=0,"",IF(TODAY()&gt;registreGarantie[[#This Row],[Date rebus]],0,1))</f>
        <v/>
      </c>
      <c r="Z253" s="66"/>
      <c r="AA253" s="73" t="str">
        <f>IF(AND(registreGarantie[[#This Row],[Montant non remboursé]]&gt;1,registreGarantie[[#This Row],[Montant non remboursé]]&lt;&gt;""),1,"")</f>
        <v/>
      </c>
      <c r="AB253" s="66"/>
      <c r="AC253" s="66"/>
      <c r="AD253" s="87">
        <f t="shared" si="3"/>
        <v>253</v>
      </c>
      <c r="AE253" s="109"/>
    </row>
    <row r="254" spans="1:31" ht="18" customHeight="1" thickBot="1" x14ac:dyDescent="0.4">
      <c r="A254" s="64">
        <v>44949</v>
      </c>
      <c r="B254" s="64">
        <v>43270</v>
      </c>
      <c r="C254" s="106">
        <v>45565.699976851851</v>
      </c>
      <c r="D254" s="66" t="s">
        <v>858</v>
      </c>
      <c r="E254" s="66" t="s">
        <v>1829</v>
      </c>
      <c r="F254" s="68"/>
      <c r="G254" s="66" t="s">
        <v>860</v>
      </c>
      <c r="H254" s="64">
        <v>550</v>
      </c>
      <c r="I254" s="67" t="s">
        <v>1830</v>
      </c>
      <c r="J254" s="97">
        <v>52060</v>
      </c>
      <c r="K254" s="66"/>
      <c r="L254" s="68"/>
      <c r="M254" s="69"/>
      <c r="N254" s="69"/>
      <c r="O254" s="70" t="str">
        <f>IF(registreGarantie[[#This Row],[date paiement]]="","",registreGarantie[[#This Row],[Pièces 
Demandés]]-registreGarantie[[#This Row],[Pièces 
Remboursés]])</f>
        <v/>
      </c>
      <c r="P254" s="69"/>
      <c r="Q254" s="69"/>
      <c r="R254" s="70" t="str">
        <f>IF(registreGarantie[[#This Row],[date paiement]]="","",registreGarantie[[#This Row],[MO
Demandé]]-registreGarantie[[#This Row],[MO
Remboursé]])</f>
        <v/>
      </c>
      <c r="S254" s="69"/>
      <c r="T254" s="70" t="str">
        <f>IF(registreGarantie[[#This Row],[date paiement]]="","",registreGarantie[[#This Row],[MO
Refusé]]+registreGarantie[[#This Row],[Pièces
Refusés]])</f>
        <v/>
      </c>
      <c r="U254" s="106"/>
      <c r="V254" s="71" t="str">
        <f>IF(registreGarantie[[#This Row],[Pièces 
Demandés]]="","",registreGarantie[[#This Row],[Date]])</f>
        <v/>
      </c>
      <c r="W254" s="103" t="str">
        <f>IF(registreGarantie[[#This Row],[Pièces 
Demandés]]="","",IF(registreGarantie[[#This Row],[date paiement]]="","",registreGarantie[[#This Row],[date paiement]]+91))</f>
        <v/>
      </c>
      <c r="X2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4" s="74" t="str">
        <f ca="1">IF(registreGarantie[[#This Row],[Colonne1]]=0,"",IF(TODAY()&gt;registreGarantie[[#This Row],[Date rebus]],0,1))</f>
        <v/>
      </c>
      <c r="Z254" s="66"/>
      <c r="AA254" s="73" t="str">
        <f>IF(AND(registreGarantie[[#This Row],[Montant non remboursé]]&gt;1,registreGarantie[[#This Row],[Montant non remboursé]]&lt;&gt;""),1,"")</f>
        <v/>
      </c>
      <c r="AB254" s="66"/>
      <c r="AC254" s="66"/>
      <c r="AD254" s="87">
        <f t="shared" si="3"/>
        <v>254</v>
      </c>
      <c r="AE254" s="109"/>
    </row>
    <row r="255" spans="1:31" ht="18" customHeight="1" thickBot="1" x14ac:dyDescent="0.4">
      <c r="A255" s="64">
        <v>44950</v>
      </c>
      <c r="B255" s="64">
        <v>43429</v>
      </c>
      <c r="C255" s="106">
        <v>45566</v>
      </c>
      <c r="D255" s="66" t="s">
        <v>1081</v>
      </c>
      <c r="E255" s="66" t="s">
        <v>217</v>
      </c>
      <c r="F255" s="68" t="s">
        <v>2309</v>
      </c>
      <c r="G255" s="66" t="s">
        <v>1831</v>
      </c>
      <c r="H255" s="64">
        <v>1708</v>
      </c>
      <c r="I255" s="67" t="s">
        <v>11</v>
      </c>
      <c r="J255" s="97" t="s">
        <v>1832</v>
      </c>
      <c r="K255" s="66"/>
      <c r="L255" s="68"/>
      <c r="M255" s="69"/>
      <c r="N255" s="69"/>
      <c r="O255" s="70" t="str">
        <f>IF(registreGarantie[[#This Row],[date paiement]]="","",registreGarantie[[#This Row],[Pièces 
Demandés]]-registreGarantie[[#This Row],[Pièces 
Remboursés]])</f>
        <v/>
      </c>
      <c r="P255" s="69"/>
      <c r="Q255" s="69"/>
      <c r="R255" s="70" t="str">
        <f>IF(registreGarantie[[#This Row],[date paiement]]="","",registreGarantie[[#This Row],[MO
Demandé]]-registreGarantie[[#This Row],[MO
Remboursé]])</f>
        <v/>
      </c>
      <c r="S255" s="69"/>
      <c r="T255" s="70" t="str">
        <f>IF(registreGarantie[[#This Row],[date paiement]]="","",registreGarantie[[#This Row],[MO
Refusé]]+registreGarantie[[#This Row],[Pièces
Refusés]])</f>
        <v/>
      </c>
      <c r="U255" s="106"/>
      <c r="V255" s="71" t="str">
        <f>IF(registreGarantie[[#This Row],[Pièces 
Demandés]]="","",registreGarantie[[#This Row],[Date]])</f>
        <v/>
      </c>
      <c r="W255" s="103" t="str">
        <f>IF(registreGarantie[[#This Row],[Pièces 
Demandés]]="","",IF(registreGarantie[[#This Row],[date paiement]]="","",registreGarantie[[#This Row],[date paiement]]+91))</f>
        <v/>
      </c>
      <c r="X2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5" s="74" t="str">
        <f ca="1">IF(registreGarantie[[#This Row],[Colonne1]]=0,"",IF(TODAY()&gt;registreGarantie[[#This Row],[Date rebus]],0,1))</f>
        <v/>
      </c>
      <c r="Z255" s="66"/>
      <c r="AA255" s="73" t="str">
        <f>IF(AND(registreGarantie[[#This Row],[Montant non remboursé]]&gt;1,registreGarantie[[#This Row],[Montant non remboursé]]&lt;&gt;""),1,"")</f>
        <v/>
      </c>
      <c r="AB255" s="66"/>
      <c r="AC255" s="66"/>
      <c r="AD255" s="87">
        <f t="shared" si="3"/>
        <v>255</v>
      </c>
      <c r="AE255" s="109"/>
    </row>
    <row r="256" spans="1:31" ht="18" customHeight="1" thickBot="1" x14ac:dyDescent="0.4">
      <c r="A256" s="64">
        <v>44951</v>
      </c>
      <c r="B256" s="64">
        <v>43493</v>
      </c>
      <c r="C256" s="106">
        <v>45567.469525462962</v>
      </c>
      <c r="D256" s="66" t="s">
        <v>41</v>
      </c>
      <c r="E256" s="66"/>
      <c r="F256" s="68"/>
      <c r="G256" s="66" t="s">
        <v>1833</v>
      </c>
      <c r="H256" s="64"/>
      <c r="I256" s="67" t="s">
        <v>15</v>
      </c>
      <c r="J256" s="97">
        <v>404414411</v>
      </c>
      <c r="K256" s="66"/>
      <c r="L256" s="68"/>
      <c r="M256" s="69">
        <v>32.78</v>
      </c>
      <c r="N256" s="69">
        <v>32.78</v>
      </c>
      <c r="O256" s="70">
        <f>IF(registreGarantie[[#This Row],[date paiement]]="","",registreGarantie[[#This Row],[Pièces 
Demandés]]-registreGarantie[[#This Row],[Pièces 
Remboursés]])</f>
        <v>0</v>
      </c>
      <c r="P256" s="69"/>
      <c r="Q256" s="69"/>
      <c r="R256" s="70">
        <f>IF(registreGarantie[[#This Row],[date paiement]]="","",registreGarantie[[#This Row],[MO
Demandé]]-registreGarantie[[#This Row],[MO
Remboursé]])</f>
        <v>0</v>
      </c>
      <c r="S256" s="69"/>
      <c r="T256" s="70">
        <f>IF(registreGarantie[[#This Row],[date paiement]]="","",registreGarantie[[#This Row],[MO
Refusé]]+registreGarantie[[#This Row],[Pièces
Refusés]])</f>
        <v>0</v>
      </c>
      <c r="U256" s="106">
        <v>45644</v>
      </c>
      <c r="V256" s="71">
        <f>IF(registreGarantie[[#This Row],[Pièces 
Demandés]]="","",registreGarantie[[#This Row],[Date]])</f>
        <v>45567.469525462962</v>
      </c>
      <c r="W256" s="103">
        <f>IF(registreGarantie[[#This Row],[Pièces 
Demandés]]="","",IF(registreGarantie[[#This Row],[date paiement]]="","",registreGarantie[[#This Row],[date paiement]]+91))</f>
        <v>45735</v>
      </c>
      <c r="X2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56" s="74">
        <f ca="1">IF(registreGarantie[[#This Row],[Colonne1]]=0,"",IF(TODAY()&gt;registreGarantie[[#This Row],[Date rebus]],0,1))</f>
        <v>0</v>
      </c>
      <c r="Z256" s="66"/>
      <c r="AA256" s="73" t="str">
        <f>IF(AND(registreGarantie[[#This Row],[Montant non remboursé]]&gt;1,registreGarantie[[#This Row],[Montant non remboursé]]&lt;&gt;""),1,"")</f>
        <v/>
      </c>
      <c r="AB256" s="66"/>
      <c r="AC256" s="66"/>
      <c r="AD256" s="87">
        <f t="shared" si="3"/>
        <v>256</v>
      </c>
      <c r="AE256" s="109"/>
    </row>
    <row r="257" spans="1:31" ht="18" customHeight="1" thickBot="1" x14ac:dyDescent="0.4">
      <c r="A257" s="64">
        <v>44952</v>
      </c>
      <c r="B257" s="64">
        <v>42298</v>
      </c>
      <c r="C257" s="106">
        <v>45569</v>
      </c>
      <c r="D257" s="66" t="s">
        <v>429</v>
      </c>
      <c r="E257" s="66" t="s">
        <v>706</v>
      </c>
      <c r="F257" s="68"/>
      <c r="G257" s="66" t="s">
        <v>1834</v>
      </c>
      <c r="H257" s="64"/>
      <c r="I257" s="67" t="s">
        <v>22</v>
      </c>
      <c r="J257" s="97" t="s">
        <v>1835</v>
      </c>
      <c r="K257" s="66"/>
      <c r="L257" s="68"/>
      <c r="M257" s="69">
        <v>2176.16</v>
      </c>
      <c r="N257" s="69">
        <v>2176.16</v>
      </c>
      <c r="O257" s="70">
        <f>IF(registreGarantie[[#This Row],[date paiement]]="","",registreGarantie[[#This Row],[Pièces 
Demandés]]-registreGarantie[[#This Row],[Pièces 
Remboursés]])</f>
        <v>0</v>
      </c>
      <c r="P257" s="69">
        <v>341.82</v>
      </c>
      <c r="Q257" s="69">
        <v>276.82</v>
      </c>
      <c r="R257" s="70">
        <f>IF(registreGarantie[[#This Row],[date paiement]]="","",registreGarantie[[#This Row],[MO
Demandé]]-registreGarantie[[#This Row],[MO
Remboursé]])</f>
        <v>65</v>
      </c>
      <c r="S257" s="69"/>
      <c r="T257" s="70">
        <f>IF(registreGarantie[[#This Row],[date paiement]]="","",registreGarantie[[#This Row],[MO
Refusé]]+registreGarantie[[#This Row],[Pièces
Refusés]])</f>
        <v>65</v>
      </c>
      <c r="U257" s="106">
        <v>45610</v>
      </c>
      <c r="V257" s="71">
        <f>IF(registreGarantie[[#This Row],[Pièces 
Demandés]]="","",registreGarantie[[#This Row],[Date]])</f>
        <v>45569</v>
      </c>
      <c r="W257" s="103">
        <f>IF(registreGarantie[[#This Row],[Pièces 
Demandés]]="","",IF(registreGarantie[[#This Row],[date paiement]]="","",registreGarantie[[#This Row],[date paiement]]+91))</f>
        <v>45701</v>
      </c>
      <c r="X2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7" s="74" t="str">
        <f ca="1">IF(registreGarantie[[#This Row],[Colonne1]]=0,"",IF(TODAY()&gt;registreGarantie[[#This Row],[Date rebus]],0,1))</f>
        <v/>
      </c>
      <c r="Z257" s="66"/>
      <c r="AA257" s="73">
        <f>IF(AND(registreGarantie[[#This Row],[Montant non remboursé]]&gt;1,registreGarantie[[#This Row],[Montant non remboursé]]&lt;&gt;""),1,"")</f>
        <v>1</v>
      </c>
      <c r="AB257" s="66"/>
      <c r="AC257" s="66"/>
      <c r="AD257" s="87">
        <f t="shared" si="3"/>
        <v>257</v>
      </c>
      <c r="AE257" s="109"/>
    </row>
    <row r="258" spans="1:31" ht="18" customHeight="1" thickBot="1" x14ac:dyDescent="0.4">
      <c r="A258" s="64">
        <v>44953</v>
      </c>
      <c r="B258" s="64">
        <v>43419</v>
      </c>
      <c r="C258" s="106">
        <v>45583.398113425923</v>
      </c>
      <c r="D258" s="66" t="s">
        <v>482</v>
      </c>
      <c r="E258" s="66" t="s">
        <v>945</v>
      </c>
      <c r="F258" s="68" t="s">
        <v>2345</v>
      </c>
      <c r="G258" s="66" t="s">
        <v>946</v>
      </c>
      <c r="H258" s="64">
        <v>80</v>
      </c>
      <c r="I258" s="67" t="s">
        <v>2</v>
      </c>
      <c r="J258" s="97">
        <v>404431027</v>
      </c>
      <c r="K258" s="66"/>
      <c r="L258" s="68"/>
      <c r="M258" s="69">
        <v>212.55</v>
      </c>
      <c r="N258" s="69">
        <v>212.55</v>
      </c>
      <c r="O258" s="70">
        <f>IF(registreGarantie[[#This Row],[date paiement]]="","",registreGarantie[[#This Row],[Pièces 
Demandés]]-registreGarantie[[#This Row],[Pièces 
Remboursés]])</f>
        <v>0</v>
      </c>
      <c r="P258" s="69">
        <v>61.5</v>
      </c>
      <c r="Q258" s="69">
        <v>61.5</v>
      </c>
      <c r="R258" s="70">
        <f>IF(registreGarantie[[#This Row],[date paiement]]="","",registreGarantie[[#This Row],[MO
Demandé]]-registreGarantie[[#This Row],[MO
Remboursé]])</f>
        <v>0</v>
      </c>
      <c r="S258" s="69"/>
      <c r="T258" s="70">
        <f>IF(registreGarantie[[#This Row],[date paiement]]="","",registreGarantie[[#This Row],[MO
Refusé]]+registreGarantie[[#This Row],[Pièces
Refusés]])</f>
        <v>0</v>
      </c>
      <c r="U258" s="106">
        <v>45596</v>
      </c>
      <c r="V258" s="71">
        <f>IF(registreGarantie[[#This Row],[Pièces 
Demandés]]="","",registreGarantie[[#This Row],[Date]])</f>
        <v>45583.398113425923</v>
      </c>
      <c r="W258" s="103">
        <f>IF(registreGarantie[[#This Row],[Pièces 
Demandés]]="","",IF(registreGarantie[[#This Row],[date paiement]]="","",registreGarantie[[#This Row],[date paiement]]+91))</f>
        <v>45687</v>
      </c>
      <c r="X2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58" s="74">
        <f ca="1">IF(registreGarantie[[#This Row],[Colonne1]]=0,"",IF(TODAY()&gt;registreGarantie[[#This Row],[Date rebus]],0,1))</f>
        <v>0</v>
      </c>
      <c r="Z258" s="66"/>
      <c r="AA258" s="73" t="str">
        <f>IF(AND(registreGarantie[[#This Row],[Montant non remboursé]]&gt;1,registreGarantie[[#This Row],[Montant non remboursé]]&lt;&gt;""),1,"")</f>
        <v/>
      </c>
      <c r="AB258" s="66"/>
      <c r="AC258" s="66"/>
      <c r="AD258" s="87">
        <f t="shared" ref="AD258:AD321" si="4">ROW(AD258)</f>
        <v>258</v>
      </c>
      <c r="AE258" s="109"/>
    </row>
    <row r="259" spans="1:31" ht="18" customHeight="1" thickBot="1" x14ac:dyDescent="0.4">
      <c r="A259" s="64">
        <v>44954</v>
      </c>
      <c r="B259" s="64">
        <v>5979</v>
      </c>
      <c r="C259" s="106">
        <v>45587.6877662037</v>
      </c>
      <c r="D259" s="66" t="s">
        <v>333</v>
      </c>
      <c r="E259" s="66" t="s">
        <v>334</v>
      </c>
      <c r="F259" s="68" t="s">
        <v>2282</v>
      </c>
      <c r="G259" s="66" t="s">
        <v>927</v>
      </c>
      <c r="H259" s="64">
        <v>399</v>
      </c>
      <c r="I259" s="67" t="s">
        <v>20</v>
      </c>
      <c r="J259" s="97">
        <v>404422526</v>
      </c>
      <c r="K259" s="66"/>
      <c r="L259" s="68"/>
      <c r="M259" s="69">
        <v>1022.27</v>
      </c>
      <c r="N259" s="69">
        <v>1022.27</v>
      </c>
      <c r="O259" s="70">
        <f>IF(registreGarantie[[#This Row],[date paiement]]="","",registreGarantie[[#This Row],[Pièces 
Demandés]]-registreGarantie[[#This Row],[Pièces 
Remboursés]])</f>
        <v>0</v>
      </c>
      <c r="P259" s="69">
        <v>645.75</v>
      </c>
      <c r="Q259" s="66">
        <v>645.75</v>
      </c>
      <c r="R259" s="70">
        <f>IF(registreGarantie[[#This Row],[date paiement]]="","",registreGarantie[[#This Row],[MO
Demandé]]-registreGarantie[[#This Row],[MO
Remboursé]])</f>
        <v>0</v>
      </c>
      <c r="S259" s="69"/>
      <c r="T259" s="70">
        <f>IF(registreGarantie[[#This Row],[date paiement]]="","",registreGarantie[[#This Row],[MO
Refusé]]+registreGarantie[[#This Row],[Pièces
Refusés]])</f>
        <v>0</v>
      </c>
      <c r="U259" s="106">
        <v>45628</v>
      </c>
      <c r="V259" s="71">
        <f>IF(registreGarantie[[#This Row],[Pièces 
Demandés]]="","",registreGarantie[[#This Row],[Date]])</f>
        <v>45587.6877662037</v>
      </c>
      <c r="W259" s="103">
        <f>IF(registreGarantie[[#This Row],[Pièces 
Demandés]]="","",IF(registreGarantie[[#This Row],[date paiement]]="","",registreGarantie[[#This Row],[date paiement]]+91))</f>
        <v>45719</v>
      </c>
      <c r="X2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59" s="74" t="str">
        <f ca="1">IF(registreGarantie[[#This Row],[Colonne1]]=0,"",IF(TODAY()&gt;registreGarantie[[#This Row],[Date rebus]],0,1))</f>
        <v/>
      </c>
      <c r="Z259" s="66"/>
      <c r="AA259" s="73" t="str">
        <f>IF(AND(registreGarantie[[#This Row],[Montant non remboursé]]&gt;1,registreGarantie[[#This Row],[Montant non remboursé]]&lt;&gt;""),1,"")</f>
        <v/>
      </c>
      <c r="AB259" s="66"/>
      <c r="AC259" s="66"/>
      <c r="AD259" s="87">
        <f t="shared" si="4"/>
        <v>259</v>
      </c>
      <c r="AE259" s="109"/>
    </row>
    <row r="260" spans="1:31" ht="18" customHeight="1" thickBot="1" x14ac:dyDescent="0.4">
      <c r="A260" s="64">
        <v>44954</v>
      </c>
      <c r="B260" s="64">
        <v>5979</v>
      </c>
      <c r="C260" s="106">
        <v>45587.6877662037</v>
      </c>
      <c r="D260" s="66" t="s">
        <v>333</v>
      </c>
      <c r="E260" s="66" t="s">
        <v>334</v>
      </c>
      <c r="F260" s="68" t="s">
        <v>2282</v>
      </c>
      <c r="G260" s="66" t="s">
        <v>927</v>
      </c>
      <c r="H260" s="64">
        <v>399</v>
      </c>
      <c r="I260" s="67" t="s">
        <v>2</v>
      </c>
      <c r="J260" s="97">
        <v>404422526</v>
      </c>
      <c r="K260" s="66"/>
      <c r="L260" s="68" t="s">
        <v>2283</v>
      </c>
      <c r="M260" s="69">
        <v>1022.27</v>
      </c>
      <c r="N260" s="69">
        <v>1022.27</v>
      </c>
      <c r="O260" s="70">
        <f>IF(registreGarantie[[#This Row],[date paiement]]="","",registreGarantie[[#This Row],[Pièces 
Demandés]]-registreGarantie[[#This Row],[Pièces 
Remboursés]])</f>
        <v>0</v>
      </c>
      <c r="P260" s="69">
        <v>645.75</v>
      </c>
      <c r="Q260" s="69">
        <v>645.75</v>
      </c>
      <c r="R260" s="70">
        <f>IF(registreGarantie[[#This Row],[date paiement]]="","",registreGarantie[[#This Row],[MO
Demandé]]-registreGarantie[[#This Row],[MO
Remboursé]])</f>
        <v>0</v>
      </c>
      <c r="S260" s="69"/>
      <c r="T260" s="70">
        <f>IF(registreGarantie[[#This Row],[date paiement]]="","",registreGarantie[[#This Row],[MO
Refusé]]+registreGarantie[[#This Row],[Pièces
Refusés]])</f>
        <v>0</v>
      </c>
      <c r="U260" s="106">
        <v>45628</v>
      </c>
      <c r="V260" s="71">
        <f>IF(registreGarantie[[#This Row],[Pièces 
Demandés]]="","",registreGarantie[[#This Row],[Date]])</f>
        <v>45587.6877662037</v>
      </c>
      <c r="W260" s="103">
        <f>IF(registreGarantie[[#This Row],[Pièces 
Demandés]]="","",IF(registreGarantie[[#This Row],[date paiement]]="","",registreGarantie[[#This Row],[date paiement]]+91))</f>
        <v>45719</v>
      </c>
      <c r="X2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0" s="74">
        <f ca="1">IF(registreGarantie[[#This Row],[Colonne1]]=0,"",IF(TODAY()&gt;registreGarantie[[#This Row],[Date rebus]],0,1))</f>
        <v>0</v>
      </c>
      <c r="Z260" s="66"/>
      <c r="AA260" s="73" t="str">
        <f>IF(AND(registreGarantie[[#This Row],[Montant non remboursé]]&gt;1,registreGarantie[[#This Row],[Montant non remboursé]]&lt;&gt;""),1,"")</f>
        <v/>
      </c>
      <c r="AB260" s="66"/>
      <c r="AC260" s="66"/>
      <c r="AD260" s="87">
        <f t="shared" si="4"/>
        <v>260</v>
      </c>
      <c r="AE260" s="109"/>
    </row>
    <row r="261" spans="1:31" ht="18" customHeight="1" thickBot="1" x14ac:dyDescent="0.4">
      <c r="A261" s="64">
        <v>44955</v>
      </c>
      <c r="B261" s="64">
        <v>43016</v>
      </c>
      <c r="C261" s="106">
        <v>45576.565787037034</v>
      </c>
      <c r="D261" s="66" t="s">
        <v>535</v>
      </c>
      <c r="E261" s="66" t="s">
        <v>706</v>
      </c>
      <c r="F261" s="68"/>
      <c r="G261" s="66" t="s">
        <v>1836</v>
      </c>
      <c r="H261" s="64" t="s">
        <v>1837</v>
      </c>
      <c r="I261" s="67" t="s">
        <v>2</v>
      </c>
      <c r="J261" s="97" t="s">
        <v>1838</v>
      </c>
      <c r="K261" s="66"/>
      <c r="L261" s="68"/>
      <c r="M261" s="69">
        <v>47.06</v>
      </c>
      <c r="N261" s="69">
        <v>47.06</v>
      </c>
      <c r="O261" s="70">
        <f>IF(registreGarantie[[#This Row],[date paiement]]="","",registreGarantie[[#This Row],[Pièces 
Demandés]]-registreGarantie[[#This Row],[Pièces 
Remboursés]])</f>
        <v>0</v>
      </c>
      <c r="P261" s="69">
        <v>49</v>
      </c>
      <c r="Q261" s="69">
        <v>49</v>
      </c>
      <c r="R261" s="70">
        <f>IF(registreGarantie[[#This Row],[date paiement]]="","",registreGarantie[[#This Row],[MO
Demandé]]-registreGarantie[[#This Row],[MO
Remboursé]])</f>
        <v>0</v>
      </c>
      <c r="S261" s="69"/>
      <c r="T261" s="70">
        <f>IF(registreGarantie[[#This Row],[date paiement]]="","",registreGarantie[[#This Row],[MO
Refusé]]+registreGarantie[[#This Row],[Pièces
Refusés]])</f>
        <v>0</v>
      </c>
      <c r="U261" s="106">
        <v>45610</v>
      </c>
      <c r="V261" s="71">
        <f>IF(registreGarantie[[#This Row],[Pièces 
Demandés]]="","",registreGarantie[[#This Row],[Date]])</f>
        <v>45576.565787037034</v>
      </c>
      <c r="W261" s="103">
        <f>IF(registreGarantie[[#This Row],[Pièces 
Demandés]]="","",IF(registreGarantie[[#This Row],[date paiement]]="","",registreGarantie[[#This Row],[date paiement]]+91))</f>
        <v>45701</v>
      </c>
      <c r="X2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1" s="74">
        <f ca="1">IF(registreGarantie[[#This Row],[Colonne1]]=0,"",IF(TODAY()&gt;registreGarantie[[#This Row],[Date rebus]],0,1))</f>
        <v>0</v>
      </c>
      <c r="Z261" s="66"/>
      <c r="AA261" s="73" t="str">
        <f>IF(AND(registreGarantie[[#This Row],[Montant non remboursé]]&gt;1,registreGarantie[[#This Row],[Montant non remboursé]]&lt;&gt;""),1,"")</f>
        <v/>
      </c>
      <c r="AB261" s="66"/>
      <c r="AC261" s="66"/>
      <c r="AD261" s="87">
        <f t="shared" si="4"/>
        <v>261</v>
      </c>
      <c r="AE261" s="109"/>
    </row>
    <row r="262" spans="1:31" s="94" customFormat="1" ht="18" customHeight="1" thickBot="1" x14ac:dyDescent="0.4">
      <c r="A262" s="75">
        <v>44956</v>
      </c>
      <c r="B262" s="75">
        <v>43085</v>
      </c>
      <c r="C262" s="107"/>
      <c r="D262" s="76" t="s">
        <v>434</v>
      </c>
      <c r="E262" s="76" t="s">
        <v>151</v>
      </c>
      <c r="F262" s="78"/>
      <c r="G262" s="76" t="s">
        <v>1839</v>
      </c>
      <c r="H262" s="75" t="s">
        <v>1840</v>
      </c>
      <c r="I262" s="77" t="s">
        <v>21</v>
      </c>
      <c r="J262" s="105"/>
      <c r="K262" s="76"/>
      <c r="L262" s="78"/>
      <c r="M262" s="79"/>
      <c r="N262" s="79"/>
      <c r="O262" s="80" t="str">
        <f>IF(registreGarantie[[#This Row],[date paiement]]="","",registreGarantie[[#This Row],[Pièces 
Demandés]]-registreGarantie[[#This Row],[Pièces 
Remboursés]])</f>
        <v/>
      </c>
      <c r="P262" s="79"/>
      <c r="Q262" s="79"/>
      <c r="R262" s="80" t="str">
        <f>IF(registreGarantie[[#This Row],[date paiement]]="","",registreGarantie[[#This Row],[MO
Demandé]]-registreGarantie[[#This Row],[MO
Remboursé]])</f>
        <v/>
      </c>
      <c r="S262" s="79"/>
      <c r="T262" s="80" t="str">
        <f>IF(registreGarantie[[#This Row],[date paiement]]="","",registreGarantie[[#This Row],[MO
Refusé]]+registreGarantie[[#This Row],[Pièces
Refusés]])</f>
        <v/>
      </c>
      <c r="U262" s="107"/>
      <c r="V262" s="81" t="str">
        <f>IF(registreGarantie[[#This Row],[Pièces 
Demandés]]="","",registreGarantie[[#This Row],[Date]])</f>
        <v/>
      </c>
      <c r="W262" s="104" t="str">
        <f>IF(registreGarantie[[#This Row],[Pièces 
Demandés]]="","",IF(registreGarantie[[#This Row],[date paiement]]="","",registreGarantie[[#This Row],[date paiement]]+91))</f>
        <v/>
      </c>
      <c r="X262" s="8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62" s="82" t="str">
        <f ca="1">IF(registreGarantie[[#This Row],[Colonne1]]=0,"",IF(TODAY()&gt;registreGarantie[[#This Row],[Date rebus]],0,1))</f>
        <v/>
      </c>
      <c r="Z262" s="76"/>
      <c r="AA262" s="83" t="str">
        <f>IF(AND(registreGarantie[[#This Row],[Montant non remboursé]]&gt;1,registreGarantie[[#This Row],[Montant non remboursé]]&lt;&gt;""),1,"")</f>
        <v/>
      </c>
      <c r="AB262" s="76"/>
      <c r="AC262" s="76"/>
      <c r="AD262" s="93">
        <f t="shared" si="4"/>
        <v>262</v>
      </c>
      <c r="AE262" s="110"/>
    </row>
    <row r="263" spans="1:31" ht="18" customHeight="1" thickBot="1" x14ac:dyDescent="0.4">
      <c r="A263" s="64">
        <v>44957</v>
      </c>
      <c r="B263" s="64">
        <v>5983</v>
      </c>
      <c r="C263" s="106">
        <v>45579.649942129632</v>
      </c>
      <c r="D263" s="66" t="s">
        <v>1117</v>
      </c>
      <c r="E263" s="66" t="s">
        <v>32</v>
      </c>
      <c r="F263" s="68" t="s">
        <v>2297</v>
      </c>
      <c r="G263" s="66" t="s">
        <v>1841</v>
      </c>
      <c r="H263" s="64">
        <v>201</v>
      </c>
      <c r="I263" s="67" t="s">
        <v>2</v>
      </c>
      <c r="J263" s="97">
        <v>404425469</v>
      </c>
      <c r="K263" s="66"/>
      <c r="L263" s="68"/>
      <c r="M263" s="69">
        <v>562.78</v>
      </c>
      <c r="N263" s="69">
        <v>562.78</v>
      </c>
      <c r="O263" s="70">
        <f>IF(registreGarantie[[#This Row],[date paiement]]="","",registreGarantie[[#This Row],[Pièces 
Demandés]]-registreGarantie[[#This Row],[Pièces 
Remboursés]])</f>
        <v>0</v>
      </c>
      <c r="P263" s="69">
        <v>61.5</v>
      </c>
      <c r="Q263" s="66">
        <v>61.5</v>
      </c>
      <c r="R263" s="70">
        <f>IF(registreGarantie[[#This Row],[date paiement]]="","",registreGarantie[[#This Row],[MO
Demandé]]-registreGarantie[[#This Row],[MO
Remboursé]])</f>
        <v>0</v>
      </c>
      <c r="S263" s="69"/>
      <c r="T263" s="70">
        <f>IF(registreGarantie[[#This Row],[date paiement]]="","",registreGarantie[[#This Row],[MO
Refusé]]+registreGarantie[[#This Row],[Pièces
Refusés]])</f>
        <v>0</v>
      </c>
      <c r="U263" s="106">
        <v>45628</v>
      </c>
      <c r="V263" s="71">
        <f>IF(registreGarantie[[#This Row],[Pièces 
Demandés]]="","",registreGarantie[[#This Row],[Date]])</f>
        <v>45579.649942129632</v>
      </c>
      <c r="W263" s="103">
        <f>IF(registreGarantie[[#This Row],[Pièces 
Demandés]]="","",IF(registreGarantie[[#This Row],[date paiement]]="","",registreGarantie[[#This Row],[date paiement]]+91))</f>
        <v>45719</v>
      </c>
      <c r="X2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3" s="74">
        <f ca="1">IF(registreGarantie[[#This Row],[Colonne1]]=0,"",IF(TODAY()&gt;registreGarantie[[#This Row],[Date rebus]],0,1))</f>
        <v>0</v>
      </c>
      <c r="Z263" s="66"/>
      <c r="AA263" s="73" t="str">
        <f>IF(AND(registreGarantie[[#This Row],[Montant non remboursé]]&gt;1,registreGarantie[[#This Row],[Montant non remboursé]]&lt;&gt;""),1,"")</f>
        <v/>
      </c>
      <c r="AB263" s="66"/>
      <c r="AC263" s="66"/>
      <c r="AD263" s="87">
        <f t="shared" si="4"/>
        <v>263</v>
      </c>
      <c r="AE263" s="109"/>
    </row>
    <row r="264" spans="1:31" ht="18" customHeight="1" thickBot="1" x14ac:dyDescent="0.4">
      <c r="A264" s="64">
        <v>44958</v>
      </c>
      <c r="B264" s="64">
        <v>5984</v>
      </c>
      <c r="C264" s="106">
        <v>45579.670856481483</v>
      </c>
      <c r="D264" s="66" t="s">
        <v>1117</v>
      </c>
      <c r="E264" s="66" t="s">
        <v>32</v>
      </c>
      <c r="F264" s="68" t="s">
        <v>2297</v>
      </c>
      <c r="G264" s="66" t="s">
        <v>1842</v>
      </c>
      <c r="H264" s="64">
        <v>201</v>
      </c>
      <c r="I264" s="67" t="s">
        <v>20</v>
      </c>
      <c r="J264" s="97">
        <v>404425528</v>
      </c>
      <c r="K264" s="66"/>
      <c r="L264" s="68"/>
      <c r="M264" s="69"/>
      <c r="N264" s="69"/>
      <c r="O264" s="70" t="str">
        <f>IF(registreGarantie[[#This Row],[date paiement]]="","",registreGarantie[[#This Row],[Pièces 
Demandés]]-registreGarantie[[#This Row],[Pièces 
Remboursés]])</f>
        <v/>
      </c>
      <c r="P264" s="69"/>
      <c r="Q264" s="69"/>
      <c r="R264" s="70" t="str">
        <f>IF(registreGarantie[[#This Row],[date paiement]]="","",registreGarantie[[#This Row],[MO
Demandé]]-registreGarantie[[#This Row],[MO
Remboursé]])</f>
        <v/>
      </c>
      <c r="S264" s="69"/>
      <c r="T264" s="70" t="str">
        <f>IF(registreGarantie[[#This Row],[date paiement]]="","",registreGarantie[[#This Row],[MO
Refusé]]+registreGarantie[[#This Row],[Pièces
Refusés]])</f>
        <v/>
      </c>
      <c r="U264" s="106"/>
      <c r="V264" s="71" t="str">
        <f>IF(registreGarantie[[#This Row],[Pièces 
Demandés]]="","",registreGarantie[[#This Row],[Date]])</f>
        <v/>
      </c>
      <c r="W264" s="103" t="str">
        <f>IF(registreGarantie[[#This Row],[Pièces 
Demandés]]="","",IF(registreGarantie[[#This Row],[date paiement]]="","",registreGarantie[[#This Row],[date paiement]]+91))</f>
        <v/>
      </c>
      <c r="X2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64" s="74" t="str">
        <f ca="1">IF(registreGarantie[[#This Row],[Colonne1]]=0,"",IF(TODAY()&gt;registreGarantie[[#This Row],[Date rebus]],0,1))</f>
        <v/>
      </c>
      <c r="Z264" s="66"/>
      <c r="AA264" s="73" t="str">
        <f>IF(AND(registreGarantie[[#This Row],[Montant non remboursé]]&gt;1,registreGarantie[[#This Row],[Montant non remboursé]]&lt;&gt;""),1,"")</f>
        <v/>
      </c>
      <c r="AB264" s="66"/>
      <c r="AC264" s="66"/>
      <c r="AD264" s="87">
        <f t="shared" si="4"/>
        <v>264</v>
      </c>
      <c r="AE264" s="109"/>
    </row>
    <row r="265" spans="1:31" ht="18" customHeight="1" thickBot="1" x14ac:dyDescent="0.4">
      <c r="A265" s="64">
        <v>44958</v>
      </c>
      <c r="B265" s="64">
        <v>5984</v>
      </c>
      <c r="C265" s="106">
        <v>45579.670856481483</v>
      </c>
      <c r="D265" s="66" t="s">
        <v>1117</v>
      </c>
      <c r="E265" s="66" t="s">
        <v>32</v>
      </c>
      <c r="F265" s="68" t="s">
        <v>2297</v>
      </c>
      <c r="G265" s="66" t="s">
        <v>1842</v>
      </c>
      <c r="H265" s="64">
        <v>201</v>
      </c>
      <c r="I265" s="67" t="s">
        <v>2</v>
      </c>
      <c r="J265" s="97">
        <v>404425528</v>
      </c>
      <c r="K265" s="66"/>
      <c r="L265" s="68"/>
      <c r="M265" s="69">
        <v>48.07</v>
      </c>
      <c r="N265" s="69">
        <v>48.07</v>
      </c>
      <c r="O265" s="70">
        <f>IF(registreGarantie[[#This Row],[date paiement]]="","",registreGarantie[[#This Row],[Pièces 
Demandés]]-registreGarantie[[#This Row],[Pièces 
Remboursés]])</f>
        <v>0</v>
      </c>
      <c r="P265" s="69">
        <v>92.25</v>
      </c>
      <c r="Q265" s="69">
        <v>92.25</v>
      </c>
      <c r="R265" s="70">
        <f>IF(registreGarantie[[#This Row],[date paiement]]="","",registreGarantie[[#This Row],[MO
Demandé]]-registreGarantie[[#This Row],[MO
Remboursé]])</f>
        <v>0</v>
      </c>
      <c r="S265" s="69"/>
      <c r="T265" s="70">
        <f>IF(registreGarantie[[#This Row],[date paiement]]="","",registreGarantie[[#This Row],[MO
Refusé]]+registreGarantie[[#This Row],[Pièces
Refusés]])</f>
        <v>0</v>
      </c>
      <c r="U265" s="106">
        <v>45628</v>
      </c>
      <c r="V265" s="71">
        <f>IF(registreGarantie[[#This Row],[Pièces 
Demandés]]="","",registreGarantie[[#This Row],[Date]])</f>
        <v>45579.670856481483</v>
      </c>
      <c r="W265" s="103">
        <f>IF(registreGarantie[[#This Row],[Pièces 
Demandés]]="","",IF(registreGarantie[[#This Row],[date paiement]]="","",registreGarantie[[#This Row],[date paiement]]+91))</f>
        <v>45719</v>
      </c>
      <c r="X2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5" s="74">
        <f ca="1">IF(registreGarantie[[#This Row],[Colonne1]]=0,"",IF(TODAY()&gt;registreGarantie[[#This Row],[Date rebus]],0,1))</f>
        <v>0</v>
      </c>
      <c r="Z265" s="66"/>
      <c r="AA265" s="73" t="str">
        <f>IF(AND(registreGarantie[[#This Row],[Montant non remboursé]]&gt;1,registreGarantie[[#This Row],[Montant non remboursé]]&lt;&gt;""),1,"")</f>
        <v/>
      </c>
      <c r="AB265" s="66"/>
      <c r="AC265" s="66"/>
      <c r="AD265" s="87">
        <f t="shared" si="4"/>
        <v>265</v>
      </c>
      <c r="AE265" s="109"/>
    </row>
    <row r="266" spans="1:31" ht="18" customHeight="1" thickBot="1" x14ac:dyDescent="0.4">
      <c r="A266" s="64">
        <v>44959</v>
      </c>
      <c r="B266" s="64">
        <v>5956</v>
      </c>
      <c r="C266" s="106">
        <v>45579.728784722225</v>
      </c>
      <c r="D266" s="66" t="s">
        <v>239</v>
      </c>
      <c r="E266" s="66" t="s">
        <v>546</v>
      </c>
      <c r="F266" s="68">
        <v>78410241</v>
      </c>
      <c r="G266" s="66" t="s">
        <v>1843</v>
      </c>
      <c r="H266" s="64">
        <v>702</v>
      </c>
      <c r="I266" s="67" t="s">
        <v>2</v>
      </c>
      <c r="J266" s="97">
        <v>404425636</v>
      </c>
      <c r="K266" s="66"/>
      <c r="L266" s="68"/>
      <c r="M266" s="69">
        <v>122.88</v>
      </c>
      <c r="N266" s="69">
        <v>122.88</v>
      </c>
      <c r="O266" s="70">
        <f>IF(registreGarantie[[#This Row],[date paiement]]="","",registreGarantie[[#This Row],[Pièces 
Demandés]]-registreGarantie[[#This Row],[Pièces 
Remboursés]])</f>
        <v>0</v>
      </c>
      <c r="P266" s="69">
        <v>76.88</v>
      </c>
      <c r="Q266" s="66">
        <v>76.88</v>
      </c>
      <c r="R266" s="70">
        <f>IF(registreGarantie[[#This Row],[date paiement]]="","",registreGarantie[[#This Row],[MO
Demandé]]-registreGarantie[[#This Row],[MO
Remboursé]])</f>
        <v>0</v>
      </c>
      <c r="S266" s="69"/>
      <c r="T266" s="70">
        <f>IF(registreGarantie[[#This Row],[date paiement]]="","",registreGarantie[[#This Row],[MO
Refusé]]+registreGarantie[[#This Row],[Pièces
Refusés]])</f>
        <v>0</v>
      </c>
      <c r="U266" s="106">
        <v>45628</v>
      </c>
      <c r="V266" s="71">
        <f>IF(registreGarantie[[#This Row],[Pièces 
Demandés]]="","",registreGarantie[[#This Row],[Date]])</f>
        <v>45579.728784722225</v>
      </c>
      <c r="W266" s="103">
        <f>IF(registreGarantie[[#This Row],[Pièces 
Demandés]]="","",IF(registreGarantie[[#This Row],[date paiement]]="","",registreGarantie[[#This Row],[date paiement]]+91))</f>
        <v>45719</v>
      </c>
      <c r="X2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6" s="74">
        <f ca="1">IF(registreGarantie[[#This Row],[Colonne1]]=0,"",IF(TODAY()&gt;registreGarantie[[#This Row],[Date rebus]],0,1))</f>
        <v>0</v>
      </c>
      <c r="Z266" s="66"/>
      <c r="AA266" s="73" t="str">
        <f>IF(AND(registreGarantie[[#This Row],[Montant non remboursé]]&gt;1,registreGarantie[[#This Row],[Montant non remboursé]]&lt;&gt;""),1,"")</f>
        <v/>
      </c>
      <c r="AB266" s="66"/>
      <c r="AC266" s="66"/>
      <c r="AD266" s="87">
        <f t="shared" si="4"/>
        <v>266</v>
      </c>
      <c r="AE266" s="109"/>
    </row>
    <row r="267" spans="1:31" ht="18" customHeight="1" thickBot="1" x14ac:dyDescent="0.4">
      <c r="A267" s="64">
        <v>44960</v>
      </c>
      <c r="B267" s="64">
        <v>5995</v>
      </c>
      <c r="C267" s="106">
        <v>45581.350034722222</v>
      </c>
      <c r="D267" s="66" t="s">
        <v>333</v>
      </c>
      <c r="E267" s="66" t="s">
        <v>334</v>
      </c>
      <c r="F267" s="68" t="s">
        <v>2282</v>
      </c>
      <c r="G267" s="66" t="s">
        <v>159</v>
      </c>
      <c r="H267" s="64">
        <v>399</v>
      </c>
      <c r="I267" s="67" t="s">
        <v>20</v>
      </c>
      <c r="J267" s="97">
        <v>404427267</v>
      </c>
      <c r="K267" s="66"/>
      <c r="L267" s="68"/>
      <c r="M267" s="69"/>
      <c r="N267" s="69"/>
      <c r="O267" s="70" t="str">
        <f>IF(registreGarantie[[#This Row],[date paiement]]="","",registreGarantie[[#This Row],[Pièces 
Demandés]]-registreGarantie[[#This Row],[Pièces 
Remboursés]])</f>
        <v/>
      </c>
      <c r="P267" s="69"/>
      <c r="Q267" s="69"/>
      <c r="R267" s="70" t="str">
        <f>IF(registreGarantie[[#This Row],[date paiement]]="","",registreGarantie[[#This Row],[MO
Demandé]]-registreGarantie[[#This Row],[MO
Remboursé]])</f>
        <v/>
      </c>
      <c r="S267" s="69"/>
      <c r="T267" s="70" t="str">
        <f>IF(registreGarantie[[#This Row],[date paiement]]="","",registreGarantie[[#This Row],[MO
Refusé]]+registreGarantie[[#This Row],[Pièces
Refusés]])</f>
        <v/>
      </c>
      <c r="U267" s="106"/>
      <c r="V267" s="71" t="str">
        <f>IF(registreGarantie[[#This Row],[Pièces 
Demandés]]="","",registreGarantie[[#This Row],[Date]])</f>
        <v/>
      </c>
      <c r="W267" s="103" t="str">
        <f>IF(registreGarantie[[#This Row],[Pièces 
Demandés]]="","",IF(registreGarantie[[#This Row],[date paiement]]="","",registreGarantie[[#This Row],[date paiement]]+91))</f>
        <v/>
      </c>
      <c r="X2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67" s="74" t="str">
        <f ca="1">IF(registreGarantie[[#This Row],[Colonne1]]=0,"",IF(TODAY()&gt;registreGarantie[[#This Row],[Date rebus]],0,1))</f>
        <v/>
      </c>
      <c r="Z267" s="66"/>
      <c r="AA267" s="73" t="str">
        <f>IF(AND(registreGarantie[[#This Row],[Montant non remboursé]]&gt;1,registreGarantie[[#This Row],[Montant non remboursé]]&lt;&gt;""),1,"")</f>
        <v/>
      </c>
      <c r="AB267" s="66"/>
      <c r="AC267" s="66"/>
      <c r="AD267" s="87">
        <f t="shared" si="4"/>
        <v>267</v>
      </c>
      <c r="AE267" s="109"/>
    </row>
    <row r="268" spans="1:31" ht="18" customHeight="1" thickBot="1" x14ac:dyDescent="0.4">
      <c r="A268" s="64">
        <v>44960</v>
      </c>
      <c r="B268" s="64">
        <v>5995</v>
      </c>
      <c r="C268" s="106">
        <v>45581.350034722222</v>
      </c>
      <c r="D268" s="66" t="s">
        <v>333</v>
      </c>
      <c r="E268" s="66" t="s">
        <v>334</v>
      </c>
      <c r="F268" s="68" t="s">
        <v>2282</v>
      </c>
      <c r="G268" s="66" t="s">
        <v>159</v>
      </c>
      <c r="H268" s="64">
        <v>399</v>
      </c>
      <c r="I268" s="67" t="s">
        <v>2</v>
      </c>
      <c r="J268" s="97">
        <v>404427267</v>
      </c>
      <c r="K268" s="66"/>
      <c r="L268" s="68"/>
      <c r="M268" s="69">
        <v>1092.8599999999999</v>
      </c>
      <c r="N268" s="69">
        <v>1092.8599999999999</v>
      </c>
      <c r="O268" s="70">
        <f>IF(registreGarantie[[#This Row],[date paiement]]="","",registreGarantie[[#This Row],[Pièces 
Demandés]]-registreGarantie[[#This Row],[Pièces 
Remboursés]])</f>
        <v>0</v>
      </c>
      <c r="P268" s="69">
        <v>968.63</v>
      </c>
      <c r="Q268" s="69">
        <v>615</v>
      </c>
      <c r="R268" s="70">
        <f>IF(registreGarantie[[#This Row],[date paiement]]="","",registreGarantie[[#This Row],[MO
Demandé]]-registreGarantie[[#This Row],[MO
Remboursé]])</f>
        <v>353.63</v>
      </c>
      <c r="S268" s="69"/>
      <c r="T268" s="70">
        <f>IF(registreGarantie[[#This Row],[date paiement]]="","",registreGarantie[[#This Row],[MO
Refusé]]+registreGarantie[[#This Row],[Pièces
Refusés]])</f>
        <v>353.63</v>
      </c>
      <c r="U268" s="106">
        <v>45628</v>
      </c>
      <c r="V268" s="71">
        <f>IF(registreGarantie[[#This Row],[Pièces 
Demandés]]="","",registreGarantie[[#This Row],[Date]])</f>
        <v>45581.350034722222</v>
      </c>
      <c r="W268" s="103">
        <f>IF(registreGarantie[[#This Row],[Pièces 
Demandés]]="","",IF(registreGarantie[[#This Row],[date paiement]]="","",registreGarantie[[#This Row],[date paiement]]+91))</f>
        <v>45719</v>
      </c>
      <c r="X2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68" s="74">
        <f ca="1">IF(registreGarantie[[#This Row],[Colonne1]]=0,"",IF(TODAY()&gt;registreGarantie[[#This Row],[Date rebus]],0,1))</f>
        <v>0</v>
      </c>
      <c r="Z268" s="66" t="s">
        <v>1844</v>
      </c>
      <c r="AA268" s="73">
        <f>IF(AND(registreGarantie[[#This Row],[Montant non remboursé]]&gt;1,registreGarantie[[#This Row],[Montant non remboursé]]&lt;&gt;""),1,"")</f>
        <v>1</v>
      </c>
      <c r="AB268" s="66"/>
      <c r="AC268" s="66"/>
      <c r="AD268" s="87">
        <f t="shared" si="4"/>
        <v>268</v>
      </c>
      <c r="AE268" s="109"/>
    </row>
    <row r="269" spans="1:31" ht="18" customHeight="1" thickBot="1" x14ac:dyDescent="0.4">
      <c r="A269" s="64">
        <v>44961</v>
      </c>
      <c r="B269" s="64">
        <v>43391</v>
      </c>
      <c r="C269" s="106">
        <v>45581.407071759262</v>
      </c>
      <c r="D269" s="66" t="s">
        <v>239</v>
      </c>
      <c r="E269" s="66" t="s">
        <v>1845</v>
      </c>
      <c r="F269" s="68" t="s">
        <v>2341</v>
      </c>
      <c r="G269" s="66" t="s">
        <v>1846</v>
      </c>
      <c r="H269" s="64">
        <v>1520</v>
      </c>
      <c r="I269" s="67" t="s">
        <v>20</v>
      </c>
      <c r="J269" s="97">
        <v>404427588</v>
      </c>
      <c r="K269" s="66"/>
      <c r="L269" s="68"/>
      <c r="M269" s="69"/>
      <c r="N269" s="69"/>
      <c r="O269" s="70" t="str">
        <f>IF(registreGarantie[[#This Row],[date paiement]]="","",registreGarantie[[#This Row],[Pièces 
Demandés]]-registreGarantie[[#This Row],[Pièces 
Remboursés]])</f>
        <v/>
      </c>
      <c r="P269" s="69"/>
      <c r="Q269" s="69"/>
      <c r="R269" s="70" t="str">
        <f>IF(registreGarantie[[#This Row],[date paiement]]="","",registreGarantie[[#This Row],[MO
Demandé]]-registreGarantie[[#This Row],[MO
Remboursé]])</f>
        <v/>
      </c>
      <c r="S269" s="69"/>
      <c r="T269" s="70" t="str">
        <f>IF(registreGarantie[[#This Row],[date paiement]]="","",registreGarantie[[#This Row],[MO
Refusé]]+registreGarantie[[#This Row],[Pièces
Refusés]])</f>
        <v/>
      </c>
      <c r="U269" s="106"/>
      <c r="V269" s="71" t="str">
        <f>IF(registreGarantie[[#This Row],[Pièces 
Demandés]]="","",registreGarantie[[#This Row],[Date]])</f>
        <v/>
      </c>
      <c r="W269" s="103" t="str">
        <f>IF(registreGarantie[[#This Row],[Pièces 
Demandés]]="","",IF(registreGarantie[[#This Row],[date paiement]]="","",registreGarantie[[#This Row],[date paiement]]+91))</f>
        <v/>
      </c>
      <c r="X2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69" s="74" t="str">
        <f ca="1">IF(registreGarantie[[#This Row],[Colonne1]]=0,"",IF(TODAY()&gt;registreGarantie[[#This Row],[Date rebus]],0,1))</f>
        <v/>
      </c>
      <c r="Z269" s="66"/>
      <c r="AA269" s="73" t="str">
        <f>IF(AND(registreGarantie[[#This Row],[Montant non remboursé]]&gt;1,registreGarantie[[#This Row],[Montant non remboursé]]&lt;&gt;""),1,"")</f>
        <v/>
      </c>
      <c r="AB269" s="66"/>
      <c r="AC269" s="66"/>
      <c r="AD269" s="87">
        <f t="shared" si="4"/>
        <v>269</v>
      </c>
      <c r="AE269" s="109"/>
    </row>
    <row r="270" spans="1:31" ht="18" customHeight="1" thickBot="1" x14ac:dyDescent="0.4">
      <c r="A270" s="64">
        <v>44962</v>
      </c>
      <c r="B270" s="64">
        <v>43492</v>
      </c>
      <c r="C270" s="106">
        <v>45595</v>
      </c>
      <c r="D270" s="66" t="s">
        <v>1847</v>
      </c>
      <c r="E270" s="66" t="s">
        <v>232</v>
      </c>
      <c r="F270" s="68"/>
      <c r="G270" s="66" t="s">
        <v>1848</v>
      </c>
      <c r="H270" s="64" t="s">
        <v>1849</v>
      </c>
      <c r="I270" s="67" t="s">
        <v>21</v>
      </c>
      <c r="J270" s="97" t="s">
        <v>1850</v>
      </c>
      <c r="K270" s="66" t="s">
        <v>1721</v>
      </c>
      <c r="L270" s="68" t="s">
        <v>1721</v>
      </c>
      <c r="M270" s="69">
        <v>2008.81</v>
      </c>
      <c r="N270" s="69">
        <v>2008.81</v>
      </c>
      <c r="O270" s="70">
        <f>IF(registreGarantie[[#This Row],[date paiement]]="","",registreGarantie[[#This Row],[Pièces 
Demandés]]-registreGarantie[[#This Row],[Pièces 
Remboursés]])</f>
        <v>0</v>
      </c>
      <c r="P270" s="69">
        <v>255</v>
      </c>
      <c r="Q270" s="69">
        <v>255</v>
      </c>
      <c r="R270" s="70">
        <f>IF(registreGarantie[[#This Row],[date paiement]]="","",registreGarantie[[#This Row],[MO
Demandé]]-registreGarantie[[#This Row],[MO
Remboursé]])</f>
        <v>0</v>
      </c>
      <c r="S270" s="69"/>
      <c r="T270" s="70">
        <f>IF(registreGarantie[[#This Row],[date paiement]]="","",registreGarantie[[#This Row],[MO
Refusé]]+registreGarantie[[#This Row],[Pièces
Refusés]])</f>
        <v>0</v>
      </c>
      <c r="U270" s="106">
        <v>45615</v>
      </c>
      <c r="V270" s="71">
        <f>IF(registreGarantie[[#This Row],[Pièces 
Demandés]]="","",registreGarantie[[#This Row],[Date]])</f>
        <v>45595</v>
      </c>
      <c r="W270" s="103">
        <f>IF(registreGarantie[[#This Row],[Pièces 
Demandés]]="","",IF(registreGarantie[[#This Row],[date paiement]]="","",registreGarantie[[#This Row],[date paiement]]+91))</f>
        <v>45706</v>
      </c>
      <c r="X2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0" s="74" t="str">
        <f ca="1">IF(registreGarantie[[#This Row],[Colonne1]]=0,"",IF(TODAY()&gt;registreGarantie[[#This Row],[Date rebus]],0,1))</f>
        <v/>
      </c>
      <c r="Z270" s="66"/>
      <c r="AA270" s="73" t="str">
        <f>IF(AND(registreGarantie[[#This Row],[Montant non remboursé]]&gt;1,registreGarantie[[#This Row],[Montant non remboursé]]&lt;&gt;""),1,"")</f>
        <v/>
      </c>
      <c r="AB270" s="66"/>
      <c r="AC270" s="66"/>
      <c r="AD270" s="87">
        <f t="shared" si="4"/>
        <v>270</v>
      </c>
      <c r="AE270" s="109"/>
    </row>
    <row r="271" spans="1:31" ht="18" customHeight="1" thickBot="1" x14ac:dyDescent="0.4">
      <c r="A271" s="64">
        <v>44963</v>
      </c>
      <c r="B271" s="64">
        <v>43217</v>
      </c>
      <c r="C271" s="106">
        <v>45586</v>
      </c>
      <c r="D271" s="66" t="s">
        <v>439</v>
      </c>
      <c r="E271" s="66" t="s">
        <v>133</v>
      </c>
      <c r="F271" s="68" t="s">
        <v>2267</v>
      </c>
      <c r="G271" s="66" t="s">
        <v>671</v>
      </c>
      <c r="H271" s="64">
        <v>1037</v>
      </c>
      <c r="I271" s="67" t="s">
        <v>18</v>
      </c>
      <c r="J271" s="97">
        <v>404433341</v>
      </c>
      <c r="K271" s="66"/>
      <c r="L271" s="68"/>
      <c r="M271" s="69">
        <v>369.82</v>
      </c>
      <c r="N271" s="69">
        <v>369.82</v>
      </c>
      <c r="O271" s="70">
        <f>IF(registreGarantie[[#This Row],[date paiement]]="","",registreGarantie[[#This Row],[Pièces 
Demandés]]-registreGarantie[[#This Row],[Pièces 
Remboursés]])</f>
        <v>0</v>
      </c>
      <c r="P271" s="69">
        <v>246</v>
      </c>
      <c r="Q271" s="69">
        <v>246</v>
      </c>
      <c r="R271" s="70">
        <f>IF(registreGarantie[[#This Row],[date paiement]]="","",registreGarantie[[#This Row],[MO
Demandé]]-registreGarantie[[#This Row],[MO
Remboursé]])</f>
        <v>0</v>
      </c>
      <c r="S271" s="69"/>
      <c r="T271" s="70">
        <f>IF(registreGarantie[[#This Row],[date paiement]]="","",registreGarantie[[#This Row],[MO
Refusé]]+registreGarantie[[#This Row],[Pièces
Refusés]])</f>
        <v>0</v>
      </c>
      <c r="U271" s="106">
        <v>45596</v>
      </c>
      <c r="V271" s="71">
        <f>IF(registreGarantie[[#This Row],[Pièces 
Demandés]]="","",registreGarantie[[#This Row],[Date]])</f>
        <v>45586</v>
      </c>
      <c r="W271" s="103">
        <f>IF(registreGarantie[[#This Row],[Pièces 
Demandés]]="","",IF(registreGarantie[[#This Row],[date paiement]]="","",registreGarantie[[#This Row],[date paiement]]+91))</f>
        <v>45687</v>
      </c>
      <c r="X2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1" s="74" t="str">
        <f ca="1">IF(registreGarantie[[#This Row],[Colonne1]]=0,"",IF(TODAY()&gt;registreGarantie[[#This Row],[Date rebus]],0,1))</f>
        <v/>
      </c>
      <c r="Z271" s="66"/>
      <c r="AA271" s="73" t="str">
        <f>IF(AND(registreGarantie[[#This Row],[Montant non remboursé]]&gt;1,registreGarantie[[#This Row],[Montant non remboursé]]&lt;&gt;""),1,"")</f>
        <v/>
      </c>
      <c r="AB271" s="66"/>
      <c r="AC271" s="66"/>
      <c r="AD271" s="87">
        <f t="shared" si="4"/>
        <v>271</v>
      </c>
      <c r="AE271" s="109"/>
    </row>
    <row r="272" spans="1:31" ht="18" customHeight="1" thickBot="1" x14ac:dyDescent="0.4">
      <c r="A272" s="64">
        <v>44964</v>
      </c>
      <c r="B272" s="64">
        <v>43433</v>
      </c>
      <c r="C272" s="106">
        <v>45616</v>
      </c>
      <c r="D272" s="66" t="s">
        <v>36</v>
      </c>
      <c r="E272" s="66" t="s">
        <v>565</v>
      </c>
      <c r="F272" s="68"/>
      <c r="G272" s="66" t="s">
        <v>1851</v>
      </c>
      <c r="H272" s="64">
        <v>250</v>
      </c>
      <c r="I272" s="67" t="s">
        <v>5</v>
      </c>
      <c r="J272" s="97" t="s">
        <v>1852</v>
      </c>
      <c r="K272" s="66"/>
      <c r="L272" s="68"/>
      <c r="M272" s="69">
        <v>321.3</v>
      </c>
      <c r="N272" s="69">
        <v>321.3</v>
      </c>
      <c r="O272" s="70">
        <f>IF(registreGarantie[[#This Row],[date paiement]]="","",registreGarantie[[#This Row],[Pièces 
Demandés]]-registreGarantie[[#This Row],[Pièces 
Remboursés]])</f>
        <v>0</v>
      </c>
      <c r="P272" s="69">
        <v>153</v>
      </c>
      <c r="Q272" s="69">
        <v>153</v>
      </c>
      <c r="R272" s="70">
        <f>IF(registreGarantie[[#This Row],[date paiement]]="","",registreGarantie[[#This Row],[MO
Demandé]]-registreGarantie[[#This Row],[MO
Remboursé]])</f>
        <v>0</v>
      </c>
      <c r="S272" s="69"/>
      <c r="T272" s="70">
        <f>IF(registreGarantie[[#This Row],[date paiement]]="","",registreGarantie[[#This Row],[MO
Refusé]]+registreGarantie[[#This Row],[Pièces
Refusés]])</f>
        <v>0</v>
      </c>
      <c r="U272" s="106">
        <v>45623</v>
      </c>
      <c r="V272" s="71">
        <f>IF(registreGarantie[[#This Row],[Pièces 
Demandés]]="","",registreGarantie[[#This Row],[Date]])</f>
        <v>45616</v>
      </c>
      <c r="W272" s="103">
        <f>IF(registreGarantie[[#This Row],[Pièces 
Demandés]]="","",IF(registreGarantie[[#This Row],[date paiement]]="","",registreGarantie[[#This Row],[date paiement]]+91))</f>
        <v>45714</v>
      </c>
      <c r="X2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2" s="74" t="str">
        <f ca="1">IF(registreGarantie[[#This Row],[Colonne1]]=0,"",IF(TODAY()&gt;registreGarantie[[#This Row],[Date rebus]],0,1))</f>
        <v/>
      </c>
      <c r="Z272" s="66"/>
      <c r="AA272" s="73" t="str">
        <f>IF(AND(registreGarantie[[#This Row],[Montant non remboursé]]&gt;1,registreGarantie[[#This Row],[Montant non remboursé]]&lt;&gt;""),1,"")</f>
        <v/>
      </c>
      <c r="AB272" s="66"/>
      <c r="AC272" s="66"/>
      <c r="AD272" s="87">
        <f t="shared" si="4"/>
        <v>272</v>
      </c>
      <c r="AE272" s="109"/>
    </row>
    <row r="273" spans="1:31" ht="18" customHeight="1" thickBot="1" x14ac:dyDescent="0.4">
      <c r="A273" s="64">
        <v>44965</v>
      </c>
      <c r="B273" s="64">
        <v>43434</v>
      </c>
      <c r="C273" s="106">
        <v>45798</v>
      </c>
      <c r="D273" s="66" t="s">
        <v>262</v>
      </c>
      <c r="E273" s="66" t="s">
        <v>565</v>
      </c>
      <c r="F273" s="68" t="s">
        <v>2358</v>
      </c>
      <c r="G273" s="66" t="s">
        <v>1851</v>
      </c>
      <c r="H273" s="64" t="s">
        <v>2198</v>
      </c>
      <c r="I273" s="67" t="s">
        <v>5</v>
      </c>
      <c r="J273" s="97" t="s">
        <v>2199</v>
      </c>
      <c r="K273" s="66"/>
      <c r="L273" s="68"/>
      <c r="M273" s="69">
        <v>321.3</v>
      </c>
      <c r="N273" s="69">
        <v>321.3</v>
      </c>
      <c r="O273" s="70">
        <f>IF(registreGarantie[[#This Row],[date paiement]]="","",registreGarantie[[#This Row],[Pièces 
Demandés]]-registreGarantie[[#This Row],[Pièces 
Remboursés]])</f>
        <v>0</v>
      </c>
      <c r="P273" s="69">
        <v>424</v>
      </c>
      <c r="Q273" s="69">
        <v>424</v>
      </c>
      <c r="R273" s="70">
        <f>IF(registreGarantie[[#This Row],[date paiement]]="","",registreGarantie[[#This Row],[MO
Demandé]]-registreGarantie[[#This Row],[MO
Remboursé]])</f>
        <v>0</v>
      </c>
      <c r="S273" s="69"/>
      <c r="T273" s="70">
        <f>IF(registreGarantie[[#This Row],[date paiement]]="","",registreGarantie[[#This Row],[MO
Refusé]]+registreGarantie[[#This Row],[Pièces
Refusés]])</f>
        <v>0</v>
      </c>
      <c r="U273" s="106">
        <v>45805</v>
      </c>
      <c r="V273" s="71"/>
      <c r="W273" s="103">
        <f>IF(registreGarantie[[#This Row],[Pièces 
Demandés]]="","",IF(registreGarantie[[#This Row],[date paiement]]="","",registreGarantie[[#This Row],[date paiement]]+91))</f>
        <v>45896</v>
      </c>
      <c r="X2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3" s="74" t="str">
        <f ca="1">IF(registreGarantie[[#This Row],[Colonne1]]=0,"",IF(TODAY()&gt;registreGarantie[[#This Row],[Date rebus]],0,1))</f>
        <v/>
      </c>
      <c r="Z273" s="66"/>
      <c r="AA273" s="73" t="str">
        <f>IF(AND(registreGarantie[[#This Row],[Montant non remboursé]]&gt;1,registreGarantie[[#This Row],[Montant non remboursé]]&lt;&gt;""),1,"")</f>
        <v/>
      </c>
      <c r="AB273" s="66"/>
      <c r="AC273" s="66"/>
      <c r="AD273" s="87">
        <f t="shared" si="4"/>
        <v>273</v>
      </c>
      <c r="AE273" s="109"/>
    </row>
    <row r="274" spans="1:31" ht="18" customHeight="1" thickBot="1" x14ac:dyDescent="0.4">
      <c r="A274" s="64">
        <v>44966</v>
      </c>
      <c r="B274" s="64">
        <v>43454</v>
      </c>
      <c r="C274" s="106">
        <v>45729</v>
      </c>
      <c r="D274" s="66" t="s">
        <v>426</v>
      </c>
      <c r="E274" s="66" t="s">
        <v>466</v>
      </c>
      <c r="F274" s="68"/>
      <c r="G274" s="66" t="s">
        <v>1851</v>
      </c>
      <c r="H274" s="64">
        <v>753</v>
      </c>
      <c r="I274" s="67" t="s">
        <v>5</v>
      </c>
      <c r="J274" s="97" t="s">
        <v>1988</v>
      </c>
      <c r="K274" s="66"/>
      <c r="L274" s="68"/>
      <c r="M274" s="69"/>
      <c r="N274" s="69"/>
      <c r="O274" s="70" t="str">
        <f>IF(registreGarantie[[#This Row],[date paiement]]="","",registreGarantie[[#This Row],[Pièces 
Demandés]]-registreGarantie[[#This Row],[Pièces 
Remboursés]])</f>
        <v/>
      </c>
      <c r="P274" s="69"/>
      <c r="Q274" s="69"/>
      <c r="R274" s="70" t="str">
        <f>IF(registreGarantie[[#This Row],[date paiement]]="","",registreGarantie[[#This Row],[MO
Demandé]]-registreGarantie[[#This Row],[MO
Remboursé]])</f>
        <v/>
      </c>
      <c r="S274" s="69"/>
      <c r="T274" s="70" t="str">
        <f>IF(registreGarantie[[#This Row],[date paiement]]="","",registreGarantie[[#This Row],[MO
Refusé]]+registreGarantie[[#This Row],[Pièces
Refusés]])</f>
        <v/>
      </c>
      <c r="U274" s="106"/>
      <c r="V274" s="71"/>
      <c r="W274" s="103" t="str">
        <f>IF(registreGarantie[[#This Row],[Pièces 
Demandés]]="","",IF(registreGarantie[[#This Row],[date paiement]]="","",registreGarantie[[#This Row],[date paiement]]+91))</f>
        <v/>
      </c>
      <c r="X2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4" s="74" t="str">
        <f ca="1">IF(registreGarantie[[#This Row],[Colonne1]]=0,"",IF(TODAY()&gt;registreGarantie[[#This Row],[Date rebus]],0,1))</f>
        <v/>
      </c>
      <c r="Z274" s="66"/>
      <c r="AA274" s="73" t="str">
        <f>IF(AND(registreGarantie[[#This Row],[Montant non remboursé]]&gt;1,registreGarantie[[#This Row],[Montant non remboursé]]&lt;&gt;""),1,"")</f>
        <v/>
      </c>
      <c r="AB274" s="66"/>
      <c r="AC274" s="66"/>
      <c r="AD274" s="87">
        <f t="shared" si="4"/>
        <v>274</v>
      </c>
      <c r="AE274" s="109"/>
    </row>
    <row r="275" spans="1:31" ht="18" customHeight="1" thickBot="1" x14ac:dyDescent="0.4">
      <c r="A275" s="64">
        <v>44967</v>
      </c>
      <c r="B275" s="64">
        <v>43455</v>
      </c>
      <c r="C275" s="106">
        <v>45566</v>
      </c>
      <c r="D275" s="66" t="s">
        <v>570</v>
      </c>
      <c r="E275" s="66" t="s">
        <v>1853</v>
      </c>
      <c r="F275" s="68"/>
      <c r="G275" s="66" t="s">
        <v>1851</v>
      </c>
      <c r="H275" s="64">
        <v>554</v>
      </c>
      <c r="I275" s="67" t="s">
        <v>5</v>
      </c>
      <c r="J275" s="97" t="s">
        <v>1854</v>
      </c>
      <c r="K275" s="66"/>
      <c r="L275" s="68"/>
      <c r="M275" s="69">
        <v>214.2</v>
      </c>
      <c r="N275" s="69">
        <v>214.2</v>
      </c>
      <c r="O275" s="70">
        <f>IF(registreGarantie[[#This Row],[date paiement]]="","",registreGarantie[[#This Row],[Pièces 
Demandés]]-registreGarantie[[#This Row],[Pièces 
Remboursés]])</f>
        <v>0</v>
      </c>
      <c r="P275" s="69">
        <v>89.25</v>
      </c>
      <c r="Q275" s="69">
        <v>89.25</v>
      </c>
      <c r="R275" s="70">
        <f>IF(registreGarantie[[#This Row],[date paiement]]="","",registreGarantie[[#This Row],[MO
Demandé]]-registreGarantie[[#This Row],[MO
Remboursé]])</f>
        <v>0</v>
      </c>
      <c r="S275" s="69"/>
      <c r="T275" s="70">
        <f>IF(registreGarantie[[#This Row],[date paiement]]="","",registreGarantie[[#This Row],[MO
Refusé]]+registreGarantie[[#This Row],[Pièces
Refusés]])</f>
        <v>0</v>
      </c>
      <c r="U275" s="106">
        <v>45580</v>
      </c>
      <c r="V275" s="71">
        <f>IF(registreGarantie[[#This Row],[Pièces 
Demandés]]="","",registreGarantie[[#This Row],[Date]])</f>
        <v>45566</v>
      </c>
      <c r="W275" s="103">
        <f>IF(registreGarantie[[#This Row],[Pièces 
Demandés]]="","",IF(registreGarantie[[#This Row],[date paiement]]="","",registreGarantie[[#This Row],[date paiement]]+91))</f>
        <v>45671</v>
      </c>
      <c r="X2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5" s="74" t="str">
        <f ca="1">IF(registreGarantie[[#This Row],[Colonne1]]=0,"",IF(TODAY()&gt;registreGarantie[[#This Row],[Date rebus]],0,1))</f>
        <v/>
      </c>
      <c r="Z275" s="66"/>
      <c r="AA275" s="73" t="str">
        <f>IF(AND(registreGarantie[[#This Row],[Montant non remboursé]]&gt;1,registreGarantie[[#This Row],[Montant non remboursé]]&lt;&gt;""),1,"")</f>
        <v/>
      </c>
      <c r="AB275" s="66"/>
      <c r="AC275" s="66"/>
      <c r="AD275" s="87">
        <f t="shared" si="4"/>
        <v>275</v>
      </c>
      <c r="AE275" s="109"/>
    </row>
    <row r="276" spans="1:31" ht="18" customHeight="1" thickBot="1" x14ac:dyDescent="0.4">
      <c r="A276" s="64">
        <v>44968</v>
      </c>
      <c r="B276" s="64">
        <v>43456</v>
      </c>
      <c r="C276" s="106">
        <v>45565</v>
      </c>
      <c r="D276" s="66" t="s">
        <v>476</v>
      </c>
      <c r="E276" s="66" t="s">
        <v>1853</v>
      </c>
      <c r="F276" s="68"/>
      <c r="G276" s="66" t="s">
        <v>1851</v>
      </c>
      <c r="H276" s="64" t="s">
        <v>1742</v>
      </c>
      <c r="I276" s="67" t="s">
        <v>5</v>
      </c>
      <c r="J276" s="97" t="s">
        <v>1855</v>
      </c>
      <c r="K276" s="66"/>
      <c r="L276" s="68"/>
      <c r="M276" s="69">
        <v>214.2</v>
      </c>
      <c r="N276" s="69">
        <v>214.2</v>
      </c>
      <c r="O276" s="70">
        <f>IF(registreGarantie[[#This Row],[date paiement]]="","",registreGarantie[[#This Row],[Pièces 
Demandés]]-registreGarantie[[#This Row],[Pièces 
Remboursés]])</f>
        <v>0</v>
      </c>
      <c r="P276" s="69">
        <v>89.25</v>
      </c>
      <c r="Q276" s="69">
        <v>89.25</v>
      </c>
      <c r="R276" s="70">
        <f>IF(registreGarantie[[#This Row],[date paiement]]="","",registreGarantie[[#This Row],[MO
Demandé]]-registreGarantie[[#This Row],[MO
Remboursé]])</f>
        <v>0</v>
      </c>
      <c r="S276" s="69"/>
      <c r="T276" s="70">
        <f>IF(registreGarantie[[#This Row],[date paiement]]="","",registreGarantie[[#This Row],[MO
Refusé]]+registreGarantie[[#This Row],[Pièces
Refusés]])</f>
        <v>0</v>
      </c>
      <c r="U276" s="106">
        <v>45580</v>
      </c>
      <c r="V276" s="71">
        <f>IF(registreGarantie[[#This Row],[Pièces 
Demandés]]="","",registreGarantie[[#This Row],[Date]])</f>
        <v>45565</v>
      </c>
      <c r="W276" s="103">
        <f>IF(registreGarantie[[#This Row],[Pièces 
Demandés]]="","",IF(registreGarantie[[#This Row],[date paiement]]="","",registreGarantie[[#This Row],[date paiement]]+91))</f>
        <v>45671</v>
      </c>
      <c r="X2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6" s="74" t="str">
        <f ca="1">IF(registreGarantie[[#This Row],[Colonne1]]=0,"",IF(TODAY()&gt;registreGarantie[[#This Row],[Date rebus]],0,1))</f>
        <v/>
      </c>
      <c r="Z276" s="66"/>
      <c r="AA276" s="73" t="str">
        <f>IF(AND(registreGarantie[[#This Row],[Montant non remboursé]]&gt;1,registreGarantie[[#This Row],[Montant non remboursé]]&lt;&gt;""),1,"")</f>
        <v/>
      </c>
      <c r="AB276" s="66"/>
      <c r="AC276" s="66"/>
      <c r="AD276" s="87">
        <f t="shared" si="4"/>
        <v>276</v>
      </c>
      <c r="AE276" s="109"/>
    </row>
    <row r="277" spans="1:31" ht="18" customHeight="1" thickBot="1" x14ac:dyDescent="0.4">
      <c r="A277" s="64">
        <v>44969</v>
      </c>
      <c r="B277" s="64">
        <v>43457</v>
      </c>
      <c r="C277" s="106">
        <v>45565</v>
      </c>
      <c r="D277" s="66" t="s">
        <v>195</v>
      </c>
      <c r="E277" s="66" t="s">
        <v>1853</v>
      </c>
      <c r="F277" s="68"/>
      <c r="G277" s="66" t="s">
        <v>1851</v>
      </c>
      <c r="H277" s="64">
        <v>570</v>
      </c>
      <c r="I277" s="67" t="s">
        <v>5</v>
      </c>
      <c r="J277" s="97" t="s">
        <v>1856</v>
      </c>
      <c r="K277" s="66"/>
      <c r="L277" s="68"/>
      <c r="M277" s="69">
        <v>214.2</v>
      </c>
      <c r="N277" s="69">
        <v>214.2</v>
      </c>
      <c r="O277" s="70">
        <f>IF(registreGarantie[[#This Row],[date paiement]]="","",registreGarantie[[#This Row],[Pièces 
Demandés]]-registreGarantie[[#This Row],[Pièces 
Remboursés]])</f>
        <v>0</v>
      </c>
      <c r="P277" s="69">
        <v>102</v>
      </c>
      <c r="Q277" s="69">
        <v>102</v>
      </c>
      <c r="R277" s="70">
        <f>IF(registreGarantie[[#This Row],[date paiement]]="","",registreGarantie[[#This Row],[MO
Demandé]]-registreGarantie[[#This Row],[MO
Remboursé]])</f>
        <v>0</v>
      </c>
      <c r="S277" s="69"/>
      <c r="T277" s="70">
        <f>IF(registreGarantie[[#This Row],[date paiement]]="","",registreGarantie[[#This Row],[MO
Refusé]]+registreGarantie[[#This Row],[Pièces
Refusés]])</f>
        <v>0</v>
      </c>
      <c r="U277" s="106">
        <v>45580</v>
      </c>
      <c r="V277" s="71">
        <f>IF(registreGarantie[[#This Row],[Pièces 
Demandés]]="","",registreGarantie[[#This Row],[Date]])</f>
        <v>45565</v>
      </c>
      <c r="W277" s="103">
        <f>IF(registreGarantie[[#This Row],[Pièces 
Demandés]]="","",IF(registreGarantie[[#This Row],[date paiement]]="","",registreGarantie[[#This Row],[date paiement]]+91))</f>
        <v>45671</v>
      </c>
      <c r="X2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7" s="74" t="str">
        <f ca="1">IF(registreGarantie[[#This Row],[Colonne1]]=0,"",IF(TODAY()&gt;registreGarantie[[#This Row],[Date rebus]],0,1))</f>
        <v/>
      </c>
      <c r="Z277" s="66"/>
      <c r="AA277" s="73" t="str">
        <f>IF(AND(registreGarantie[[#This Row],[Montant non remboursé]]&gt;1,registreGarantie[[#This Row],[Montant non remboursé]]&lt;&gt;""),1,"")</f>
        <v/>
      </c>
      <c r="AB277" s="66"/>
      <c r="AC277" s="66"/>
      <c r="AD277" s="87">
        <f t="shared" si="4"/>
        <v>277</v>
      </c>
      <c r="AE277" s="109"/>
    </row>
    <row r="278" spans="1:31" ht="18" customHeight="1" thickBot="1" x14ac:dyDescent="0.4">
      <c r="A278" s="64">
        <v>44970</v>
      </c>
      <c r="B278" s="64">
        <v>43458</v>
      </c>
      <c r="C278" s="106">
        <v>45586.418703703705</v>
      </c>
      <c r="D278" s="66" t="s">
        <v>961</v>
      </c>
      <c r="E278" s="66" t="s">
        <v>1853</v>
      </c>
      <c r="F278" s="68"/>
      <c r="G278" s="66" t="s">
        <v>1851</v>
      </c>
      <c r="H278" s="64" t="s">
        <v>1682</v>
      </c>
      <c r="I278" s="67" t="s">
        <v>5</v>
      </c>
      <c r="J278" s="97" t="s">
        <v>1857</v>
      </c>
      <c r="K278" s="66"/>
      <c r="L278" s="68"/>
      <c r="M278" s="69">
        <v>214.2</v>
      </c>
      <c r="N278" s="69">
        <v>214.2</v>
      </c>
      <c r="O278" s="70">
        <f>IF(registreGarantie[[#This Row],[date paiement]]="","",registreGarantie[[#This Row],[Pièces 
Demandés]]-registreGarantie[[#This Row],[Pièces 
Remboursés]])</f>
        <v>0</v>
      </c>
      <c r="P278" s="69">
        <v>102</v>
      </c>
      <c r="Q278" s="69">
        <v>102</v>
      </c>
      <c r="R278" s="70">
        <f>IF(registreGarantie[[#This Row],[date paiement]]="","",registreGarantie[[#This Row],[MO
Demandé]]-registreGarantie[[#This Row],[MO
Remboursé]])</f>
        <v>0</v>
      </c>
      <c r="S278" s="69"/>
      <c r="T278" s="70">
        <f>IF(registreGarantie[[#This Row],[date paiement]]="","",registreGarantie[[#This Row],[MO
Refusé]]+registreGarantie[[#This Row],[Pièces
Refusés]])</f>
        <v>0</v>
      </c>
      <c r="U278" s="106">
        <v>45580</v>
      </c>
      <c r="V278" s="71">
        <f>IF(registreGarantie[[#This Row],[Pièces 
Demandés]]="","",registreGarantie[[#This Row],[Date]])</f>
        <v>45586.418703703705</v>
      </c>
      <c r="W278" s="103">
        <f>IF(registreGarantie[[#This Row],[Pièces 
Demandés]]="","",IF(registreGarantie[[#This Row],[date paiement]]="","",registreGarantie[[#This Row],[date paiement]]+91))</f>
        <v>45671</v>
      </c>
      <c r="X2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8" s="74" t="str">
        <f ca="1">IF(registreGarantie[[#This Row],[Colonne1]]=0,"",IF(TODAY()&gt;registreGarantie[[#This Row],[Date rebus]],0,1))</f>
        <v/>
      </c>
      <c r="Z278" s="66"/>
      <c r="AA278" s="73" t="str">
        <f>IF(AND(registreGarantie[[#This Row],[Montant non remboursé]]&gt;1,registreGarantie[[#This Row],[Montant non remboursé]]&lt;&gt;""),1,"")</f>
        <v/>
      </c>
      <c r="AB278" s="66"/>
      <c r="AC278" s="66"/>
      <c r="AD278" s="87">
        <f t="shared" si="4"/>
        <v>278</v>
      </c>
      <c r="AE278" s="109"/>
    </row>
    <row r="279" spans="1:31" ht="18" customHeight="1" thickBot="1" x14ac:dyDescent="0.4">
      <c r="A279" s="64">
        <v>44971</v>
      </c>
      <c r="B279" s="64">
        <v>43459</v>
      </c>
      <c r="C279" s="106">
        <v>45576</v>
      </c>
      <c r="D279" s="66" t="s">
        <v>86</v>
      </c>
      <c r="E279" s="66" t="s">
        <v>1853</v>
      </c>
      <c r="F279" s="68"/>
      <c r="G279" s="66" t="s">
        <v>1851</v>
      </c>
      <c r="H279" s="64" t="s">
        <v>1858</v>
      </c>
      <c r="I279" s="67" t="s">
        <v>5</v>
      </c>
      <c r="J279" s="97" t="s">
        <v>1859</v>
      </c>
      <c r="K279" s="66"/>
      <c r="L279" s="68"/>
      <c r="M279" s="69">
        <v>214.2</v>
      </c>
      <c r="N279" s="69">
        <v>214.2</v>
      </c>
      <c r="O279" s="70">
        <f>IF(registreGarantie[[#This Row],[date paiement]]="","",registreGarantie[[#This Row],[Pièces 
Demandés]]-registreGarantie[[#This Row],[Pièces 
Remboursés]])</f>
        <v>0</v>
      </c>
      <c r="P279" s="69">
        <v>102</v>
      </c>
      <c r="Q279" s="69">
        <v>102</v>
      </c>
      <c r="R279" s="70">
        <f>IF(registreGarantie[[#This Row],[date paiement]]="","",registreGarantie[[#This Row],[MO
Demandé]]-registreGarantie[[#This Row],[MO
Remboursé]])</f>
        <v>0</v>
      </c>
      <c r="S279" s="69"/>
      <c r="T279" s="70">
        <f>IF(registreGarantie[[#This Row],[date paiement]]="","",registreGarantie[[#This Row],[MO
Refusé]]+registreGarantie[[#This Row],[Pièces
Refusés]])</f>
        <v>0</v>
      </c>
      <c r="U279" s="106">
        <v>45580</v>
      </c>
      <c r="V279" s="71">
        <f>IF(registreGarantie[[#This Row],[Pièces 
Demandés]]="","",registreGarantie[[#This Row],[Date]])</f>
        <v>45576</v>
      </c>
      <c r="W279" s="103">
        <f>IF(registreGarantie[[#This Row],[Pièces 
Demandés]]="","",IF(registreGarantie[[#This Row],[date paiement]]="","",registreGarantie[[#This Row],[date paiement]]+91))</f>
        <v>45671</v>
      </c>
      <c r="X2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79" s="74" t="str">
        <f ca="1">IF(registreGarantie[[#This Row],[Colonne1]]=0,"",IF(TODAY()&gt;registreGarantie[[#This Row],[Date rebus]],0,1))</f>
        <v/>
      </c>
      <c r="Z279" s="66"/>
      <c r="AA279" s="73" t="str">
        <f>IF(AND(registreGarantie[[#This Row],[Montant non remboursé]]&gt;1,registreGarantie[[#This Row],[Montant non remboursé]]&lt;&gt;""),1,"")</f>
        <v/>
      </c>
      <c r="AB279" s="66"/>
      <c r="AC279" s="66"/>
      <c r="AD279" s="87">
        <f t="shared" si="4"/>
        <v>279</v>
      </c>
      <c r="AE279" s="109"/>
    </row>
    <row r="280" spans="1:31" ht="18" customHeight="1" thickBot="1" x14ac:dyDescent="0.4">
      <c r="A280" s="64">
        <v>44972</v>
      </c>
      <c r="B280" s="64">
        <v>43460</v>
      </c>
      <c r="C280" s="106">
        <v>45586.392384259256</v>
      </c>
      <c r="D280" s="66" t="s">
        <v>439</v>
      </c>
      <c r="E280" s="66" t="s">
        <v>1853</v>
      </c>
      <c r="F280" s="68"/>
      <c r="G280" s="66" t="s">
        <v>1851</v>
      </c>
      <c r="H280" s="64" t="s">
        <v>1860</v>
      </c>
      <c r="I280" s="67" t="s">
        <v>5</v>
      </c>
      <c r="J280" s="97" t="s">
        <v>1861</v>
      </c>
      <c r="K280" s="66"/>
      <c r="L280" s="68"/>
      <c r="M280" s="69">
        <v>214.2</v>
      </c>
      <c r="N280" s="69">
        <v>214.2</v>
      </c>
      <c r="O280" s="70">
        <f>IF(registreGarantie[[#This Row],[date paiement]]="","",registreGarantie[[#This Row],[Pièces 
Demandés]]-registreGarantie[[#This Row],[Pièces 
Remboursés]])</f>
        <v>0</v>
      </c>
      <c r="P280" s="69">
        <v>102</v>
      </c>
      <c r="Q280" s="69">
        <v>102</v>
      </c>
      <c r="R280" s="70">
        <f>IF(registreGarantie[[#This Row],[date paiement]]="","",registreGarantie[[#This Row],[MO
Demandé]]-registreGarantie[[#This Row],[MO
Remboursé]])</f>
        <v>0</v>
      </c>
      <c r="S280" s="69"/>
      <c r="T280" s="70">
        <f>IF(registreGarantie[[#This Row],[date paiement]]="","",registreGarantie[[#This Row],[MO
Refusé]]+registreGarantie[[#This Row],[Pièces
Refusés]])</f>
        <v>0</v>
      </c>
      <c r="U280" s="106">
        <v>45580</v>
      </c>
      <c r="V280" s="71">
        <f>IF(registreGarantie[[#This Row],[Pièces 
Demandés]]="","",registreGarantie[[#This Row],[Date]])</f>
        <v>45586.392384259256</v>
      </c>
      <c r="W280" s="103">
        <f>IF(registreGarantie[[#This Row],[Pièces 
Demandés]]="","",IF(registreGarantie[[#This Row],[date paiement]]="","",registreGarantie[[#This Row],[date paiement]]+91))</f>
        <v>45671</v>
      </c>
      <c r="X2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0" s="74" t="str">
        <f ca="1">IF(registreGarantie[[#This Row],[Colonne1]]=0,"",IF(TODAY()&gt;registreGarantie[[#This Row],[Date rebus]],0,1))</f>
        <v/>
      </c>
      <c r="Z280" s="66"/>
      <c r="AA280" s="73" t="str">
        <f>IF(AND(registreGarantie[[#This Row],[Montant non remboursé]]&gt;1,registreGarantie[[#This Row],[Montant non remboursé]]&lt;&gt;""),1,"")</f>
        <v/>
      </c>
      <c r="AB280" s="66"/>
      <c r="AC280" s="66"/>
      <c r="AD280" s="87">
        <f t="shared" si="4"/>
        <v>280</v>
      </c>
      <c r="AE280" s="109"/>
    </row>
    <row r="281" spans="1:31" ht="18" customHeight="1" thickBot="1" x14ac:dyDescent="0.4">
      <c r="A281" s="64">
        <v>44973</v>
      </c>
      <c r="B281" s="64">
        <v>43461</v>
      </c>
      <c r="C281" s="106">
        <v>45579.354317129626</v>
      </c>
      <c r="D281" s="66" t="s">
        <v>619</v>
      </c>
      <c r="E281" s="66" t="s">
        <v>1853</v>
      </c>
      <c r="F281" s="68"/>
      <c r="G281" s="66" t="s">
        <v>1851</v>
      </c>
      <c r="H281" s="64" t="s">
        <v>1862</v>
      </c>
      <c r="I281" s="67" t="s">
        <v>5</v>
      </c>
      <c r="J281" s="97" t="s">
        <v>1863</v>
      </c>
      <c r="K281" s="66"/>
      <c r="L281" s="68"/>
      <c r="M281" s="69">
        <v>214.2</v>
      </c>
      <c r="N281" s="69">
        <v>214.2</v>
      </c>
      <c r="O281" s="70">
        <f>IF(registreGarantie[[#This Row],[date paiement]]="","",registreGarantie[[#This Row],[Pièces 
Demandés]]-registreGarantie[[#This Row],[Pièces 
Remboursés]])</f>
        <v>0</v>
      </c>
      <c r="P281" s="69">
        <v>114.75</v>
      </c>
      <c r="Q281" s="69">
        <v>114.75</v>
      </c>
      <c r="R281" s="70">
        <f>IF(registreGarantie[[#This Row],[date paiement]]="","",registreGarantie[[#This Row],[MO
Demandé]]-registreGarantie[[#This Row],[MO
Remboursé]])</f>
        <v>0</v>
      </c>
      <c r="S281" s="69"/>
      <c r="T281" s="70">
        <f>IF(registreGarantie[[#This Row],[date paiement]]="","",registreGarantie[[#This Row],[MO
Refusé]]+registreGarantie[[#This Row],[Pièces
Refusés]])</f>
        <v>0</v>
      </c>
      <c r="U281" s="106">
        <v>45580</v>
      </c>
      <c r="V281" s="71">
        <f>IF(registreGarantie[[#This Row],[Pièces 
Demandés]]="","",registreGarantie[[#This Row],[Date]])</f>
        <v>45579.354317129626</v>
      </c>
      <c r="W281" s="103">
        <f>IF(registreGarantie[[#This Row],[Pièces 
Demandés]]="","",IF(registreGarantie[[#This Row],[date paiement]]="","",registreGarantie[[#This Row],[date paiement]]+91))</f>
        <v>45671</v>
      </c>
      <c r="X2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1" s="74" t="str">
        <f ca="1">IF(registreGarantie[[#This Row],[Colonne1]]=0,"",IF(TODAY()&gt;registreGarantie[[#This Row],[Date rebus]],0,1))</f>
        <v/>
      </c>
      <c r="Z281" s="66"/>
      <c r="AA281" s="73" t="str">
        <f>IF(AND(registreGarantie[[#This Row],[Montant non remboursé]]&gt;1,registreGarantie[[#This Row],[Montant non remboursé]]&lt;&gt;""),1,"")</f>
        <v/>
      </c>
      <c r="AB281" s="66"/>
      <c r="AC281" s="66"/>
      <c r="AD281" s="87">
        <f t="shared" si="4"/>
        <v>281</v>
      </c>
      <c r="AE281" s="109"/>
    </row>
    <row r="282" spans="1:31" ht="18" customHeight="1" thickBot="1" x14ac:dyDescent="0.4">
      <c r="A282" s="64">
        <v>44974</v>
      </c>
      <c r="B282" s="64">
        <v>43462</v>
      </c>
      <c r="C282" s="106"/>
      <c r="D282" s="66" t="s">
        <v>1864</v>
      </c>
      <c r="E282" s="66" t="s">
        <v>1853</v>
      </c>
      <c r="F282" s="68"/>
      <c r="G282" s="66" t="s">
        <v>1851</v>
      </c>
      <c r="H282" s="64"/>
      <c r="I282" s="67" t="s">
        <v>5</v>
      </c>
      <c r="J282" s="97"/>
      <c r="K282" s="66"/>
      <c r="L282" s="68"/>
      <c r="M282" s="69"/>
      <c r="N282" s="69"/>
      <c r="O282" s="70" t="str">
        <f>IF(registreGarantie[[#This Row],[date paiement]]="","",registreGarantie[[#This Row],[Pièces 
Demandés]]-registreGarantie[[#This Row],[Pièces 
Remboursés]])</f>
        <v/>
      </c>
      <c r="P282" s="69"/>
      <c r="Q282" s="69"/>
      <c r="R282" s="70" t="str">
        <f>IF(registreGarantie[[#This Row],[date paiement]]="","",registreGarantie[[#This Row],[MO
Demandé]]-registreGarantie[[#This Row],[MO
Remboursé]])</f>
        <v/>
      </c>
      <c r="S282" s="69"/>
      <c r="T282" s="70" t="str">
        <f>IF(registreGarantie[[#This Row],[date paiement]]="","",registreGarantie[[#This Row],[MO
Refusé]]+registreGarantie[[#This Row],[Pièces
Refusés]])</f>
        <v/>
      </c>
      <c r="U282" s="106"/>
      <c r="V282" s="71" t="str">
        <f>IF(registreGarantie[[#This Row],[Pièces 
Demandés]]="","",registreGarantie[[#This Row],[Date]])</f>
        <v/>
      </c>
      <c r="W282" s="103" t="str">
        <f>IF(registreGarantie[[#This Row],[Pièces 
Demandés]]="","",IF(registreGarantie[[#This Row],[date paiement]]="","",registreGarantie[[#This Row],[date paiement]]+91))</f>
        <v/>
      </c>
      <c r="X2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2" s="74" t="str">
        <f ca="1">IF(registreGarantie[[#This Row],[Colonne1]]=0,"",IF(TODAY()&gt;registreGarantie[[#This Row],[Date rebus]],0,1))</f>
        <v/>
      </c>
      <c r="Z282" s="66"/>
      <c r="AA282" s="73" t="str">
        <f>IF(AND(registreGarantie[[#This Row],[Montant non remboursé]]&gt;1,registreGarantie[[#This Row],[Montant non remboursé]]&lt;&gt;""),1,"")</f>
        <v/>
      </c>
      <c r="AB282" s="66"/>
      <c r="AC282" s="66"/>
      <c r="AD282" s="87">
        <f t="shared" si="4"/>
        <v>282</v>
      </c>
      <c r="AE282" s="109"/>
    </row>
    <row r="283" spans="1:31" ht="18" customHeight="1" thickBot="1" x14ac:dyDescent="0.4">
      <c r="A283" s="64">
        <v>44975</v>
      </c>
      <c r="B283" s="64">
        <v>43463</v>
      </c>
      <c r="C283" s="106">
        <v>45586.418703703705</v>
      </c>
      <c r="D283" s="66" t="s">
        <v>41</v>
      </c>
      <c r="E283" s="66" t="s">
        <v>1853</v>
      </c>
      <c r="F283" s="68"/>
      <c r="G283" s="66" t="s">
        <v>1851</v>
      </c>
      <c r="H283" s="64">
        <v>0</v>
      </c>
      <c r="I283" s="67" t="s">
        <v>5</v>
      </c>
      <c r="J283" s="97" t="s">
        <v>1865</v>
      </c>
      <c r="K283" s="66"/>
      <c r="L283" s="68"/>
      <c r="M283" s="69">
        <v>214.2</v>
      </c>
      <c r="N283" s="69">
        <v>214.2</v>
      </c>
      <c r="O283" s="70">
        <f>IF(registreGarantie[[#This Row],[date paiement]]="","",registreGarantie[[#This Row],[Pièces 
Demandés]]-registreGarantie[[#This Row],[Pièces 
Remboursés]])</f>
        <v>0</v>
      </c>
      <c r="P283" s="69">
        <v>102</v>
      </c>
      <c r="Q283" s="69">
        <v>102</v>
      </c>
      <c r="R283" s="70">
        <f>IF(registreGarantie[[#This Row],[date paiement]]="","",registreGarantie[[#This Row],[MO
Demandé]]-registreGarantie[[#This Row],[MO
Remboursé]])</f>
        <v>0</v>
      </c>
      <c r="S283" s="69"/>
      <c r="T283" s="70">
        <f>IF(registreGarantie[[#This Row],[date paiement]]="","",registreGarantie[[#This Row],[MO
Refusé]]+registreGarantie[[#This Row],[Pièces
Refusés]])</f>
        <v>0</v>
      </c>
      <c r="U283" s="106">
        <v>45580</v>
      </c>
      <c r="V283" s="71">
        <f>IF(registreGarantie[[#This Row],[Pièces 
Demandés]]="","",registreGarantie[[#This Row],[Date]])</f>
        <v>45586.418703703705</v>
      </c>
      <c r="W283" s="103">
        <f>IF(registreGarantie[[#This Row],[Pièces 
Demandés]]="","",IF(registreGarantie[[#This Row],[date paiement]]="","",registreGarantie[[#This Row],[date paiement]]+91))</f>
        <v>45671</v>
      </c>
      <c r="X2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3" s="74" t="str">
        <f ca="1">IF(registreGarantie[[#This Row],[Colonne1]]=0,"",IF(TODAY()&gt;registreGarantie[[#This Row],[Date rebus]],0,1))</f>
        <v/>
      </c>
      <c r="Z283" s="66"/>
      <c r="AA283" s="73" t="str">
        <f>IF(AND(registreGarantie[[#This Row],[Montant non remboursé]]&gt;1,registreGarantie[[#This Row],[Montant non remboursé]]&lt;&gt;""),1,"")</f>
        <v/>
      </c>
      <c r="AB283" s="66"/>
      <c r="AC283" s="66"/>
      <c r="AD283" s="87">
        <f t="shared" si="4"/>
        <v>283</v>
      </c>
      <c r="AE283" s="109"/>
    </row>
    <row r="284" spans="1:31" ht="18" customHeight="1" thickBot="1" x14ac:dyDescent="0.4">
      <c r="A284" s="64">
        <v>44976</v>
      </c>
      <c r="B284" s="64">
        <v>43464</v>
      </c>
      <c r="C284" s="106">
        <v>45576</v>
      </c>
      <c r="D284" s="66" t="s">
        <v>231</v>
      </c>
      <c r="E284" s="66" t="s">
        <v>1853</v>
      </c>
      <c r="F284" s="68"/>
      <c r="G284" s="66" t="s">
        <v>1851</v>
      </c>
      <c r="H284" s="64" t="s">
        <v>1866</v>
      </c>
      <c r="I284" s="67" t="s">
        <v>5</v>
      </c>
      <c r="J284" s="97" t="s">
        <v>1867</v>
      </c>
      <c r="K284" s="66"/>
      <c r="L284" s="68"/>
      <c r="M284" s="69">
        <v>214.2</v>
      </c>
      <c r="N284" s="69">
        <v>214.2</v>
      </c>
      <c r="O284" s="70">
        <f>IF(registreGarantie[[#This Row],[date paiement]]="","",registreGarantie[[#This Row],[Pièces 
Demandés]]-registreGarantie[[#This Row],[Pièces 
Remboursés]])</f>
        <v>0</v>
      </c>
      <c r="P284" s="69">
        <v>114.75</v>
      </c>
      <c r="Q284" s="69">
        <v>114.75</v>
      </c>
      <c r="R284" s="70">
        <f>IF(registreGarantie[[#This Row],[date paiement]]="","",registreGarantie[[#This Row],[MO
Demandé]]-registreGarantie[[#This Row],[MO
Remboursé]])</f>
        <v>0</v>
      </c>
      <c r="S284" s="69"/>
      <c r="T284" s="70">
        <f>IF(registreGarantie[[#This Row],[date paiement]]="","",registreGarantie[[#This Row],[MO
Refusé]]+registreGarantie[[#This Row],[Pièces
Refusés]])</f>
        <v>0</v>
      </c>
      <c r="U284" s="106">
        <v>45580</v>
      </c>
      <c r="V284" s="71">
        <f>IF(registreGarantie[[#This Row],[Pièces 
Demandés]]="","",registreGarantie[[#This Row],[Date]])</f>
        <v>45576</v>
      </c>
      <c r="W284" s="103">
        <f>IF(registreGarantie[[#This Row],[Pièces 
Demandés]]="","",IF(registreGarantie[[#This Row],[date paiement]]="","",registreGarantie[[#This Row],[date paiement]]+91))</f>
        <v>45671</v>
      </c>
      <c r="X2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4" s="74" t="str">
        <f ca="1">IF(registreGarantie[[#This Row],[Colonne1]]=0,"",IF(TODAY()&gt;registreGarantie[[#This Row],[Date rebus]],0,1))</f>
        <v/>
      </c>
      <c r="Z284" s="66"/>
      <c r="AA284" s="73" t="str">
        <f>IF(AND(registreGarantie[[#This Row],[Montant non remboursé]]&gt;1,registreGarantie[[#This Row],[Montant non remboursé]]&lt;&gt;""),1,"")</f>
        <v/>
      </c>
      <c r="AB284" s="66"/>
      <c r="AC284" s="66"/>
      <c r="AD284" s="87">
        <f t="shared" si="4"/>
        <v>284</v>
      </c>
      <c r="AE284" s="109"/>
    </row>
    <row r="285" spans="1:31" ht="18" customHeight="1" thickBot="1" x14ac:dyDescent="0.4">
      <c r="A285" s="64">
        <v>44977</v>
      </c>
      <c r="B285" s="64">
        <v>43465</v>
      </c>
      <c r="C285" s="106">
        <v>45576.612685185188</v>
      </c>
      <c r="D285" s="66" t="s">
        <v>1868</v>
      </c>
      <c r="E285" s="66" t="s">
        <v>1853</v>
      </c>
      <c r="F285" s="68"/>
      <c r="G285" s="66" t="s">
        <v>1851</v>
      </c>
      <c r="H285" s="64" t="s">
        <v>1869</v>
      </c>
      <c r="I285" s="67" t="s">
        <v>5</v>
      </c>
      <c r="J285" s="97" t="s">
        <v>1870</v>
      </c>
      <c r="K285" s="66"/>
      <c r="L285" s="68"/>
      <c r="M285" s="69">
        <v>214.2</v>
      </c>
      <c r="N285" s="69">
        <v>214.2</v>
      </c>
      <c r="O285" s="70">
        <f>IF(registreGarantie[[#This Row],[date paiement]]="","",registreGarantie[[#This Row],[Pièces 
Demandés]]-registreGarantie[[#This Row],[Pièces 
Remboursés]])</f>
        <v>0</v>
      </c>
      <c r="P285" s="69">
        <v>114.75</v>
      </c>
      <c r="Q285" s="69">
        <v>114.75</v>
      </c>
      <c r="R285" s="70">
        <f>IF(registreGarantie[[#This Row],[date paiement]]="","",registreGarantie[[#This Row],[MO
Demandé]]-registreGarantie[[#This Row],[MO
Remboursé]])</f>
        <v>0</v>
      </c>
      <c r="S285" s="69"/>
      <c r="T285" s="70">
        <f>IF(registreGarantie[[#This Row],[date paiement]]="","",registreGarantie[[#This Row],[MO
Refusé]]+registreGarantie[[#This Row],[Pièces
Refusés]])</f>
        <v>0</v>
      </c>
      <c r="U285" s="106">
        <v>45580</v>
      </c>
      <c r="V285" s="71">
        <f>IF(registreGarantie[[#This Row],[Pièces 
Demandés]]="","",registreGarantie[[#This Row],[Date]])</f>
        <v>45576.612685185188</v>
      </c>
      <c r="W285" s="103">
        <f>IF(registreGarantie[[#This Row],[Pièces 
Demandés]]="","",IF(registreGarantie[[#This Row],[date paiement]]="","",registreGarantie[[#This Row],[date paiement]]+91))</f>
        <v>45671</v>
      </c>
      <c r="X2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5" s="74" t="str">
        <f ca="1">IF(registreGarantie[[#This Row],[Colonne1]]=0,"",IF(TODAY()&gt;registreGarantie[[#This Row],[Date rebus]],0,1))</f>
        <v/>
      </c>
      <c r="Z285" s="66"/>
      <c r="AA285" s="73" t="str">
        <f>IF(AND(registreGarantie[[#This Row],[Montant non remboursé]]&gt;1,registreGarantie[[#This Row],[Montant non remboursé]]&lt;&gt;""),1,"")</f>
        <v/>
      </c>
      <c r="AB285" s="66"/>
      <c r="AC285" s="66"/>
      <c r="AD285" s="87">
        <f t="shared" si="4"/>
        <v>285</v>
      </c>
      <c r="AE285" s="109"/>
    </row>
    <row r="286" spans="1:31" ht="18" customHeight="1" thickBot="1" x14ac:dyDescent="0.4">
      <c r="A286" s="64">
        <v>44978</v>
      </c>
      <c r="B286" s="64">
        <v>43466</v>
      </c>
      <c r="C286" s="106">
        <v>45576</v>
      </c>
      <c r="D286" s="66" t="s">
        <v>1847</v>
      </c>
      <c r="E286" s="66" t="s">
        <v>1853</v>
      </c>
      <c r="F286" s="68"/>
      <c r="G286" s="66" t="s">
        <v>1851</v>
      </c>
      <c r="H286" s="64" t="s">
        <v>1849</v>
      </c>
      <c r="I286" s="67" t="s">
        <v>5</v>
      </c>
      <c r="J286" s="97" t="s">
        <v>1871</v>
      </c>
      <c r="K286" s="66"/>
      <c r="L286" s="68"/>
      <c r="M286" s="69">
        <v>214.2</v>
      </c>
      <c r="N286" s="69">
        <v>214.2</v>
      </c>
      <c r="O286" s="70">
        <f>IF(registreGarantie[[#This Row],[date paiement]]="","",registreGarantie[[#This Row],[Pièces 
Demandés]]-registreGarantie[[#This Row],[Pièces 
Remboursés]])</f>
        <v>0</v>
      </c>
      <c r="P286" s="69">
        <v>102</v>
      </c>
      <c r="Q286" s="69">
        <v>102</v>
      </c>
      <c r="R286" s="70">
        <f>IF(registreGarantie[[#This Row],[date paiement]]="","",registreGarantie[[#This Row],[MO
Demandé]]-registreGarantie[[#This Row],[MO
Remboursé]])</f>
        <v>0</v>
      </c>
      <c r="S286" s="69"/>
      <c r="T286" s="70">
        <f>IF(registreGarantie[[#This Row],[date paiement]]="","",registreGarantie[[#This Row],[MO
Refusé]]+registreGarantie[[#This Row],[Pièces
Refusés]])</f>
        <v>0</v>
      </c>
      <c r="U286" s="106">
        <v>45580</v>
      </c>
      <c r="V286" s="71">
        <f>IF(registreGarantie[[#This Row],[Pièces 
Demandés]]="","",registreGarantie[[#This Row],[Date]])</f>
        <v>45576</v>
      </c>
      <c r="W286" s="103">
        <f>IF(registreGarantie[[#This Row],[Pièces 
Demandés]]="","",IF(registreGarantie[[#This Row],[date paiement]]="","",registreGarantie[[#This Row],[date paiement]]+91))</f>
        <v>45671</v>
      </c>
      <c r="X2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6" s="74" t="str">
        <f ca="1">IF(registreGarantie[[#This Row],[Colonne1]]=0,"",IF(TODAY()&gt;registreGarantie[[#This Row],[Date rebus]],0,1))</f>
        <v/>
      </c>
      <c r="Z286" s="66"/>
      <c r="AA286" s="73" t="str">
        <f>IF(AND(registreGarantie[[#This Row],[Montant non remboursé]]&gt;1,registreGarantie[[#This Row],[Montant non remboursé]]&lt;&gt;""),1,"")</f>
        <v/>
      </c>
      <c r="AB286" s="66"/>
      <c r="AC286" s="66"/>
      <c r="AD286" s="87">
        <f t="shared" si="4"/>
        <v>286</v>
      </c>
      <c r="AE286" s="109"/>
    </row>
    <row r="287" spans="1:31" ht="18" customHeight="1" thickBot="1" x14ac:dyDescent="0.4">
      <c r="A287" s="64">
        <v>44979</v>
      </c>
      <c r="B287" s="64">
        <v>43504</v>
      </c>
      <c r="C287" s="106">
        <v>45798</v>
      </c>
      <c r="D287" s="66" t="s">
        <v>262</v>
      </c>
      <c r="E287" s="66" t="s">
        <v>565</v>
      </c>
      <c r="F287" s="68" t="s">
        <v>2358</v>
      </c>
      <c r="G287" s="66" t="s">
        <v>1851</v>
      </c>
      <c r="H287" s="64" t="s">
        <v>2200</v>
      </c>
      <c r="I287" s="67" t="s">
        <v>2359</v>
      </c>
      <c r="J287" s="97" t="s">
        <v>2360</v>
      </c>
      <c r="K287" s="66"/>
      <c r="L287" s="68"/>
      <c r="M287" s="69">
        <v>97.48</v>
      </c>
      <c r="N287" s="69">
        <v>97.48</v>
      </c>
      <c r="O287" s="70">
        <f>IF(registreGarantie[[#This Row],[date paiement]]="","",registreGarantie[[#This Row],[Pièces 
Demandés]]-registreGarantie[[#This Row],[Pièces 
Remboursés]])</f>
        <v>0</v>
      </c>
      <c r="P287" s="69">
        <v>106</v>
      </c>
      <c r="Q287" s="69"/>
      <c r="R287" s="70">
        <f>IF(registreGarantie[[#This Row],[date paiement]]="","",registreGarantie[[#This Row],[MO
Demandé]]-registreGarantie[[#This Row],[MO
Remboursé]])</f>
        <v>106</v>
      </c>
      <c r="S287" s="69"/>
      <c r="T287" s="70">
        <f>IF(registreGarantie[[#This Row],[date paiement]]="","",registreGarantie[[#This Row],[MO
Refusé]]+registreGarantie[[#This Row],[Pièces
Refusés]])</f>
        <v>106</v>
      </c>
      <c r="U287" s="106">
        <v>45805</v>
      </c>
      <c r="V287" s="71">
        <f>IF(registreGarantie[[#This Row],[Pièces 
Demandés]]="","",registreGarantie[[#This Row],[Date]])</f>
        <v>45798</v>
      </c>
      <c r="W287" s="103">
        <f>IF(registreGarantie[[#This Row],[Pièces 
Demandés]]="","",IF(registreGarantie[[#This Row],[date paiement]]="","",registreGarantie[[#This Row],[date paiement]]+91))</f>
        <v>45896</v>
      </c>
      <c r="X2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87" s="74">
        <f ca="1">IF(registreGarantie[[#This Row],[Colonne1]]=0,"",IF(TODAY()&gt;registreGarantie[[#This Row],[Date rebus]],0,1))</f>
        <v>0</v>
      </c>
      <c r="Z287" s="66"/>
      <c r="AA287" s="73">
        <f>IF(AND(registreGarantie[[#This Row],[Montant non remboursé]]&gt;1,registreGarantie[[#This Row],[Montant non remboursé]]&lt;&gt;""),1,"")</f>
        <v>1</v>
      </c>
      <c r="AB287" s="66"/>
      <c r="AC287" s="66"/>
      <c r="AD287" s="87">
        <f t="shared" si="4"/>
        <v>287</v>
      </c>
      <c r="AE287" s="109"/>
    </row>
    <row r="288" spans="1:31" ht="18" customHeight="1" thickBot="1" x14ac:dyDescent="0.4">
      <c r="A288" s="64">
        <v>44980</v>
      </c>
      <c r="B288" s="64">
        <v>43506</v>
      </c>
      <c r="C288" s="106"/>
      <c r="D288" s="66" t="s">
        <v>1872</v>
      </c>
      <c r="E288" s="66" t="s">
        <v>565</v>
      </c>
      <c r="F288" s="68"/>
      <c r="G288" s="66" t="s">
        <v>1851</v>
      </c>
      <c r="H288" s="64"/>
      <c r="I288" s="67" t="s">
        <v>5</v>
      </c>
      <c r="J288" s="97"/>
      <c r="K288" s="66"/>
      <c r="L288" s="68"/>
      <c r="M288" s="69"/>
      <c r="N288" s="69"/>
      <c r="O288" s="70" t="str">
        <f>IF(registreGarantie[[#This Row],[date paiement]]="","",registreGarantie[[#This Row],[Pièces 
Demandés]]-registreGarantie[[#This Row],[Pièces 
Remboursés]])</f>
        <v/>
      </c>
      <c r="P288" s="69"/>
      <c r="Q288" s="69"/>
      <c r="R288" s="70" t="str">
        <f>IF(registreGarantie[[#This Row],[date paiement]]="","",registreGarantie[[#This Row],[MO
Demandé]]-registreGarantie[[#This Row],[MO
Remboursé]])</f>
        <v/>
      </c>
      <c r="S288" s="69"/>
      <c r="T288" s="70" t="str">
        <f>IF(registreGarantie[[#This Row],[date paiement]]="","",registreGarantie[[#This Row],[MO
Refusé]]+registreGarantie[[#This Row],[Pièces
Refusés]])</f>
        <v/>
      </c>
      <c r="U288" s="106"/>
      <c r="V288" s="71" t="str">
        <f>IF(registreGarantie[[#This Row],[Pièces 
Demandés]]="","",registreGarantie[[#This Row],[Date]])</f>
        <v/>
      </c>
      <c r="W288" s="103" t="str">
        <f>IF(registreGarantie[[#This Row],[Pièces 
Demandés]]="","",IF(registreGarantie[[#This Row],[date paiement]]="","",registreGarantie[[#This Row],[date paiement]]+91))</f>
        <v/>
      </c>
      <c r="X2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8" s="74" t="str">
        <f ca="1">IF(registreGarantie[[#This Row],[Colonne1]]=0,"",IF(TODAY()&gt;registreGarantie[[#This Row],[Date rebus]],0,1))</f>
        <v/>
      </c>
      <c r="Z288" s="66"/>
      <c r="AA288" s="73" t="str">
        <f>IF(AND(registreGarantie[[#This Row],[Montant non remboursé]]&gt;1,registreGarantie[[#This Row],[Montant non remboursé]]&lt;&gt;""),1,"")</f>
        <v/>
      </c>
      <c r="AB288" s="66"/>
      <c r="AC288" s="66"/>
      <c r="AD288" s="87">
        <f t="shared" si="4"/>
        <v>288</v>
      </c>
      <c r="AE288" s="109"/>
    </row>
    <row r="289" spans="1:31" ht="18" customHeight="1" thickBot="1" x14ac:dyDescent="0.4">
      <c r="A289" s="64">
        <v>44981</v>
      </c>
      <c r="B289" s="64">
        <v>43516</v>
      </c>
      <c r="C289" s="106">
        <v>45590.476377314815</v>
      </c>
      <c r="D289" s="66" t="s">
        <v>41</v>
      </c>
      <c r="E289" s="66" t="s">
        <v>1845</v>
      </c>
      <c r="F289" s="68" t="s">
        <v>2274</v>
      </c>
      <c r="G289" s="66" t="s">
        <v>1873</v>
      </c>
      <c r="H289" s="64">
        <v>2171</v>
      </c>
      <c r="I289" s="67" t="s">
        <v>5</v>
      </c>
      <c r="J289" s="97">
        <v>404360763</v>
      </c>
      <c r="K289" s="66"/>
      <c r="L289" s="68"/>
      <c r="M289" s="69">
        <v>263.38</v>
      </c>
      <c r="N289" s="69">
        <v>263.38</v>
      </c>
      <c r="O289" s="70">
        <f>IF(registreGarantie[[#This Row],[date paiement]]="","",registreGarantie[[#This Row],[Pièces 
Demandés]]-registreGarantie[[#This Row],[Pièces 
Remboursés]])</f>
        <v>0</v>
      </c>
      <c r="P289" s="69">
        <v>76.88</v>
      </c>
      <c r="Q289" s="69">
        <v>76.88</v>
      </c>
      <c r="R289" s="70">
        <f>IF(registreGarantie[[#This Row],[date paiement]]="","",registreGarantie[[#This Row],[MO
Demandé]]-registreGarantie[[#This Row],[MO
Remboursé]])</f>
        <v>0</v>
      </c>
      <c r="S289" s="69"/>
      <c r="T289" s="70">
        <f>IF(registreGarantie[[#This Row],[date paiement]]="","",registreGarantie[[#This Row],[MO
Refusé]]+registreGarantie[[#This Row],[Pièces
Refusés]])</f>
        <v>0</v>
      </c>
      <c r="U289" s="106">
        <v>45601</v>
      </c>
      <c r="V289" s="71">
        <f>IF(registreGarantie[[#This Row],[Pièces 
Demandés]]="","",registreGarantie[[#This Row],[Date]])</f>
        <v>45590.476377314815</v>
      </c>
      <c r="W289" s="103">
        <f>IF(registreGarantie[[#This Row],[Pièces 
Demandés]]="","",IF(registreGarantie[[#This Row],[date paiement]]="","",registreGarantie[[#This Row],[date paiement]]+91))</f>
        <v>45692</v>
      </c>
      <c r="X2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89" s="74" t="str">
        <f ca="1">IF(registreGarantie[[#This Row],[Colonne1]]=0,"",IF(TODAY()&gt;registreGarantie[[#This Row],[Date rebus]],0,1))</f>
        <v/>
      </c>
      <c r="Z289" s="66"/>
      <c r="AA289" s="73" t="str">
        <f>IF(AND(registreGarantie[[#This Row],[Montant non remboursé]]&gt;1,registreGarantie[[#This Row],[Montant non remboursé]]&lt;&gt;""),1,"")</f>
        <v/>
      </c>
      <c r="AB289" s="66"/>
      <c r="AC289" s="66"/>
      <c r="AD289" s="87">
        <f t="shared" si="4"/>
        <v>289</v>
      </c>
      <c r="AE289" s="109"/>
    </row>
    <row r="290" spans="1:31" ht="18" customHeight="1" thickBot="1" x14ac:dyDescent="0.4">
      <c r="A290" s="64">
        <v>44982</v>
      </c>
      <c r="B290" s="64">
        <v>43519</v>
      </c>
      <c r="C290" s="106">
        <v>45582</v>
      </c>
      <c r="D290" s="66" t="s">
        <v>486</v>
      </c>
      <c r="E290" s="66" t="s">
        <v>487</v>
      </c>
      <c r="F290" s="68" t="s">
        <v>2262</v>
      </c>
      <c r="G290" s="66" t="s">
        <v>1874</v>
      </c>
      <c r="H290" s="64">
        <v>1827</v>
      </c>
      <c r="I290" s="67" t="s">
        <v>3</v>
      </c>
      <c r="J290" s="97">
        <v>404429299</v>
      </c>
      <c r="K290" s="66"/>
      <c r="L290" s="68"/>
      <c r="M290" s="69">
        <v>104.33</v>
      </c>
      <c r="N290" s="69">
        <v>104.33</v>
      </c>
      <c r="O290" s="70">
        <f>IF(registreGarantie[[#This Row],[date paiement]]="","",registreGarantie[[#This Row],[Pièces 
Demandés]]-registreGarantie[[#This Row],[Pièces 
Remboursés]])</f>
        <v>0</v>
      </c>
      <c r="P290" s="69">
        <v>79.95</v>
      </c>
      <c r="Q290" s="69">
        <v>79.95</v>
      </c>
      <c r="R290" s="70">
        <f>IF(registreGarantie[[#This Row],[date paiement]]="","",registreGarantie[[#This Row],[MO
Demandé]]-registreGarantie[[#This Row],[MO
Remboursé]])</f>
        <v>0</v>
      </c>
      <c r="S290" s="69">
        <v>150</v>
      </c>
      <c r="T290" s="70">
        <f>IF(registreGarantie[[#This Row],[date paiement]]="","",registreGarantie[[#This Row],[MO
Refusé]]+registreGarantie[[#This Row],[Pièces
Refusés]])</f>
        <v>0</v>
      </c>
      <c r="U290" s="106">
        <v>45601</v>
      </c>
      <c r="V290" s="71">
        <f>IF(registreGarantie[[#This Row],[Pièces 
Demandés]]="","",registreGarantie[[#This Row],[Date]])</f>
        <v>45582</v>
      </c>
      <c r="W290" s="103">
        <f>IF(registreGarantie[[#This Row],[Pièces 
Demandés]]="","",IF(registreGarantie[[#This Row],[date paiement]]="","",registreGarantie[[#This Row],[date paiement]]+91))</f>
        <v>45692</v>
      </c>
      <c r="X2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0" s="74">
        <f ca="1">IF(registreGarantie[[#This Row],[Colonne1]]=0,"",IF(TODAY()&gt;registreGarantie[[#This Row],[Date rebus]],0,1))</f>
        <v>0</v>
      </c>
      <c r="Z290" s="66"/>
      <c r="AA290" s="73" t="str">
        <f>IF(AND(registreGarantie[[#This Row],[Montant non remboursé]]&gt;1,registreGarantie[[#This Row],[Montant non remboursé]]&lt;&gt;""),1,"")</f>
        <v/>
      </c>
      <c r="AB290" s="66"/>
      <c r="AC290" s="66"/>
      <c r="AD290" s="87">
        <f t="shared" si="4"/>
        <v>290</v>
      </c>
      <c r="AE290" s="109"/>
    </row>
    <row r="291" spans="1:31" ht="18" customHeight="1" thickBot="1" x14ac:dyDescent="0.4">
      <c r="A291" s="64">
        <v>44983</v>
      </c>
      <c r="B291" s="64">
        <v>43517</v>
      </c>
      <c r="C291" s="106">
        <v>45587.376122685186</v>
      </c>
      <c r="D291" s="66" t="s">
        <v>985</v>
      </c>
      <c r="E291" s="66" t="s">
        <v>986</v>
      </c>
      <c r="F291" s="68"/>
      <c r="G291" s="66" t="s">
        <v>1875</v>
      </c>
      <c r="H291" s="64" t="s">
        <v>1876</v>
      </c>
      <c r="I291" s="67" t="s">
        <v>15</v>
      </c>
      <c r="J291" s="97">
        <v>404436228</v>
      </c>
      <c r="K291" s="66"/>
      <c r="L291" s="68"/>
      <c r="M291" s="69">
        <v>19.36</v>
      </c>
      <c r="N291" s="69">
        <v>19.36</v>
      </c>
      <c r="O291" s="70">
        <f>IF(registreGarantie[[#This Row],[date paiement]]="","",registreGarantie[[#This Row],[Pièces 
Demandés]]-registreGarantie[[#This Row],[Pièces 
Remboursés]])</f>
        <v>0</v>
      </c>
      <c r="P291" s="69">
        <v>15.38</v>
      </c>
      <c r="Q291" s="69">
        <v>15.35</v>
      </c>
      <c r="R291" s="70">
        <f>IF(registreGarantie[[#This Row],[date paiement]]="","",registreGarantie[[#This Row],[MO
Demandé]]-registreGarantie[[#This Row],[MO
Remboursé]])</f>
        <v>3.0000000000001137E-2</v>
      </c>
      <c r="S291" s="69"/>
      <c r="T291" s="70">
        <f>IF(registreGarantie[[#This Row],[date paiement]]="","",registreGarantie[[#This Row],[MO
Refusé]]+registreGarantie[[#This Row],[Pièces
Refusés]])</f>
        <v>3.0000000000001137E-2</v>
      </c>
      <c r="U291" s="106">
        <v>45825</v>
      </c>
      <c r="V291" s="71">
        <f>IF(registreGarantie[[#This Row],[Pièces 
Demandés]]="","",registreGarantie[[#This Row],[Date]])</f>
        <v>45587.376122685186</v>
      </c>
      <c r="W291" s="103">
        <f>IF(registreGarantie[[#This Row],[Pièces 
Demandés]]="","",IF(registreGarantie[[#This Row],[date paiement]]="","",registreGarantie[[#This Row],[date paiement]]+91))</f>
        <v>45916</v>
      </c>
      <c r="X2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1" s="74">
        <f ca="1">IF(registreGarantie[[#This Row],[Colonne1]]=0,"",IF(TODAY()&gt;registreGarantie[[#This Row],[Date rebus]],0,1))</f>
        <v>0</v>
      </c>
      <c r="Z291" s="66"/>
      <c r="AA291" s="73" t="str">
        <f>IF(AND(registreGarantie[[#This Row],[Montant non remboursé]]&gt;1,registreGarantie[[#This Row],[Montant non remboursé]]&lt;&gt;""),1,"")</f>
        <v/>
      </c>
      <c r="AB291" s="66"/>
      <c r="AC291" s="66"/>
      <c r="AD291" s="87">
        <f t="shared" si="4"/>
        <v>291</v>
      </c>
      <c r="AE291" s="109"/>
    </row>
    <row r="292" spans="1:31" ht="18" customHeight="1" thickBot="1" x14ac:dyDescent="0.4">
      <c r="A292" s="64">
        <v>44984</v>
      </c>
      <c r="B292" s="64">
        <v>43517</v>
      </c>
      <c r="C292" s="106">
        <v>45588.455706018518</v>
      </c>
      <c r="D292" s="66" t="s">
        <v>985</v>
      </c>
      <c r="E292" s="66" t="s">
        <v>986</v>
      </c>
      <c r="F292" s="68"/>
      <c r="G292" s="66" t="s">
        <v>1875</v>
      </c>
      <c r="H292" s="64" t="s">
        <v>1877</v>
      </c>
      <c r="I292" s="67" t="s">
        <v>15</v>
      </c>
      <c r="J292" s="97">
        <v>404437432</v>
      </c>
      <c r="K292" s="66"/>
      <c r="L292" s="68"/>
      <c r="M292" s="69">
        <v>19.36</v>
      </c>
      <c r="N292" s="69">
        <v>19.36</v>
      </c>
      <c r="O292" s="70">
        <f>IF(registreGarantie[[#This Row],[date paiement]]="","",registreGarantie[[#This Row],[Pièces 
Demandés]]-registreGarantie[[#This Row],[Pièces 
Remboursés]])</f>
        <v>0</v>
      </c>
      <c r="P292" s="69"/>
      <c r="Q292" s="69"/>
      <c r="R292" s="70">
        <f>IF(registreGarantie[[#This Row],[date paiement]]="","",registreGarantie[[#This Row],[MO
Demandé]]-registreGarantie[[#This Row],[MO
Remboursé]])</f>
        <v>0</v>
      </c>
      <c r="S292" s="69"/>
      <c r="T292" s="70">
        <f>IF(registreGarantie[[#This Row],[date paiement]]="","",registreGarantie[[#This Row],[MO
Refusé]]+registreGarantie[[#This Row],[Pièces
Refusés]])</f>
        <v>0</v>
      </c>
      <c r="U292" s="106">
        <v>45687.538310185184</v>
      </c>
      <c r="V292" s="71">
        <f>IF(registreGarantie[[#This Row],[Pièces 
Demandés]]="","",registreGarantie[[#This Row],[Date]])</f>
        <v>45588.455706018518</v>
      </c>
      <c r="W292" s="103">
        <f>IF(registreGarantie[[#This Row],[Pièces 
Demandés]]="","",IF(registreGarantie[[#This Row],[date paiement]]="","",registreGarantie[[#This Row],[date paiement]]+91))</f>
        <v>45778.538310185184</v>
      </c>
      <c r="X2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2" s="74">
        <f ca="1">IF(registreGarantie[[#This Row],[Colonne1]]=0,"",IF(TODAY()&gt;registreGarantie[[#This Row],[Date rebus]],0,1))</f>
        <v>0</v>
      </c>
      <c r="Z292" s="66"/>
      <c r="AA292" s="73" t="str">
        <f>IF(AND(registreGarantie[[#This Row],[Montant non remboursé]]&gt;1,registreGarantie[[#This Row],[Montant non remboursé]]&lt;&gt;""),1,"")</f>
        <v/>
      </c>
      <c r="AB292" s="66"/>
      <c r="AC292" s="66"/>
      <c r="AD292" s="87">
        <f t="shared" si="4"/>
        <v>292</v>
      </c>
      <c r="AE292" s="109"/>
    </row>
    <row r="293" spans="1:31" ht="18" customHeight="1" thickBot="1" x14ac:dyDescent="0.4">
      <c r="A293" s="64">
        <v>44985</v>
      </c>
      <c r="B293" s="64">
        <v>5994</v>
      </c>
      <c r="C293" s="106">
        <v>45590.365682870368</v>
      </c>
      <c r="D293" s="66" t="s">
        <v>333</v>
      </c>
      <c r="E293" s="66" t="s">
        <v>334</v>
      </c>
      <c r="F293" s="68" t="s">
        <v>2282</v>
      </c>
      <c r="G293" s="66" t="s">
        <v>1878</v>
      </c>
      <c r="H293" s="64">
        <v>399</v>
      </c>
      <c r="I293" s="67" t="s">
        <v>2</v>
      </c>
      <c r="J293" s="97">
        <v>404437961</v>
      </c>
      <c r="K293" s="66"/>
      <c r="L293" s="68"/>
      <c r="M293" s="69">
        <v>74.23</v>
      </c>
      <c r="N293" s="69">
        <v>74.23</v>
      </c>
      <c r="O293" s="70">
        <f>IF(registreGarantie[[#This Row],[date paiement]]="","",registreGarantie[[#This Row],[Pièces 
Demandés]]-registreGarantie[[#This Row],[Pièces 
Remboursés]])</f>
        <v>0</v>
      </c>
      <c r="P293" s="69">
        <v>30.75</v>
      </c>
      <c r="Q293" s="69">
        <v>30.75</v>
      </c>
      <c r="R293" s="70">
        <f>IF(registreGarantie[[#This Row],[date paiement]]="","",registreGarantie[[#This Row],[MO
Demandé]]-registreGarantie[[#This Row],[MO
Remboursé]])</f>
        <v>0</v>
      </c>
      <c r="S293" s="69"/>
      <c r="T293" s="70">
        <f>IF(registreGarantie[[#This Row],[date paiement]]="","",registreGarantie[[#This Row],[MO
Refusé]]+registreGarantie[[#This Row],[Pièces
Refusés]])</f>
        <v>0</v>
      </c>
      <c r="U293" s="106">
        <v>45596</v>
      </c>
      <c r="V293" s="71">
        <f>IF(registreGarantie[[#This Row],[Pièces 
Demandés]]="","",registreGarantie[[#This Row],[Date]])</f>
        <v>45590.365682870368</v>
      </c>
      <c r="W293" s="103">
        <f>IF(registreGarantie[[#This Row],[Pièces 
Demandés]]="","",IF(registreGarantie[[#This Row],[date paiement]]="","",registreGarantie[[#This Row],[date paiement]]+91))</f>
        <v>45687</v>
      </c>
      <c r="X2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3" s="74">
        <f ca="1">IF(registreGarantie[[#This Row],[Colonne1]]=0,"",IF(TODAY()&gt;registreGarantie[[#This Row],[Date rebus]],0,1))</f>
        <v>0</v>
      </c>
      <c r="Z293" s="66"/>
      <c r="AA293" s="73" t="str">
        <f>IF(AND(registreGarantie[[#This Row],[Montant non remboursé]]&gt;1,registreGarantie[[#This Row],[Montant non remboursé]]&lt;&gt;""),1,"")</f>
        <v/>
      </c>
      <c r="AB293" s="66"/>
      <c r="AC293" s="66"/>
      <c r="AD293" s="87">
        <f t="shared" si="4"/>
        <v>293</v>
      </c>
      <c r="AE293" s="109"/>
    </row>
    <row r="294" spans="1:31" ht="18" customHeight="1" thickBot="1" x14ac:dyDescent="0.4">
      <c r="A294" s="64">
        <v>44986</v>
      </c>
      <c r="B294" s="64">
        <v>42003</v>
      </c>
      <c r="C294" s="106">
        <v>45589</v>
      </c>
      <c r="D294" s="66" t="s">
        <v>36</v>
      </c>
      <c r="E294" s="66" t="s">
        <v>1879</v>
      </c>
      <c r="F294" s="68"/>
      <c r="G294" s="66" t="s">
        <v>1880</v>
      </c>
      <c r="H294" s="64">
        <v>504</v>
      </c>
      <c r="I294" s="67" t="s">
        <v>21</v>
      </c>
      <c r="J294" s="97" t="s">
        <v>1881</v>
      </c>
      <c r="K294" s="66"/>
      <c r="L294" s="68"/>
      <c r="M294" s="69">
        <v>1046.1199999999999</v>
      </c>
      <c r="N294" s="69">
        <v>1046.1199999999999</v>
      </c>
      <c r="O294" s="70">
        <f>IF(registreGarantie[[#This Row],[date paiement]]="","",registreGarantie[[#This Row],[Pièces 
Demandés]]-registreGarantie[[#This Row],[Pièces 
Remboursés]])</f>
        <v>0</v>
      </c>
      <c r="P294" s="69">
        <v>153</v>
      </c>
      <c r="Q294" s="69">
        <v>153</v>
      </c>
      <c r="R294" s="70">
        <f>IF(registreGarantie[[#This Row],[date paiement]]="","",registreGarantie[[#This Row],[MO
Demandé]]-registreGarantie[[#This Row],[MO
Remboursé]])</f>
        <v>0</v>
      </c>
      <c r="S294" s="69"/>
      <c r="T294" s="70">
        <f>IF(registreGarantie[[#This Row],[date paiement]]="","",registreGarantie[[#This Row],[MO
Refusé]]+registreGarantie[[#This Row],[Pièces
Refusés]])</f>
        <v>0</v>
      </c>
      <c r="U294" s="106">
        <v>45594</v>
      </c>
      <c r="V294" s="71">
        <f>IF(registreGarantie[[#This Row],[Pièces 
Demandés]]="","",registreGarantie[[#This Row],[Date]])</f>
        <v>45589</v>
      </c>
      <c r="W294" s="103">
        <f>IF(registreGarantie[[#This Row],[Pièces 
Demandés]]="","",IF(registreGarantie[[#This Row],[date paiement]]="","",registreGarantie[[#This Row],[date paiement]]+91))</f>
        <v>45685</v>
      </c>
      <c r="X2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94" s="74" t="str">
        <f ca="1">IF(registreGarantie[[#This Row],[Colonne1]]=0,"",IF(TODAY()&gt;registreGarantie[[#This Row],[Date rebus]],0,1))</f>
        <v/>
      </c>
      <c r="Z294" s="66"/>
      <c r="AA294" s="73" t="str">
        <f>IF(AND(registreGarantie[[#This Row],[Montant non remboursé]]&gt;1,registreGarantie[[#This Row],[Montant non remboursé]]&lt;&gt;""),1,"")</f>
        <v/>
      </c>
      <c r="AB294" s="66"/>
      <c r="AC294" s="66"/>
      <c r="AD294" s="87">
        <f t="shared" si="4"/>
        <v>294</v>
      </c>
      <c r="AE294" s="109"/>
    </row>
    <row r="295" spans="1:31" ht="18" customHeight="1" thickBot="1" x14ac:dyDescent="0.4">
      <c r="A295" s="64">
        <v>44987</v>
      </c>
      <c r="B295" s="64">
        <v>5993</v>
      </c>
      <c r="C295" s="106">
        <v>45590.352685185186</v>
      </c>
      <c r="D295" s="66" t="s">
        <v>333</v>
      </c>
      <c r="E295" s="66" t="s">
        <v>334</v>
      </c>
      <c r="F295" s="68" t="s">
        <v>2282</v>
      </c>
      <c r="G295" s="66" t="s">
        <v>1882</v>
      </c>
      <c r="H295" s="64">
        <v>399</v>
      </c>
      <c r="I295" s="67" t="s">
        <v>2</v>
      </c>
      <c r="J295" s="97">
        <v>404440835</v>
      </c>
      <c r="K295" s="66"/>
      <c r="L295" s="68"/>
      <c r="M295" s="69"/>
      <c r="N295" s="69"/>
      <c r="O295" s="70">
        <f>IF(registreGarantie[[#This Row],[date paiement]]="","",registreGarantie[[#This Row],[Pièces 
Demandés]]-registreGarantie[[#This Row],[Pièces 
Remboursés]])</f>
        <v>0</v>
      </c>
      <c r="P295" s="69">
        <v>184.5</v>
      </c>
      <c r="Q295" s="66">
        <v>184.5</v>
      </c>
      <c r="R295" s="70">
        <f>IF(registreGarantie[[#This Row],[date paiement]]="","",registreGarantie[[#This Row],[MO
Demandé]]-registreGarantie[[#This Row],[MO
Remboursé]])</f>
        <v>0</v>
      </c>
      <c r="S295" s="69"/>
      <c r="T295" s="70">
        <f>IF(registreGarantie[[#This Row],[date paiement]]="","",registreGarantie[[#This Row],[MO
Refusé]]+registreGarantie[[#This Row],[Pièces
Refusés]])</f>
        <v>0</v>
      </c>
      <c r="U295" s="106">
        <v>45628</v>
      </c>
      <c r="V295" s="71" t="str">
        <f>IF(registreGarantie[[#This Row],[Pièces 
Demandés]]="","",registreGarantie[[#This Row],[Date]])</f>
        <v/>
      </c>
      <c r="W295" s="103" t="str">
        <f>IF(registreGarantie[[#This Row],[Pièces 
Demandés]]="","",IF(registreGarantie[[#This Row],[date paiement]]="","",registreGarantie[[#This Row],[date paiement]]+91))</f>
        <v/>
      </c>
      <c r="X2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95" s="74" t="str">
        <f ca="1">IF(registreGarantie[[#This Row],[Colonne1]]=0,"",IF(TODAY()&gt;registreGarantie[[#This Row],[Date rebus]],0,1))</f>
        <v/>
      </c>
      <c r="Z295" s="66"/>
      <c r="AA295" s="73" t="str">
        <f>IF(AND(registreGarantie[[#This Row],[Montant non remboursé]]&gt;1,registreGarantie[[#This Row],[Montant non remboursé]]&lt;&gt;""),1,"")</f>
        <v/>
      </c>
      <c r="AB295" s="66"/>
      <c r="AC295" s="66"/>
      <c r="AD295" s="87">
        <f t="shared" si="4"/>
        <v>295</v>
      </c>
      <c r="AE295" s="109"/>
    </row>
    <row r="296" spans="1:31" ht="18" customHeight="1" thickBot="1" x14ac:dyDescent="0.4">
      <c r="A296" s="64">
        <v>44988</v>
      </c>
      <c r="B296" s="64" t="s">
        <v>1883</v>
      </c>
      <c r="C296" s="106">
        <v>45616.771863425929</v>
      </c>
      <c r="D296" s="66" t="s">
        <v>74</v>
      </c>
      <c r="E296" s="66" t="s">
        <v>367</v>
      </c>
      <c r="F296" s="68" t="s">
        <v>2253</v>
      </c>
      <c r="G296" s="66" t="s">
        <v>1884</v>
      </c>
      <c r="H296" s="64">
        <v>352</v>
      </c>
      <c r="I296" s="67" t="s">
        <v>2</v>
      </c>
      <c r="J296" s="97">
        <v>404444574</v>
      </c>
      <c r="K296" s="66"/>
      <c r="L296" s="68"/>
      <c r="M296" s="69">
        <v>2437.36</v>
      </c>
      <c r="N296" s="69">
        <v>2437.36</v>
      </c>
      <c r="O296" s="70">
        <f>IF(registreGarantie[[#This Row],[date paiement]]="","",registreGarantie[[#This Row],[Pièces 
Demandés]]-registreGarantie[[#This Row],[Pièces 
Remboursés]])</f>
        <v>0</v>
      </c>
      <c r="P296" s="69">
        <v>6211.5</v>
      </c>
      <c r="Q296" s="69">
        <v>6211.5</v>
      </c>
      <c r="R296" s="70">
        <f>IF(registreGarantie[[#This Row],[date paiement]]="","",registreGarantie[[#This Row],[MO
Demandé]]-registreGarantie[[#This Row],[MO
Remboursé]])</f>
        <v>0</v>
      </c>
      <c r="S296" s="69"/>
      <c r="T296" s="70">
        <f>IF(registreGarantie[[#This Row],[date paiement]]="","",registreGarantie[[#This Row],[MO
Refusé]]+registreGarantie[[#This Row],[Pièces
Refusés]])</f>
        <v>0</v>
      </c>
      <c r="U296" s="106">
        <v>45672</v>
      </c>
      <c r="V296" s="71">
        <f>IF(registreGarantie[[#This Row],[Pièces 
Demandés]]="","",registreGarantie[[#This Row],[Date]])</f>
        <v>45616.771863425929</v>
      </c>
      <c r="W296" s="103">
        <f>IF(registreGarantie[[#This Row],[Pièces 
Demandés]]="","",IF(registreGarantie[[#This Row],[date paiement]]="","",registreGarantie[[#This Row],[date paiement]]+91))</f>
        <v>45763</v>
      </c>
      <c r="X2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6" s="74">
        <f ca="1">IF(registreGarantie[[#This Row],[Colonne1]]=0,"",IF(TODAY()&gt;registreGarantie[[#This Row],[Date rebus]],0,1))</f>
        <v>0</v>
      </c>
      <c r="Z296" s="66"/>
      <c r="AA296" s="73" t="str">
        <f>IF(AND(registreGarantie[[#This Row],[Montant non remboursé]]&gt;1,registreGarantie[[#This Row],[Montant non remboursé]]&lt;&gt;""),1,"")</f>
        <v/>
      </c>
      <c r="AB296" s="66"/>
      <c r="AC296" s="66"/>
      <c r="AD296" s="87">
        <f t="shared" si="4"/>
        <v>296</v>
      </c>
      <c r="AE296" s="109"/>
    </row>
    <row r="297" spans="1:31" ht="18" customHeight="1" thickBot="1" x14ac:dyDescent="0.4">
      <c r="A297" s="64">
        <v>44989</v>
      </c>
      <c r="B297" s="64"/>
      <c r="C297" s="106">
        <v>45593.464456018519</v>
      </c>
      <c r="D297" s="66" t="s">
        <v>486</v>
      </c>
      <c r="E297" s="66" t="s">
        <v>487</v>
      </c>
      <c r="F297" s="68" t="s">
        <v>2262</v>
      </c>
      <c r="G297" s="66" t="s">
        <v>1885</v>
      </c>
      <c r="H297" s="64" t="s">
        <v>1886</v>
      </c>
      <c r="I297" s="67" t="s">
        <v>18</v>
      </c>
      <c r="J297" s="97">
        <v>404444034</v>
      </c>
      <c r="K297" s="66" t="s">
        <v>1887</v>
      </c>
      <c r="L297" s="68"/>
      <c r="M297" s="69"/>
      <c r="N297" s="69"/>
      <c r="O297" s="70" t="str">
        <f>IF(registreGarantie[[#This Row],[date paiement]]="","",registreGarantie[[#This Row],[Pièces 
Demandés]]-registreGarantie[[#This Row],[Pièces 
Remboursés]])</f>
        <v/>
      </c>
      <c r="P297" s="69"/>
      <c r="Q297" s="69"/>
      <c r="R297" s="70" t="str">
        <f>IF(registreGarantie[[#This Row],[date paiement]]="","",registreGarantie[[#This Row],[MO
Demandé]]-registreGarantie[[#This Row],[MO
Remboursé]])</f>
        <v/>
      </c>
      <c r="S297" s="69"/>
      <c r="T297" s="70" t="str">
        <f>IF(registreGarantie[[#This Row],[date paiement]]="","",registreGarantie[[#This Row],[MO
Refusé]]+registreGarantie[[#This Row],[Pièces
Refusés]])</f>
        <v/>
      </c>
      <c r="U297" s="106"/>
      <c r="V297" s="71" t="str">
        <f>IF(registreGarantie[[#This Row],[Pièces 
Demandés]]="","",registreGarantie[[#This Row],[Date]])</f>
        <v/>
      </c>
      <c r="W297" s="103" t="str">
        <f>IF(registreGarantie[[#This Row],[Pièces 
Demandés]]="","",IF(registreGarantie[[#This Row],[date paiement]]="","",registreGarantie[[#This Row],[date paiement]]+91))</f>
        <v/>
      </c>
      <c r="X2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97" s="74" t="str">
        <f ca="1">IF(registreGarantie[[#This Row],[Colonne1]]=0,"",IF(TODAY()&gt;registreGarantie[[#This Row],[Date rebus]],0,1))</f>
        <v/>
      </c>
      <c r="Z297" s="66"/>
      <c r="AA297" s="73" t="str">
        <f>IF(AND(registreGarantie[[#This Row],[Montant non remboursé]]&gt;1,registreGarantie[[#This Row],[Montant non remboursé]]&lt;&gt;""),1,"")</f>
        <v/>
      </c>
      <c r="AB297" s="66"/>
      <c r="AC297" s="66"/>
      <c r="AD297" s="87">
        <f t="shared" si="4"/>
        <v>297</v>
      </c>
      <c r="AE297" s="109"/>
    </row>
    <row r="298" spans="1:31" ht="18" customHeight="1" thickBot="1" x14ac:dyDescent="0.4">
      <c r="A298" s="64">
        <v>44989</v>
      </c>
      <c r="B298" s="64"/>
      <c r="C298" s="106">
        <v>45593.464467592596</v>
      </c>
      <c r="D298" s="66" t="s">
        <v>486</v>
      </c>
      <c r="E298" s="66" t="s">
        <v>487</v>
      </c>
      <c r="F298" s="68" t="s">
        <v>2262</v>
      </c>
      <c r="G298" s="66" t="s">
        <v>1885</v>
      </c>
      <c r="H298" s="64" t="s">
        <v>1886</v>
      </c>
      <c r="I298" s="67" t="s">
        <v>19</v>
      </c>
      <c r="J298" s="97">
        <v>404444037</v>
      </c>
      <c r="K298" s="66" t="s">
        <v>1888</v>
      </c>
      <c r="L298" s="68"/>
      <c r="M298" s="69"/>
      <c r="N298" s="69"/>
      <c r="O298" s="70" t="str">
        <f>IF(registreGarantie[[#This Row],[date paiement]]="","",registreGarantie[[#This Row],[Pièces 
Demandés]]-registreGarantie[[#This Row],[Pièces 
Remboursés]])</f>
        <v/>
      </c>
      <c r="P298" s="69"/>
      <c r="Q298" s="69"/>
      <c r="R298" s="70" t="str">
        <f>IF(registreGarantie[[#This Row],[date paiement]]="","",registreGarantie[[#This Row],[MO
Demandé]]-registreGarantie[[#This Row],[MO
Remboursé]])</f>
        <v/>
      </c>
      <c r="S298" s="69"/>
      <c r="T298" s="70" t="str">
        <f>IF(registreGarantie[[#This Row],[date paiement]]="","",registreGarantie[[#This Row],[MO
Refusé]]+registreGarantie[[#This Row],[Pièces
Refusés]])</f>
        <v/>
      </c>
      <c r="U298" s="106"/>
      <c r="V298" s="71" t="str">
        <f>IF(registreGarantie[[#This Row],[Pièces 
Demandés]]="","",registreGarantie[[#This Row],[Date]])</f>
        <v/>
      </c>
      <c r="W298" s="103" t="str">
        <f>IF(registreGarantie[[#This Row],[Pièces 
Demandés]]="","",IF(registreGarantie[[#This Row],[date paiement]]="","",registreGarantie[[#This Row],[date paiement]]+91))</f>
        <v/>
      </c>
      <c r="X2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298" s="74" t="str">
        <f ca="1">IF(registreGarantie[[#This Row],[Colonne1]]=0,"",IF(TODAY()&gt;registreGarantie[[#This Row],[Date rebus]],0,1))</f>
        <v/>
      </c>
      <c r="Z298" s="66"/>
      <c r="AA298" s="73" t="str">
        <f>IF(AND(registreGarantie[[#This Row],[Montant non remboursé]]&gt;1,registreGarantie[[#This Row],[Montant non remboursé]]&lt;&gt;""),1,"")</f>
        <v/>
      </c>
      <c r="AB298" s="66"/>
      <c r="AC298" s="66"/>
      <c r="AD298" s="87">
        <f t="shared" si="4"/>
        <v>298</v>
      </c>
      <c r="AE298" s="109"/>
    </row>
    <row r="299" spans="1:31" ht="18" customHeight="1" thickBot="1" x14ac:dyDescent="0.4">
      <c r="A299" s="64">
        <v>44990</v>
      </c>
      <c r="B299" s="64">
        <v>43580</v>
      </c>
      <c r="C299" s="106">
        <v>45593</v>
      </c>
      <c r="D299" s="66" t="s">
        <v>155</v>
      </c>
      <c r="E299" s="66" t="s">
        <v>75</v>
      </c>
      <c r="F299" s="68" t="s">
        <v>2287</v>
      </c>
      <c r="G299" s="66" t="s">
        <v>1022</v>
      </c>
      <c r="H299" s="64" t="s">
        <v>1889</v>
      </c>
      <c r="I299" s="67" t="s">
        <v>2</v>
      </c>
      <c r="J299" s="97">
        <v>404444219</v>
      </c>
      <c r="K299" s="66"/>
      <c r="L299" s="68"/>
      <c r="M299" s="69">
        <v>0.98</v>
      </c>
      <c r="N299" s="69">
        <v>0.98</v>
      </c>
      <c r="O299" s="70">
        <f>IF(registreGarantie[[#This Row],[date paiement]]="","",registreGarantie[[#This Row],[Pièces 
Demandés]]-registreGarantie[[#This Row],[Pièces 
Remboursés]])</f>
        <v>0</v>
      </c>
      <c r="P299" s="69">
        <v>123</v>
      </c>
      <c r="Q299" s="66">
        <v>30.75</v>
      </c>
      <c r="R299" s="70">
        <f>IF(registreGarantie[[#This Row],[date paiement]]="","",registreGarantie[[#This Row],[MO
Demandé]]-registreGarantie[[#This Row],[MO
Remboursé]])</f>
        <v>92.25</v>
      </c>
      <c r="S299" s="69"/>
      <c r="T299" s="70">
        <f>IF(registreGarantie[[#This Row],[date paiement]]="","",registreGarantie[[#This Row],[MO
Refusé]]+registreGarantie[[#This Row],[Pièces
Refusés]])</f>
        <v>92.25</v>
      </c>
      <c r="U299" s="106">
        <v>45628</v>
      </c>
      <c r="V299" s="71">
        <f>IF(registreGarantie[[#This Row],[Pièces 
Demandés]]="","",registreGarantie[[#This Row],[Date]])</f>
        <v>45593</v>
      </c>
      <c r="W299" s="103">
        <f>IF(registreGarantie[[#This Row],[Pièces 
Demandés]]="","",IF(registreGarantie[[#This Row],[date paiement]]="","",registreGarantie[[#This Row],[date paiement]]+91))</f>
        <v>45719</v>
      </c>
      <c r="X2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299" s="74">
        <f ca="1">IF(registreGarantie[[#This Row],[Colonne1]]=0,"",IF(TODAY()&gt;registreGarantie[[#This Row],[Date rebus]],0,1))</f>
        <v>0</v>
      </c>
      <c r="Z299" s="66" t="s">
        <v>1890</v>
      </c>
      <c r="AA299" s="73">
        <f>IF(AND(registreGarantie[[#This Row],[Montant non remboursé]]&gt;1,registreGarantie[[#This Row],[Montant non remboursé]]&lt;&gt;""),1,"")</f>
        <v>1</v>
      </c>
      <c r="AB299" s="66"/>
      <c r="AC299" s="66"/>
      <c r="AD299" s="87">
        <f t="shared" si="4"/>
        <v>299</v>
      </c>
      <c r="AE299" s="109"/>
    </row>
    <row r="300" spans="1:31" ht="18" customHeight="1" thickBot="1" x14ac:dyDescent="0.4">
      <c r="A300" s="64">
        <v>44991</v>
      </c>
      <c r="B300" s="64">
        <v>43525</v>
      </c>
      <c r="C300" s="106">
        <v>45593</v>
      </c>
      <c r="D300" s="66" t="s">
        <v>486</v>
      </c>
      <c r="E300" s="66" t="s">
        <v>990</v>
      </c>
      <c r="F300" s="68"/>
      <c r="G300" s="66" t="s">
        <v>1891</v>
      </c>
      <c r="H300" s="64" t="s">
        <v>1892</v>
      </c>
      <c r="I300" s="67" t="s">
        <v>18</v>
      </c>
      <c r="J300" s="97">
        <v>404444396</v>
      </c>
      <c r="K300" s="66"/>
      <c r="L300" s="68"/>
      <c r="M300" s="69"/>
      <c r="N300" s="69"/>
      <c r="O300" s="70" t="str">
        <f>IF(registreGarantie[[#This Row],[date paiement]]="","",registreGarantie[[#This Row],[Pièces 
Demandés]]-registreGarantie[[#This Row],[Pièces 
Remboursés]])</f>
        <v/>
      </c>
      <c r="P300" s="69"/>
      <c r="Q300" s="69"/>
      <c r="R300" s="70" t="str">
        <f>IF(registreGarantie[[#This Row],[date paiement]]="","",registreGarantie[[#This Row],[MO
Demandé]]-registreGarantie[[#This Row],[MO
Remboursé]])</f>
        <v/>
      </c>
      <c r="S300" s="69"/>
      <c r="T300" s="70" t="str">
        <f>IF(registreGarantie[[#This Row],[date paiement]]="","",registreGarantie[[#This Row],[MO
Refusé]]+registreGarantie[[#This Row],[Pièces
Refusés]])</f>
        <v/>
      </c>
      <c r="U300" s="106"/>
      <c r="V300" s="71" t="str">
        <f>IF(registreGarantie[[#This Row],[Pièces 
Demandés]]="","",registreGarantie[[#This Row],[Date]])</f>
        <v/>
      </c>
      <c r="W300" s="103" t="str">
        <f>IF(registreGarantie[[#This Row],[Pièces 
Demandés]]="","",IF(registreGarantie[[#This Row],[date paiement]]="","",registreGarantie[[#This Row],[date paiement]]+91))</f>
        <v/>
      </c>
      <c r="X3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0" s="74" t="str">
        <f ca="1">IF(registreGarantie[[#This Row],[Colonne1]]=0,"",IF(TODAY()&gt;registreGarantie[[#This Row],[Date rebus]],0,1))</f>
        <v/>
      </c>
      <c r="Z300" s="66"/>
      <c r="AA300" s="73" t="str">
        <f>IF(AND(registreGarantie[[#This Row],[Montant non remboursé]]&gt;1,registreGarantie[[#This Row],[Montant non remboursé]]&lt;&gt;""),1,"")</f>
        <v/>
      </c>
      <c r="AB300" s="66"/>
      <c r="AC300" s="66"/>
      <c r="AD300" s="87">
        <f t="shared" si="4"/>
        <v>300</v>
      </c>
      <c r="AE300" s="109"/>
    </row>
    <row r="301" spans="1:31" ht="18" customHeight="1" thickBot="1" x14ac:dyDescent="0.4">
      <c r="A301" s="64">
        <v>44991</v>
      </c>
      <c r="B301" s="64">
        <v>43525</v>
      </c>
      <c r="C301" s="106">
        <v>45593</v>
      </c>
      <c r="D301" s="66" t="s">
        <v>486</v>
      </c>
      <c r="E301" s="66" t="s">
        <v>990</v>
      </c>
      <c r="F301" s="68"/>
      <c r="G301" s="66" t="s">
        <v>1891</v>
      </c>
      <c r="H301" s="64" t="s">
        <v>1892</v>
      </c>
      <c r="I301" s="67" t="s">
        <v>19</v>
      </c>
      <c r="J301" s="97">
        <v>404444397</v>
      </c>
      <c r="K301" s="66"/>
      <c r="L301" s="68"/>
      <c r="M301" s="69"/>
      <c r="N301" s="69"/>
      <c r="O301" s="70" t="str">
        <f>IF(registreGarantie[[#This Row],[date paiement]]="","",registreGarantie[[#This Row],[Pièces 
Demandés]]-registreGarantie[[#This Row],[Pièces 
Remboursés]])</f>
        <v/>
      </c>
      <c r="P301" s="69"/>
      <c r="Q301" s="69"/>
      <c r="R301" s="70" t="str">
        <f>IF(registreGarantie[[#This Row],[date paiement]]="","",registreGarantie[[#This Row],[MO
Demandé]]-registreGarantie[[#This Row],[MO
Remboursé]])</f>
        <v/>
      </c>
      <c r="S301" s="69"/>
      <c r="T301" s="70" t="str">
        <f>IF(registreGarantie[[#This Row],[date paiement]]="","",registreGarantie[[#This Row],[MO
Refusé]]+registreGarantie[[#This Row],[Pièces
Refusés]])</f>
        <v/>
      </c>
      <c r="U301" s="106"/>
      <c r="V301" s="71" t="str">
        <f>IF(registreGarantie[[#This Row],[Pièces 
Demandés]]="","",registreGarantie[[#This Row],[Date]])</f>
        <v/>
      </c>
      <c r="W301" s="103" t="str">
        <f>IF(registreGarantie[[#This Row],[Pièces 
Demandés]]="","",IF(registreGarantie[[#This Row],[date paiement]]="","",registreGarantie[[#This Row],[date paiement]]+91))</f>
        <v/>
      </c>
      <c r="X3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1" s="74" t="str">
        <f ca="1">IF(registreGarantie[[#This Row],[Colonne1]]=0,"",IF(TODAY()&gt;registreGarantie[[#This Row],[Date rebus]],0,1))</f>
        <v/>
      </c>
      <c r="Z301" s="66"/>
      <c r="AA301" s="73" t="str">
        <f>IF(AND(registreGarantie[[#This Row],[Montant non remboursé]]&gt;1,registreGarantie[[#This Row],[Montant non remboursé]]&lt;&gt;""),1,"")</f>
        <v/>
      </c>
      <c r="AB301" s="66"/>
      <c r="AC301" s="66"/>
      <c r="AD301" s="87">
        <f t="shared" si="4"/>
        <v>301</v>
      </c>
      <c r="AE301" s="109"/>
    </row>
    <row r="302" spans="1:31" ht="18" customHeight="1" thickBot="1" x14ac:dyDescent="0.4">
      <c r="A302" s="64">
        <v>44992</v>
      </c>
      <c r="B302" s="64">
        <v>43588</v>
      </c>
      <c r="C302" s="106">
        <v>45600.389120370368</v>
      </c>
      <c r="D302" s="66" t="s">
        <v>86</v>
      </c>
      <c r="E302" s="66" t="s">
        <v>45</v>
      </c>
      <c r="F302" s="68" t="s">
        <v>2239</v>
      </c>
      <c r="G302" s="66" t="s">
        <v>255</v>
      </c>
      <c r="H302" s="64">
        <v>3356</v>
      </c>
      <c r="I302" s="67" t="s">
        <v>3</v>
      </c>
      <c r="J302" s="97">
        <v>404450893</v>
      </c>
      <c r="K302" s="66"/>
      <c r="L302" s="68"/>
      <c r="M302" s="69">
        <v>96.15</v>
      </c>
      <c r="N302" s="69">
        <v>96.15</v>
      </c>
      <c r="O302" s="70">
        <f>IF(registreGarantie[[#This Row],[date paiement]]="","",registreGarantie[[#This Row],[Pièces 
Demandés]]-registreGarantie[[#This Row],[Pièces 
Remboursés]])</f>
        <v>0</v>
      </c>
      <c r="P302" s="69">
        <v>338.25</v>
      </c>
      <c r="Q302" s="66">
        <v>215.25</v>
      </c>
      <c r="R302" s="70">
        <f>IF(registreGarantie[[#This Row],[date paiement]]="","",registreGarantie[[#This Row],[MO
Demandé]]-registreGarantie[[#This Row],[MO
Remboursé]])</f>
        <v>123</v>
      </c>
      <c r="S302" s="69"/>
      <c r="T302" s="70">
        <f>IF(registreGarantie[[#This Row],[date paiement]]="","",registreGarantie[[#This Row],[MO
Refusé]]+registreGarantie[[#This Row],[Pièces
Refusés]])</f>
        <v>123</v>
      </c>
      <c r="U302" s="106">
        <v>45644</v>
      </c>
      <c r="V302" s="71">
        <f>IF(registreGarantie[[#This Row],[Pièces 
Demandés]]="","",registreGarantie[[#This Row],[Date]])</f>
        <v>45600.389120370368</v>
      </c>
      <c r="W302" s="103">
        <f>IF(registreGarantie[[#This Row],[Pièces 
Demandés]]="","",IF(registreGarantie[[#This Row],[date paiement]]="","",registreGarantie[[#This Row],[date paiement]]+91))</f>
        <v>45735</v>
      </c>
      <c r="X3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02" s="74">
        <f ca="1">IF(registreGarantie[[#This Row],[Colonne1]]=0,"",IF(TODAY()&gt;registreGarantie[[#This Row],[Date rebus]],0,1))</f>
        <v>0</v>
      </c>
      <c r="Z302" s="66"/>
      <c r="AA302" s="73">
        <f>IF(AND(registreGarantie[[#This Row],[Montant non remboursé]]&gt;1,registreGarantie[[#This Row],[Montant non remboursé]]&lt;&gt;""),1,"")</f>
        <v>1</v>
      </c>
      <c r="AB302" s="66"/>
      <c r="AC302" s="66" t="s">
        <v>1893</v>
      </c>
      <c r="AD302" s="87">
        <f t="shared" si="4"/>
        <v>302</v>
      </c>
      <c r="AE302" s="109"/>
    </row>
    <row r="303" spans="1:31" ht="18" customHeight="1" thickBot="1" x14ac:dyDescent="0.4">
      <c r="A303" s="64">
        <v>44993</v>
      </c>
      <c r="B303" s="64">
        <v>6003</v>
      </c>
      <c r="C303" s="106">
        <v>45600</v>
      </c>
      <c r="D303" s="66" t="s">
        <v>353</v>
      </c>
      <c r="E303" s="66" t="s">
        <v>32</v>
      </c>
      <c r="F303" s="68" t="s">
        <v>2335</v>
      </c>
      <c r="G303" s="66" t="s">
        <v>1894</v>
      </c>
      <c r="H303" s="64" t="s">
        <v>1895</v>
      </c>
      <c r="I303" s="67" t="s">
        <v>18</v>
      </c>
      <c r="J303" s="97">
        <v>404451384</v>
      </c>
      <c r="K303" s="66"/>
      <c r="L303" s="68"/>
      <c r="M303" s="69"/>
      <c r="N303" s="69"/>
      <c r="O303" s="70" t="str">
        <f>IF(registreGarantie[[#This Row],[date paiement]]="","",registreGarantie[[#This Row],[Pièces 
Demandés]]-registreGarantie[[#This Row],[Pièces 
Remboursés]])</f>
        <v/>
      </c>
      <c r="P303" s="69"/>
      <c r="Q303" s="69"/>
      <c r="R303" s="70" t="str">
        <f>IF(registreGarantie[[#This Row],[date paiement]]="","",registreGarantie[[#This Row],[MO
Demandé]]-registreGarantie[[#This Row],[MO
Remboursé]])</f>
        <v/>
      </c>
      <c r="S303" s="69"/>
      <c r="T303" s="70" t="str">
        <f>IF(registreGarantie[[#This Row],[date paiement]]="","",registreGarantie[[#This Row],[MO
Refusé]]+registreGarantie[[#This Row],[Pièces
Refusés]])</f>
        <v/>
      </c>
      <c r="U303" s="106"/>
      <c r="V303" s="71" t="str">
        <f>IF(registreGarantie[[#This Row],[Pièces 
Demandés]]="","",registreGarantie[[#This Row],[Date]])</f>
        <v/>
      </c>
      <c r="W303" s="103" t="str">
        <f>IF(registreGarantie[[#This Row],[Pièces 
Demandés]]="","",IF(registreGarantie[[#This Row],[date paiement]]="","",registreGarantie[[#This Row],[date paiement]]+91))</f>
        <v/>
      </c>
      <c r="X3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3" s="74" t="str">
        <f ca="1">IF(registreGarantie[[#This Row],[Colonne1]]=0,"",IF(TODAY()&gt;registreGarantie[[#This Row],[Date rebus]],0,1))</f>
        <v/>
      </c>
      <c r="Z303" s="66"/>
      <c r="AA303" s="73" t="str">
        <f>IF(AND(registreGarantie[[#This Row],[Montant non remboursé]]&gt;1,registreGarantie[[#This Row],[Montant non remboursé]]&lt;&gt;""),1,"")</f>
        <v/>
      </c>
      <c r="AB303" s="66"/>
      <c r="AC303" s="66"/>
      <c r="AD303" s="87">
        <f t="shared" si="4"/>
        <v>303</v>
      </c>
      <c r="AE303" s="109"/>
    </row>
    <row r="304" spans="1:31" ht="18" customHeight="1" thickBot="1" x14ac:dyDescent="0.4">
      <c r="A304" s="64">
        <v>44994</v>
      </c>
      <c r="B304" s="64">
        <v>43559</v>
      </c>
      <c r="C304" s="106">
        <v>45603</v>
      </c>
      <c r="D304" s="66" t="s">
        <v>36</v>
      </c>
      <c r="E304" s="66" t="s">
        <v>1845</v>
      </c>
      <c r="F304" s="68"/>
      <c r="G304" s="66" t="s">
        <v>1008</v>
      </c>
      <c r="H304" s="64" t="s">
        <v>1896</v>
      </c>
      <c r="I304" s="67" t="s">
        <v>18</v>
      </c>
      <c r="J304" s="97">
        <v>404455567</v>
      </c>
      <c r="K304" s="66"/>
      <c r="L304" s="68"/>
      <c r="M304" s="69"/>
      <c r="N304" s="69"/>
      <c r="O304" s="70" t="str">
        <f>IF(registreGarantie[[#This Row],[date paiement]]="","",registreGarantie[[#This Row],[Pièces 
Demandés]]-registreGarantie[[#This Row],[Pièces 
Remboursés]])</f>
        <v/>
      </c>
      <c r="P304" s="69"/>
      <c r="Q304" s="69"/>
      <c r="R304" s="70" t="str">
        <f>IF(registreGarantie[[#This Row],[date paiement]]="","",registreGarantie[[#This Row],[MO
Demandé]]-registreGarantie[[#This Row],[MO
Remboursé]])</f>
        <v/>
      </c>
      <c r="S304" s="69"/>
      <c r="T304" s="70" t="str">
        <f>IF(registreGarantie[[#This Row],[date paiement]]="","",registreGarantie[[#This Row],[MO
Refusé]]+registreGarantie[[#This Row],[Pièces
Refusés]])</f>
        <v/>
      </c>
      <c r="U304" s="106"/>
      <c r="V304" s="71" t="str">
        <f>IF(registreGarantie[[#This Row],[Pièces 
Demandés]]="","",registreGarantie[[#This Row],[Date]])</f>
        <v/>
      </c>
      <c r="W304" s="103" t="str">
        <f>IF(registreGarantie[[#This Row],[Pièces 
Demandés]]="","",IF(registreGarantie[[#This Row],[date paiement]]="","",registreGarantie[[#This Row],[date paiement]]+91))</f>
        <v/>
      </c>
      <c r="X3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4" s="74" t="str">
        <f ca="1">IF(registreGarantie[[#This Row],[Colonne1]]=0,"",IF(TODAY()&gt;registreGarantie[[#This Row],[Date rebus]],0,1))</f>
        <v/>
      </c>
      <c r="Z304" s="66"/>
      <c r="AA304" s="73" t="str">
        <f>IF(AND(registreGarantie[[#This Row],[Montant non remboursé]]&gt;1,registreGarantie[[#This Row],[Montant non remboursé]]&lt;&gt;""),1,"")</f>
        <v/>
      </c>
      <c r="AB304" s="66"/>
      <c r="AC304" s="66"/>
      <c r="AD304" s="87">
        <f t="shared" si="4"/>
        <v>304</v>
      </c>
      <c r="AE304" s="109"/>
    </row>
    <row r="305" spans="1:31" ht="18" customHeight="1" thickBot="1" x14ac:dyDescent="0.4">
      <c r="A305" s="64">
        <v>44994</v>
      </c>
      <c r="B305" s="64">
        <v>43559</v>
      </c>
      <c r="C305" s="106">
        <v>45603</v>
      </c>
      <c r="D305" s="66" t="s">
        <v>36</v>
      </c>
      <c r="E305" s="66" t="s">
        <v>1845</v>
      </c>
      <c r="F305" s="68"/>
      <c r="G305" s="66" t="s">
        <v>1008</v>
      </c>
      <c r="H305" s="64" t="s">
        <v>1896</v>
      </c>
      <c r="I305" s="67" t="s">
        <v>19</v>
      </c>
      <c r="J305" s="97">
        <v>404455794</v>
      </c>
      <c r="K305" s="66"/>
      <c r="L305" s="68"/>
      <c r="M305" s="69"/>
      <c r="N305" s="69"/>
      <c r="O305" s="70" t="str">
        <f>IF(registreGarantie[[#This Row],[date paiement]]="","",registreGarantie[[#This Row],[Pièces 
Demandés]]-registreGarantie[[#This Row],[Pièces 
Remboursés]])</f>
        <v/>
      </c>
      <c r="P305" s="69"/>
      <c r="Q305" s="69"/>
      <c r="R305" s="70" t="str">
        <f>IF(registreGarantie[[#This Row],[date paiement]]="","",registreGarantie[[#This Row],[MO
Demandé]]-registreGarantie[[#This Row],[MO
Remboursé]])</f>
        <v/>
      </c>
      <c r="S305" s="69"/>
      <c r="T305" s="70" t="str">
        <f>IF(registreGarantie[[#This Row],[date paiement]]="","",registreGarantie[[#This Row],[MO
Refusé]]+registreGarantie[[#This Row],[Pièces
Refusés]])</f>
        <v/>
      </c>
      <c r="U305" s="106"/>
      <c r="V305" s="71" t="str">
        <f>IF(registreGarantie[[#This Row],[Pièces 
Demandés]]="","",registreGarantie[[#This Row],[Date]])</f>
        <v/>
      </c>
      <c r="W305" s="103" t="str">
        <f>IF(registreGarantie[[#This Row],[Pièces 
Demandés]]="","",IF(registreGarantie[[#This Row],[date paiement]]="","",registreGarantie[[#This Row],[date paiement]]+91))</f>
        <v/>
      </c>
      <c r="X3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5" s="74" t="str">
        <f ca="1">IF(registreGarantie[[#This Row],[Colonne1]]=0,"",IF(TODAY()&gt;registreGarantie[[#This Row],[Date rebus]],0,1))</f>
        <v/>
      </c>
      <c r="Z305" s="66"/>
      <c r="AA305" s="73" t="str">
        <f>IF(AND(registreGarantie[[#This Row],[Montant non remboursé]]&gt;1,registreGarantie[[#This Row],[Montant non remboursé]]&lt;&gt;""),1,"")</f>
        <v/>
      </c>
      <c r="AB305" s="66"/>
      <c r="AC305" s="66"/>
      <c r="AD305" s="87">
        <f t="shared" si="4"/>
        <v>305</v>
      </c>
      <c r="AE305" s="109"/>
    </row>
    <row r="306" spans="1:31" ht="18" customHeight="1" thickBot="1" x14ac:dyDescent="0.4">
      <c r="A306" s="64">
        <v>44995</v>
      </c>
      <c r="B306" s="64">
        <v>43594</v>
      </c>
      <c r="C306" s="106">
        <v>45603</v>
      </c>
      <c r="D306" s="66" t="s">
        <v>1081</v>
      </c>
      <c r="E306" s="66" t="s">
        <v>718</v>
      </c>
      <c r="F306" s="68" t="s">
        <v>2307</v>
      </c>
      <c r="G306" s="66" t="s">
        <v>1897</v>
      </c>
      <c r="H306" s="64" t="s">
        <v>1898</v>
      </c>
      <c r="I306" s="67" t="s">
        <v>2</v>
      </c>
      <c r="J306" s="97">
        <v>404455894</v>
      </c>
      <c r="K306" s="66"/>
      <c r="L306" s="68"/>
      <c r="M306" s="69">
        <v>73.12</v>
      </c>
      <c r="N306" s="69">
        <v>73.12</v>
      </c>
      <c r="O306" s="70">
        <f>IF(registreGarantie[[#This Row],[date paiement]]="","",registreGarantie[[#This Row],[Pièces 
Demandés]]-registreGarantie[[#This Row],[Pièces 
Remboursés]])</f>
        <v>0</v>
      </c>
      <c r="P306" s="69">
        <v>123</v>
      </c>
      <c r="Q306" s="69">
        <v>123</v>
      </c>
      <c r="R306" s="70">
        <f>IF(registreGarantie[[#This Row],[date paiement]]="","",registreGarantie[[#This Row],[MO
Demandé]]-registreGarantie[[#This Row],[MO
Remboursé]])</f>
        <v>0</v>
      </c>
      <c r="S306" s="69"/>
      <c r="T306" s="70">
        <f>IF(registreGarantie[[#This Row],[date paiement]]="","",registreGarantie[[#This Row],[MO
Refusé]]+registreGarantie[[#This Row],[Pièces
Refusés]])</f>
        <v>0</v>
      </c>
      <c r="U306" s="106">
        <v>45610</v>
      </c>
      <c r="V306" s="71">
        <f>IF(registreGarantie[[#This Row],[Pièces 
Demandés]]="","",registreGarantie[[#This Row],[Date]])</f>
        <v>45603</v>
      </c>
      <c r="W306" s="103">
        <f>IF(registreGarantie[[#This Row],[Pièces 
Demandés]]="","",IF(registreGarantie[[#This Row],[date paiement]]="","",registreGarantie[[#This Row],[date paiement]]+91))</f>
        <v>45701</v>
      </c>
      <c r="X3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06" s="74">
        <f ca="1">IF(registreGarantie[[#This Row],[Colonne1]]=0,"",IF(TODAY()&gt;registreGarantie[[#This Row],[Date rebus]],0,1))</f>
        <v>0</v>
      </c>
      <c r="Z306" s="66"/>
      <c r="AA306" s="73" t="str">
        <f>IF(AND(registreGarantie[[#This Row],[Montant non remboursé]]&gt;1,registreGarantie[[#This Row],[Montant non remboursé]]&lt;&gt;""),1,"")</f>
        <v/>
      </c>
      <c r="AB306" s="66"/>
      <c r="AC306" s="66"/>
      <c r="AD306" s="87">
        <f t="shared" si="4"/>
        <v>306</v>
      </c>
      <c r="AE306" s="109"/>
    </row>
    <row r="307" spans="1:31" ht="18" customHeight="1" thickBot="1" x14ac:dyDescent="0.4">
      <c r="A307" s="64">
        <v>44996</v>
      </c>
      <c r="B307" s="64">
        <v>43618</v>
      </c>
      <c r="C307" s="106">
        <v>45604</v>
      </c>
      <c r="D307" s="66" t="s">
        <v>858</v>
      </c>
      <c r="E307" s="66" t="s">
        <v>45</v>
      </c>
      <c r="F307" s="68" t="s">
        <v>2278</v>
      </c>
      <c r="G307" s="66" t="s">
        <v>671</v>
      </c>
      <c r="H307" s="64" t="s">
        <v>1899</v>
      </c>
      <c r="I307" s="67" t="s">
        <v>23</v>
      </c>
      <c r="J307" s="97">
        <v>404456646</v>
      </c>
      <c r="K307" s="66"/>
      <c r="L307" s="68"/>
      <c r="M307" s="69">
        <v>531.28</v>
      </c>
      <c r="N307" s="69"/>
      <c r="O307" s="70" t="str">
        <f>IF(registreGarantie[[#This Row],[date paiement]]="","",registreGarantie[[#This Row],[Pièces 
Demandés]]-registreGarantie[[#This Row],[Pièces 
Remboursés]])</f>
        <v/>
      </c>
      <c r="P307" s="69">
        <v>313.64999999999998</v>
      </c>
      <c r="Q307" s="69"/>
      <c r="R307" s="70" t="str">
        <f>IF(registreGarantie[[#This Row],[date paiement]]="","",registreGarantie[[#This Row],[MO
Demandé]]-registreGarantie[[#This Row],[MO
Remboursé]])</f>
        <v/>
      </c>
      <c r="S307" s="69"/>
      <c r="T307" s="70" t="str">
        <f>IF(registreGarantie[[#This Row],[date paiement]]="","",registreGarantie[[#This Row],[MO
Refusé]]+registreGarantie[[#This Row],[Pièces
Refusés]])</f>
        <v/>
      </c>
      <c r="U307" s="106"/>
      <c r="V307" s="71">
        <f>IF(registreGarantie[[#This Row],[Pièces 
Demandés]]="","",registreGarantie[[#This Row],[Date]])</f>
        <v>45604</v>
      </c>
      <c r="W307" s="103" t="str">
        <f>IF(registreGarantie[[#This Row],[Pièces 
Demandés]]="","",IF(registreGarantie[[#This Row],[date paiement]]="","",registreGarantie[[#This Row],[date paiement]]+91))</f>
        <v/>
      </c>
      <c r="X3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7" s="74" t="str">
        <f ca="1">IF(registreGarantie[[#This Row],[Colonne1]]=0,"",IF(TODAY()&gt;registreGarantie[[#This Row],[Date rebus]],0,1))</f>
        <v/>
      </c>
      <c r="Z307" s="66"/>
      <c r="AA307" s="73" t="str">
        <f>IF(AND(registreGarantie[[#This Row],[Montant non remboursé]]&gt;1,registreGarantie[[#This Row],[Montant non remboursé]]&lt;&gt;""),1,"")</f>
        <v/>
      </c>
      <c r="AB307" s="66"/>
      <c r="AC307" s="66"/>
      <c r="AD307" s="87">
        <f t="shared" si="4"/>
        <v>307</v>
      </c>
      <c r="AE307" s="109"/>
    </row>
    <row r="308" spans="1:31" ht="18" customHeight="1" thickBot="1" x14ac:dyDescent="0.4">
      <c r="A308" s="64">
        <v>44996</v>
      </c>
      <c r="B308" s="64">
        <v>43618</v>
      </c>
      <c r="C308" s="106">
        <v>45604</v>
      </c>
      <c r="D308" s="66" t="s">
        <v>858</v>
      </c>
      <c r="E308" s="66" t="s">
        <v>45</v>
      </c>
      <c r="F308" s="68" t="s">
        <v>2278</v>
      </c>
      <c r="G308" s="66" t="s">
        <v>671</v>
      </c>
      <c r="H308" s="64" t="s">
        <v>1899</v>
      </c>
      <c r="I308" s="67" t="s">
        <v>24</v>
      </c>
      <c r="J308" s="97">
        <v>404456742</v>
      </c>
      <c r="K308" s="66"/>
      <c r="L308" s="68"/>
      <c r="M308" s="69">
        <v>434.99</v>
      </c>
      <c r="N308" s="69">
        <v>434.99</v>
      </c>
      <c r="O308" s="70">
        <f>IF(registreGarantie[[#This Row],[date paiement]]="","",registreGarantie[[#This Row],[Pièces 
Demandés]]-registreGarantie[[#This Row],[Pièces 
Remboursés]])</f>
        <v>0</v>
      </c>
      <c r="P308" s="69">
        <v>338.25</v>
      </c>
      <c r="Q308" s="69">
        <v>338.25</v>
      </c>
      <c r="R308" s="70">
        <f>IF(registreGarantie[[#This Row],[date paiement]]="","",registreGarantie[[#This Row],[MO
Demandé]]-registreGarantie[[#This Row],[MO
Remboursé]])</f>
        <v>0</v>
      </c>
      <c r="S308" s="69"/>
      <c r="T308" s="70">
        <f>IF(registreGarantie[[#This Row],[date paiement]]="","",registreGarantie[[#This Row],[MO
Refusé]]+registreGarantie[[#This Row],[Pièces
Refusés]])</f>
        <v>0</v>
      </c>
      <c r="U308" s="106">
        <v>45628</v>
      </c>
      <c r="V308" s="71">
        <f>IF(registreGarantie[[#This Row],[Pièces 
Demandés]]="","",registreGarantie[[#This Row],[Date]])</f>
        <v>45604</v>
      </c>
      <c r="W308" s="103">
        <f>IF(registreGarantie[[#This Row],[Pièces 
Demandés]]="","",IF(registreGarantie[[#This Row],[date paiement]]="","",registreGarantie[[#This Row],[date paiement]]+91))</f>
        <v>45719</v>
      </c>
      <c r="X3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08" s="74" t="str">
        <f ca="1">IF(registreGarantie[[#This Row],[Colonne1]]=0,"",IF(TODAY()&gt;registreGarantie[[#This Row],[Date rebus]],0,1))</f>
        <v/>
      </c>
      <c r="Z308" s="66"/>
      <c r="AA308" s="73" t="str">
        <f>IF(AND(registreGarantie[[#This Row],[Montant non remboursé]]&gt;1,registreGarantie[[#This Row],[Montant non remboursé]]&lt;&gt;""),1,"")</f>
        <v/>
      </c>
      <c r="AB308" s="66"/>
      <c r="AC308" s="66"/>
      <c r="AD308" s="87">
        <f t="shared" si="4"/>
        <v>308</v>
      </c>
      <c r="AE308" s="109"/>
    </row>
    <row r="309" spans="1:31" ht="18" customHeight="1" thickBot="1" x14ac:dyDescent="0.4">
      <c r="A309" s="64">
        <v>44997</v>
      </c>
      <c r="B309" s="64">
        <v>43603</v>
      </c>
      <c r="C309" s="106">
        <v>45614.643217592595</v>
      </c>
      <c r="D309" s="66" t="s">
        <v>446</v>
      </c>
      <c r="E309" s="66" t="s">
        <v>75</v>
      </c>
      <c r="F309" s="68" t="s">
        <v>2324</v>
      </c>
      <c r="G309" s="66" t="s">
        <v>615</v>
      </c>
      <c r="H309" s="64" t="s">
        <v>1900</v>
      </c>
      <c r="I309" s="67" t="s">
        <v>2</v>
      </c>
      <c r="J309" s="97">
        <v>404468664</v>
      </c>
      <c r="K309" s="66"/>
      <c r="L309" s="68"/>
      <c r="M309" s="69">
        <v>2.89</v>
      </c>
      <c r="N309" s="69">
        <v>2.89</v>
      </c>
      <c r="O309" s="70">
        <f>IF(registreGarantie[[#This Row],[date paiement]]="","",registreGarantie[[#This Row],[Pièces 
Demandés]]-registreGarantie[[#This Row],[Pièces 
Remboursés]])</f>
        <v>0</v>
      </c>
      <c r="P309" s="69">
        <v>123</v>
      </c>
      <c r="Q309" s="69">
        <v>123</v>
      </c>
      <c r="R309" s="70">
        <f>IF(registreGarantie[[#This Row],[date paiement]]="","",registreGarantie[[#This Row],[MO
Demandé]]-registreGarantie[[#This Row],[MO
Remboursé]])</f>
        <v>0</v>
      </c>
      <c r="S309" s="69"/>
      <c r="T309" s="70">
        <f>IF(registreGarantie[[#This Row],[date paiement]]="","",registreGarantie[[#This Row],[MO
Refusé]]+registreGarantie[[#This Row],[Pièces
Refusés]])</f>
        <v>0</v>
      </c>
      <c r="U309" s="106">
        <v>45628</v>
      </c>
      <c r="V309" s="71">
        <f>IF(registreGarantie[[#This Row],[Pièces 
Demandés]]="","",registreGarantie[[#This Row],[Date]])</f>
        <v>45614.643217592595</v>
      </c>
      <c r="W309" s="103">
        <f>IF(registreGarantie[[#This Row],[Pièces 
Demandés]]="","",IF(registreGarantie[[#This Row],[date paiement]]="","",registreGarantie[[#This Row],[date paiement]]+91))</f>
        <v>45719</v>
      </c>
      <c r="X3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09" s="74">
        <f ca="1">IF(registreGarantie[[#This Row],[Colonne1]]=0,"",IF(TODAY()&gt;registreGarantie[[#This Row],[Date rebus]],0,1))</f>
        <v>0</v>
      </c>
      <c r="Z309" s="66"/>
      <c r="AA309" s="73" t="str">
        <f>IF(AND(registreGarantie[[#This Row],[Montant non remboursé]]&gt;1,registreGarantie[[#This Row],[Montant non remboursé]]&lt;&gt;""),1,"")</f>
        <v/>
      </c>
      <c r="AB309" s="66"/>
      <c r="AC309" s="66"/>
      <c r="AD309" s="87">
        <f t="shared" si="4"/>
        <v>309</v>
      </c>
      <c r="AE309" s="109"/>
    </row>
    <row r="310" spans="1:31" ht="18" customHeight="1" thickBot="1" x14ac:dyDescent="0.4">
      <c r="A310" s="64">
        <v>44998</v>
      </c>
      <c r="B310" s="64">
        <v>43620</v>
      </c>
      <c r="C310" s="106">
        <v>45614.687858796293</v>
      </c>
      <c r="D310" s="66" t="s">
        <v>36</v>
      </c>
      <c r="E310" s="66" t="s">
        <v>1845</v>
      </c>
      <c r="F310" s="68"/>
      <c r="G310" s="66" t="s">
        <v>145</v>
      </c>
      <c r="H310" s="64" t="s">
        <v>1896</v>
      </c>
      <c r="I310" s="67" t="s">
        <v>2</v>
      </c>
      <c r="J310" s="97">
        <v>404468883</v>
      </c>
      <c r="K310" s="66"/>
      <c r="L310" s="68"/>
      <c r="M310" s="69">
        <v>3.07</v>
      </c>
      <c r="N310" s="69">
        <v>3.07</v>
      </c>
      <c r="O310" s="70">
        <f>IF(registreGarantie[[#This Row],[date paiement]]="","",registreGarantie[[#This Row],[Pièces 
Demandés]]-registreGarantie[[#This Row],[Pièces 
Remboursés]])</f>
        <v>0</v>
      </c>
      <c r="P310" s="69">
        <v>123</v>
      </c>
      <c r="Q310" s="69">
        <v>123</v>
      </c>
      <c r="R310" s="70">
        <f>IF(registreGarantie[[#This Row],[date paiement]]="","",registreGarantie[[#This Row],[MO
Demandé]]-registreGarantie[[#This Row],[MO
Remboursé]])</f>
        <v>0</v>
      </c>
      <c r="S310" s="69"/>
      <c r="T310" s="70">
        <f>IF(registreGarantie[[#This Row],[date paiement]]="","",registreGarantie[[#This Row],[MO
Refusé]]+registreGarantie[[#This Row],[Pièces
Refusés]])</f>
        <v>0</v>
      </c>
      <c r="U310" s="106">
        <v>45628</v>
      </c>
      <c r="V310" s="71">
        <f>IF(registreGarantie[[#This Row],[Pièces 
Demandés]]="","",registreGarantie[[#This Row],[Date]])</f>
        <v>45614.687858796293</v>
      </c>
      <c r="W310" s="103">
        <f>IF(registreGarantie[[#This Row],[Pièces 
Demandés]]="","",IF(registreGarantie[[#This Row],[date paiement]]="","",registreGarantie[[#This Row],[date paiement]]+91))</f>
        <v>45719</v>
      </c>
      <c r="X3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0" s="74">
        <f ca="1">IF(registreGarantie[[#This Row],[Colonne1]]=0,"",IF(TODAY()&gt;registreGarantie[[#This Row],[Date rebus]],0,1))</f>
        <v>0</v>
      </c>
      <c r="Z310" s="66"/>
      <c r="AA310" s="73" t="str">
        <f>IF(AND(registreGarantie[[#This Row],[Montant non remboursé]]&gt;1,registreGarantie[[#This Row],[Montant non remboursé]]&lt;&gt;""),1,"")</f>
        <v/>
      </c>
      <c r="AB310" s="66"/>
      <c r="AC310" s="66"/>
      <c r="AD310" s="87">
        <f t="shared" si="4"/>
        <v>310</v>
      </c>
      <c r="AE310" s="109"/>
    </row>
    <row r="311" spans="1:31" ht="18" customHeight="1" thickBot="1" x14ac:dyDescent="0.4">
      <c r="A311" s="64">
        <v>44999</v>
      </c>
      <c r="B311" s="64">
        <v>43622</v>
      </c>
      <c r="C311" s="106">
        <v>45615</v>
      </c>
      <c r="D311" s="66" t="s">
        <v>482</v>
      </c>
      <c r="E311" s="66" t="s">
        <v>63</v>
      </c>
      <c r="F311" s="68" t="s">
        <v>2344</v>
      </c>
      <c r="G311" s="66" t="s">
        <v>1882</v>
      </c>
      <c r="H311" s="64" t="s">
        <v>1901</v>
      </c>
      <c r="I311" s="67" t="s">
        <v>20</v>
      </c>
      <c r="J311" s="97">
        <v>404469299</v>
      </c>
      <c r="K311" s="66"/>
      <c r="L311" s="68"/>
      <c r="M311" s="69"/>
      <c r="N311" s="69"/>
      <c r="O311" s="70" t="str">
        <f>IF(registreGarantie[[#This Row],[date paiement]]="","",registreGarantie[[#This Row],[Pièces 
Demandés]]-registreGarantie[[#This Row],[Pièces 
Remboursés]])</f>
        <v/>
      </c>
      <c r="P311" s="69"/>
      <c r="Q311" s="69"/>
      <c r="R311" s="70" t="str">
        <f>IF(registreGarantie[[#This Row],[date paiement]]="","",registreGarantie[[#This Row],[MO
Demandé]]-registreGarantie[[#This Row],[MO
Remboursé]])</f>
        <v/>
      </c>
      <c r="S311" s="69"/>
      <c r="T311" s="70" t="str">
        <f>IF(registreGarantie[[#This Row],[date paiement]]="","",registreGarantie[[#This Row],[MO
Refusé]]+registreGarantie[[#This Row],[Pièces
Refusés]])</f>
        <v/>
      </c>
      <c r="U311" s="106"/>
      <c r="V311" s="71" t="str">
        <f>IF(registreGarantie[[#This Row],[Pièces 
Demandés]]="","",registreGarantie[[#This Row],[Date]])</f>
        <v/>
      </c>
      <c r="W311" s="103" t="str">
        <f>IF(registreGarantie[[#This Row],[Pièces 
Demandés]]="","",IF(registreGarantie[[#This Row],[date paiement]]="","",registreGarantie[[#This Row],[date paiement]]+91))</f>
        <v/>
      </c>
      <c r="X3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11" s="74" t="str">
        <f ca="1">IF(registreGarantie[[#This Row],[Colonne1]]=0,"",IF(TODAY()&gt;registreGarantie[[#This Row],[Date rebus]],0,1))</f>
        <v/>
      </c>
      <c r="Z311" s="66"/>
      <c r="AA311" s="73" t="str">
        <f>IF(AND(registreGarantie[[#This Row],[Montant non remboursé]]&gt;1,registreGarantie[[#This Row],[Montant non remboursé]]&lt;&gt;""),1,"")</f>
        <v/>
      </c>
      <c r="AB311" s="66"/>
      <c r="AC311" s="66"/>
      <c r="AD311" s="87">
        <f t="shared" si="4"/>
        <v>311</v>
      </c>
      <c r="AE311" s="109"/>
    </row>
    <row r="312" spans="1:31" ht="18" customHeight="1" thickBot="1" x14ac:dyDescent="0.4">
      <c r="A312" s="64">
        <v>45000</v>
      </c>
      <c r="B312" s="64">
        <v>43640</v>
      </c>
      <c r="C312" s="106">
        <v>45623.650636574072</v>
      </c>
      <c r="D312" s="66" t="s">
        <v>439</v>
      </c>
      <c r="E312" s="66" t="s">
        <v>718</v>
      </c>
      <c r="F312" s="68"/>
      <c r="G312" s="66" t="s">
        <v>1902</v>
      </c>
      <c r="H312" s="64" t="s">
        <v>1903</v>
      </c>
      <c r="I312" s="67" t="s">
        <v>2</v>
      </c>
      <c r="J312" s="97">
        <v>404480208</v>
      </c>
      <c r="K312" s="66"/>
      <c r="L312" s="68"/>
      <c r="M312" s="69">
        <v>93.47</v>
      </c>
      <c r="N312" s="69">
        <v>93.47</v>
      </c>
      <c r="O312" s="70">
        <f>IF(registreGarantie[[#This Row],[date paiement]]="","",registreGarantie[[#This Row],[Pièces 
Demandés]]-registreGarantie[[#This Row],[Pièces 
Remboursés]])</f>
        <v>0</v>
      </c>
      <c r="P312" s="69">
        <v>30.75</v>
      </c>
      <c r="Q312" s="66">
        <v>30.75</v>
      </c>
      <c r="R312" s="70">
        <f>IF(registreGarantie[[#This Row],[date paiement]]="","",registreGarantie[[#This Row],[MO
Demandé]]-registreGarantie[[#This Row],[MO
Remboursé]])</f>
        <v>0</v>
      </c>
      <c r="S312" s="69"/>
      <c r="T312" s="70">
        <f>IF(registreGarantie[[#This Row],[date paiement]]="","",registreGarantie[[#This Row],[MO
Refusé]]+registreGarantie[[#This Row],[Pièces
Refusés]])</f>
        <v>0</v>
      </c>
      <c r="U312" s="106">
        <v>45644</v>
      </c>
      <c r="V312" s="71">
        <f>IF(registreGarantie[[#This Row],[Pièces 
Demandés]]="","",registreGarantie[[#This Row],[Date]])</f>
        <v>45623.650636574072</v>
      </c>
      <c r="W312" s="103">
        <f>IF(registreGarantie[[#This Row],[Pièces 
Demandés]]="","",IF(registreGarantie[[#This Row],[date paiement]]="","",registreGarantie[[#This Row],[date paiement]]+91))</f>
        <v>45735</v>
      </c>
      <c r="X3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2" s="74">
        <f ca="1">IF(registreGarantie[[#This Row],[Colonne1]]=0,"",IF(TODAY()&gt;registreGarantie[[#This Row],[Date rebus]],0,1))</f>
        <v>0</v>
      </c>
      <c r="Z312" s="66"/>
      <c r="AA312" s="73" t="str">
        <f>IF(AND(registreGarantie[[#This Row],[Montant non remboursé]]&gt;1,registreGarantie[[#This Row],[Montant non remboursé]]&lt;&gt;""),1,"")</f>
        <v/>
      </c>
      <c r="AB312" s="66"/>
      <c r="AC312" s="66"/>
      <c r="AD312" s="87">
        <f t="shared" si="4"/>
        <v>312</v>
      </c>
      <c r="AE312" s="109"/>
    </row>
    <row r="313" spans="1:31" ht="18" customHeight="1" thickBot="1" x14ac:dyDescent="0.4">
      <c r="A313" s="64">
        <v>45001</v>
      </c>
      <c r="B313" s="64">
        <v>43641</v>
      </c>
      <c r="C313" s="106">
        <v>45623.650648148148</v>
      </c>
      <c r="D313" s="66" t="s">
        <v>439</v>
      </c>
      <c r="E313" s="66" t="s">
        <v>718</v>
      </c>
      <c r="F313" s="68"/>
      <c r="G313" s="66" t="s">
        <v>503</v>
      </c>
      <c r="H313" s="64" t="s">
        <v>1904</v>
      </c>
      <c r="I313" s="67" t="s">
        <v>2</v>
      </c>
      <c r="J313" s="97">
        <v>404480336</v>
      </c>
      <c r="K313" s="66"/>
      <c r="L313" s="68"/>
      <c r="M313" s="69">
        <v>739.72</v>
      </c>
      <c r="N313" s="69">
        <v>739.72</v>
      </c>
      <c r="O313" s="70">
        <f>IF(registreGarantie[[#This Row],[date paiement]]="","",registreGarantie[[#This Row],[Pièces 
Demandés]]-registreGarantie[[#This Row],[Pièces 
Remboursés]])</f>
        <v>0</v>
      </c>
      <c r="P313" s="69">
        <v>92.25</v>
      </c>
      <c r="Q313" s="66">
        <v>92.25</v>
      </c>
      <c r="R313" s="70">
        <f>IF(registreGarantie[[#This Row],[date paiement]]="","",registreGarantie[[#This Row],[MO
Demandé]]-registreGarantie[[#This Row],[MO
Remboursé]])</f>
        <v>0</v>
      </c>
      <c r="S313" s="69"/>
      <c r="T313" s="70">
        <f>IF(registreGarantie[[#This Row],[date paiement]]="","",registreGarantie[[#This Row],[MO
Refusé]]+registreGarantie[[#This Row],[Pièces
Refusés]])</f>
        <v>0</v>
      </c>
      <c r="U313" s="106">
        <v>45644</v>
      </c>
      <c r="V313" s="71">
        <f>IF(registreGarantie[[#This Row],[Pièces 
Demandés]]="","",registreGarantie[[#This Row],[Date]])</f>
        <v>45623.650648148148</v>
      </c>
      <c r="W313" s="103">
        <f>IF(registreGarantie[[#This Row],[Pièces 
Demandés]]="","",IF(registreGarantie[[#This Row],[date paiement]]="","",registreGarantie[[#This Row],[date paiement]]+91))</f>
        <v>45735</v>
      </c>
      <c r="X3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3" s="74">
        <f ca="1">IF(registreGarantie[[#This Row],[Colonne1]]=0,"",IF(TODAY()&gt;registreGarantie[[#This Row],[Date rebus]],0,1))</f>
        <v>0</v>
      </c>
      <c r="Z313" s="66"/>
      <c r="AA313" s="73" t="str">
        <f>IF(AND(registreGarantie[[#This Row],[Montant non remboursé]]&gt;1,registreGarantie[[#This Row],[Montant non remboursé]]&lt;&gt;""),1,"")</f>
        <v/>
      </c>
      <c r="AB313" s="66"/>
      <c r="AC313" s="66"/>
      <c r="AD313" s="87">
        <f t="shared" si="4"/>
        <v>313</v>
      </c>
      <c r="AE313" s="109"/>
    </row>
    <row r="314" spans="1:31" ht="18" customHeight="1" thickBot="1" x14ac:dyDescent="0.4">
      <c r="A314" s="64">
        <v>45002</v>
      </c>
      <c r="B314" s="64">
        <v>43611</v>
      </c>
      <c r="C314" s="106">
        <v>45616.772083333337</v>
      </c>
      <c r="D314" s="66" t="s">
        <v>36</v>
      </c>
      <c r="E314" s="66" t="s">
        <v>930</v>
      </c>
      <c r="F314" s="68" t="s">
        <v>2252</v>
      </c>
      <c r="G314" s="66" t="s">
        <v>1822</v>
      </c>
      <c r="H314" s="64">
        <v>845</v>
      </c>
      <c r="I314" s="67" t="s">
        <v>2</v>
      </c>
      <c r="J314" s="97">
        <v>404471291</v>
      </c>
      <c r="K314" s="66"/>
      <c r="L314" s="68"/>
      <c r="M314" s="69">
        <v>1301.01</v>
      </c>
      <c r="N314" s="69">
        <v>1301.01</v>
      </c>
      <c r="O314" s="70">
        <f>IF(registreGarantie[[#This Row],[date paiement]]="","",registreGarantie[[#This Row],[Pièces 
Demandés]]-registreGarantie[[#This Row],[Pièces 
Remboursés]])</f>
        <v>0</v>
      </c>
      <c r="P314" s="69">
        <v>184.5</v>
      </c>
      <c r="Q314" s="66">
        <v>184.5</v>
      </c>
      <c r="R314" s="70">
        <f>IF(registreGarantie[[#This Row],[date paiement]]="","",registreGarantie[[#This Row],[MO
Demandé]]-registreGarantie[[#This Row],[MO
Remboursé]])</f>
        <v>0</v>
      </c>
      <c r="S314" s="69"/>
      <c r="T314" s="70">
        <f>IF(registreGarantie[[#This Row],[date paiement]]="","",registreGarantie[[#This Row],[MO
Refusé]]+registreGarantie[[#This Row],[Pièces
Refusés]])</f>
        <v>0</v>
      </c>
      <c r="U314" s="106">
        <v>45644</v>
      </c>
      <c r="V314" s="71">
        <f>IF(registreGarantie[[#This Row],[Pièces 
Demandés]]="","",registreGarantie[[#This Row],[Date]])</f>
        <v>45616.772083333337</v>
      </c>
      <c r="W314" s="103">
        <f>IF(registreGarantie[[#This Row],[Pièces 
Demandés]]="","",IF(registreGarantie[[#This Row],[date paiement]]="","",registreGarantie[[#This Row],[date paiement]]+91))</f>
        <v>45735</v>
      </c>
      <c r="X3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4" s="74">
        <f ca="1">IF(registreGarantie[[#This Row],[Colonne1]]=0,"",IF(TODAY()&gt;registreGarantie[[#This Row],[Date rebus]],0,1))</f>
        <v>0</v>
      </c>
      <c r="Z314" s="66"/>
      <c r="AA314" s="73" t="str">
        <f>IF(AND(registreGarantie[[#This Row],[Montant non remboursé]]&gt;1,registreGarantie[[#This Row],[Montant non remboursé]]&lt;&gt;""),1,"")</f>
        <v/>
      </c>
      <c r="AB314" s="66"/>
      <c r="AC314" s="66"/>
      <c r="AD314" s="87">
        <f t="shared" si="4"/>
        <v>314</v>
      </c>
      <c r="AE314" s="109"/>
    </row>
    <row r="315" spans="1:31" ht="18" customHeight="1" thickBot="1" x14ac:dyDescent="0.4">
      <c r="A315" s="64">
        <v>45003</v>
      </c>
      <c r="B315" s="64">
        <v>43661</v>
      </c>
      <c r="C315" s="106">
        <v>45617</v>
      </c>
      <c r="D315" s="66" t="s">
        <v>789</v>
      </c>
      <c r="E315" s="66" t="s">
        <v>45</v>
      </c>
      <c r="F315" s="68" t="s">
        <v>2336</v>
      </c>
      <c r="G315" s="66" t="s">
        <v>1067</v>
      </c>
      <c r="H315" s="64">
        <v>72</v>
      </c>
      <c r="I315" s="67" t="s">
        <v>5</v>
      </c>
      <c r="J315" s="97">
        <v>404455469</v>
      </c>
      <c r="K315" s="66"/>
      <c r="L315" s="68"/>
      <c r="M315" s="69"/>
      <c r="N315" s="69"/>
      <c r="O315" s="70">
        <f>IF(registreGarantie[[#This Row],[date paiement]]="","",registreGarantie[[#This Row],[Pièces 
Demandés]]-registreGarantie[[#This Row],[Pièces 
Remboursés]])</f>
        <v>0</v>
      </c>
      <c r="P315" s="69">
        <v>30.75</v>
      </c>
      <c r="Q315" s="66">
        <v>30.75</v>
      </c>
      <c r="R315" s="70">
        <f>IF(registreGarantie[[#This Row],[date paiement]]="","",registreGarantie[[#This Row],[MO
Demandé]]-registreGarantie[[#This Row],[MO
Remboursé]])</f>
        <v>0</v>
      </c>
      <c r="S315" s="69"/>
      <c r="T315" s="70">
        <f>IF(registreGarantie[[#This Row],[date paiement]]="","",registreGarantie[[#This Row],[MO
Refusé]]+registreGarantie[[#This Row],[Pièces
Refusés]])</f>
        <v>0</v>
      </c>
      <c r="U315" s="106">
        <v>45628</v>
      </c>
      <c r="V315" s="71" t="str">
        <f>IF(registreGarantie[[#This Row],[Pièces 
Demandés]]="","",registreGarantie[[#This Row],[Date]])</f>
        <v/>
      </c>
      <c r="W315" s="103" t="str">
        <f>IF(registreGarantie[[#This Row],[Pièces 
Demandés]]="","",IF(registreGarantie[[#This Row],[date paiement]]="","",registreGarantie[[#This Row],[date paiement]]+91))</f>
        <v/>
      </c>
      <c r="X3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15" s="74" t="str">
        <f ca="1">IF(registreGarantie[[#This Row],[Colonne1]]=0,"",IF(TODAY()&gt;registreGarantie[[#This Row],[Date rebus]],0,1))</f>
        <v/>
      </c>
      <c r="Z315" s="66"/>
      <c r="AA315" s="73" t="str">
        <f>IF(AND(registreGarantie[[#This Row],[Montant non remboursé]]&gt;1,registreGarantie[[#This Row],[Montant non remboursé]]&lt;&gt;""),1,"")</f>
        <v/>
      </c>
      <c r="AB315" s="66"/>
      <c r="AC315" s="66"/>
      <c r="AD315" s="87">
        <f t="shared" si="4"/>
        <v>315</v>
      </c>
      <c r="AE315" s="109"/>
    </row>
    <row r="316" spans="1:31" ht="18" customHeight="1" thickBot="1" x14ac:dyDescent="0.4">
      <c r="A316" s="64">
        <v>45004</v>
      </c>
      <c r="B316" s="64">
        <v>43602</v>
      </c>
      <c r="C316" s="106">
        <v>45617</v>
      </c>
      <c r="D316" s="66" t="s">
        <v>439</v>
      </c>
      <c r="E316" s="66" t="s">
        <v>133</v>
      </c>
      <c r="F316" s="68" t="s">
        <v>2267</v>
      </c>
      <c r="G316" s="66" t="s">
        <v>770</v>
      </c>
      <c r="H316" s="64">
        <v>1068</v>
      </c>
      <c r="I316" s="67" t="s">
        <v>3</v>
      </c>
      <c r="J316" s="97">
        <v>404472113</v>
      </c>
      <c r="K316" s="66"/>
      <c r="L316" s="68"/>
      <c r="M316" s="69">
        <v>1526.65</v>
      </c>
      <c r="N316" s="69">
        <v>1526.65</v>
      </c>
      <c r="O316" s="70">
        <f>IF(registreGarantie[[#This Row],[date paiement]]="","",registreGarantie[[#This Row],[Pièces 
Demandés]]-registreGarantie[[#This Row],[Pièces 
Remboursés]])</f>
        <v>0</v>
      </c>
      <c r="P316" s="69">
        <v>141.44999999999999</v>
      </c>
      <c r="Q316" s="66">
        <v>141.44999999999999</v>
      </c>
      <c r="R316" s="70">
        <f>IF(registreGarantie[[#This Row],[date paiement]]="","",registreGarantie[[#This Row],[MO
Demandé]]-registreGarantie[[#This Row],[MO
Remboursé]])</f>
        <v>0</v>
      </c>
      <c r="S316" s="69"/>
      <c r="T316" s="70">
        <f>IF(registreGarantie[[#This Row],[date paiement]]="","",registreGarantie[[#This Row],[MO
Refusé]]+registreGarantie[[#This Row],[Pièces
Refusés]])</f>
        <v>0</v>
      </c>
      <c r="U316" s="106">
        <v>45628</v>
      </c>
      <c r="V316" s="71">
        <f>IF(registreGarantie[[#This Row],[Pièces 
Demandés]]="","",registreGarantie[[#This Row],[Date]])</f>
        <v>45617</v>
      </c>
      <c r="W316" s="103">
        <f>IF(registreGarantie[[#This Row],[Pièces 
Demandés]]="","",IF(registreGarantie[[#This Row],[date paiement]]="","",registreGarantie[[#This Row],[date paiement]]+91))</f>
        <v>45719</v>
      </c>
      <c r="X3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6" s="74">
        <f ca="1">IF(registreGarantie[[#This Row],[Colonne1]]=0,"",IF(TODAY()&gt;registreGarantie[[#This Row],[Date rebus]],0,1))</f>
        <v>0</v>
      </c>
      <c r="Z316" s="66"/>
      <c r="AA316" s="73" t="str">
        <f>IF(AND(registreGarantie[[#This Row],[Montant non remboursé]]&gt;1,registreGarantie[[#This Row],[Montant non remboursé]]&lt;&gt;""),1,"")</f>
        <v/>
      </c>
      <c r="AB316" s="66"/>
      <c r="AC316" s="66"/>
      <c r="AD316" s="87">
        <f t="shared" si="4"/>
        <v>316</v>
      </c>
      <c r="AE316" s="109"/>
    </row>
    <row r="317" spans="1:31" ht="18" customHeight="1" thickBot="1" x14ac:dyDescent="0.4">
      <c r="A317" s="64">
        <v>45005</v>
      </c>
      <c r="B317" s="64">
        <v>43666</v>
      </c>
      <c r="C317" s="106">
        <v>45617</v>
      </c>
      <c r="D317" s="66" t="s">
        <v>439</v>
      </c>
      <c r="E317" s="66" t="s">
        <v>133</v>
      </c>
      <c r="F317" s="68" t="s">
        <v>2267</v>
      </c>
      <c r="G317" s="66" t="s">
        <v>880</v>
      </c>
      <c r="H317" s="64">
        <v>1068</v>
      </c>
      <c r="I317" s="67" t="s">
        <v>3</v>
      </c>
      <c r="J317" s="97">
        <v>404472588</v>
      </c>
      <c r="K317" s="66"/>
      <c r="L317" s="68"/>
      <c r="M317" s="69">
        <v>245.9</v>
      </c>
      <c r="N317" s="69">
        <v>245.9</v>
      </c>
      <c r="O317" s="70">
        <f>IF(registreGarantie[[#This Row],[date paiement]]="","",registreGarantie[[#This Row],[Pièces 
Demandés]]-registreGarantie[[#This Row],[Pièces 
Remboursés]])</f>
        <v>0</v>
      </c>
      <c r="P317" s="69">
        <v>18.45</v>
      </c>
      <c r="Q317" s="66">
        <v>18.45</v>
      </c>
      <c r="R317" s="70">
        <f>IF(registreGarantie[[#This Row],[date paiement]]="","",registreGarantie[[#This Row],[MO
Demandé]]-registreGarantie[[#This Row],[MO
Remboursé]])</f>
        <v>0</v>
      </c>
      <c r="S317" s="69"/>
      <c r="T317" s="70">
        <f>IF(registreGarantie[[#This Row],[date paiement]]="","",registreGarantie[[#This Row],[MO
Refusé]]+registreGarantie[[#This Row],[Pièces
Refusés]])</f>
        <v>0</v>
      </c>
      <c r="U317" s="106">
        <v>45628</v>
      </c>
      <c r="V317" s="71">
        <f>IF(registreGarantie[[#This Row],[Pièces 
Demandés]]="","",registreGarantie[[#This Row],[Date]])</f>
        <v>45617</v>
      </c>
      <c r="W317" s="103">
        <f>IF(registreGarantie[[#This Row],[Pièces 
Demandés]]="","",IF(registreGarantie[[#This Row],[date paiement]]="","",registreGarantie[[#This Row],[date paiement]]+91))</f>
        <v>45719</v>
      </c>
      <c r="X3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17" s="74">
        <f ca="1">IF(registreGarantie[[#This Row],[Colonne1]]=0,"",IF(TODAY()&gt;registreGarantie[[#This Row],[Date rebus]],0,1))</f>
        <v>0</v>
      </c>
      <c r="Z317" s="66"/>
      <c r="AA317" s="73" t="str">
        <f>IF(AND(registreGarantie[[#This Row],[Montant non remboursé]]&gt;1,registreGarantie[[#This Row],[Montant non remboursé]]&lt;&gt;""),1,"")</f>
        <v/>
      </c>
      <c r="AB317" s="66"/>
      <c r="AC317" s="66"/>
      <c r="AD317" s="87">
        <f t="shared" si="4"/>
        <v>317</v>
      </c>
      <c r="AE317" s="109"/>
    </row>
    <row r="318" spans="1:31" ht="18" customHeight="1" thickBot="1" x14ac:dyDescent="0.4">
      <c r="A318" s="64">
        <v>45006</v>
      </c>
      <c r="B318" s="64">
        <v>43663</v>
      </c>
      <c r="C318" s="106">
        <v>45618</v>
      </c>
      <c r="D318" s="66" t="s">
        <v>2261</v>
      </c>
      <c r="E318" s="66" t="s">
        <v>45</v>
      </c>
      <c r="F318" s="68" t="s">
        <v>2259</v>
      </c>
      <c r="G318" s="66" t="s">
        <v>1905</v>
      </c>
      <c r="H318" s="64">
        <v>488</v>
      </c>
      <c r="I318" s="67" t="s">
        <v>20</v>
      </c>
      <c r="J318" s="97">
        <v>404473385</v>
      </c>
      <c r="K318" s="66"/>
      <c r="L318" s="68"/>
      <c r="M318" s="69"/>
      <c r="N318" s="69"/>
      <c r="O318" s="70" t="str">
        <f>IF(registreGarantie[[#This Row],[date paiement]]="","",registreGarantie[[#This Row],[Pièces 
Demandés]]-registreGarantie[[#This Row],[Pièces 
Remboursés]])</f>
        <v/>
      </c>
      <c r="P318" s="69"/>
      <c r="Q318" s="69"/>
      <c r="R318" s="70" t="str">
        <f>IF(registreGarantie[[#This Row],[date paiement]]="","",registreGarantie[[#This Row],[MO
Demandé]]-registreGarantie[[#This Row],[MO
Remboursé]])</f>
        <v/>
      </c>
      <c r="S318" s="69"/>
      <c r="T318" s="70" t="str">
        <f>IF(registreGarantie[[#This Row],[date paiement]]="","",registreGarantie[[#This Row],[MO
Refusé]]+registreGarantie[[#This Row],[Pièces
Refusés]])</f>
        <v/>
      </c>
      <c r="U318" s="106"/>
      <c r="V318" s="71" t="str">
        <f>IF(registreGarantie[[#This Row],[Pièces 
Demandés]]="","",registreGarantie[[#This Row],[Date]])</f>
        <v/>
      </c>
      <c r="W318" s="103" t="str">
        <f>IF(registreGarantie[[#This Row],[Pièces 
Demandés]]="","",IF(registreGarantie[[#This Row],[date paiement]]="","",registreGarantie[[#This Row],[date paiement]]+91))</f>
        <v/>
      </c>
      <c r="X3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18" s="74" t="str">
        <f ca="1">IF(registreGarantie[[#This Row],[Colonne1]]=0,"",IF(TODAY()&gt;registreGarantie[[#This Row],[Date rebus]],0,1))</f>
        <v/>
      </c>
      <c r="Z318" s="66"/>
      <c r="AA318" s="73" t="str">
        <f>IF(AND(registreGarantie[[#This Row],[Montant non remboursé]]&gt;1,registreGarantie[[#This Row],[Montant non remboursé]]&lt;&gt;""),1,"")</f>
        <v/>
      </c>
      <c r="AB318" s="66"/>
      <c r="AC318" s="66"/>
      <c r="AD318" s="87">
        <f t="shared" si="4"/>
        <v>318</v>
      </c>
      <c r="AE318" s="109"/>
    </row>
    <row r="319" spans="1:31" ht="18" customHeight="1" thickBot="1" x14ac:dyDescent="0.4">
      <c r="A319" s="64">
        <v>45007</v>
      </c>
      <c r="B319" s="64">
        <v>43643</v>
      </c>
      <c r="C319" s="106">
        <v>45618</v>
      </c>
      <c r="D319" s="66" t="s">
        <v>1059</v>
      </c>
      <c r="E319" s="66" t="s">
        <v>106</v>
      </c>
      <c r="F319" s="68"/>
      <c r="G319" s="66" t="s">
        <v>1060</v>
      </c>
      <c r="H319" s="64">
        <v>2207</v>
      </c>
      <c r="I319" s="67" t="s">
        <v>18</v>
      </c>
      <c r="J319" s="97">
        <v>404474208</v>
      </c>
      <c r="K319" s="66"/>
      <c r="L319" s="68"/>
      <c r="M319" s="69">
        <v>1144.3399999999999</v>
      </c>
      <c r="N319" s="69">
        <v>1144.3399999999999</v>
      </c>
      <c r="O319" s="70" t="str">
        <f>IF(registreGarantie[[#This Row],[date paiement]]="","",registreGarantie[[#This Row],[Pièces 
Demandés]]-registreGarantie[[#This Row],[Pièces 
Remboursés]])</f>
        <v/>
      </c>
      <c r="P319" s="69">
        <v>369</v>
      </c>
      <c r="Q319" s="69">
        <v>369</v>
      </c>
      <c r="R319" s="70" t="str">
        <f>IF(registreGarantie[[#This Row],[date paiement]]="","",registreGarantie[[#This Row],[MO
Demandé]]-registreGarantie[[#This Row],[MO
Remboursé]])</f>
        <v/>
      </c>
      <c r="S319" s="69"/>
      <c r="T319" s="70" t="str">
        <f>IF(registreGarantie[[#This Row],[date paiement]]="","",registreGarantie[[#This Row],[MO
Refusé]]+registreGarantie[[#This Row],[Pièces
Refusés]])</f>
        <v/>
      </c>
      <c r="U319" s="106"/>
      <c r="V319" s="71">
        <f>IF(registreGarantie[[#This Row],[Pièces 
Demandés]]="","",registreGarantie[[#This Row],[Date]])</f>
        <v>45618</v>
      </c>
      <c r="W319" s="103" t="str">
        <f>IF(registreGarantie[[#This Row],[Pièces 
Demandés]]="","",IF(registreGarantie[[#This Row],[date paiement]]="","",registreGarantie[[#This Row],[date paiement]]+91))</f>
        <v/>
      </c>
      <c r="X3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19" s="74" t="str">
        <f ca="1">IF(registreGarantie[[#This Row],[Colonne1]]=0,"",IF(TODAY()&gt;registreGarantie[[#This Row],[Date rebus]],0,1))</f>
        <v/>
      </c>
      <c r="Z319" s="66"/>
      <c r="AA319" s="73" t="str">
        <f>IF(AND(registreGarantie[[#This Row],[Montant non remboursé]]&gt;1,registreGarantie[[#This Row],[Montant non remboursé]]&lt;&gt;""),1,"")</f>
        <v/>
      </c>
      <c r="AB319" s="66"/>
      <c r="AC319" s="66"/>
      <c r="AD319" s="87">
        <f t="shared" si="4"/>
        <v>319</v>
      </c>
      <c r="AE319" s="109"/>
    </row>
    <row r="320" spans="1:31" ht="18" customHeight="1" thickBot="1" x14ac:dyDescent="0.4">
      <c r="A320" s="64">
        <v>45008</v>
      </c>
      <c r="B320" s="64">
        <v>43644</v>
      </c>
      <c r="C320" s="106">
        <v>45621</v>
      </c>
      <c r="D320" s="66" t="s">
        <v>1059</v>
      </c>
      <c r="E320" s="66" t="s">
        <v>32</v>
      </c>
      <c r="F320" s="68"/>
      <c r="G320" s="66" t="s">
        <v>671</v>
      </c>
      <c r="H320" s="64">
        <v>1020</v>
      </c>
      <c r="I320" s="67" t="s">
        <v>18</v>
      </c>
      <c r="J320" s="97">
        <v>404175530</v>
      </c>
      <c r="K320" s="66"/>
      <c r="L320" s="68"/>
      <c r="M320" s="69">
        <v>355.78</v>
      </c>
      <c r="N320" s="69">
        <v>355.78</v>
      </c>
      <c r="O320" s="70" t="str">
        <f>IF(registreGarantie[[#This Row],[date paiement]]="","",registreGarantie[[#This Row],[Pièces 
Demandés]]-registreGarantie[[#This Row],[Pièces 
Remboursés]])</f>
        <v/>
      </c>
      <c r="P320" s="69">
        <v>246</v>
      </c>
      <c r="Q320" s="69">
        <v>246</v>
      </c>
      <c r="R320" s="70" t="str">
        <f>IF(registreGarantie[[#This Row],[date paiement]]="","",registreGarantie[[#This Row],[MO
Demandé]]-registreGarantie[[#This Row],[MO
Remboursé]])</f>
        <v/>
      </c>
      <c r="S320" s="69"/>
      <c r="T320" s="70" t="str">
        <f>IF(registreGarantie[[#This Row],[date paiement]]="","",registreGarantie[[#This Row],[MO
Refusé]]+registreGarantie[[#This Row],[Pièces
Refusés]])</f>
        <v/>
      </c>
      <c r="U320" s="106"/>
      <c r="V320" s="71">
        <f>IF(registreGarantie[[#This Row],[Pièces 
Demandés]]="","",registreGarantie[[#This Row],[Date]])</f>
        <v>45621</v>
      </c>
      <c r="W320" s="103" t="str">
        <f>IF(registreGarantie[[#This Row],[Pièces 
Demandés]]="","",IF(registreGarantie[[#This Row],[date paiement]]="","",registreGarantie[[#This Row],[date paiement]]+91))</f>
        <v/>
      </c>
      <c r="X3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0" s="74" t="str">
        <f ca="1">IF(registreGarantie[[#This Row],[Colonne1]]=0,"",IF(TODAY()&gt;registreGarantie[[#This Row],[Date rebus]],0,1))</f>
        <v/>
      </c>
      <c r="Z320" s="66"/>
      <c r="AA320" s="73" t="str">
        <f>IF(AND(registreGarantie[[#This Row],[Montant non remboursé]]&gt;1,registreGarantie[[#This Row],[Montant non remboursé]]&lt;&gt;""),1,"")</f>
        <v/>
      </c>
      <c r="AB320" s="66"/>
      <c r="AC320" s="66"/>
      <c r="AD320" s="87">
        <f t="shared" si="4"/>
        <v>320</v>
      </c>
      <c r="AE320" s="109"/>
    </row>
    <row r="321" spans="1:31" ht="18" customHeight="1" thickBot="1" x14ac:dyDescent="0.4">
      <c r="A321" s="64">
        <v>45009</v>
      </c>
      <c r="B321" s="64">
        <v>43576</v>
      </c>
      <c r="C321" s="106">
        <v>45621</v>
      </c>
      <c r="D321" s="66" t="s">
        <v>1536</v>
      </c>
      <c r="E321" s="66" t="s">
        <v>75</v>
      </c>
      <c r="F321" s="68" t="s">
        <v>2280</v>
      </c>
      <c r="G321" s="66" t="s">
        <v>1906</v>
      </c>
      <c r="H321" s="64">
        <v>418</v>
      </c>
      <c r="I321" s="67" t="s">
        <v>2</v>
      </c>
      <c r="J321" s="97">
        <v>404475237</v>
      </c>
      <c r="K321" s="66"/>
      <c r="L321" s="68"/>
      <c r="M321" s="69"/>
      <c r="N321" s="69"/>
      <c r="O321" s="70">
        <f>IF(registreGarantie[[#This Row],[date paiement]]="","",registreGarantie[[#This Row],[Pièces 
Demandés]]-registreGarantie[[#This Row],[Pièces 
Remboursés]])</f>
        <v>0</v>
      </c>
      <c r="P321" s="69">
        <v>430.5</v>
      </c>
      <c r="Q321" s="69">
        <v>246</v>
      </c>
      <c r="R321" s="70">
        <f>IF(registreGarantie[[#This Row],[date paiement]]="","",registreGarantie[[#This Row],[MO
Demandé]]-registreGarantie[[#This Row],[MO
Remboursé]])</f>
        <v>184.5</v>
      </c>
      <c r="S321" s="69"/>
      <c r="T321" s="70">
        <f>IF(registreGarantie[[#This Row],[date paiement]]="","",registreGarantie[[#This Row],[MO
Refusé]]+registreGarantie[[#This Row],[Pièces
Refusés]])</f>
        <v>184.5</v>
      </c>
      <c r="U321" s="106">
        <v>45628</v>
      </c>
      <c r="V321" s="71" t="str">
        <f>IF(registreGarantie[[#This Row],[Pièces 
Demandés]]="","",registreGarantie[[#This Row],[Date]])</f>
        <v/>
      </c>
      <c r="W321" s="103" t="str">
        <f>IF(registreGarantie[[#This Row],[Pièces 
Demandés]]="","",IF(registreGarantie[[#This Row],[date paiement]]="","",registreGarantie[[#This Row],[date paiement]]+91))</f>
        <v/>
      </c>
      <c r="X3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1" s="74" t="str">
        <f ca="1">IF(registreGarantie[[#This Row],[Colonne1]]=0,"",IF(TODAY()&gt;registreGarantie[[#This Row],[Date rebus]],0,1))</f>
        <v/>
      </c>
      <c r="Z321" s="66"/>
      <c r="AA321" s="73">
        <f>IF(AND(registreGarantie[[#This Row],[Montant non remboursé]]&gt;1,registreGarantie[[#This Row],[Montant non remboursé]]&lt;&gt;""),1,"")</f>
        <v>1</v>
      </c>
      <c r="AB321" s="66"/>
      <c r="AC321" s="66"/>
      <c r="AD321" s="87">
        <f t="shared" si="4"/>
        <v>321</v>
      </c>
      <c r="AE321" s="109"/>
    </row>
    <row r="322" spans="1:31" ht="18" customHeight="1" thickBot="1" x14ac:dyDescent="0.4">
      <c r="A322" s="64">
        <v>45010</v>
      </c>
      <c r="B322" s="64">
        <v>43662</v>
      </c>
      <c r="C322" s="106">
        <v>45621</v>
      </c>
      <c r="D322" s="66" t="s">
        <v>2261</v>
      </c>
      <c r="E322" s="66" t="s">
        <v>45</v>
      </c>
      <c r="F322" s="68" t="s">
        <v>2259</v>
      </c>
      <c r="G322" s="66" t="s">
        <v>1068</v>
      </c>
      <c r="H322" s="64" t="s">
        <v>1907</v>
      </c>
      <c r="I322" s="67" t="s">
        <v>23</v>
      </c>
      <c r="J322" s="97">
        <v>404475407</v>
      </c>
      <c r="K322" s="66"/>
      <c r="L322" s="68"/>
      <c r="M322" s="69">
        <v>0</v>
      </c>
      <c r="N322" s="69"/>
      <c r="O322" s="70" t="str">
        <f>IF(registreGarantie[[#This Row],[date paiement]]="","",registreGarantie[[#This Row],[Pièces 
Demandés]]-registreGarantie[[#This Row],[Pièces 
Remboursés]])</f>
        <v/>
      </c>
      <c r="P322" s="69">
        <v>0</v>
      </c>
      <c r="Q322" s="69"/>
      <c r="R322" s="70" t="str">
        <f>IF(registreGarantie[[#This Row],[date paiement]]="","",registreGarantie[[#This Row],[MO
Demandé]]-registreGarantie[[#This Row],[MO
Remboursé]])</f>
        <v/>
      </c>
      <c r="S322" s="69"/>
      <c r="T322" s="70" t="str">
        <f>IF(registreGarantie[[#This Row],[date paiement]]="","",registreGarantie[[#This Row],[MO
Refusé]]+registreGarantie[[#This Row],[Pièces
Refusés]])</f>
        <v/>
      </c>
      <c r="U322" s="106"/>
      <c r="V322" s="71">
        <f>IF(registreGarantie[[#This Row],[Pièces 
Demandés]]="","",registreGarantie[[#This Row],[Date]])</f>
        <v>45621</v>
      </c>
      <c r="W322" s="103" t="str">
        <f>IF(registreGarantie[[#This Row],[Pièces 
Demandés]]="","",IF(registreGarantie[[#This Row],[date paiement]]="","",registreGarantie[[#This Row],[date paiement]]+91))</f>
        <v/>
      </c>
      <c r="X3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2" s="74" t="str">
        <f ca="1">IF(registreGarantie[[#This Row],[Colonne1]]=0,"",IF(TODAY()&gt;registreGarantie[[#This Row],[Date rebus]],0,1))</f>
        <v/>
      </c>
      <c r="Z322" s="66"/>
      <c r="AA322" s="73" t="str">
        <f>IF(AND(registreGarantie[[#This Row],[Montant non remboursé]]&gt;1,registreGarantie[[#This Row],[Montant non remboursé]]&lt;&gt;""),1,"")</f>
        <v/>
      </c>
      <c r="AB322" s="66"/>
      <c r="AC322" s="66"/>
      <c r="AD322" s="87">
        <f t="shared" ref="AD322:AD385" si="5">ROW(AD322)</f>
        <v>322</v>
      </c>
      <c r="AE322" s="109"/>
    </row>
    <row r="323" spans="1:31" ht="18" customHeight="1" thickBot="1" x14ac:dyDescent="0.4">
      <c r="A323" s="64">
        <v>45010</v>
      </c>
      <c r="B323" s="64">
        <v>43662</v>
      </c>
      <c r="C323" s="106">
        <v>45621</v>
      </c>
      <c r="D323" s="66" t="s">
        <v>2261</v>
      </c>
      <c r="E323" s="66" t="s">
        <v>45</v>
      </c>
      <c r="F323" s="68" t="s">
        <v>2259</v>
      </c>
      <c r="G323" s="66" t="s">
        <v>1068</v>
      </c>
      <c r="H323" s="64" t="s">
        <v>1907</v>
      </c>
      <c r="I323" s="67" t="s">
        <v>24</v>
      </c>
      <c r="J323" s="97">
        <v>404484994</v>
      </c>
      <c r="K323" s="66"/>
      <c r="L323" s="68"/>
      <c r="M323" s="69">
        <v>0</v>
      </c>
      <c r="N323" s="69"/>
      <c r="O323" s="70" t="str">
        <f>IF(registreGarantie[[#This Row],[date paiement]]="","",registreGarantie[[#This Row],[Pièces 
Demandés]]-registreGarantie[[#This Row],[Pièces 
Remboursés]])</f>
        <v/>
      </c>
      <c r="P323" s="69">
        <v>0</v>
      </c>
      <c r="Q323" s="69"/>
      <c r="R323" s="70" t="str">
        <f>IF(registreGarantie[[#This Row],[date paiement]]="","",registreGarantie[[#This Row],[MO
Demandé]]-registreGarantie[[#This Row],[MO
Remboursé]])</f>
        <v/>
      </c>
      <c r="S323" s="69"/>
      <c r="T323" s="70" t="str">
        <f>IF(registreGarantie[[#This Row],[date paiement]]="","",registreGarantie[[#This Row],[MO
Refusé]]+registreGarantie[[#This Row],[Pièces
Refusés]])</f>
        <v/>
      </c>
      <c r="U323" s="106"/>
      <c r="V323" s="71">
        <f>IF(registreGarantie[[#This Row],[Pièces 
Demandés]]="","",registreGarantie[[#This Row],[Date]])</f>
        <v>45621</v>
      </c>
      <c r="W323" s="103" t="str">
        <f>IF(registreGarantie[[#This Row],[Pièces 
Demandés]]="","",IF(registreGarantie[[#This Row],[date paiement]]="","",registreGarantie[[#This Row],[date paiement]]+91))</f>
        <v/>
      </c>
      <c r="X3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3" s="74" t="str">
        <f ca="1">IF(registreGarantie[[#This Row],[Colonne1]]=0,"",IF(TODAY()&gt;registreGarantie[[#This Row],[Date rebus]],0,1))</f>
        <v/>
      </c>
      <c r="Z323" s="66"/>
      <c r="AA323" s="73" t="str">
        <f>IF(AND(registreGarantie[[#This Row],[Montant non remboursé]]&gt;1,registreGarantie[[#This Row],[Montant non remboursé]]&lt;&gt;""),1,"")</f>
        <v/>
      </c>
      <c r="AB323" s="66"/>
      <c r="AC323" s="66"/>
      <c r="AD323" s="87">
        <f t="shared" si="5"/>
        <v>323</v>
      </c>
      <c r="AE323" s="109"/>
    </row>
    <row r="324" spans="1:31" ht="18" customHeight="1" thickBot="1" x14ac:dyDescent="0.4">
      <c r="A324" s="64">
        <v>45011</v>
      </c>
      <c r="B324" s="64">
        <v>43663</v>
      </c>
      <c r="C324" s="106">
        <v>45621.683576388888</v>
      </c>
      <c r="D324" s="66" t="s">
        <v>2261</v>
      </c>
      <c r="E324" s="66" t="s">
        <v>45</v>
      </c>
      <c r="F324" s="68" t="s">
        <v>2259</v>
      </c>
      <c r="G324" s="66" t="s">
        <v>784</v>
      </c>
      <c r="H324" s="64" t="s">
        <v>1907</v>
      </c>
      <c r="I324" s="67" t="s">
        <v>23</v>
      </c>
      <c r="J324" s="97">
        <v>404475882</v>
      </c>
      <c r="K324" s="66"/>
      <c r="L324" s="68"/>
      <c r="M324" s="69">
        <v>322.02</v>
      </c>
      <c r="N324" s="69">
        <v>484.31</v>
      </c>
      <c r="O324" s="70">
        <f>IF(registreGarantie[[#This Row],[date paiement]]="","",registreGarantie[[#This Row],[Pièces 
Demandés]]-registreGarantie[[#This Row],[Pièces 
Remboursés]])</f>
        <v>-162.29000000000002</v>
      </c>
      <c r="P324" s="69">
        <v>319.8</v>
      </c>
      <c r="Q324" s="69">
        <v>319.8</v>
      </c>
      <c r="R324" s="70">
        <f>IF(registreGarantie[[#This Row],[date paiement]]="","",registreGarantie[[#This Row],[MO
Demandé]]-registreGarantie[[#This Row],[MO
Remboursé]])</f>
        <v>0</v>
      </c>
      <c r="S324" s="69"/>
      <c r="T324" s="70">
        <f>IF(registreGarantie[[#This Row],[date paiement]]="","",registreGarantie[[#This Row],[MO
Refusé]]+registreGarantie[[#This Row],[Pièces
Refusés]])</f>
        <v>-162.29000000000002</v>
      </c>
      <c r="U324" s="106">
        <v>45628</v>
      </c>
      <c r="V324" s="71">
        <f>IF(registreGarantie[[#This Row],[Pièces 
Demandés]]="","",registreGarantie[[#This Row],[Date]])</f>
        <v>45621.683576388888</v>
      </c>
      <c r="W324" s="103">
        <f>IF(registreGarantie[[#This Row],[Pièces 
Demandés]]="","",IF(registreGarantie[[#This Row],[date paiement]]="","",registreGarantie[[#This Row],[date paiement]]+91))</f>
        <v>45719</v>
      </c>
      <c r="X3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4" s="74" t="str">
        <f ca="1">IF(registreGarantie[[#This Row],[Colonne1]]=0,"",IF(TODAY()&gt;registreGarantie[[#This Row],[Date rebus]],0,1))</f>
        <v/>
      </c>
      <c r="Z324" s="66"/>
      <c r="AA324" s="73" t="str">
        <f>IF(AND(registreGarantie[[#This Row],[Montant non remboursé]]&gt;1,registreGarantie[[#This Row],[Montant non remboursé]]&lt;&gt;""),1,"")</f>
        <v/>
      </c>
      <c r="AB324" s="66"/>
      <c r="AC324" s="66"/>
      <c r="AD324" s="87">
        <f t="shared" si="5"/>
        <v>324</v>
      </c>
      <c r="AE324" s="109"/>
    </row>
    <row r="325" spans="1:31" ht="18" customHeight="1" thickBot="1" x14ac:dyDescent="0.4">
      <c r="A325" s="64">
        <v>45011</v>
      </c>
      <c r="B325" s="64">
        <v>43663</v>
      </c>
      <c r="C325" s="106">
        <v>45621.683576388888</v>
      </c>
      <c r="D325" s="66" t="s">
        <v>2261</v>
      </c>
      <c r="E325" s="66" t="s">
        <v>45</v>
      </c>
      <c r="F325" s="68" t="s">
        <v>2259</v>
      </c>
      <c r="G325" s="66" t="s">
        <v>784</v>
      </c>
      <c r="H325" s="64" t="s">
        <v>1907</v>
      </c>
      <c r="I325" s="67" t="s">
        <v>1908</v>
      </c>
      <c r="J325" s="97">
        <v>404498501</v>
      </c>
      <c r="K325" s="66"/>
      <c r="L325" s="68"/>
      <c r="M325" s="69">
        <v>322.02</v>
      </c>
      <c r="N325" s="69"/>
      <c r="O325" s="70" t="str">
        <f>IF(registreGarantie[[#This Row],[date paiement]]="","",registreGarantie[[#This Row],[Pièces 
Demandés]]-registreGarantie[[#This Row],[Pièces 
Remboursés]])</f>
        <v/>
      </c>
      <c r="P325" s="69">
        <v>319.8</v>
      </c>
      <c r="Q325" s="69"/>
      <c r="R325" s="70" t="str">
        <f>IF(registreGarantie[[#This Row],[date paiement]]="","",registreGarantie[[#This Row],[MO
Demandé]]-registreGarantie[[#This Row],[MO
Remboursé]])</f>
        <v/>
      </c>
      <c r="S325" s="69"/>
      <c r="T325" s="70" t="str">
        <f>IF(registreGarantie[[#This Row],[date paiement]]="","",registreGarantie[[#This Row],[MO
Refusé]]+registreGarantie[[#This Row],[Pièces
Refusés]])</f>
        <v/>
      </c>
      <c r="U325" s="106"/>
      <c r="V325" s="71">
        <f>IF(registreGarantie[[#This Row],[Pièces 
Demandés]]="","",registreGarantie[[#This Row],[Date]])</f>
        <v>45621.683576388888</v>
      </c>
      <c r="W325" s="103" t="str">
        <f>IF(registreGarantie[[#This Row],[Pièces 
Demandés]]="","",IF(registreGarantie[[#This Row],[date paiement]]="","",registreGarantie[[#This Row],[date paiement]]+91))</f>
        <v/>
      </c>
      <c r="X3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5" s="74" t="str">
        <f ca="1">IF(registreGarantie[[#This Row],[Colonne1]]=0,"",IF(TODAY()&gt;registreGarantie[[#This Row],[Date rebus]],0,1))</f>
        <v/>
      </c>
      <c r="Z325" s="66"/>
      <c r="AA325" s="73" t="str">
        <f>IF(AND(registreGarantie[[#This Row],[Montant non remboursé]]&gt;1,registreGarantie[[#This Row],[Montant non remboursé]]&lt;&gt;""),1,"")</f>
        <v/>
      </c>
      <c r="AB325" s="66"/>
      <c r="AC325" s="66"/>
      <c r="AD325" s="87">
        <f t="shared" si="5"/>
        <v>325</v>
      </c>
      <c r="AE325" s="109"/>
    </row>
    <row r="326" spans="1:31" ht="18" customHeight="1" thickBot="1" x14ac:dyDescent="0.4">
      <c r="A326" s="64">
        <v>45012</v>
      </c>
      <c r="B326" s="64">
        <v>43671</v>
      </c>
      <c r="C326" s="106">
        <v>45621</v>
      </c>
      <c r="D326" s="66" t="s">
        <v>758</v>
      </c>
      <c r="E326" s="66" t="s">
        <v>797</v>
      </c>
      <c r="F326" s="68"/>
      <c r="G326" s="66" t="s">
        <v>1909</v>
      </c>
      <c r="H326" s="64">
        <v>652</v>
      </c>
      <c r="I326" s="67" t="s">
        <v>21</v>
      </c>
      <c r="J326" s="97" t="s">
        <v>1910</v>
      </c>
      <c r="K326" s="66"/>
      <c r="L326" s="68"/>
      <c r="M326" s="69"/>
      <c r="N326" s="69"/>
      <c r="O326" s="70">
        <f>IF(registreGarantie[[#This Row],[date paiement]]="","",registreGarantie[[#This Row],[Pièces 
Demandés]]-registreGarantie[[#This Row],[Pièces 
Remboursés]])</f>
        <v>0</v>
      </c>
      <c r="P326" s="69">
        <v>153</v>
      </c>
      <c r="Q326" s="69">
        <v>153</v>
      </c>
      <c r="R326" s="70">
        <f>IF(registreGarantie[[#This Row],[date paiement]]="","",registreGarantie[[#This Row],[MO
Demandé]]-registreGarantie[[#This Row],[MO
Remboursé]])</f>
        <v>0</v>
      </c>
      <c r="S326" s="69"/>
      <c r="T326" s="70">
        <f>IF(registreGarantie[[#This Row],[date paiement]]="","",registreGarantie[[#This Row],[MO
Refusé]]+registreGarantie[[#This Row],[Pièces
Refusés]])</f>
        <v>0</v>
      </c>
      <c r="U326" s="106">
        <v>45632.396921296298</v>
      </c>
      <c r="V326" s="71" t="str">
        <f>IF(registreGarantie[[#This Row],[Pièces 
Demandés]]="","",registreGarantie[[#This Row],[Date]])</f>
        <v/>
      </c>
      <c r="W326" s="103" t="str">
        <f>IF(registreGarantie[[#This Row],[Pièces 
Demandés]]="","",IF(registreGarantie[[#This Row],[date paiement]]="","",registreGarantie[[#This Row],[date paiement]]+91))</f>
        <v/>
      </c>
      <c r="X3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6" s="74" t="str">
        <f ca="1">IF(registreGarantie[[#This Row],[Colonne1]]=0,"",IF(TODAY()&gt;registreGarantie[[#This Row],[Date rebus]],0,1))</f>
        <v/>
      </c>
      <c r="Z326" s="66"/>
      <c r="AA326" s="73" t="str">
        <f>IF(AND(registreGarantie[[#This Row],[Montant non remboursé]]&gt;1,registreGarantie[[#This Row],[Montant non remboursé]]&lt;&gt;""),1,"")</f>
        <v/>
      </c>
      <c r="AB326" s="66"/>
      <c r="AC326" s="66"/>
      <c r="AD326" s="87">
        <f t="shared" si="5"/>
        <v>326</v>
      </c>
      <c r="AE326" s="109"/>
    </row>
    <row r="327" spans="1:31" ht="18" customHeight="1" thickBot="1" x14ac:dyDescent="0.4">
      <c r="A327" s="64">
        <v>45013</v>
      </c>
      <c r="B327" s="64">
        <v>6014</v>
      </c>
      <c r="C327" s="106">
        <v>45635.587511574071</v>
      </c>
      <c r="D327" s="66" t="s">
        <v>36</v>
      </c>
      <c r="E327" s="66" t="s">
        <v>930</v>
      </c>
      <c r="F327" s="68" t="s">
        <v>2252</v>
      </c>
      <c r="G327" s="66" t="s">
        <v>27</v>
      </c>
      <c r="H327" s="64">
        <v>845</v>
      </c>
      <c r="I327" s="67" t="s">
        <v>20</v>
      </c>
      <c r="J327" s="97">
        <v>404476854</v>
      </c>
      <c r="K327" s="66"/>
      <c r="L327" s="68"/>
      <c r="M327" s="69"/>
      <c r="N327" s="69"/>
      <c r="O327" s="70" t="str">
        <f>IF(registreGarantie[[#This Row],[date paiement]]="","",registreGarantie[[#This Row],[Pièces 
Demandés]]-registreGarantie[[#This Row],[Pièces 
Remboursés]])</f>
        <v/>
      </c>
      <c r="P327" s="69"/>
      <c r="Q327" s="69"/>
      <c r="R327" s="70" t="str">
        <f>IF(registreGarantie[[#This Row],[date paiement]]="","",registreGarantie[[#This Row],[MO
Demandé]]-registreGarantie[[#This Row],[MO
Remboursé]])</f>
        <v/>
      </c>
      <c r="S327" s="69"/>
      <c r="T327" s="70" t="str">
        <f>IF(registreGarantie[[#This Row],[date paiement]]="","",registreGarantie[[#This Row],[MO
Refusé]]+registreGarantie[[#This Row],[Pièces
Refusés]])</f>
        <v/>
      </c>
      <c r="U327" s="106"/>
      <c r="V327" s="71" t="str">
        <f>IF(registreGarantie[[#This Row],[Pièces 
Demandés]]="","",registreGarantie[[#This Row],[Date]])</f>
        <v/>
      </c>
      <c r="W327" s="103" t="str">
        <f>IF(registreGarantie[[#This Row],[Pièces 
Demandés]]="","",IF(registreGarantie[[#This Row],[date paiement]]="","",registreGarantie[[#This Row],[date paiement]]+91))</f>
        <v/>
      </c>
      <c r="X3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7" s="74" t="str">
        <f ca="1">IF(registreGarantie[[#This Row],[Colonne1]]=0,"",IF(TODAY()&gt;registreGarantie[[#This Row],[Date rebus]],0,1))</f>
        <v/>
      </c>
      <c r="Z327" s="66"/>
      <c r="AA327" s="73" t="str">
        <f>IF(AND(registreGarantie[[#This Row],[Montant non remboursé]]&gt;1,registreGarantie[[#This Row],[Montant non remboursé]]&lt;&gt;""),1,"")</f>
        <v/>
      </c>
      <c r="AB327" s="66"/>
      <c r="AC327" s="66"/>
      <c r="AD327" s="87">
        <f t="shared" si="5"/>
        <v>327</v>
      </c>
      <c r="AE327" s="109"/>
    </row>
    <row r="328" spans="1:31" ht="18" customHeight="1" thickBot="1" x14ac:dyDescent="0.4">
      <c r="A328" s="64">
        <v>45013</v>
      </c>
      <c r="B328" s="64">
        <v>6014</v>
      </c>
      <c r="C328" s="106">
        <v>45635.587511574071</v>
      </c>
      <c r="D328" s="66" t="s">
        <v>36</v>
      </c>
      <c r="E328" s="66" t="s">
        <v>930</v>
      </c>
      <c r="F328" s="68" t="s">
        <v>2252</v>
      </c>
      <c r="G328" s="66" t="s">
        <v>27</v>
      </c>
      <c r="H328" s="64">
        <v>845</v>
      </c>
      <c r="I328" s="67" t="s">
        <v>2</v>
      </c>
      <c r="J328" s="97">
        <v>404476854</v>
      </c>
      <c r="K328" s="66"/>
      <c r="L328" s="68"/>
      <c r="M328" s="69">
        <v>3268.03</v>
      </c>
      <c r="N328" s="69">
        <v>3268.03</v>
      </c>
      <c r="O328" s="70">
        <f>IF(registreGarantie[[#This Row],[date paiement]]="","",registreGarantie[[#This Row],[Pièces 
Demandés]]-registreGarantie[[#This Row],[Pièces 
Remboursés]])</f>
        <v>0</v>
      </c>
      <c r="P328" s="69">
        <v>799.5</v>
      </c>
      <c r="Q328" s="69">
        <v>615</v>
      </c>
      <c r="R328" s="70">
        <f>IF(registreGarantie[[#This Row],[date paiement]]="","",registreGarantie[[#This Row],[MO
Demandé]]-registreGarantie[[#This Row],[MO
Remboursé]])</f>
        <v>184.5</v>
      </c>
      <c r="S328" s="69"/>
      <c r="T328" s="70">
        <f>IF(registreGarantie[[#This Row],[date paiement]]="","",registreGarantie[[#This Row],[MO
Refusé]]+registreGarantie[[#This Row],[Pièces
Refusés]])</f>
        <v>184.5</v>
      </c>
      <c r="U328" s="106">
        <v>45644</v>
      </c>
      <c r="V328" s="71">
        <f>IF(registreGarantie[[#This Row],[Pièces 
Demandés]]="","",registreGarantie[[#This Row],[Date]])</f>
        <v>45635.587511574071</v>
      </c>
      <c r="W328" s="103">
        <f>IF(registreGarantie[[#This Row],[Pièces 
Demandés]]="","",IF(registreGarantie[[#This Row],[date paiement]]="","",registreGarantie[[#This Row],[date paiement]]+91))</f>
        <v>45735</v>
      </c>
      <c r="X3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28" s="74">
        <f ca="1">IF(registreGarantie[[#This Row],[Colonne1]]=0,"",IF(TODAY()&gt;registreGarantie[[#This Row],[Date rebus]],0,1))</f>
        <v>0</v>
      </c>
      <c r="Z328" s="66" t="s">
        <v>1911</v>
      </c>
      <c r="AA328" s="73">
        <f>IF(AND(registreGarantie[[#This Row],[Montant non remboursé]]&gt;1,registreGarantie[[#This Row],[Montant non remboursé]]&lt;&gt;""),1,"")</f>
        <v>1</v>
      </c>
      <c r="AB328" s="66"/>
      <c r="AC328" s="66"/>
      <c r="AD328" s="87">
        <f t="shared" si="5"/>
        <v>328</v>
      </c>
      <c r="AE328" s="109"/>
    </row>
    <row r="329" spans="1:31" ht="18" customHeight="1" thickBot="1" x14ac:dyDescent="0.4">
      <c r="A329" s="64">
        <v>45014</v>
      </c>
      <c r="B329" s="64">
        <v>43655</v>
      </c>
      <c r="C329" s="106">
        <v>45622</v>
      </c>
      <c r="D329" s="66" t="s">
        <v>74</v>
      </c>
      <c r="E329" s="66" t="s">
        <v>367</v>
      </c>
      <c r="F329" s="68" t="s">
        <v>2253</v>
      </c>
      <c r="G329" s="66" t="s">
        <v>1088</v>
      </c>
      <c r="H329" s="64">
        <v>465</v>
      </c>
      <c r="I329" s="67" t="s">
        <v>3</v>
      </c>
      <c r="J329" s="97">
        <v>404477304</v>
      </c>
      <c r="K329" s="66"/>
      <c r="L329" s="68"/>
      <c r="M329" s="69"/>
      <c r="N329" s="69"/>
      <c r="O329" s="70">
        <f>IF(registreGarantie[[#This Row],[date paiement]]="","",registreGarantie[[#This Row],[Pièces 
Demandés]]-registreGarantie[[#This Row],[Pièces 
Remboursés]])</f>
        <v>0</v>
      </c>
      <c r="P329" s="66">
        <v>153.75</v>
      </c>
      <c r="Q329" s="69">
        <v>61.5</v>
      </c>
      <c r="R329" s="70">
        <f>IF(registreGarantie[[#This Row],[date paiement]]="","",registreGarantie[[#This Row],[MO
Demandé]]-registreGarantie[[#This Row],[MO
Remboursé]])</f>
        <v>92.25</v>
      </c>
      <c r="S329" s="69"/>
      <c r="T329" s="70">
        <f>IF(registreGarantie[[#This Row],[date paiement]]="","",registreGarantie[[#This Row],[MO
Refusé]]+registreGarantie[[#This Row],[Pièces
Refusés]])</f>
        <v>92.25</v>
      </c>
      <c r="U329" s="106">
        <v>45644</v>
      </c>
      <c r="V329" s="71" t="str">
        <f>IF(registreGarantie[[#This Row],[Pièces 
Demandés]]="","",registreGarantie[[#This Row],[Date]])</f>
        <v/>
      </c>
      <c r="W329" s="103" t="str">
        <f>IF(registreGarantie[[#This Row],[Pièces 
Demandés]]="","",IF(registreGarantie[[#This Row],[date paiement]]="","",registreGarantie[[#This Row],[date paiement]]+91))</f>
        <v/>
      </c>
      <c r="X3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29" s="74" t="str">
        <f ca="1">IF(registreGarantie[[#This Row],[Colonne1]]=0,"",IF(TODAY()&gt;registreGarantie[[#This Row],[Date rebus]],0,1))</f>
        <v/>
      </c>
      <c r="Z329" s="66" t="s">
        <v>1912</v>
      </c>
      <c r="AA329" s="73">
        <f>IF(AND(registreGarantie[[#This Row],[Montant non remboursé]]&gt;1,registreGarantie[[#This Row],[Montant non remboursé]]&lt;&gt;""),1,"")</f>
        <v>1</v>
      </c>
      <c r="AB329" s="66"/>
      <c r="AC329" s="66"/>
      <c r="AD329" s="87">
        <f t="shared" si="5"/>
        <v>329</v>
      </c>
      <c r="AE329" s="109"/>
    </row>
    <row r="330" spans="1:31" ht="18" customHeight="1" thickBot="1" x14ac:dyDescent="0.4">
      <c r="A330" s="64">
        <v>45015</v>
      </c>
      <c r="B330" s="64">
        <v>43391</v>
      </c>
      <c r="C330" s="106">
        <v>45624</v>
      </c>
      <c r="D330" s="66" t="s">
        <v>239</v>
      </c>
      <c r="E330" s="66" t="s">
        <v>1203</v>
      </c>
      <c r="F330" s="68" t="s">
        <v>2341</v>
      </c>
      <c r="G330" s="66" t="s">
        <v>931</v>
      </c>
      <c r="H330" s="64">
        <v>1520</v>
      </c>
      <c r="I330" s="67" t="s">
        <v>15</v>
      </c>
      <c r="J330" s="97">
        <v>404481314</v>
      </c>
      <c r="K330" s="66"/>
      <c r="L330" s="68"/>
      <c r="M330" s="69">
        <v>226.24</v>
      </c>
      <c r="N330" s="69">
        <v>226.24</v>
      </c>
      <c r="O330" s="70">
        <f>IF(registreGarantie[[#This Row],[date paiement]]="","",registreGarantie[[#This Row],[Pièces 
Demandés]]-registreGarantie[[#This Row],[Pièces 
Remboursés]])</f>
        <v>0</v>
      </c>
      <c r="P330" s="69">
        <v>738</v>
      </c>
      <c r="Q330" s="69">
        <v>615</v>
      </c>
      <c r="R330" s="70">
        <f>IF(registreGarantie[[#This Row],[date paiement]]="","",registreGarantie[[#This Row],[MO
Demandé]]-registreGarantie[[#This Row],[MO
Remboursé]])</f>
        <v>123</v>
      </c>
      <c r="S330" s="69"/>
      <c r="T330" s="70">
        <f>IF(registreGarantie[[#This Row],[date paiement]]="","",registreGarantie[[#This Row],[MO
Refusé]]+registreGarantie[[#This Row],[Pièces
Refusés]])</f>
        <v>123</v>
      </c>
      <c r="U330" s="106">
        <v>45736</v>
      </c>
      <c r="V330" s="71">
        <f>IF(registreGarantie[[#This Row],[Pièces 
Demandés]]="","",registreGarantie[[#This Row],[Date]])</f>
        <v>45624</v>
      </c>
      <c r="W330" s="103">
        <f>IF(registreGarantie[[#This Row],[Pièces 
Demandés]]="","",IF(registreGarantie[[#This Row],[date paiement]]="","",registreGarantie[[#This Row],[date paiement]]+91))</f>
        <v>45827</v>
      </c>
      <c r="X3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0" s="74">
        <f ca="1">IF(registreGarantie[[#This Row],[Colonne1]]=0,"",IF(TODAY()&gt;registreGarantie[[#This Row],[Date rebus]],0,1))</f>
        <v>0</v>
      </c>
      <c r="Z330" s="66"/>
      <c r="AA330" s="73">
        <f>IF(AND(registreGarantie[[#This Row],[Montant non remboursé]]&gt;1,registreGarantie[[#This Row],[Montant non remboursé]]&lt;&gt;""),1,"")</f>
        <v>1</v>
      </c>
      <c r="AB330" s="66"/>
      <c r="AC330" s="66"/>
      <c r="AD330" s="87">
        <f t="shared" si="5"/>
        <v>330</v>
      </c>
      <c r="AE330" s="109"/>
    </row>
    <row r="331" spans="1:31" ht="18" customHeight="1" thickBot="1" x14ac:dyDescent="0.4">
      <c r="A331" s="64">
        <v>45016</v>
      </c>
      <c r="B331" s="64">
        <v>43650</v>
      </c>
      <c r="C331" s="106">
        <v>45624</v>
      </c>
      <c r="D331" s="66" t="s">
        <v>1097</v>
      </c>
      <c r="E331" s="66" t="s">
        <v>533</v>
      </c>
      <c r="F331" s="68" t="s">
        <v>2313</v>
      </c>
      <c r="G331" s="66" t="s">
        <v>1062</v>
      </c>
      <c r="H331" s="64">
        <v>869</v>
      </c>
      <c r="I331" s="67" t="s">
        <v>2</v>
      </c>
      <c r="J331" s="97">
        <v>404482088</v>
      </c>
      <c r="K331" s="66"/>
      <c r="L331" s="68"/>
      <c r="M331" s="69">
        <v>9.91</v>
      </c>
      <c r="N331" s="69">
        <v>9.91</v>
      </c>
      <c r="O331" s="70">
        <f>IF(registreGarantie[[#This Row],[date paiement]]="","",registreGarantie[[#This Row],[Pièces 
Demandés]]-registreGarantie[[#This Row],[Pièces 
Remboursés]])</f>
        <v>0</v>
      </c>
      <c r="P331" s="69">
        <v>522.75</v>
      </c>
      <c r="Q331" s="69">
        <v>522.75</v>
      </c>
      <c r="R331" s="70">
        <f>IF(registreGarantie[[#This Row],[date paiement]]="","",registreGarantie[[#This Row],[MO
Demandé]]-registreGarantie[[#This Row],[MO
Remboursé]])</f>
        <v>0</v>
      </c>
      <c r="S331" s="69"/>
      <c r="T331" s="70">
        <f>IF(registreGarantie[[#This Row],[date paiement]]="","",registreGarantie[[#This Row],[MO
Refusé]]+registreGarantie[[#This Row],[Pièces
Refusés]])</f>
        <v>0</v>
      </c>
      <c r="U331" s="106">
        <v>45644</v>
      </c>
      <c r="V331" s="71">
        <f>IF(registreGarantie[[#This Row],[Pièces 
Demandés]]="","",registreGarantie[[#This Row],[Date]])</f>
        <v>45624</v>
      </c>
      <c r="W331" s="103">
        <f>IF(registreGarantie[[#This Row],[Pièces 
Demandés]]="","",IF(registreGarantie[[#This Row],[date paiement]]="","",registreGarantie[[#This Row],[date paiement]]+91))</f>
        <v>45735</v>
      </c>
      <c r="X3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1" s="74">
        <f ca="1">IF(registreGarantie[[#This Row],[Colonne1]]=0,"",IF(TODAY()&gt;registreGarantie[[#This Row],[Date rebus]],0,1))</f>
        <v>0</v>
      </c>
      <c r="Z331" s="66"/>
      <c r="AA331" s="73" t="str">
        <f>IF(AND(registreGarantie[[#This Row],[Montant non remboursé]]&gt;1,registreGarantie[[#This Row],[Montant non remboursé]]&lt;&gt;""),1,"")</f>
        <v/>
      </c>
      <c r="AB331" s="66"/>
      <c r="AC331" s="66"/>
      <c r="AD331" s="87">
        <f t="shared" si="5"/>
        <v>331</v>
      </c>
      <c r="AE331" s="109"/>
    </row>
    <row r="332" spans="1:31" ht="18" customHeight="1" thickBot="1" x14ac:dyDescent="0.4">
      <c r="A332" s="64">
        <v>45017</v>
      </c>
      <c r="B332" s="64">
        <v>43679</v>
      </c>
      <c r="C332" s="106">
        <v>45625</v>
      </c>
      <c r="D332" s="66" t="s">
        <v>1097</v>
      </c>
      <c r="E332" s="66" t="s">
        <v>106</v>
      </c>
      <c r="F332" s="68" t="s">
        <v>2313</v>
      </c>
      <c r="G332" s="66" t="s">
        <v>1074</v>
      </c>
      <c r="H332" s="64">
        <v>869</v>
      </c>
      <c r="I332" s="67" t="s">
        <v>2</v>
      </c>
      <c r="J332" s="97">
        <v>404482465</v>
      </c>
      <c r="K332" s="66"/>
      <c r="L332" s="68"/>
      <c r="M332" s="69">
        <v>150.79</v>
      </c>
      <c r="N332" s="69">
        <v>150.79</v>
      </c>
      <c r="O332" s="70">
        <f>IF(registreGarantie[[#This Row],[date paiement]]="","",registreGarantie[[#This Row],[Pièces 
Demandés]]-registreGarantie[[#This Row],[Pièces 
Remboursés]])</f>
        <v>0</v>
      </c>
      <c r="P332" s="69">
        <v>123</v>
      </c>
      <c r="Q332" s="69">
        <v>123</v>
      </c>
      <c r="R332" s="70">
        <f>IF(registreGarantie[[#This Row],[date paiement]]="","",registreGarantie[[#This Row],[MO
Demandé]]-registreGarantie[[#This Row],[MO
Remboursé]])</f>
        <v>0</v>
      </c>
      <c r="S332" s="69"/>
      <c r="T332" s="70">
        <f>IF(registreGarantie[[#This Row],[date paiement]]="","",registreGarantie[[#This Row],[MO
Refusé]]+registreGarantie[[#This Row],[Pièces
Refusés]])</f>
        <v>0</v>
      </c>
      <c r="U332" s="106">
        <v>45644</v>
      </c>
      <c r="V332" s="71">
        <f>IF(registreGarantie[[#This Row],[Pièces 
Demandés]]="","",registreGarantie[[#This Row],[Date]])</f>
        <v>45625</v>
      </c>
      <c r="W332" s="103">
        <f>IF(registreGarantie[[#This Row],[Pièces 
Demandés]]="","",IF(registreGarantie[[#This Row],[date paiement]]="","",registreGarantie[[#This Row],[date paiement]]+91))</f>
        <v>45735</v>
      </c>
      <c r="X3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2" s="74">
        <f ca="1">IF(registreGarantie[[#This Row],[Colonne1]]=0,"",IF(TODAY()&gt;registreGarantie[[#This Row],[Date rebus]],0,1))</f>
        <v>0</v>
      </c>
      <c r="Z332" s="66"/>
      <c r="AA332" s="73" t="str">
        <f>IF(AND(registreGarantie[[#This Row],[Montant non remboursé]]&gt;1,registreGarantie[[#This Row],[Montant non remboursé]]&lt;&gt;""),1,"")</f>
        <v/>
      </c>
      <c r="AB332" s="66"/>
      <c r="AC332" s="66"/>
      <c r="AD332" s="87">
        <f t="shared" si="5"/>
        <v>332</v>
      </c>
      <c r="AE332" s="109"/>
    </row>
    <row r="333" spans="1:31" ht="18" customHeight="1" thickBot="1" x14ac:dyDescent="0.4">
      <c r="A333" s="64">
        <v>45018</v>
      </c>
      <c r="B333" s="64">
        <v>6028</v>
      </c>
      <c r="C333" s="106">
        <v>45628</v>
      </c>
      <c r="D333" s="66" t="s">
        <v>74</v>
      </c>
      <c r="E333" s="66" t="s">
        <v>367</v>
      </c>
      <c r="F333" s="68" t="s">
        <v>2253</v>
      </c>
      <c r="G333" s="66" t="s">
        <v>1088</v>
      </c>
      <c r="H333" s="64">
        <v>540</v>
      </c>
      <c r="I333" s="67" t="s">
        <v>20</v>
      </c>
      <c r="J333" s="97">
        <v>404484339</v>
      </c>
      <c r="K333" s="66"/>
      <c r="L333" s="68"/>
      <c r="M333" s="69"/>
      <c r="N333" s="69"/>
      <c r="O333" s="70" t="str">
        <f>IF(registreGarantie[[#This Row],[date paiement]]="","",registreGarantie[[#This Row],[Pièces 
Demandés]]-registreGarantie[[#This Row],[Pièces 
Remboursés]])</f>
        <v/>
      </c>
      <c r="P333" s="69"/>
      <c r="Q333" s="69"/>
      <c r="R333" s="70" t="str">
        <f>IF(registreGarantie[[#This Row],[date paiement]]="","",registreGarantie[[#This Row],[MO
Demandé]]-registreGarantie[[#This Row],[MO
Remboursé]])</f>
        <v/>
      </c>
      <c r="S333" s="69"/>
      <c r="T333" s="70" t="str">
        <f>IF(registreGarantie[[#This Row],[date paiement]]="","",registreGarantie[[#This Row],[MO
Refusé]]+registreGarantie[[#This Row],[Pièces
Refusés]])</f>
        <v/>
      </c>
      <c r="U333" s="106"/>
      <c r="V333" s="71" t="str">
        <f>IF(registreGarantie[[#This Row],[Pièces 
Demandés]]="","",registreGarantie[[#This Row],[Date]])</f>
        <v/>
      </c>
      <c r="W333" s="103" t="str">
        <f>IF(registreGarantie[[#This Row],[Pièces 
Demandés]]="","",IF(registreGarantie[[#This Row],[date paiement]]="","",registreGarantie[[#This Row],[date paiement]]+91))</f>
        <v/>
      </c>
      <c r="X3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33" s="74" t="str">
        <f ca="1">IF(registreGarantie[[#This Row],[Colonne1]]=0,"",IF(TODAY()&gt;registreGarantie[[#This Row],[Date rebus]],0,1))</f>
        <v/>
      </c>
      <c r="Z333" s="66"/>
      <c r="AA333" s="73" t="str">
        <f>IF(AND(registreGarantie[[#This Row],[Montant non remboursé]]&gt;1,registreGarantie[[#This Row],[Montant non remboursé]]&lt;&gt;""),1,"")</f>
        <v/>
      </c>
      <c r="AB333" s="66"/>
      <c r="AC333" s="66"/>
      <c r="AD333" s="87">
        <f t="shared" si="5"/>
        <v>333</v>
      </c>
      <c r="AE333" s="109"/>
    </row>
    <row r="334" spans="1:31" ht="18" customHeight="1" thickBot="1" x14ac:dyDescent="0.4">
      <c r="A334" s="64">
        <v>45018</v>
      </c>
      <c r="B334" s="64">
        <v>6028</v>
      </c>
      <c r="C334" s="106">
        <v>45628</v>
      </c>
      <c r="D334" s="66" t="s">
        <v>74</v>
      </c>
      <c r="E334" s="66" t="s">
        <v>367</v>
      </c>
      <c r="F334" s="68" t="s">
        <v>2253</v>
      </c>
      <c r="G334" s="66" t="s">
        <v>1088</v>
      </c>
      <c r="H334" s="64">
        <v>540</v>
      </c>
      <c r="I334" s="67" t="s">
        <v>3</v>
      </c>
      <c r="J334" s="97">
        <v>404484339</v>
      </c>
      <c r="K334" s="66"/>
      <c r="L334" s="68" t="s">
        <v>1913</v>
      </c>
      <c r="M334" s="69">
        <v>977.3</v>
      </c>
      <c r="N334" s="69">
        <v>977.3</v>
      </c>
      <c r="O334" s="70">
        <f>IF(registreGarantie[[#This Row],[date paiement]]="","",registreGarantie[[#This Row],[Pièces 
Demandés]]-registreGarantie[[#This Row],[Pièces 
Remboursés]])</f>
        <v>0</v>
      </c>
      <c r="P334" s="69">
        <v>461.25</v>
      </c>
      <c r="Q334" s="69">
        <v>461.25</v>
      </c>
      <c r="R334" s="70">
        <f>IF(registreGarantie[[#This Row],[date paiement]]="","",registreGarantie[[#This Row],[MO
Demandé]]-registreGarantie[[#This Row],[MO
Remboursé]])</f>
        <v>0</v>
      </c>
      <c r="S334" s="69"/>
      <c r="T334" s="70">
        <f>IF(registreGarantie[[#This Row],[date paiement]]="","",registreGarantie[[#This Row],[MO
Refusé]]+registreGarantie[[#This Row],[Pièces
Refusés]])</f>
        <v>0</v>
      </c>
      <c r="U334" s="106">
        <v>45644</v>
      </c>
      <c r="V334" s="71">
        <f>IF(registreGarantie[[#This Row],[Pièces 
Demandés]]="","",registreGarantie[[#This Row],[Date]])</f>
        <v>45628</v>
      </c>
      <c r="W334" s="103">
        <f>IF(registreGarantie[[#This Row],[Pièces 
Demandés]]="","",IF(registreGarantie[[#This Row],[date paiement]]="","",registreGarantie[[#This Row],[date paiement]]+91))</f>
        <v>45735</v>
      </c>
      <c r="X3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4" s="74">
        <f ca="1">IF(registreGarantie[[#This Row],[Colonne1]]=0,"",IF(TODAY()&gt;registreGarantie[[#This Row],[Date rebus]],0,1))</f>
        <v>0</v>
      </c>
      <c r="Z334" s="66"/>
      <c r="AA334" s="73" t="str">
        <f>IF(AND(registreGarantie[[#This Row],[Montant non remboursé]]&gt;1,registreGarantie[[#This Row],[Montant non remboursé]]&lt;&gt;""),1,"")</f>
        <v/>
      </c>
      <c r="AB334" s="66"/>
      <c r="AC334" s="66"/>
      <c r="AD334" s="87">
        <f t="shared" si="5"/>
        <v>334</v>
      </c>
      <c r="AE334" s="109"/>
    </row>
    <row r="335" spans="1:31" ht="18" customHeight="1" thickBot="1" x14ac:dyDescent="0.4">
      <c r="A335" s="64">
        <v>45019</v>
      </c>
      <c r="B335" s="64">
        <v>6027</v>
      </c>
      <c r="C335" s="106">
        <v>45629</v>
      </c>
      <c r="D335" s="66" t="s">
        <v>205</v>
      </c>
      <c r="E335" s="66" t="s">
        <v>106</v>
      </c>
      <c r="F335" s="68" t="s">
        <v>2356</v>
      </c>
      <c r="G335" s="66" t="s">
        <v>1467</v>
      </c>
      <c r="H335" s="64">
        <v>716</v>
      </c>
      <c r="I335" s="67" t="s">
        <v>3</v>
      </c>
      <c r="J335" s="97">
        <v>404485773</v>
      </c>
      <c r="K335" s="66"/>
      <c r="L335" s="68"/>
      <c r="M335" s="69"/>
      <c r="N335" s="69"/>
      <c r="O335" s="70">
        <f>IF(registreGarantie[[#This Row],[date paiement]]="","",registreGarantie[[#This Row],[Pièces 
Demandés]]-registreGarantie[[#This Row],[Pièces 
Remboursés]])</f>
        <v>0</v>
      </c>
      <c r="P335" s="69">
        <v>215.25</v>
      </c>
      <c r="Q335" s="69">
        <v>215.25</v>
      </c>
      <c r="R335" s="70">
        <f>IF(registreGarantie[[#This Row],[date paiement]]="","",registreGarantie[[#This Row],[MO
Demandé]]-registreGarantie[[#This Row],[MO
Remboursé]])</f>
        <v>0</v>
      </c>
      <c r="S335" s="69">
        <v>150</v>
      </c>
      <c r="T335" s="70">
        <f>IF(registreGarantie[[#This Row],[date paiement]]="","",registreGarantie[[#This Row],[MO
Refusé]]+registreGarantie[[#This Row],[Pièces
Refusés]])</f>
        <v>0</v>
      </c>
      <c r="U335" s="106">
        <v>45644</v>
      </c>
      <c r="V335" s="71" t="str">
        <f>IF(registreGarantie[[#This Row],[Pièces 
Demandés]]="","",registreGarantie[[#This Row],[Date]])</f>
        <v/>
      </c>
      <c r="W335" s="103" t="str">
        <f>IF(registreGarantie[[#This Row],[Pièces 
Demandés]]="","",IF(registreGarantie[[#This Row],[date paiement]]="","",registreGarantie[[#This Row],[date paiement]]+91))</f>
        <v/>
      </c>
      <c r="X3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35" s="74" t="str">
        <f ca="1">IF(registreGarantie[[#This Row],[Colonne1]]=0,"",IF(TODAY()&gt;registreGarantie[[#This Row],[Date rebus]],0,1))</f>
        <v/>
      </c>
      <c r="Z335" s="66"/>
      <c r="AA335" s="73" t="str">
        <f>IF(AND(registreGarantie[[#This Row],[Montant non remboursé]]&gt;1,registreGarantie[[#This Row],[Montant non remboursé]]&lt;&gt;""),1,"")</f>
        <v/>
      </c>
      <c r="AB335" s="66"/>
      <c r="AC335" s="66"/>
      <c r="AD335" s="87">
        <f t="shared" si="5"/>
        <v>335</v>
      </c>
      <c r="AE335" s="109"/>
    </row>
    <row r="336" spans="1:31" ht="18" customHeight="1" thickBot="1" x14ac:dyDescent="0.4">
      <c r="A336" s="64">
        <v>45020</v>
      </c>
      <c r="B336" s="64">
        <v>5864</v>
      </c>
      <c r="C336" s="106">
        <v>45630</v>
      </c>
      <c r="D336" s="66" t="s">
        <v>1099</v>
      </c>
      <c r="E336" s="66" t="s">
        <v>272</v>
      </c>
      <c r="F336" s="68"/>
      <c r="G336" s="66" t="s">
        <v>1329</v>
      </c>
      <c r="H336" s="64" t="s">
        <v>1914</v>
      </c>
      <c r="I336" s="67" t="s">
        <v>1915</v>
      </c>
      <c r="J336" s="97">
        <v>6266</v>
      </c>
      <c r="K336" s="66"/>
      <c r="L336" s="68"/>
      <c r="M336" s="69">
        <v>633.35</v>
      </c>
      <c r="N336" s="69">
        <v>633.35</v>
      </c>
      <c r="O336" s="70">
        <f>IF(registreGarantie[[#This Row],[date paiement]]="","",registreGarantie[[#This Row],[Pièces 
Demandés]]-registreGarantie[[#This Row],[Pièces 
Remboursés]])</f>
        <v>0</v>
      </c>
      <c r="P336" s="69">
        <v>1320</v>
      </c>
      <c r="Q336" s="69">
        <v>1320</v>
      </c>
      <c r="R336" s="70">
        <f>IF(registreGarantie[[#This Row],[date paiement]]="","",registreGarantie[[#This Row],[MO
Demandé]]-registreGarantie[[#This Row],[MO
Remboursé]])</f>
        <v>0</v>
      </c>
      <c r="S336" s="69"/>
      <c r="T336" s="70">
        <f>IF(registreGarantie[[#This Row],[date paiement]]="","",registreGarantie[[#This Row],[MO
Refusé]]+registreGarantie[[#This Row],[Pièces
Refusés]])</f>
        <v>0</v>
      </c>
      <c r="U336" s="106">
        <v>45644</v>
      </c>
      <c r="V336" s="71">
        <f>IF(registreGarantie[[#This Row],[Pièces 
Demandés]]="","",registreGarantie[[#This Row],[Date]])</f>
        <v>45630</v>
      </c>
      <c r="W336" s="103">
        <f>IF(registreGarantie[[#This Row],[Pièces 
Demandés]]="","",IF(registreGarantie[[#This Row],[date paiement]]="","",registreGarantie[[#This Row],[date paiement]]+91))</f>
        <v>45735</v>
      </c>
      <c r="X3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36" s="74">
        <f ca="1">IF(registreGarantie[[#This Row],[Colonne1]]=0,"",IF(TODAY()&gt;registreGarantie[[#This Row],[Date rebus]],0,1))</f>
        <v>0</v>
      </c>
      <c r="Z336" s="66"/>
      <c r="AA336" s="73" t="str">
        <f>IF(AND(registreGarantie[[#This Row],[Montant non remboursé]]&gt;1,registreGarantie[[#This Row],[Montant non remboursé]]&lt;&gt;""),1,"")</f>
        <v/>
      </c>
      <c r="AB336" s="66"/>
      <c r="AC336" s="66"/>
      <c r="AD336" s="87">
        <f t="shared" si="5"/>
        <v>336</v>
      </c>
      <c r="AE336" s="109"/>
    </row>
    <row r="337" spans="1:31" ht="18" customHeight="1" thickBot="1" x14ac:dyDescent="0.4">
      <c r="A337" s="64">
        <v>45021</v>
      </c>
      <c r="B337" s="64">
        <v>43685</v>
      </c>
      <c r="C337" s="106">
        <v>45630</v>
      </c>
      <c r="D337" s="66" t="s">
        <v>239</v>
      </c>
      <c r="E337" s="66" t="s">
        <v>546</v>
      </c>
      <c r="F337" s="68">
        <v>78410241</v>
      </c>
      <c r="G337" s="66" t="s">
        <v>671</v>
      </c>
      <c r="H337" s="64">
        <v>914</v>
      </c>
      <c r="I337" s="67" t="s">
        <v>23</v>
      </c>
      <c r="J337" s="97">
        <v>404486761</v>
      </c>
      <c r="K337" s="66"/>
      <c r="L337" s="68"/>
      <c r="M337" s="69">
        <v>1301.8599999999999</v>
      </c>
      <c r="N337" s="69">
        <v>1648.98</v>
      </c>
      <c r="O337" s="70">
        <f>IF(registreGarantie[[#This Row],[date paiement]]="","",registreGarantie[[#This Row],[Pièces 
Demandés]]-registreGarantie[[#This Row],[Pièces 
Remboursés]])</f>
        <v>-347.12000000000012</v>
      </c>
      <c r="P337" s="69">
        <v>1020.9</v>
      </c>
      <c r="Q337" s="69">
        <v>1020.9</v>
      </c>
      <c r="R337" s="70">
        <f>IF(registreGarantie[[#This Row],[date paiement]]="","",registreGarantie[[#This Row],[MO
Demandé]]-registreGarantie[[#This Row],[MO
Remboursé]])</f>
        <v>0</v>
      </c>
      <c r="S337" s="69"/>
      <c r="T337" s="70">
        <f>IF(registreGarantie[[#This Row],[date paiement]]="","",registreGarantie[[#This Row],[MO
Refusé]]+registreGarantie[[#This Row],[Pièces
Refusés]])</f>
        <v>-347.12000000000012</v>
      </c>
      <c r="U337" s="106">
        <v>45644</v>
      </c>
      <c r="V337" s="71">
        <f>IF(registreGarantie[[#This Row],[Pièces 
Demandés]]="","",registreGarantie[[#This Row],[Date]])</f>
        <v>45630</v>
      </c>
      <c r="W337" s="103">
        <f>IF(registreGarantie[[#This Row],[Pièces 
Demandés]]="","",IF(registreGarantie[[#This Row],[date paiement]]="","",registreGarantie[[#This Row],[date paiement]]+91))</f>
        <v>45735</v>
      </c>
      <c r="X3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37" s="74" t="str">
        <f ca="1">IF(registreGarantie[[#This Row],[Colonne1]]=0,"",IF(TODAY()&gt;registreGarantie[[#This Row],[Date rebus]],0,1))</f>
        <v/>
      </c>
      <c r="Z337" s="66"/>
      <c r="AA337" s="73" t="str">
        <f>IF(AND(registreGarantie[[#This Row],[Montant non remboursé]]&gt;1,registreGarantie[[#This Row],[Montant non remboursé]]&lt;&gt;""),1,"")</f>
        <v/>
      </c>
      <c r="AB337" s="66"/>
      <c r="AC337" s="66"/>
      <c r="AD337" s="87">
        <f t="shared" si="5"/>
        <v>337</v>
      </c>
      <c r="AE337" s="109"/>
    </row>
    <row r="338" spans="1:31" ht="18" customHeight="1" thickBot="1" x14ac:dyDescent="0.4">
      <c r="A338" s="64">
        <v>45021</v>
      </c>
      <c r="B338" s="64">
        <v>43685</v>
      </c>
      <c r="C338" s="106">
        <v>45630</v>
      </c>
      <c r="D338" s="66" t="s">
        <v>239</v>
      </c>
      <c r="E338" s="66" t="s">
        <v>546</v>
      </c>
      <c r="F338" s="68">
        <v>78410241</v>
      </c>
      <c r="G338" s="66" t="s">
        <v>671</v>
      </c>
      <c r="H338" s="64">
        <v>914</v>
      </c>
      <c r="I338" s="67" t="s">
        <v>24</v>
      </c>
      <c r="J338" s="97">
        <v>404487413</v>
      </c>
      <c r="K338" s="66"/>
      <c r="L338" s="68"/>
      <c r="M338" s="69">
        <v>1569.83</v>
      </c>
      <c r="N338" s="69">
        <v>1648.98</v>
      </c>
      <c r="O338" s="70">
        <f>IF(registreGarantie[[#This Row],[date paiement]]="","",registreGarantie[[#This Row],[Pièces 
Demandés]]-registreGarantie[[#This Row],[Pièces 
Remboursés]])</f>
        <v>-79.150000000000091</v>
      </c>
      <c r="P338" s="69">
        <v>1076.25</v>
      </c>
      <c r="Q338" s="69">
        <v>1020.9</v>
      </c>
      <c r="R338" s="70">
        <f>IF(registreGarantie[[#This Row],[date paiement]]="","",registreGarantie[[#This Row],[MO
Demandé]]-registreGarantie[[#This Row],[MO
Remboursé]])</f>
        <v>55.350000000000023</v>
      </c>
      <c r="S338" s="69"/>
      <c r="T338" s="70">
        <f>IF(registreGarantie[[#This Row],[date paiement]]="","",registreGarantie[[#This Row],[MO
Refusé]]+registreGarantie[[#This Row],[Pièces
Refusés]])</f>
        <v>-23.800000000000068</v>
      </c>
      <c r="U338" s="106">
        <v>45644</v>
      </c>
      <c r="V338" s="71">
        <f>IF(registreGarantie[[#This Row],[Pièces 
Demandés]]="","",registreGarantie[[#This Row],[Date]])</f>
        <v>45630</v>
      </c>
      <c r="W338" s="103">
        <f>IF(registreGarantie[[#This Row],[Pièces 
Demandés]]="","",IF(registreGarantie[[#This Row],[date paiement]]="","",registreGarantie[[#This Row],[date paiement]]+91))</f>
        <v>45735</v>
      </c>
      <c r="X3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38" s="74" t="str">
        <f ca="1">IF(registreGarantie[[#This Row],[Colonne1]]=0,"",IF(TODAY()&gt;registreGarantie[[#This Row],[Date rebus]],0,1))</f>
        <v/>
      </c>
      <c r="Z338" s="66"/>
      <c r="AA338" s="73" t="str">
        <f>IF(AND(registreGarantie[[#This Row],[Montant non remboursé]]&gt;1,registreGarantie[[#This Row],[Montant non remboursé]]&lt;&gt;""),1,"")</f>
        <v/>
      </c>
      <c r="AB338" s="66"/>
      <c r="AC338" s="66"/>
      <c r="AD338" s="87">
        <f t="shared" si="5"/>
        <v>338</v>
      </c>
      <c r="AE338" s="109"/>
    </row>
    <row r="339" spans="1:31" ht="18" customHeight="1" thickBot="1" x14ac:dyDescent="0.4">
      <c r="A339" s="64">
        <v>45022</v>
      </c>
      <c r="B339" s="64">
        <v>43695</v>
      </c>
      <c r="C339" s="106">
        <v>45630</v>
      </c>
      <c r="D339" s="66" t="s">
        <v>1081</v>
      </c>
      <c r="E339" s="66" t="s">
        <v>254</v>
      </c>
      <c r="F339" s="68" t="s">
        <v>2310</v>
      </c>
      <c r="G339" s="66" t="s">
        <v>1012</v>
      </c>
      <c r="H339" s="64">
        <v>1850</v>
      </c>
      <c r="I339" s="67" t="s">
        <v>18</v>
      </c>
      <c r="J339" s="97">
        <v>404487554</v>
      </c>
      <c r="K339" s="66"/>
      <c r="L339" s="68"/>
      <c r="M339" s="69">
        <v>1173.56</v>
      </c>
      <c r="N339" s="69">
        <v>240.68</v>
      </c>
      <c r="O339" s="70" t="str">
        <f>IF(registreGarantie[[#This Row],[date paiement]]="","",registreGarantie[[#This Row],[Pièces 
Demandés]]-registreGarantie[[#This Row],[Pièces 
Remboursés]])</f>
        <v/>
      </c>
      <c r="P339" s="69">
        <v>276.75</v>
      </c>
      <c r="Q339" s="69">
        <v>276.75</v>
      </c>
      <c r="R339" s="70" t="str">
        <f>IF(registreGarantie[[#This Row],[date paiement]]="","",registreGarantie[[#This Row],[MO
Demandé]]-registreGarantie[[#This Row],[MO
Remboursé]])</f>
        <v/>
      </c>
      <c r="S339" s="69"/>
      <c r="T339" s="70" t="str">
        <f>IF(registreGarantie[[#This Row],[date paiement]]="","",registreGarantie[[#This Row],[MO
Refusé]]+registreGarantie[[#This Row],[Pièces
Refusés]])</f>
        <v/>
      </c>
      <c r="U339" s="106"/>
      <c r="V339" s="71">
        <f>IF(registreGarantie[[#This Row],[Pièces 
Demandés]]="","",registreGarantie[[#This Row],[Date]])</f>
        <v>45630</v>
      </c>
      <c r="W339" s="103" t="str">
        <f>IF(registreGarantie[[#This Row],[Pièces 
Demandés]]="","",IF(registreGarantie[[#This Row],[date paiement]]="","",registreGarantie[[#This Row],[date paiement]]+91))</f>
        <v/>
      </c>
      <c r="X3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39" s="74" t="str">
        <f ca="1">IF(registreGarantie[[#This Row],[Colonne1]]=0,"",IF(TODAY()&gt;registreGarantie[[#This Row],[Date rebus]],0,1))</f>
        <v/>
      </c>
      <c r="Z339" s="66"/>
      <c r="AA339" s="73" t="str">
        <f>IF(AND(registreGarantie[[#This Row],[Montant non remboursé]]&gt;1,registreGarantie[[#This Row],[Montant non remboursé]]&lt;&gt;""),1,"")</f>
        <v/>
      </c>
      <c r="AB339" s="66"/>
      <c r="AC339" s="66"/>
      <c r="AD339" s="87">
        <f t="shared" si="5"/>
        <v>339</v>
      </c>
      <c r="AE339" s="109"/>
    </row>
    <row r="340" spans="1:31" ht="18" customHeight="1" thickBot="1" x14ac:dyDescent="0.4">
      <c r="A340" s="64">
        <v>45023</v>
      </c>
      <c r="B340" s="64">
        <v>43708</v>
      </c>
      <c r="C340" s="106">
        <v>45631</v>
      </c>
      <c r="D340" s="66" t="s">
        <v>446</v>
      </c>
      <c r="E340" s="66" t="s">
        <v>75</v>
      </c>
      <c r="F340" s="68" t="s">
        <v>2324</v>
      </c>
      <c r="G340" s="66" t="s">
        <v>784</v>
      </c>
      <c r="H340" s="64">
        <v>510</v>
      </c>
      <c r="I340" s="67" t="s">
        <v>23</v>
      </c>
      <c r="J340" s="97">
        <v>404488302</v>
      </c>
      <c r="K340" s="66"/>
      <c r="L340" s="68"/>
      <c r="M340" s="69">
        <v>305.69</v>
      </c>
      <c r="N340" s="69">
        <v>455.69</v>
      </c>
      <c r="O340" s="70">
        <f>IF(registreGarantie[[#This Row],[date paiement]]="","",registreGarantie[[#This Row],[Pièces 
Demandés]]-registreGarantie[[#This Row],[Pièces 
Remboursés]])</f>
        <v>-150</v>
      </c>
      <c r="P340" s="69">
        <v>322.88</v>
      </c>
      <c r="Q340" s="69">
        <v>322.88</v>
      </c>
      <c r="R340" s="70">
        <f>IF(registreGarantie[[#This Row],[date paiement]]="","",registreGarantie[[#This Row],[MO
Demandé]]-registreGarantie[[#This Row],[MO
Remboursé]])</f>
        <v>0</v>
      </c>
      <c r="S340" s="69"/>
      <c r="T340" s="70">
        <f>IF(registreGarantie[[#This Row],[date paiement]]="","",registreGarantie[[#This Row],[MO
Refusé]]+registreGarantie[[#This Row],[Pièces
Refusés]])</f>
        <v>-150</v>
      </c>
      <c r="U340" s="106">
        <v>45644</v>
      </c>
      <c r="V340" s="71">
        <f>IF(registreGarantie[[#This Row],[Pièces 
Demandés]]="","",registreGarantie[[#This Row],[Date]])</f>
        <v>45631</v>
      </c>
      <c r="W340" s="103">
        <f>IF(registreGarantie[[#This Row],[Pièces 
Demandés]]="","",IF(registreGarantie[[#This Row],[date paiement]]="","",registreGarantie[[#This Row],[date paiement]]+91))</f>
        <v>45735</v>
      </c>
      <c r="X3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0" s="74" t="str">
        <f ca="1">IF(registreGarantie[[#This Row],[Colonne1]]=0,"",IF(TODAY()&gt;registreGarantie[[#This Row],[Date rebus]],0,1))</f>
        <v/>
      </c>
      <c r="Z340" s="66"/>
      <c r="AA340" s="73" t="str">
        <f>IF(AND(registreGarantie[[#This Row],[Montant non remboursé]]&gt;1,registreGarantie[[#This Row],[Montant non remboursé]]&lt;&gt;""),1,"")</f>
        <v/>
      </c>
      <c r="AB340" s="66"/>
      <c r="AC340" s="66"/>
      <c r="AD340" s="87">
        <f t="shared" si="5"/>
        <v>340</v>
      </c>
      <c r="AE340" s="109"/>
    </row>
    <row r="341" spans="1:31" ht="18" customHeight="1" thickBot="1" x14ac:dyDescent="0.4">
      <c r="A341" s="64">
        <v>45023</v>
      </c>
      <c r="B341" s="64">
        <v>43708</v>
      </c>
      <c r="C341" s="106">
        <v>45631</v>
      </c>
      <c r="D341" s="66" t="s">
        <v>446</v>
      </c>
      <c r="E341" s="66" t="s">
        <v>75</v>
      </c>
      <c r="F341" s="68" t="s">
        <v>2324</v>
      </c>
      <c r="G341" s="66" t="s">
        <v>784</v>
      </c>
      <c r="H341" s="64">
        <v>510</v>
      </c>
      <c r="I341" s="67" t="s">
        <v>24</v>
      </c>
      <c r="J341" s="97">
        <v>404488255</v>
      </c>
      <c r="K341" s="66"/>
      <c r="L341" s="68"/>
      <c r="M341" s="69">
        <v>305.69</v>
      </c>
      <c r="N341" s="69">
        <v>455.69</v>
      </c>
      <c r="O341" s="70">
        <f>IF(registreGarantie[[#This Row],[date paiement]]="","",registreGarantie[[#This Row],[Pièces 
Demandés]]-registreGarantie[[#This Row],[Pièces 
Remboursés]])</f>
        <v>-150</v>
      </c>
      <c r="P341" s="69">
        <v>338.25</v>
      </c>
      <c r="Q341" s="69">
        <v>322.88</v>
      </c>
      <c r="R341" s="70">
        <f>IF(registreGarantie[[#This Row],[date paiement]]="","",registreGarantie[[#This Row],[MO
Demandé]]-registreGarantie[[#This Row],[MO
Remboursé]])</f>
        <v>15.370000000000005</v>
      </c>
      <c r="S341" s="69"/>
      <c r="T341" s="70">
        <f>IF(registreGarantie[[#This Row],[date paiement]]="","",registreGarantie[[#This Row],[MO
Refusé]]+registreGarantie[[#This Row],[Pièces
Refusés]])</f>
        <v>-134.63</v>
      </c>
      <c r="U341" s="106">
        <v>45644</v>
      </c>
      <c r="V341" s="71">
        <f>IF(registreGarantie[[#This Row],[Pièces 
Demandés]]="","",registreGarantie[[#This Row],[Date]])</f>
        <v>45631</v>
      </c>
      <c r="W341" s="103">
        <f>IF(registreGarantie[[#This Row],[Pièces 
Demandés]]="","",IF(registreGarantie[[#This Row],[date paiement]]="","",registreGarantie[[#This Row],[date paiement]]+91))</f>
        <v>45735</v>
      </c>
      <c r="X3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1" s="74" t="str">
        <f ca="1">IF(registreGarantie[[#This Row],[Colonne1]]=0,"",IF(TODAY()&gt;registreGarantie[[#This Row],[Date rebus]],0,1))</f>
        <v/>
      </c>
      <c r="Z341" s="66"/>
      <c r="AA341" s="73" t="str">
        <f>IF(AND(registreGarantie[[#This Row],[Montant non remboursé]]&gt;1,registreGarantie[[#This Row],[Montant non remboursé]]&lt;&gt;""),1,"")</f>
        <v/>
      </c>
      <c r="AB341" s="66"/>
      <c r="AC341" s="66"/>
      <c r="AD341" s="87">
        <f t="shared" si="5"/>
        <v>341</v>
      </c>
      <c r="AE341" s="109"/>
    </row>
    <row r="342" spans="1:31" ht="18" customHeight="1" thickBot="1" x14ac:dyDescent="0.4">
      <c r="A342" s="64">
        <v>45024</v>
      </c>
      <c r="B342" s="64">
        <v>43707</v>
      </c>
      <c r="C342" s="106">
        <v>45632</v>
      </c>
      <c r="D342" s="66" t="s">
        <v>446</v>
      </c>
      <c r="E342" s="66" t="s">
        <v>75</v>
      </c>
      <c r="F342" s="68" t="s">
        <v>2324</v>
      </c>
      <c r="G342" s="66" t="s">
        <v>1088</v>
      </c>
      <c r="H342" s="64">
        <v>510</v>
      </c>
      <c r="I342" s="67" t="s">
        <v>2</v>
      </c>
      <c r="J342" s="97">
        <v>404489783</v>
      </c>
      <c r="K342" s="66"/>
      <c r="L342" s="68"/>
      <c r="M342" s="69">
        <v>108.67</v>
      </c>
      <c r="N342" s="69">
        <v>108.67</v>
      </c>
      <c r="O342" s="70">
        <f>IF(registreGarantie[[#This Row],[date paiement]]="","",registreGarantie[[#This Row],[Pièces 
Demandés]]-registreGarantie[[#This Row],[Pièces 
Remboursés]])</f>
        <v>0</v>
      </c>
      <c r="P342" s="69">
        <v>61.5</v>
      </c>
      <c r="Q342" s="69">
        <v>61.5</v>
      </c>
      <c r="R342" s="70">
        <f>IF(registreGarantie[[#This Row],[date paiement]]="","",registreGarantie[[#This Row],[MO
Demandé]]-registreGarantie[[#This Row],[MO
Remboursé]])</f>
        <v>0</v>
      </c>
      <c r="S342" s="69"/>
      <c r="T342" s="70">
        <f>IF(registreGarantie[[#This Row],[date paiement]]="","",registreGarantie[[#This Row],[MO
Refusé]]+registreGarantie[[#This Row],[Pièces
Refusés]])</f>
        <v>0</v>
      </c>
      <c r="U342" s="106">
        <v>45644</v>
      </c>
      <c r="V342" s="71">
        <f>IF(registreGarantie[[#This Row],[Pièces 
Demandés]]="","",registreGarantie[[#This Row],[Date]])</f>
        <v>45632</v>
      </c>
      <c r="W342" s="103">
        <f>IF(registreGarantie[[#This Row],[Pièces 
Demandés]]="","",IF(registreGarantie[[#This Row],[date paiement]]="","",registreGarantie[[#This Row],[date paiement]]+91))</f>
        <v>45735</v>
      </c>
      <c r="X3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42" s="74">
        <f ca="1">IF(registreGarantie[[#This Row],[Colonne1]]=0,"",IF(TODAY()&gt;registreGarantie[[#This Row],[Date rebus]],0,1))</f>
        <v>0</v>
      </c>
      <c r="Z342" s="66"/>
      <c r="AA342" s="73" t="str">
        <f>IF(AND(registreGarantie[[#This Row],[Montant non remboursé]]&gt;1,registreGarantie[[#This Row],[Montant non remboursé]]&lt;&gt;""),1,"")</f>
        <v/>
      </c>
      <c r="AB342" s="66"/>
      <c r="AC342" s="66"/>
      <c r="AD342" s="87">
        <f t="shared" si="5"/>
        <v>342</v>
      </c>
      <c r="AE342" s="109"/>
    </row>
    <row r="343" spans="1:31" ht="18" customHeight="1" thickBot="1" x14ac:dyDescent="0.4">
      <c r="A343" s="64">
        <v>45025</v>
      </c>
      <c r="B343" s="64">
        <v>43710</v>
      </c>
      <c r="C343" s="106">
        <v>45632</v>
      </c>
      <c r="D343" s="66" t="s">
        <v>858</v>
      </c>
      <c r="E343" s="66" t="s">
        <v>45</v>
      </c>
      <c r="F343" s="68" t="s">
        <v>2278</v>
      </c>
      <c r="G343" s="66" t="s">
        <v>1088</v>
      </c>
      <c r="H343" s="64">
        <v>1012</v>
      </c>
      <c r="I343" s="67" t="s">
        <v>2</v>
      </c>
      <c r="J343" s="97">
        <v>404489877</v>
      </c>
      <c r="K343" s="66"/>
      <c r="L343" s="68"/>
      <c r="M343" s="69">
        <v>155.49</v>
      </c>
      <c r="N343" s="69">
        <v>155.49</v>
      </c>
      <c r="O343" s="70">
        <f>IF(registreGarantie[[#This Row],[date paiement]]="","",registreGarantie[[#This Row],[Pièces 
Demandés]]-registreGarantie[[#This Row],[Pièces 
Remboursés]])</f>
        <v>0</v>
      </c>
      <c r="P343" s="69">
        <v>61.5</v>
      </c>
      <c r="Q343" s="69">
        <v>61.5</v>
      </c>
      <c r="R343" s="70">
        <f>IF(registreGarantie[[#This Row],[date paiement]]="","",registreGarantie[[#This Row],[MO
Demandé]]-registreGarantie[[#This Row],[MO
Remboursé]])</f>
        <v>0</v>
      </c>
      <c r="S343" s="69"/>
      <c r="T343" s="70">
        <f>IF(registreGarantie[[#This Row],[date paiement]]="","",registreGarantie[[#This Row],[MO
Refusé]]+registreGarantie[[#This Row],[Pièces
Refusés]])</f>
        <v>0</v>
      </c>
      <c r="U343" s="106">
        <v>45644</v>
      </c>
      <c r="V343" s="71">
        <f>IF(registreGarantie[[#This Row],[Pièces 
Demandés]]="","",registreGarantie[[#This Row],[Date]])</f>
        <v>45632</v>
      </c>
      <c r="W343" s="103">
        <f>IF(registreGarantie[[#This Row],[Pièces 
Demandés]]="","",IF(registreGarantie[[#This Row],[date paiement]]="","",registreGarantie[[#This Row],[date paiement]]+91))</f>
        <v>45735</v>
      </c>
      <c r="X3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43" s="74">
        <f ca="1">IF(registreGarantie[[#This Row],[Colonne1]]=0,"",IF(TODAY()&gt;registreGarantie[[#This Row],[Date rebus]],0,1))</f>
        <v>0</v>
      </c>
      <c r="Z343" s="66"/>
      <c r="AA343" s="73" t="str">
        <f>IF(AND(registreGarantie[[#This Row],[Montant non remboursé]]&gt;1,registreGarantie[[#This Row],[Montant non remboursé]]&lt;&gt;""),1,"")</f>
        <v/>
      </c>
      <c r="AB343" s="66"/>
      <c r="AC343" s="66"/>
      <c r="AD343" s="87">
        <f t="shared" si="5"/>
        <v>343</v>
      </c>
      <c r="AE343" s="109"/>
    </row>
    <row r="344" spans="1:31" ht="18" customHeight="1" thickBot="1" x14ac:dyDescent="0.4">
      <c r="A344" s="64">
        <v>45026</v>
      </c>
      <c r="B344" s="64">
        <v>43746</v>
      </c>
      <c r="C344" s="106">
        <v>45635</v>
      </c>
      <c r="D344" s="66" t="s">
        <v>1099</v>
      </c>
      <c r="E344" s="66" t="s">
        <v>272</v>
      </c>
      <c r="F344" s="68"/>
      <c r="G344" s="66" t="s">
        <v>1100</v>
      </c>
      <c r="H344" s="64">
        <v>608</v>
      </c>
      <c r="I344" s="67" t="s">
        <v>1915</v>
      </c>
      <c r="J344" s="97">
        <v>2025140</v>
      </c>
      <c r="K344" s="66"/>
      <c r="L344" s="68"/>
      <c r="M344" s="69">
        <v>77.38</v>
      </c>
      <c r="N344" s="69">
        <v>77.38</v>
      </c>
      <c r="O344" s="70">
        <f>IF(registreGarantie[[#This Row],[date paiement]]="","",registreGarantie[[#This Row],[Pièces 
Demandés]]-registreGarantie[[#This Row],[Pièces 
Remboursés]])</f>
        <v>0</v>
      </c>
      <c r="P344" s="69"/>
      <c r="Q344" s="69"/>
      <c r="R344" s="70">
        <f>IF(registreGarantie[[#This Row],[date paiement]]="","",registreGarantie[[#This Row],[MO
Demandé]]-registreGarantie[[#This Row],[MO
Remboursé]])</f>
        <v>0</v>
      </c>
      <c r="S344" s="69"/>
      <c r="T344" s="70">
        <f>IF(registreGarantie[[#This Row],[date paiement]]="","",registreGarantie[[#This Row],[MO
Refusé]]+registreGarantie[[#This Row],[Pièces
Refusés]])</f>
        <v>0</v>
      </c>
      <c r="U344" s="106">
        <v>45902</v>
      </c>
      <c r="V344" s="71">
        <f>IF(registreGarantie[[#This Row],[Pièces 
Demandés]]="","",registreGarantie[[#This Row],[Date]])</f>
        <v>45635</v>
      </c>
      <c r="W344" s="103">
        <f>IF(registreGarantie[[#This Row],[Pièces 
Demandés]]="","",IF(registreGarantie[[#This Row],[date paiement]]="","",registreGarantie[[#This Row],[date paiement]]+91))</f>
        <v>45993</v>
      </c>
      <c r="X3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44" s="74">
        <f ca="1">IF(registreGarantie[[#This Row],[Colonne1]]=0,"",IF(TODAY()&gt;registreGarantie[[#This Row],[Date rebus]],0,1))</f>
        <v>1</v>
      </c>
      <c r="Z344" s="66"/>
      <c r="AA344" s="73" t="str">
        <f>IF(AND(registreGarantie[[#This Row],[Montant non remboursé]]&gt;1,registreGarantie[[#This Row],[Montant non remboursé]]&lt;&gt;""),1,"")</f>
        <v/>
      </c>
      <c r="AB344" s="66"/>
      <c r="AC344" s="66"/>
      <c r="AD344" s="87">
        <f t="shared" si="5"/>
        <v>344</v>
      </c>
      <c r="AE344" s="109"/>
    </row>
    <row r="345" spans="1:31" ht="18" customHeight="1" thickBot="1" x14ac:dyDescent="0.4">
      <c r="A345" s="64">
        <v>45027</v>
      </c>
      <c r="B345" s="64">
        <v>6030</v>
      </c>
      <c r="C345" s="106">
        <v>45635</v>
      </c>
      <c r="D345" s="66" t="s">
        <v>74</v>
      </c>
      <c r="E345" s="66" t="s">
        <v>367</v>
      </c>
      <c r="F345" s="68" t="s">
        <v>2253</v>
      </c>
      <c r="G345" s="66" t="s">
        <v>784</v>
      </c>
      <c r="H345" s="64">
        <v>540</v>
      </c>
      <c r="I345" s="67" t="s">
        <v>18</v>
      </c>
      <c r="J345" s="97">
        <v>404493357</v>
      </c>
      <c r="K345" s="66"/>
      <c r="L345" s="68"/>
      <c r="M345" s="69">
        <v>419.94</v>
      </c>
      <c r="N345" s="69"/>
      <c r="O345" s="70" t="str">
        <f>IF(registreGarantie[[#This Row],[date paiement]]="","",registreGarantie[[#This Row],[Pièces 
Demandés]]-registreGarantie[[#This Row],[Pièces 
Remboursés]])</f>
        <v/>
      </c>
      <c r="P345" s="69">
        <v>338.25</v>
      </c>
      <c r="Q345" s="69"/>
      <c r="R345" s="70" t="str">
        <f>IF(registreGarantie[[#This Row],[date paiement]]="","",registreGarantie[[#This Row],[MO
Demandé]]-registreGarantie[[#This Row],[MO
Remboursé]])</f>
        <v/>
      </c>
      <c r="S345" s="69"/>
      <c r="T345" s="70" t="str">
        <f>IF(registreGarantie[[#This Row],[date paiement]]="","",registreGarantie[[#This Row],[MO
Refusé]]+registreGarantie[[#This Row],[Pièces
Refusés]])</f>
        <v/>
      </c>
      <c r="U345" s="106"/>
      <c r="V345" s="71">
        <f>IF(registreGarantie[[#This Row],[Pièces 
Demandés]]="","",registreGarantie[[#This Row],[Date]])</f>
        <v>45635</v>
      </c>
      <c r="W345" s="103" t="str">
        <f>IF(registreGarantie[[#This Row],[Pièces 
Demandés]]="","",IF(registreGarantie[[#This Row],[date paiement]]="","",registreGarantie[[#This Row],[date paiement]]+91))</f>
        <v/>
      </c>
      <c r="X3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5" s="74" t="str">
        <f ca="1">IF(registreGarantie[[#This Row],[Colonne1]]=0,"",IF(TODAY()&gt;registreGarantie[[#This Row],[Date rebus]],0,1))</f>
        <v/>
      </c>
      <c r="Z345" s="66"/>
      <c r="AA345" s="73" t="str">
        <f>IF(AND(registreGarantie[[#This Row],[Montant non remboursé]]&gt;1,registreGarantie[[#This Row],[Montant non remboursé]]&lt;&gt;""),1,"")</f>
        <v/>
      </c>
      <c r="AB345" s="66"/>
      <c r="AC345" s="66"/>
      <c r="AD345" s="87">
        <f t="shared" si="5"/>
        <v>345</v>
      </c>
      <c r="AE345" s="109"/>
    </row>
    <row r="346" spans="1:31" ht="18" customHeight="1" thickBot="1" x14ac:dyDescent="0.4">
      <c r="A346" s="64">
        <v>45027</v>
      </c>
      <c r="B346" s="64">
        <v>6030</v>
      </c>
      <c r="C346" s="106">
        <v>45635</v>
      </c>
      <c r="D346" s="66" t="s">
        <v>74</v>
      </c>
      <c r="E346" s="66" t="s">
        <v>367</v>
      </c>
      <c r="F346" s="68" t="s">
        <v>2253</v>
      </c>
      <c r="G346" s="66" t="s">
        <v>784</v>
      </c>
      <c r="H346" s="64">
        <v>540</v>
      </c>
      <c r="I346" s="67" t="s">
        <v>19</v>
      </c>
      <c r="J346" s="97">
        <v>404493358</v>
      </c>
      <c r="K346" s="66"/>
      <c r="L346" s="68"/>
      <c r="M346" s="69">
        <v>206.13</v>
      </c>
      <c r="N346" s="69"/>
      <c r="O346" s="70" t="str">
        <f>IF(registreGarantie[[#This Row],[date paiement]]="","",registreGarantie[[#This Row],[Pièces 
Demandés]]-registreGarantie[[#This Row],[Pièces 
Remboursés]])</f>
        <v/>
      </c>
      <c r="P346" s="69">
        <v>338.25</v>
      </c>
      <c r="Q346" s="69"/>
      <c r="R346" s="70" t="str">
        <f>IF(registreGarantie[[#This Row],[date paiement]]="","",registreGarantie[[#This Row],[MO
Demandé]]-registreGarantie[[#This Row],[MO
Remboursé]])</f>
        <v/>
      </c>
      <c r="S346" s="69"/>
      <c r="T346" s="70" t="str">
        <f>IF(registreGarantie[[#This Row],[date paiement]]="","",registreGarantie[[#This Row],[MO
Refusé]]+registreGarantie[[#This Row],[Pièces
Refusés]])</f>
        <v/>
      </c>
      <c r="U346" s="106"/>
      <c r="V346" s="71">
        <f>IF(registreGarantie[[#This Row],[Pièces 
Demandés]]="","",registreGarantie[[#This Row],[Date]])</f>
        <v>45635</v>
      </c>
      <c r="W346" s="103" t="str">
        <f>IF(registreGarantie[[#This Row],[Pièces 
Demandés]]="","",IF(registreGarantie[[#This Row],[date paiement]]="","",registreGarantie[[#This Row],[date paiement]]+91))</f>
        <v/>
      </c>
      <c r="X3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6" s="74" t="str">
        <f ca="1">IF(registreGarantie[[#This Row],[Colonne1]]=0,"",IF(TODAY()&gt;registreGarantie[[#This Row],[Date rebus]],0,1))</f>
        <v/>
      </c>
      <c r="Z346" s="66"/>
      <c r="AA346" s="73" t="str">
        <f>IF(AND(registreGarantie[[#This Row],[Montant non remboursé]]&gt;1,registreGarantie[[#This Row],[Montant non remboursé]]&lt;&gt;""),1,"")</f>
        <v/>
      </c>
      <c r="AB346" s="66"/>
      <c r="AC346" s="66"/>
      <c r="AD346" s="87">
        <f t="shared" si="5"/>
        <v>346</v>
      </c>
      <c r="AE346" s="109"/>
    </row>
    <row r="347" spans="1:31" ht="18" customHeight="1" thickBot="1" x14ac:dyDescent="0.4">
      <c r="A347" s="64">
        <v>45028</v>
      </c>
      <c r="B347" s="64">
        <v>43713</v>
      </c>
      <c r="C347" s="106">
        <v>45671</v>
      </c>
      <c r="D347" s="66" t="s">
        <v>102</v>
      </c>
      <c r="E347" s="66" t="s">
        <v>718</v>
      </c>
      <c r="F347" s="68" t="s">
        <v>2237</v>
      </c>
      <c r="G347" s="66" t="s">
        <v>1089</v>
      </c>
      <c r="H347" s="64">
        <v>1960</v>
      </c>
      <c r="I347" s="67" t="s">
        <v>5</v>
      </c>
      <c r="J347" s="97">
        <v>404478253</v>
      </c>
      <c r="K347" s="66"/>
      <c r="L347" s="68"/>
      <c r="M347" s="69">
        <v>1.51</v>
      </c>
      <c r="N347" s="69">
        <v>1.51</v>
      </c>
      <c r="O347" s="70">
        <f>IF(registreGarantie[[#This Row],[date paiement]]="","",registreGarantie[[#This Row],[Pièces 
Demandés]]-registreGarantie[[#This Row],[Pièces 
Remboursés]])</f>
        <v>0</v>
      </c>
      <c r="P347" s="69">
        <v>123</v>
      </c>
      <c r="Q347" s="69">
        <v>123</v>
      </c>
      <c r="R347" s="70">
        <f>IF(registreGarantie[[#This Row],[date paiement]]="","",registreGarantie[[#This Row],[MO
Demandé]]-registreGarantie[[#This Row],[MO
Remboursé]])</f>
        <v>0</v>
      </c>
      <c r="S347" s="69"/>
      <c r="T347" s="70">
        <f>IF(registreGarantie[[#This Row],[date paiement]]="","",registreGarantie[[#This Row],[MO
Refusé]]+registreGarantie[[#This Row],[Pièces
Refusés]])</f>
        <v>0</v>
      </c>
      <c r="U347" s="106">
        <v>45671</v>
      </c>
      <c r="V347" s="71">
        <f>IF(registreGarantie[[#This Row],[Pièces 
Demandés]]="","",registreGarantie[[#This Row],[Date]])</f>
        <v>45671</v>
      </c>
      <c r="W347" s="103">
        <f>IF(registreGarantie[[#This Row],[Pièces 
Demandés]]="","",IF(registreGarantie[[#This Row],[date paiement]]="","",registreGarantie[[#This Row],[date paiement]]+91))</f>
        <v>45762</v>
      </c>
      <c r="X3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7" s="74" t="str">
        <f ca="1">IF(registreGarantie[[#This Row],[Colonne1]]=0,"",IF(TODAY()&gt;registreGarantie[[#This Row],[Date rebus]],0,1))</f>
        <v/>
      </c>
      <c r="Z347" s="66"/>
      <c r="AA347" s="73" t="str">
        <f>IF(AND(registreGarantie[[#This Row],[Montant non remboursé]]&gt;1,registreGarantie[[#This Row],[Montant non remboursé]]&lt;&gt;""),1,"")</f>
        <v/>
      </c>
      <c r="AB347" s="66"/>
      <c r="AC347" s="66"/>
      <c r="AD347" s="87">
        <f t="shared" si="5"/>
        <v>347</v>
      </c>
      <c r="AE347" s="109"/>
    </row>
    <row r="348" spans="1:31" ht="18" customHeight="1" thickBot="1" x14ac:dyDescent="0.4">
      <c r="A348" s="64">
        <v>45029</v>
      </c>
      <c r="B348" s="64">
        <v>43714</v>
      </c>
      <c r="C348" s="106">
        <v>45709</v>
      </c>
      <c r="D348" s="66" t="s">
        <v>86</v>
      </c>
      <c r="E348" s="66" t="s">
        <v>148</v>
      </c>
      <c r="F348" s="68" t="s">
        <v>2240</v>
      </c>
      <c r="G348" s="66" t="s">
        <v>1089</v>
      </c>
      <c r="H348" s="64">
        <v>2229</v>
      </c>
      <c r="I348" s="67" t="s">
        <v>5</v>
      </c>
      <c r="J348" s="97">
        <v>404478496</v>
      </c>
      <c r="K348" s="66"/>
      <c r="L348" s="68"/>
      <c r="M348" s="69">
        <v>1.51</v>
      </c>
      <c r="N348" s="69">
        <v>1.51</v>
      </c>
      <c r="O348" s="70">
        <f>IF(registreGarantie[[#This Row],[date paiement]]="","",registreGarantie[[#This Row],[Pièces 
Demandés]]-registreGarantie[[#This Row],[Pièces 
Remboursés]])</f>
        <v>0</v>
      </c>
      <c r="P348" s="69">
        <v>123</v>
      </c>
      <c r="Q348" s="69">
        <v>123</v>
      </c>
      <c r="R348" s="70">
        <f>IF(registreGarantie[[#This Row],[date paiement]]="","",registreGarantie[[#This Row],[MO
Demandé]]-registreGarantie[[#This Row],[MO
Remboursé]])</f>
        <v>0</v>
      </c>
      <c r="S348" s="69"/>
      <c r="T348" s="70">
        <f>IF(registreGarantie[[#This Row],[date paiement]]="","",registreGarantie[[#This Row],[MO
Refusé]]+registreGarantie[[#This Row],[Pièces
Refusés]])</f>
        <v>0</v>
      </c>
      <c r="U348" s="106">
        <v>45719</v>
      </c>
      <c r="V348" s="71">
        <f>IF(registreGarantie[[#This Row],[Pièces 
Demandés]]="","",registreGarantie[[#This Row],[Date]])</f>
        <v>45709</v>
      </c>
      <c r="W348" s="103">
        <f>IF(registreGarantie[[#This Row],[Pièces 
Demandés]]="","",IF(registreGarantie[[#This Row],[date paiement]]="","",registreGarantie[[#This Row],[date paiement]]+91))</f>
        <v>45810</v>
      </c>
      <c r="X3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8" s="74" t="str">
        <f ca="1">IF(registreGarantie[[#This Row],[Colonne1]]=0,"",IF(TODAY()&gt;registreGarantie[[#This Row],[Date rebus]],0,1))</f>
        <v/>
      </c>
      <c r="Z348" s="66"/>
      <c r="AA348" s="73" t="str">
        <f>IF(AND(registreGarantie[[#This Row],[Montant non remboursé]]&gt;1,registreGarantie[[#This Row],[Montant non remboursé]]&lt;&gt;""),1,"")</f>
        <v/>
      </c>
      <c r="AB348" s="66"/>
      <c r="AC348" s="66"/>
      <c r="AD348" s="87">
        <f t="shared" si="5"/>
        <v>348</v>
      </c>
      <c r="AE348" s="109"/>
    </row>
    <row r="349" spans="1:31" ht="18" customHeight="1" thickBot="1" x14ac:dyDescent="0.4">
      <c r="A349" s="64">
        <v>45030</v>
      </c>
      <c r="B349" s="64">
        <v>43715</v>
      </c>
      <c r="C349" s="106">
        <v>45672</v>
      </c>
      <c r="D349" s="66" t="s">
        <v>79</v>
      </c>
      <c r="E349" s="66" t="s">
        <v>75</v>
      </c>
      <c r="F349" s="68" t="s">
        <v>2338</v>
      </c>
      <c r="G349" s="66" t="s">
        <v>1089</v>
      </c>
      <c r="H349" s="64">
        <v>626</v>
      </c>
      <c r="I349" s="67" t="s">
        <v>5</v>
      </c>
      <c r="J349" s="97">
        <v>404479637</v>
      </c>
      <c r="K349" s="66"/>
      <c r="L349" s="68"/>
      <c r="M349" s="69">
        <v>1.51</v>
      </c>
      <c r="N349" s="69">
        <v>1.51</v>
      </c>
      <c r="O349" s="70">
        <f>IF(registreGarantie[[#This Row],[date paiement]]="","",registreGarantie[[#This Row],[Pièces 
Demandés]]-registreGarantie[[#This Row],[Pièces 
Remboursés]])</f>
        <v>0</v>
      </c>
      <c r="P349" s="69">
        <v>123</v>
      </c>
      <c r="Q349" s="69">
        <v>123</v>
      </c>
      <c r="R349" s="70">
        <f>IF(registreGarantie[[#This Row],[date paiement]]="","",registreGarantie[[#This Row],[MO
Demandé]]-registreGarantie[[#This Row],[MO
Remboursé]])</f>
        <v>0</v>
      </c>
      <c r="S349" s="69"/>
      <c r="T349" s="70">
        <f>IF(registreGarantie[[#This Row],[date paiement]]="","",registreGarantie[[#This Row],[MO
Refusé]]+registreGarantie[[#This Row],[Pièces
Refusés]])</f>
        <v>0</v>
      </c>
      <c r="U349" s="106">
        <v>45672</v>
      </c>
      <c r="V349" s="71">
        <f>IF(registreGarantie[[#This Row],[Pièces 
Demandés]]="","",registreGarantie[[#This Row],[Date]])</f>
        <v>45672</v>
      </c>
      <c r="W349" s="103">
        <f>IF(registreGarantie[[#This Row],[Pièces 
Demandés]]="","",IF(registreGarantie[[#This Row],[date paiement]]="","",registreGarantie[[#This Row],[date paiement]]+91))</f>
        <v>45763</v>
      </c>
      <c r="X3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49" s="74" t="str">
        <f ca="1">IF(registreGarantie[[#This Row],[Colonne1]]=0,"",IF(TODAY()&gt;registreGarantie[[#This Row],[Date rebus]],0,1))</f>
        <v/>
      </c>
      <c r="Z349" s="66"/>
      <c r="AA349" s="73" t="str">
        <f>IF(AND(registreGarantie[[#This Row],[Montant non remboursé]]&gt;1,registreGarantie[[#This Row],[Montant non remboursé]]&lt;&gt;""),1,"")</f>
        <v/>
      </c>
      <c r="AB349" s="66"/>
      <c r="AC349" s="66"/>
      <c r="AD349" s="87">
        <f t="shared" si="5"/>
        <v>349</v>
      </c>
      <c r="AE349" s="109"/>
    </row>
    <row r="350" spans="1:31" ht="18" customHeight="1" thickBot="1" x14ac:dyDescent="0.4">
      <c r="A350" s="64">
        <v>45031</v>
      </c>
      <c r="B350" s="64">
        <v>43716</v>
      </c>
      <c r="C350" s="106">
        <v>45807</v>
      </c>
      <c r="D350" s="66" t="s">
        <v>611</v>
      </c>
      <c r="E350" s="66" t="s">
        <v>45</v>
      </c>
      <c r="F350" s="68" t="s">
        <v>2259</v>
      </c>
      <c r="G350" s="66" t="s">
        <v>1089</v>
      </c>
      <c r="H350" s="64">
        <v>1277</v>
      </c>
      <c r="I350" s="67" t="s">
        <v>5</v>
      </c>
      <c r="J350" s="97">
        <v>404479174</v>
      </c>
      <c r="K350" s="66"/>
      <c r="L350" s="68"/>
      <c r="M350" s="69">
        <v>1.51</v>
      </c>
      <c r="N350" s="69">
        <v>1.51</v>
      </c>
      <c r="O350" s="70">
        <f>IF(registreGarantie[[#This Row],[date paiement]]="","",registreGarantie[[#This Row],[Pièces 
Demandés]]-registreGarantie[[#This Row],[Pièces 
Remboursés]])</f>
        <v>0</v>
      </c>
      <c r="P350" s="69">
        <v>123</v>
      </c>
      <c r="Q350" s="69">
        <v>123</v>
      </c>
      <c r="R350" s="70">
        <f>IF(registreGarantie[[#This Row],[date paiement]]="","",registreGarantie[[#This Row],[MO
Demandé]]-registreGarantie[[#This Row],[MO
Remboursé]])</f>
        <v>0</v>
      </c>
      <c r="S350" s="69"/>
      <c r="T350" s="70">
        <f>IF(registreGarantie[[#This Row],[date paiement]]="","",registreGarantie[[#This Row],[MO
Refusé]]+registreGarantie[[#This Row],[Pièces
Refusés]])</f>
        <v>0</v>
      </c>
      <c r="U350" s="106">
        <v>45810</v>
      </c>
      <c r="V350" s="71">
        <f>IF(registreGarantie[[#This Row],[Pièces 
Demandés]]="","",registreGarantie[[#This Row],[Date]])</f>
        <v>45807</v>
      </c>
      <c r="W350" s="103">
        <f>IF(registreGarantie[[#This Row],[Pièces 
Demandés]]="","",IF(registreGarantie[[#This Row],[date paiement]]="","",registreGarantie[[#This Row],[date paiement]]+91))</f>
        <v>45901</v>
      </c>
      <c r="X3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0" s="74" t="str">
        <f ca="1">IF(registreGarantie[[#This Row],[Colonne1]]=0,"",IF(TODAY()&gt;registreGarantie[[#This Row],[Date rebus]],0,1))</f>
        <v/>
      </c>
      <c r="Z350" s="66"/>
      <c r="AA350" s="73" t="str">
        <f>IF(AND(registreGarantie[[#This Row],[Montant non remboursé]]&gt;1,registreGarantie[[#This Row],[Montant non remboursé]]&lt;&gt;""),1,"")</f>
        <v/>
      </c>
      <c r="AB350" s="66"/>
      <c r="AC350" s="66"/>
      <c r="AD350" s="87">
        <f t="shared" si="5"/>
        <v>350</v>
      </c>
      <c r="AE350" s="109"/>
    </row>
    <row r="351" spans="1:31" ht="18" customHeight="1" thickBot="1" x14ac:dyDescent="0.4">
      <c r="A351" s="64">
        <v>45032</v>
      </c>
      <c r="B351" s="64">
        <v>43717</v>
      </c>
      <c r="C351" s="106">
        <v>45707</v>
      </c>
      <c r="D351" s="66" t="s">
        <v>1535</v>
      </c>
      <c r="E351" s="66" t="s">
        <v>45</v>
      </c>
      <c r="F351" s="68" t="s">
        <v>2265</v>
      </c>
      <c r="G351" s="66" t="s">
        <v>1089</v>
      </c>
      <c r="H351" s="64">
        <v>1135</v>
      </c>
      <c r="I351" s="67" t="s">
        <v>5</v>
      </c>
      <c r="J351" s="97">
        <v>404479733</v>
      </c>
      <c r="K351" s="66"/>
      <c r="L351" s="68"/>
      <c r="M351" s="69">
        <v>1.51</v>
      </c>
      <c r="N351" s="69">
        <v>1.51</v>
      </c>
      <c r="O351" s="70">
        <f>IF(registreGarantie[[#This Row],[date paiement]]="","",registreGarantie[[#This Row],[Pièces 
Demandés]]-registreGarantie[[#This Row],[Pièces 
Remboursés]])</f>
        <v>0</v>
      </c>
      <c r="P351" s="69">
        <v>123</v>
      </c>
      <c r="Q351" s="69">
        <v>123</v>
      </c>
      <c r="R351" s="70">
        <f>IF(registreGarantie[[#This Row],[date paiement]]="","",registreGarantie[[#This Row],[MO
Demandé]]-registreGarantie[[#This Row],[MO
Remboursé]])</f>
        <v>0</v>
      </c>
      <c r="S351" s="69"/>
      <c r="T351" s="70">
        <f>IF(registreGarantie[[#This Row],[date paiement]]="","",registreGarantie[[#This Row],[MO
Refusé]]+registreGarantie[[#This Row],[Pièces
Refusés]])</f>
        <v>0</v>
      </c>
      <c r="U351" s="106">
        <v>45719</v>
      </c>
      <c r="V351" s="71">
        <f>IF(registreGarantie[[#This Row],[Pièces 
Demandés]]="","",registreGarantie[[#This Row],[Date]])</f>
        <v>45707</v>
      </c>
      <c r="W351" s="103">
        <f>IF(registreGarantie[[#This Row],[Pièces 
Demandés]]="","",IF(registreGarantie[[#This Row],[date paiement]]="","",registreGarantie[[#This Row],[date paiement]]+91))</f>
        <v>45810</v>
      </c>
      <c r="X3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1" s="74" t="str">
        <f ca="1">IF(registreGarantie[[#This Row],[Colonne1]]=0,"",IF(TODAY()&gt;registreGarantie[[#This Row],[Date rebus]],0,1))</f>
        <v/>
      </c>
      <c r="Z351" s="66"/>
      <c r="AA351" s="73" t="str">
        <f>IF(AND(registreGarantie[[#This Row],[Montant non remboursé]]&gt;1,registreGarantie[[#This Row],[Montant non remboursé]]&lt;&gt;""),1,"")</f>
        <v/>
      </c>
      <c r="AB351" s="66"/>
      <c r="AC351" s="66"/>
      <c r="AD351" s="87">
        <f t="shared" si="5"/>
        <v>351</v>
      </c>
      <c r="AE351" s="109"/>
    </row>
    <row r="352" spans="1:31" ht="18" customHeight="1" thickBot="1" x14ac:dyDescent="0.4">
      <c r="A352" s="64">
        <v>45033</v>
      </c>
      <c r="B352" s="64">
        <v>43718</v>
      </c>
      <c r="C352" s="106">
        <v>45694.431377314817</v>
      </c>
      <c r="D352" s="66" t="s">
        <v>439</v>
      </c>
      <c r="E352" s="66" t="s">
        <v>133</v>
      </c>
      <c r="F352" s="68" t="s">
        <v>2267</v>
      </c>
      <c r="G352" s="66" t="s">
        <v>1089</v>
      </c>
      <c r="H352" s="64">
        <v>1082</v>
      </c>
      <c r="I352" s="67" t="s">
        <v>5</v>
      </c>
      <c r="J352" s="97">
        <v>404478497</v>
      </c>
      <c r="K352" s="66"/>
      <c r="L352" s="68"/>
      <c r="M352" s="69">
        <v>1.51</v>
      </c>
      <c r="N352" s="69">
        <v>1.51</v>
      </c>
      <c r="O352" s="70">
        <f>IF(registreGarantie[[#This Row],[date paiement]]="","",registreGarantie[[#This Row],[Pièces 
Demandés]]-registreGarantie[[#This Row],[Pièces 
Remboursés]])</f>
        <v>0</v>
      </c>
      <c r="P352" s="69">
        <v>123</v>
      </c>
      <c r="Q352" s="69">
        <v>123</v>
      </c>
      <c r="R352" s="70">
        <f>IF(registreGarantie[[#This Row],[date paiement]]="","",registreGarantie[[#This Row],[MO
Demandé]]-registreGarantie[[#This Row],[MO
Remboursé]])</f>
        <v>0</v>
      </c>
      <c r="S352" s="69"/>
      <c r="T352" s="70">
        <f>IF(registreGarantie[[#This Row],[date paiement]]="","",registreGarantie[[#This Row],[MO
Refusé]]+registreGarantie[[#This Row],[Pièces
Refusés]])</f>
        <v>0</v>
      </c>
      <c r="U352" s="106">
        <v>45701</v>
      </c>
      <c r="V352" s="71">
        <f>IF(registreGarantie[[#This Row],[Pièces 
Demandés]]="","",registreGarantie[[#This Row],[Date]])</f>
        <v>45694.431377314817</v>
      </c>
      <c r="W352" s="103">
        <f>IF(registreGarantie[[#This Row],[Pièces 
Demandés]]="","",IF(registreGarantie[[#This Row],[date paiement]]="","",registreGarantie[[#This Row],[date paiement]]+91))</f>
        <v>45792</v>
      </c>
      <c r="X3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2" s="74" t="str">
        <f ca="1">IF(registreGarantie[[#This Row],[Colonne1]]=0,"",IF(TODAY()&gt;registreGarantie[[#This Row],[Date rebus]],0,1))</f>
        <v/>
      </c>
      <c r="Z352" s="66"/>
      <c r="AA352" s="73" t="str">
        <f>IF(AND(registreGarantie[[#This Row],[Montant non remboursé]]&gt;1,registreGarantie[[#This Row],[Montant non remboursé]]&lt;&gt;""),1,"")</f>
        <v/>
      </c>
      <c r="AB352" s="66"/>
      <c r="AC352" s="66"/>
      <c r="AD352" s="87">
        <f t="shared" si="5"/>
        <v>352</v>
      </c>
      <c r="AE352" s="109"/>
    </row>
    <row r="353" spans="1:31" ht="18" customHeight="1" thickBot="1" x14ac:dyDescent="0.4">
      <c r="A353" s="64">
        <v>45034</v>
      </c>
      <c r="B353" s="64">
        <v>43719</v>
      </c>
      <c r="C353" s="106">
        <v>45692</v>
      </c>
      <c r="D353" s="66" t="s">
        <v>1090</v>
      </c>
      <c r="E353" s="66" t="s">
        <v>133</v>
      </c>
      <c r="F353" s="68" t="s">
        <v>2326</v>
      </c>
      <c r="G353" s="66" t="s">
        <v>1089</v>
      </c>
      <c r="H353" s="64">
        <v>1140</v>
      </c>
      <c r="I353" s="67" t="s">
        <v>5</v>
      </c>
      <c r="J353" s="97">
        <v>404478791</v>
      </c>
      <c r="K353" s="66"/>
      <c r="L353" s="68"/>
      <c r="M353" s="69">
        <v>1.51</v>
      </c>
      <c r="N353" s="69">
        <v>1.51</v>
      </c>
      <c r="O353" s="70">
        <f>IF(registreGarantie[[#This Row],[date paiement]]="","",registreGarantie[[#This Row],[Pièces 
Demandés]]-registreGarantie[[#This Row],[Pièces 
Remboursés]])</f>
        <v>0</v>
      </c>
      <c r="P353" s="69">
        <v>123</v>
      </c>
      <c r="Q353" s="69">
        <v>123</v>
      </c>
      <c r="R353" s="70">
        <f>IF(registreGarantie[[#This Row],[date paiement]]="","",registreGarantie[[#This Row],[MO
Demandé]]-registreGarantie[[#This Row],[MO
Remboursé]])</f>
        <v>0</v>
      </c>
      <c r="S353" s="69"/>
      <c r="T353" s="70">
        <f>IF(registreGarantie[[#This Row],[date paiement]]="","",registreGarantie[[#This Row],[MO
Refusé]]+registreGarantie[[#This Row],[Pièces
Refusés]])</f>
        <v>0</v>
      </c>
      <c r="U353" s="106">
        <v>45701</v>
      </c>
      <c r="V353" s="71">
        <f>IF(registreGarantie[[#This Row],[Pièces 
Demandés]]="","",registreGarantie[[#This Row],[Date]])</f>
        <v>45692</v>
      </c>
      <c r="W353" s="103">
        <f>IF(registreGarantie[[#This Row],[Pièces 
Demandés]]="","",IF(registreGarantie[[#This Row],[date paiement]]="","",registreGarantie[[#This Row],[date paiement]]+91))</f>
        <v>45792</v>
      </c>
      <c r="X3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3" s="74" t="str">
        <f ca="1">IF(registreGarantie[[#This Row],[Colonne1]]=0,"",IF(TODAY()&gt;registreGarantie[[#This Row],[Date rebus]],0,1))</f>
        <v/>
      </c>
      <c r="Z353" s="66"/>
      <c r="AA353" s="73" t="str">
        <f>IF(AND(registreGarantie[[#This Row],[Montant non remboursé]]&gt;1,registreGarantie[[#This Row],[Montant non remboursé]]&lt;&gt;""),1,"")</f>
        <v/>
      </c>
      <c r="AB353" s="66"/>
      <c r="AC353" s="66"/>
      <c r="AD353" s="87">
        <f t="shared" si="5"/>
        <v>353</v>
      </c>
      <c r="AE353" s="109"/>
    </row>
    <row r="354" spans="1:31" ht="18" customHeight="1" thickBot="1" x14ac:dyDescent="0.4">
      <c r="A354" s="64">
        <v>45035</v>
      </c>
      <c r="B354" s="64">
        <v>43720</v>
      </c>
      <c r="C354" s="106">
        <v>45701</v>
      </c>
      <c r="D354" s="66" t="s">
        <v>62</v>
      </c>
      <c r="E354" s="66" t="s">
        <v>148</v>
      </c>
      <c r="F354" s="68" t="s">
        <v>2251</v>
      </c>
      <c r="G354" s="66" t="s">
        <v>1089</v>
      </c>
      <c r="H354" s="64">
        <v>2280</v>
      </c>
      <c r="I354" s="67" t="s">
        <v>5</v>
      </c>
      <c r="J354" s="97">
        <v>404478311</v>
      </c>
      <c r="K354" s="66"/>
      <c r="L354" s="68"/>
      <c r="M354" s="69">
        <v>1.51</v>
      </c>
      <c r="N354" s="69">
        <v>1.51</v>
      </c>
      <c r="O354" s="70">
        <f>IF(registreGarantie[[#This Row],[date paiement]]="","",registreGarantie[[#This Row],[Pièces 
Demandés]]-registreGarantie[[#This Row],[Pièces 
Remboursés]])</f>
        <v>0</v>
      </c>
      <c r="P354" s="69">
        <v>123</v>
      </c>
      <c r="Q354" s="69">
        <v>123</v>
      </c>
      <c r="R354" s="70">
        <f>IF(registreGarantie[[#This Row],[date paiement]]="","",registreGarantie[[#This Row],[MO
Demandé]]-registreGarantie[[#This Row],[MO
Remboursé]])</f>
        <v>0</v>
      </c>
      <c r="S354" s="69"/>
      <c r="T354" s="70">
        <f>IF(registreGarantie[[#This Row],[date paiement]]="","",registreGarantie[[#This Row],[MO
Refusé]]+registreGarantie[[#This Row],[Pièces
Refusés]])</f>
        <v>0</v>
      </c>
      <c r="U354" s="106">
        <v>45719</v>
      </c>
      <c r="V354" s="71">
        <f>IF(registreGarantie[[#This Row],[Pièces 
Demandés]]="","",registreGarantie[[#This Row],[Date]])</f>
        <v>45701</v>
      </c>
      <c r="W354" s="103">
        <f>IF(registreGarantie[[#This Row],[Pièces 
Demandés]]="","",IF(registreGarantie[[#This Row],[date paiement]]="","",registreGarantie[[#This Row],[date paiement]]+91))</f>
        <v>45810</v>
      </c>
      <c r="X3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4" s="74" t="str">
        <f ca="1">IF(registreGarantie[[#This Row],[Colonne1]]=0,"",IF(TODAY()&gt;registreGarantie[[#This Row],[Date rebus]],0,1))</f>
        <v/>
      </c>
      <c r="Z354" s="66"/>
      <c r="AA354" s="73" t="str">
        <f>IF(AND(registreGarantie[[#This Row],[Montant non remboursé]]&gt;1,registreGarantie[[#This Row],[Montant non remboursé]]&lt;&gt;""),1,"")</f>
        <v/>
      </c>
      <c r="AB354" s="66"/>
      <c r="AC354" s="66"/>
      <c r="AD354" s="87">
        <f t="shared" si="5"/>
        <v>354</v>
      </c>
      <c r="AE354" s="109"/>
    </row>
    <row r="355" spans="1:31" ht="18" customHeight="1" thickBot="1" x14ac:dyDescent="0.4">
      <c r="A355" s="64">
        <v>45036</v>
      </c>
      <c r="B355" s="64">
        <v>43721</v>
      </c>
      <c r="C355" s="106">
        <v>45638</v>
      </c>
      <c r="D355" s="66" t="s">
        <v>337</v>
      </c>
      <c r="E355" s="66" t="s">
        <v>75</v>
      </c>
      <c r="F355" s="68" t="s">
        <v>2370</v>
      </c>
      <c r="G355" s="66" t="s">
        <v>1089</v>
      </c>
      <c r="H355" s="64">
        <v>2339</v>
      </c>
      <c r="I355" s="67" t="s">
        <v>5</v>
      </c>
      <c r="J355" s="97">
        <v>404478288</v>
      </c>
      <c r="K355" s="66"/>
      <c r="L355" s="68"/>
      <c r="M355" s="69">
        <v>1.51</v>
      </c>
      <c r="N355" s="69">
        <v>1.51</v>
      </c>
      <c r="O355" s="70">
        <f>IF(registreGarantie[[#This Row],[date paiement]]="","",registreGarantie[[#This Row],[Pièces 
Demandés]]-registreGarantie[[#This Row],[Pièces 
Remboursés]])</f>
        <v>0</v>
      </c>
      <c r="P355" s="69">
        <v>123</v>
      </c>
      <c r="Q355" s="69">
        <v>123</v>
      </c>
      <c r="R355" s="70">
        <f>IF(registreGarantie[[#This Row],[date paiement]]="","",registreGarantie[[#This Row],[MO
Demandé]]-registreGarantie[[#This Row],[MO
Remboursé]])</f>
        <v>0</v>
      </c>
      <c r="S355" s="69"/>
      <c r="T355" s="70">
        <f>IF(registreGarantie[[#This Row],[date paiement]]="","",registreGarantie[[#This Row],[MO
Refusé]]+registreGarantie[[#This Row],[Pièces
Refusés]])</f>
        <v>0</v>
      </c>
      <c r="U355" s="106">
        <v>45644</v>
      </c>
      <c r="V355" s="71">
        <f>IF(registreGarantie[[#This Row],[Pièces 
Demandés]]="","",registreGarantie[[#This Row],[Date]])</f>
        <v>45638</v>
      </c>
      <c r="W355" s="103">
        <f>IF(registreGarantie[[#This Row],[Pièces 
Demandés]]="","",IF(registreGarantie[[#This Row],[date paiement]]="","",registreGarantie[[#This Row],[date paiement]]+91))</f>
        <v>45735</v>
      </c>
      <c r="X3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5" s="74" t="str">
        <f ca="1">IF(registreGarantie[[#This Row],[Colonne1]]=0,"",IF(TODAY()&gt;registreGarantie[[#This Row],[Date rebus]],0,1))</f>
        <v/>
      </c>
      <c r="Z355" s="66"/>
      <c r="AA355" s="73" t="str">
        <f>IF(AND(registreGarantie[[#This Row],[Montant non remboursé]]&gt;1,registreGarantie[[#This Row],[Montant non remboursé]]&lt;&gt;""),1,"")</f>
        <v/>
      </c>
      <c r="AB355" s="66"/>
      <c r="AC355" s="66"/>
      <c r="AD355" s="87">
        <f t="shared" si="5"/>
        <v>355</v>
      </c>
      <c r="AE355" s="109"/>
    </row>
    <row r="356" spans="1:31" ht="18" customHeight="1" thickBot="1" x14ac:dyDescent="0.4">
      <c r="A356" s="64">
        <v>45037</v>
      </c>
      <c r="B356" s="64">
        <v>43722</v>
      </c>
      <c r="C356" s="106">
        <v>45736</v>
      </c>
      <c r="D356" s="66" t="s">
        <v>1916</v>
      </c>
      <c r="E356" s="66" t="s">
        <v>148</v>
      </c>
      <c r="F356" s="68" t="s">
        <v>2371</v>
      </c>
      <c r="G356" s="66" t="s">
        <v>1089</v>
      </c>
      <c r="H356" s="64">
        <v>2626</v>
      </c>
      <c r="I356" s="67" t="s">
        <v>5</v>
      </c>
      <c r="J356" s="97">
        <v>404478310</v>
      </c>
      <c r="K356" s="66"/>
      <c r="L356" s="68"/>
      <c r="M356" s="69">
        <v>1.51</v>
      </c>
      <c r="N356" s="69">
        <v>1.51</v>
      </c>
      <c r="O356" s="70">
        <f>IF(registreGarantie[[#This Row],[date paiement]]="","",registreGarantie[[#This Row],[Pièces 
Demandés]]-registreGarantie[[#This Row],[Pièces 
Remboursés]])</f>
        <v>0</v>
      </c>
      <c r="P356" s="69">
        <v>123</v>
      </c>
      <c r="Q356" s="69">
        <v>123</v>
      </c>
      <c r="R356" s="70">
        <f>IF(registreGarantie[[#This Row],[date paiement]]="","",registreGarantie[[#This Row],[MO
Demandé]]-registreGarantie[[#This Row],[MO
Remboursé]])</f>
        <v>0</v>
      </c>
      <c r="S356" s="69"/>
      <c r="T356" s="70">
        <f>IF(registreGarantie[[#This Row],[date paiement]]="","",registreGarantie[[#This Row],[MO
Refusé]]+registreGarantie[[#This Row],[Pièces
Refusés]])</f>
        <v>0</v>
      </c>
      <c r="U356" s="106">
        <v>45736</v>
      </c>
      <c r="V356" s="71">
        <f>IF(registreGarantie[[#This Row],[Pièces 
Demandés]]="","",registreGarantie[[#This Row],[Date]])</f>
        <v>45736</v>
      </c>
      <c r="W356" s="103">
        <f>IF(registreGarantie[[#This Row],[Pièces 
Demandés]]="","",IF(registreGarantie[[#This Row],[date paiement]]="","",registreGarantie[[#This Row],[date paiement]]+91))</f>
        <v>45827</v>
      </c>
      <c r="X3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6" s="74" t="str">
        <f ca="1">IF(registreGarantie[[#This Row],[Colonne1]]=0,"",IF(TODAY()&gt;registreGarantie[[#This Row],[Date rebus]],0,1))</f>
        <v/>
      </c>
      <c r="Z356" s="66"/>
      <c r="AA356" s="73" t="str">
        <f>IF(AND(registreGarantie[[#This Row],[Montant non remboursé]]&gt;1,registreGarantie[[#This Row],[Montant non remboursé]]&lt;&gt;""),1,"")</f>
        <v/>
      </c>
      <c r="AB356" s="66"/>
      <c r="AC356" s="66"/>
      <c r="AD356" s="87">
        <f t="shared" si="5"/>
        <v>356</v>
      </c>
      <c r="AE356" s="109"/>
    </row>
    <row r="357" spans="1:31" ht="18" customHeight="1" thickBot="1" x14ac:dyDescent="0.4">
      <c r="A357" s="64">
        <v>45038</v>
      </c>
      <c r="B357" s="64">
        <v>43723</v>
      </c>
      <c r="C357" s="106">
        <v>45699.417870370373</v>
      </c>
      <c r="D357" s="66" t="s">
        <v>1536</v>
      </c>
      <c r="E357" s="66" t="s">
        <v>148</v>
      </c>
      <c r="F357" s="68" t="s">
        <v>2279</v>
      </c>
      <c r="G357" s="66" t="s">
        <v>1089</v>
      </c>
      <c r="H357" s="64">
        <v>3908</v>
      </c>
      <c r="I357" s="67" t="s">
        <v>5</v>
      </c>
      <c r="J357" s="97">
        <v>404478734</v>
      </c>
      <c r="K357" s="66"/>
      <c r="L357" s="68"/>
      <c r="M357" s="69">
        <v>1.51</v>
      </c>
      <c r="N357" s="69">
        <v>1.51</v>
      </c>
      <c r="O357" s="70">
        <f>IF(registreGarantie[[#This Row],[date paiement]]="","",registreGarantie[[#This Row],[Pièces 
Demandés]]-registreGarantie[[#This Row],[Pièces 
Remboursés]])</f>
        <v>0</v>
      </c>
      <c r="P357" s="69">
        <v>123</v>
      </c>
      <c r="Q357" s="69">
        <v>123</v>
      </c>
      <c r="R357" s="70">
        <f>IF(registreGarantie[[#This Row],[date paiement]]="","",registreGarantie[[#This Row],[MO
Demandé]]-registreGarantie[[#This Row],[MO
Remboursé]])</f>
        <v>0</v>
      </c>
      <c r="S357" s="69"/>
      <c r="T357" s="70">
        <f>IF(registreGarantie[[#This Row],[date paiement]]="","",registreGarantie[[#This Row],[MO
Refusé]]+registreGarantie[[#This Row],[Pièces
Refusés]])</f>
        <v>0</v>
      </c>
      <c r="U357" s="106">
        <v>45701</v>
      </c>
      <c r="V357" s="71">
        <f>IF(registreGarantie[[#This Row],[Pièces 
Demandés]]="","",registreGarantie[[#This Row],[Date]])</f>
        <v>45699.417870370373</v>
      </c>
      <c r="W357" s="103">
        <f>IF(registreGarantie[[#This Row],[Pièces 
Demandés]]="","",IF(registreGarantie[[#This Row],[date paiement]]="","",registreGarantie[[#This Row],[date paiement]]+91))</f>
        <v>45792</v>
      </c>
      <c r="X3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7" s="74" t="str">
        <f ca="1">IF(registreGarantie[[#This Row],[Colonne1]]=0,"",IF(TODAY()&gt;registreGarantie[[#This Row],[Date rebus]],0,1))</f>
        <v/>
      </c>
      <c r="Z357" s="66"/>
      <c r="AA357" s="73" t="str">
        <f>IF(AND(registreGarantie[[#This Row],[Montant non remboursé]]&gt;1,registreGarantie[[#This Row],[Montant non remboursé]]&lt;&gt;""),1,"")</f>
        <v/>
      </c>
      <c r="AB357" s="66"/>
      <c r="AC357" s="66"/>
      <c r="AD357" s="87">
        <f t="shared" si="5"/>
        <v>357</v>
      </c>
      <c r="AE357" s="109"/>
    </row>
    <row r="358" spans="1:31" ht="18" customHeight="1" thickBot="1" x14ac:dyDescent="0.4">
      <c r="A358" s="64">
        <v>45039</v>
      </c>
      <c r="B358" s="64">
        <v>43759</v>
      </c>
      <c r="C358" s="106">
        <v>45680</v>
      </c>
      <c r="D358" s="66" t="s">
        <v>562</v>
      </c>
      <c r="E358" s="66" t="s">
        <v>563</v>
      </c>
      <c r="F358" s="68" t="s">
        <v>2337</v>
      </c>
      <c r="G358" s="66" t="s">
        <v>1103</v>
      </c>
      <c r="H358" s="64">
        <v>1408</v>
      </c>
      <c r="I358" s="67" t="s">
        <v>5</v>
      </c>
      <c r="J358" s="97">
        <v>404481065</v>
      </c>
      <c r="K358" s="66"/>
      <c r="L358" s="68"/>
      <c r="M358" s="69">
        <v>1.51</v>
      </c>
      <c r="N358" s="69">
        <v>1.51</v>
      </c>
      <c r="O358" s="70">
        <f>IF(registreGarantie[[#This Row],[date paiement]]="","",registreGarantie[[#This Row],[Pièces 
Demandés]]-registreGarantie[[#This Row],[Pièces 
Remboursés]])</f>
        <v>0</v>
      </c>
      <c r="P358" s="69">
        <v>30.75</v>
      </c>
      <c r="Q358" s="69">
        <v>30.75</v>
      </c>
      <c r="R358" s="70">
        <f>IF(registreGarantie[[#This Row],[date paiement]]="","",registreGarantie[[#This Row],[MO
Demandé]]-registreGarantie[[#This Row],[MO
Remboursé]])</f>
        <v>0</v>
      </c>
      <c r="S358" s="69"/>
      <c r="T358" s="70">
        <f>IF(registreGarantie[[#This Row],[date paiement]]="","",registreGarantie[[#This Row],[MO
Refusé]]+registreGarantie[[#This Row],[Pièces
Refusés]])</f>
        <v>0</v>
      </c>
      <c r="U358" s="106">
        <v>45687.538472222222</v>
      </c>
      <c r="V358" s="71">
        <f>IF(registreGarantie[[#This Row],[Pièces 
Demandés]]="","",registreGarantie[[#This Row],[Date]])</f>
        <v>45680</v>
      </c>
      <c r="W358" s="103">
        <f>IF(registreGarantie[[#This Row],[Pièces 
Demandés]]="","",IF(registreGarantie[[#This Row],[date paiement]]="","",registreGarantie[[#This Row],[date paiement]]+91))</f>
        <v>45778.538472222222</v>
      </c>
      <c r="X3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8" s="74" t="str">
        <f ca="1">IF(registreGarantie[[#This Row],[Colonne1]]=0,"",IF(TODAY()&gt;registreGarantie[[#This Row],[Date rebus]],0,1))</f>
        <v/>
      </c>
      <c r="Z358" s="66"/>
      <c r="AA358" s="73" t="str">
        <f>IF(AND(registreGarantie[[#This Row],[Montant non remboursé]]&gt;1,registreGarantie[[#This Row],[Montant non remboursé]]&lt;&gt;""),1,"")</f>
        <v/>
      </c>
      <c r="AB358" s="66"/>
      <c r="AC358" s="66"/>
      <c r="AD358" s="87">
        <f t="shared" si="5"/>
        <v>358</v>
      </c>
      <c r="AE358" s="109"/>
    </row>
    <row r="359" spans="1:31" ht="18" customHeight="1" thickBot="1" x14ac:dyDescent="0.4">
      <c r="A359" s="64">
        <v>45040</v>
      </c>
      <c r="B359" s="64">
        <v>43754</v>
      </c>
      <c r="C359" s="106">
        <v>45644</v>
      </c>
      <c r="D359" s="66" t="s">
        <v>239</v>
      </c>
      <c r="E359" s="66" t="s">
        <v>546</v>
      </c>
      <c r="F359" s="68">
        <v>78410241</v>
      </c>
      <c r="G359" s="66" t="s">
        <v>1101</v>
      </c>
      <c r="H359" s="64">
        <v>1011</v>
      </c>
      <c r="I359" s="67" t="s">
        <v>2</v>
      </c>
      <c r="J359" s="97">
        <v>404502764</v>
      </c>
      <c r="K359" s="66"/>
      <c r="L359" s="68"/>
      <c r="M359" s="69"/>
      <c r="N359" s="69"/>
      <c r="O359" s="70">
        <f>IF(registreGarantie[[#This Row],[date paiement]]="","",registreGarantie[[#This Row],[Pièces 
Demandés]]-registreGarantie[[#This Row],[Pièces 
Remboursés]])</f>
        <v>0</v>
      </c>
      <c r="P359" s="69">
        <v>61.5</v>
      </c>
      <c r="Q359" s="69">
        <v>0</v>
      </c>
      <c r="R359" s="70">
        <f>IF(registreGarantie[[#This Row],[date paiement]]="","",registreGarantie[[#This Row],[MO
Demandé]]-registreGarantie[[#This Row],[MO
Remboursé]])</f>
        <v>61.5</v>
      </c>
      <c r="S359" s="69"/>
      <c r="T359" s="70">
        <f>IF(registreGarantie[[#This Row],[date paiement]]="","",registreGarantie[[#This Row],[MO
Refusé]]+registreGarantie[[#This Row],[Pièces
Refusés]])</f>
        <v>61.5</v>
      </c>
      <c r="U359" s="106">
        <v>45644</v>
      </c>
      <c r="V359" s="71" t="str">
        <f>IF(registreGarantie[[#This Row],[Pièces 
Demandés]]="","",registreGarantie[[#This Row],[Date]])</f>
        <v/>
      </c>
      <c r="W359" s="103" t="str">
        <f>IF(registreGarantie[[#This Row],[Pièces 
Demandés]]="","",IF(registreGarantie[[#This Row],[date paiement]]="","",registreGarantie[[#This Row],[date paiement]]+91))</f>
        <v/>
      </c>
      <c r="X3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59" s="74" t="str">
        <f ca="1">IF(registreGarantie[[#This Row],[Colonne1]]=0,"",IF(TODAY()&gt;registreGarantie[[#This Row],[Date rebus]],0,1))</f>
        <v/>
      </c>
      <c r="Z359" s="66" t="s">
        <v>1917</v>
      </c>
      <c r="AA359" s="73">
        <f>IF(AND(registreGarantie[[#This Row],[Montant non remboursé]]&gt;1,registreGarantie[[#This Row],[Montant non remboursé]]&lt;&gt;""),1,"")</f>
        <v>1</v>
      </c>
      <c r="AB359" s="66"/>
      <c r="AC359" s="66"/>
      <c r="AD359" s="87">
        <f t="shared" si="5"/>
        <v>359</v>
      </c>
      <c r="AE359" s="109"/>
    </row>
    <row r="360" spans="1:31" ht="18" customHeight="1" thickBot="1" x14ac:dyDescent="0.4">
      <c r="A360" s="64">
        <v>45041</v>
      </c>
      <c r="B360" s="64">
        <v>43583</v>
      </c>
      <c r="C360" s="106">
        <v>45645</v>
      </c>
      <c r="D360" s="66" t="s">
        <v>881</v>
      </c>
      <c r="E360" s="66" t="s">
        <v>1023</v>
      </c>
      <c r="F360" s="68"/>
      <c r="G360" s="66" t="s">
        <v>1024</v>
      </c>
      <c r="H360" s="64">
        <v>5</v>
      </c>
      <c r="I360" s="67" t="s">
        <v>22</v>
      </c>
      <c r="J360" s="97" t="s">
        <v>1918</v>
      </c>
      <c r="K360" s="66"/>
      <c r="L360" s="68"/>
      <c r="M360" s="69">
        <v>15.48</v>
      </c>
      <c r="N360" s="69">
        <v>15.48</v>
      </c>
      <c r="O360" s="70">
        <f>IF(registreGarantie[[#This Row],[date paiement]]="","",registreGarantie[[#This Row],[Pièces 
Demandés]]-registreGarantie[[#This Row],[Pièces 
Remboursés]])</f>
        <v>0</v>
      </c>
      <c r="P360" s="69">
        <v>39</v>
      </c>
      <c r="Q360" s="69">
        <v>39</v>
      </c>
      <c r="R360" s="70">
        <f>IF(registreGarantie[[#This Row],[date paiement]]="","",registreGarantie[[#This Row],[MO
Demandé]]-registreGarantie[[#This Row],[MO
Remboursé]])</f>
        <v>0</v>
      </c>
      <c r="S360" s="69"/>
      <c r="T360" s="70">
        <f>IF(registreGarantie[[#This Row],[date paiement]]="","",registreGarantie[[#This Row],[MO
Refusé]]+registreGarantie[[#This Row],[Pièces
Refusés]])</f>
        <v>0</v>
      </c>
      <c r="U360" s="106">
        <v>45681</v>
      </c>
      <c r="V360" s="71">
        <f>IF(registreGarantie[[#This Row],[Pièces 
Demandés]]="","",registreGarantie[[#This Row],[Date]])</f>
        <v>45645</v>
      </c>
      <c r="W360" s="103">
        <f>IF(registreGarantie[[#This Row],[Pièces 
Demandés]]="","",IF(registreGarantie[[#This Row],[date paiement]]="","",registreGarantie[[#This Row],[date paiement]]+91))</f>
        <v>45772</v>
      </c>
      <c r="X3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0" s="74" t="str">
        <f ca="1">IF(registreGarantie[[#This Row],[Colonne1]]=0,"",IF(TODAY()&gt;registreGarantie[[#This Row],[Date rebus]],0,1))</f>
        <v/>
      </c>
      <c r="Z360" s="66"/>
      <c r="AA360" s="73" t="str">
        <f>IF(AND(registreGarantie[[#This Row],[Montant non remboursé]]&gt;1,registreGarantie[[#This Row],[Montant non remboursé]]&lt;&gt;""),1,"")</f>
        <v/>
      </c>
      <c r="AB360" s="66"/>
      <c r="AC360" s="66"/>
      <c r="AD360" s="87">
        <f t="shared" si="5"/>
        <v>360</v>
      </c>
      <c r="AE360" s="109"/>
    </row>
    <row r="361" spans="1:31" ht="18" customHeight="1" thickBot="1" x14ac:dyDescent="0.4">
      <c r="A361" s="64">
        <v>45042</v>
      </c>
      <c r="B361" s="64">
        <v>43744</v>
      </c>
      <c r="C361" s="106">
        <v>45665</v>
      </c>
      <c r="D361" s="66" t="s">
        <v>1097</v>
      </c>
      <c r="E361" s="66" t="s">
        <v>533</v>
      </c>
      <c r="F361" s="68" t="s">
        <v>2313</v>
      </c>
      <c r="G361" s="66" t="s">
        <v>1098</v>
      </c>
      <c r="H361" s="64">
        <v>920</v>
      </c>
      <c r="I361" s="67" t="s">
        <v>3</v>
      </c>
      <c r="J361" s="97">
        <v>404517579</v>
      </c>
      <c r="K361" s="66"/>
      <c r="L361" s="68"/>
      <c r="M361" s="69">
        <v>50.36</v>
      </c>
      <c r="N361" s="69">
        <v>50.36</v>
      </c>
      <c r="O361" s="70">
        <f>IF(registreGarantie[[#This Row],[date paiement]]="","",registreGarantie[[#This Row],[Pièces 
Demandés]]-registreGarantie[[#This Row],[Pièces 
Remboursés]])</f>
        <v>0</v>
      </c>
      <c r="P361" s="69">
        <v>524</v>
      </c>
      <c r="Q361" s="69">
        <v>262</v>
      </c>
      <c r="R361" s="70">
        <f>IF(registreGarantie[[#This Row],[date paiement]]="","",registreGarantie[[#This Row],[MO
Demandé]]-registreGarantie[[#This Row],[MO
Remboursé]])</f>
        <v>262</v>
      </c>
      <c r="S361" s="69"/>
      <c r="T361" s="70">
        <f>IF(registreGarantie[[#This Row],[date paiement]]="","",registreGarantie[[#This Row],[MO
Refusé]]+registreGarantie[[#This Row],[Pièces
Refusés]])</f>
        <v>262</v>
      </c>
      <c r="U361" s="106">
        <v>45687.538530092592</v>
      </c>
      <c r="V361" s="71">
        <f>IF(registreGarantie[[#This Row],[Pièces 
Demandés]]="","",registreGarantie[[#This Row],[Date]])</f>
        <v>45665</v>
      </c>
      <c r="W361" s="103">
        <f>IF(registreGarantie[[#This Row],[Pièces 
Demandés]]="","",IF(registreGarantie[[#This Row],[date paiement]]="","",registreGarantie[[#This Row],[date paiement]]+91))</f>
        <v>45778.538530092592</v>
      </c>
      <c r="X3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61" s="74">
        <f ca="1">IF(registreGarantie[[#This Row],[Colonne1]]=0,"",IF(TODAY()&gt;registreGarantie[[#This Row],[Date rebus]],0,1))</f>
        <v>0</v>
      </c>
      <c r="Z361" s="66" t="s">
        <v>1919</v>
      </c>
      <c r="AA361" s="73">
        <f>IF(AND(registreGarantie[[#This Row],[Montant non remboursé]]&gt;1,registreGarantie[[#This Row],[Montant non remboursé]]&lt;&gt;""),1,"")</f>
        <v>1</v>
      </c>
      <c r="AB361" s="66"/>
      <c r="AC361" s="66"/>
      <c r="AD361" s="87">
        <f t="shared" si="5"/>
        <v>361</v>
      </c>
      <c r="AE361" s="109"/>
    </row>
    <row r="362" spans="1:31" ht="18" customHeight="1" thickBot="1" x14ac:dyDescent="0.4">
      <c r="A362" s="64">
        <v>45043</v>
      </c>
      <c r="B362" s="64">
        <v>43791</v>
      </c>
      <c r="C362" s="106">
        <v>45666</v>
      </c>
      <c r="D362" s="66" t="s">
        <v>858</v>
      </c>
      <c r="E362" s="66" t="s">
        <v>45</v>
      </c>
      <c r="F362" s="68" t="s">
        <v>2278</v>
      </c>
      <c r="G362" s="66" t="s">
        <v>1120</v>
      </c>
      <c r="H362" s="64">
        <v>1023</v>
      </c>
      <c r="I362" s="67" t="s">
        <v>2</v>
      </c>
      <c r="J362" s="97">
        <v>404520616</v>
      </c>
      <c r="K362" s="66"/>
      <c r="L362" s="68" t="s">
        <v>1920</v>
      </c>
      <c r="M362" s="69">
        <v>94.76</v>
      </c>
      <c r="N362" s="69">
        <v>94.76</v>
      </c>
      <c r="O362" s="70">
        <f>IF(registreGarantie[[#This Row],[date paiement]]="","",registreGarantie[[#This Row],[Pièces 
Demandés]]-registreGarantie[[#This Row],[Pièces 
Remboursés]])</f>
        <v>0</v>
      </c>
      <c r="P362" s="69">
        <v>203.05</v>
      </c>
      <c r="Q362" s="69">
        <v>170.3</v>
      </c>
      <c r="R362" s="70">
        <f>IF(registreGarantie[[#This Row],[date paiement]]="","",registreGarantie[[#This Row],[MO
Demandé]]-registreGarantie[[#This Row],[MO
Remboursé]])</f>
        <v>32.75</v>
      </c>
      <c r="S362" s="69"/>
      <c r="T362" s="70">
        <f>IF(registreGarantie[[#This Row],[date paiement]]="","",registreGarantie[[#This Row],[MO
Refusé]]+registreGarantie[[#This Row],[Pièces
Refusés]])</f>
        <v>32.75</v>
      </c>
      <c r="U362" s="106">
        <v>45672</v>
      </c>
      <c r="V362" s="71">
        <f>IF(registreGarantie[[#This Row],[Pièces 
Demandés]]="","",registreGarantie[[#This Row],[Date]])</f>
        <v>45666</v>
      </c>
      <c r="W362" s="103">
        <f>IF(registreGarantie[[#This Row],[Pièces 
Demandés]]="","",IF(registreGarantie[[#This Row],[date paiement]]="","",registreGarantie[[#This Row],[date paiement]]+91))</f>
        <v>45763</v>
      </c>
      <c r="X3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62" s="74">
        <f ca="1">IF(registreGarantie[[#This Row],[Colonne1]]=0,"",IF(TODAY()&gt;registreGarantie[[#This Row],[Date rebus]],0,1))</f>
        <v>0</v>
      </c>
      <c r="Z362" s="66"/>
      <c r="AA362" s="73">
        <f>IF(AND(registreGarantie[[#This Row],[Montant non remboursé]]&gt;1,registreGarantie[[#This Row],[Montant non remboursé]]&lt;&gt;""),1,"")</f>
        <v>1</v>
      </c>
      <c r="AB362" s="66"/>
      <c r="AC362" s="66"/>
      <c r="AD362" s="87">
        <f t="shared" si="5"/>
        <v>362</v>
      </c>
      <c r="AE362" s="109"/>
    </row>
    <row r="363" spans="1:31" ht="18" customHeight="1" thickBot="1" x14ac:dyDescent="0.4">
      <c r="A363" s="64">
        <v>45044</v>
      </c>
      <c r="B363" s="64">
        <v>43782</v>
      </c>
      <c r="C363" s="106">
        <v>45666</v>
      </c>
      <c r="D363" s="66" t="s">
        <v>239</v>
      </c>
      <c r="E363" s="66" t="s">
        <v>546</v>
      </c>
      <c r="F363" s="68">
        <v>78410241</v>
      </c>
      <c r="G363" s="66" t="s">
        <v>1467</v>
      </c>
      <c r="H363" s="64">
        <v>1020</v>
      </c>
      <c r="I363" s="67" t="s">
        <v>20</v>
      </c>
      <c r="J363" s="97">
        <v>404522227</v>
      </c>
      <c r="K363" s="66"/>
      <c r="L363" s="68"/>
      <c r="M363" s="69"/>
      <c r="N363" s="69"/>
      <c r="O363" s="70" t="str">
        <f>IF(registreGarantie[[#This Row],[date paiement]]="","",registreGarantie[[#This Row],[Pièces 
Demandés]]-registreGarantie[[#This Row],[Pièces 
Remboursés]])</f>
        <v/>
      </c>
      <c r="P363" s="69"/>
      <c r="Q363" s="69"/>
      <c r="R363" s="70" t="str">
        <f>IF(registreGarantie[[#This Row],[date paiement]]="","",registreGarantie[[#This Row],[MO
Demandé]]-registreGarantie[[#This Row],[MO
Remboursé]])</f>
        <v/>
      </c>
      <c r="S363" s="69"/>
      <c r="T363" s="70" t="str">
        <f>IF(registreGarantie[[#This Row],[date paiement]]="","",registreGarantie[[#This Row],[MO
Refusé]]+registreGarantie[[#This Row],[Pièces
Refusés]])</f>
        <v/>
      </c>
      <c r="U363" s="106"/>
      <c r="V363" s="71" t="str">
        <f>IF(registreGarantie[[#This Row],[Pièces 
Demandés]]="","",registreGarantie[[#This Row],[Date]])</f>
        <v/>
      </c>
      <c r="W363" s="103" t="str">
        <f>IF(registreGarantie[[#This Row],[Pièces 
Demandés]]="","",IF(registreGarantie[[#This Row],[date paiement]]="","",registreGarantie[[#This Row],[date paiement]]+91))</f>
        <v/>
      </c>
      <c r="X3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3" s="74" t="str">
        <f ca="1">IF(registreGarantie[[#This Row],[Colonne1]]=0,"",IF(TODAY()&gt;registreGarantie[[#This Row],[Date rebus]],0,1))</f>
        <v/>
      </c>
      <c r="Z363" s="66"/>
      <c r="AA363" s="73" t="str">
        <f>IF(AND(registreGarantie[[#This Row],[Montant non remboursé]]&gt;1,registreGarantie[[#This Row],[Montant non remboursé]]&lt;&gt;""),1,"")</f>
        <v/>
      </c>
      <c r="AB363" s="66"/>
      <c r="AC363" s="66"/>
      <c r="AD363" s="87">
        <f t="shared" si="5"/>
        <v>363</v>
      </c>
      <c r="AE363" s="109"/>
    </row>
    <row r="364" spans="1:31" ht="18" customHeight="1" thickBot="1" x14ac:dyDescent="0.4">
      <c r="A364" s="64">
        <v>45044</v>
      </c>
      <c r="B364" s="64">
        <v>43782</v>
      </c>
      <c r="C364" s="106">
        <v>45666</v>
      </c>
      <c r="D364" s="66" t="s">
        <v>239</v>
      </c>
      <c r="E364" s="66" t="s">
        <v>546</v>
      </c>
      <c r="F364" s="68">
        <v>78410241</v>
      </c>
      <c r="G364" s="66" t="s">
        <v>1467</v>
      </c>
      <c r="H364" s="64">
        <v>1020</v>
      </c>
      <c r="I364" s="67" t="s">
        <v>2</v>
      </c>
      <c r="J364" s="97">
        <v>404522227</v>
      </c>
      <c r="K364" s="66"/>
      <c r="L364" s="68"/>
      <c r="M364" s="69">
        <v>16.3</v>
      </c>
      <c r="N364" s="69">
        <v>16.3</v>
      </c>
      <c r="O364" s="70">
        <f>IF(registreGarantie[[#This Row],[date paiement]]="","",registreGarantie[[#This Row],[Pièces 
Demandés]]-registreGarantie[[#This Row],[Pièces 
Remboursés]])</f>
        <v>0</v>
      </c>
      <c r="P364" s="69">
        <v>622.25</v>
      </c>
      <c r="Q364" s="69">
        <v>458.6</v>
      </c>
      <c r="R364" s="70">
        <f>IF(registreGarantie[[#This Row],[date paiement]]="","",registreGarantie[[#This Row],[MO
Demandé]]-registreGarantie[[#This Row],[MO
Remboursé]])</f>
        <v>163.64999999999998</v>
      </c>
      <c r="S364" s="69"/>
      <c r="T364" s="70">
        <f>IF(registreGarantie[[#This Row],[date paiement]]="","",registreGarantie[[#This Row],[MO
Refusé]]+registreGarantie[[#This Row],[Pièces
Refusés]])</f>
        <v>163.64999999999998</v>
      </c>
      <c r="U364" s="106">
        <v>45701</v>
      </c>
      <c r="V364" s="71">
        <f>IF(registreGarantie[[#This Row],[Pièces 
Demandés]]="","",registreGarantie[[#This Row],[Date]])</f>
        <v>45666</v>
      </c>
      <c r="W364" s="103">
        <f>IF(registreGarantie[[#This Row],[Pièces 
Demandés]]="","",IF(registreGarantie[[#This Row],[date paiement]]="","",registreGarantie[[#This Row],[date paiement]]+91))</f>
        <v>45792</v>
      </c>
      <c r="X3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64" s="74">
        <f ca="1">IF(registreGarantie[[#This Row],[Colonne1]]=0,"",IF(TODAY()&gt;registreGarantie[[#This Row],[Date rebus]],0,1))</f>
        <v>0</v>
      </c>
      <c r="Z364" s="66" t="s">
        <v>1947</v>
      </c>
      <c r="AA364" s="73">
        <f>IF(AND(registreGarantie[[#This Row],[Montant non remboursé]]&gt;1,registreGarantie[[#This Row],[Montant non remboursé]]&lt;&gt;""),1,"")</f>
        <v>1</v>
      </c>
      <c r="AB364" s="66"/>
      <c r="AC364" s="66"/>
      <c r="AD364" s="87">
        <f t="shared" si="5"/>
        <v>364</v>
      </c>
      <c r="AE364" s="109"/>
    </row>
    <row r="365" spans="1:31" ht="18" customHeight="1" thickBot="1" x14ac:dyDescent="0.4">
      <c r="A365" s="64">
        <v>45045</v>
      </c>
      <c r="B365" s="64">
        <v>43520</v>
      </c>
      <c r="C365" s="106">
        <v>45667</v>
      </c>
      <c r="D365" s="66" t="s">
        <v>56</v>
      </c>
      <c r="E365" s="66" t="s">
        <v>94</v>
      </c>
      <c r="F365" s="68" t="s">
        <v>2330</v>
      </c>
      <c r="G365" s="66" t="s">
        <v>988</v>
      </c>
      <c r="H365" s="64">
        <v>1908</v>
      </c>
      <c r="I365" s="67" t="s">
        <v>18</v>
      </c>
      <c r="J365" s="97">
        <v>404524905</v>
      </c>
      <c r="K365" s="66"/>
      <c r="L365" s="68"/>
      <c r="M365" s="69"/>
      <c r="N365" s="69"/>
      <c r="O365" s="70" t="str">
        <f>IF(registreGarantie[[#This Row],[date paiement]]="","",registreGarantie[[#This Row],[Pièces 
Demandés]]-registreGarantie[[#This Row],[Pièces 
Remboursés]])</f>
        <v/>
      </c>
      <c r="P365" s="69"/>
      <c r="Q365" s="69"/>
      <c r="R365" s="70" t="str">
        <f>IF(registreGarantie[[#This Row],[date paiement]]="","",registreGarantie[[#This Row],[MO
Demandé]]-registreGarantie[[#This Row],[MO
Remboursé]])</f>
        <v/>
      </c>
      <c r="S365" s="69"/>
      <c r="T365" s="70" t="str">
        <f>IF(registreGarantie[[#This Row],[date paiement]]="","",registreGarantie[[#This Row],[MO
Refusé]]+registreGarantie[[#This Row],[Pièces
Refusés]])</f>
        <v/>
      </c>
      <c r="U365" s="106"/>
      <c r="V365" s="71" t="str">
        <f>IF(registreGarantie[[#This Row],[Pièces 
Demandés]]="","",registreGarantie[[#This Row],[Date]])</f>
        <v/>
      </c>
      <c r="W365" s="103" t="str">
        <f>IF(registreGarantie[[#This Row],[Pièces 
Demandés]]="","",IF(registreGarantie[[#This Row],[date paiement]]="","",registreGarantie[[#This Row],[date paiement]]+91))</f>
        <v/>
      </c>
      <c r="X3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5" s="74" t="str">
        <f ca="1">IF(registreGarantie[[#This Row],[Colonne1]]=0,"",IF(TODAY()&gt;registreGarantie[[#This Row],[Date rebus]],0,1))</f>
        <v/>
      </c>
      <c r="Z365" s="66"/>
      <c r="AA365" s="73" t="str">
        <f>IF(AND(registreGarantie[[#This Row],[Montant non remboursé]]&gt;1,registreGarantie[[#This Row],[Montant non remboursé]]&lt;&gt;""),1,"")</f>
        <v/>
      </c>
      <c r="AB365" s="66"/>
      <c r="AC365" s="66"/>
      <c r="AD365" s="87">
        <f t="shared" si="5"/>
        <v>365</v>
      </c>
      <c r="AE365" s="109"/>
    </row>
    <row r="366" spans="1:31" ht="36.6" thickBot="1" x14ac:dyDescent="0.4">
      <c r="A366" s="64">
        <v>45046</v>
      </c>
      <c r="B366" s="64">
        <v>43794</v>
      </c>
      <c r="C366" s="106">
        <v>45667</v>
      </c>
      <c r="D366" s="66" t="s">
        <v>56</v>
      </c>
      <c r="E366" s="66" t="s">
        <v>106</v>
      </c>
      <c r="F366" s="68" t="s">
        <v>2328</v>
      </c>
      <c r="G366" s="66" t="s">
        <v>671</v>
      </c>
      <c r="H366" s="64">
        <v>1058</v>
      </c>
      <c r="I366" s="67" t="s">
        <v>18</v>
      </c>
      <c r="J366" s="97">
        <v>404524963</v>
      </c>
      <c r="K366" s="66" t="s">
        <v>1921</v>
      </c>
      <c r="L366" s="68"/>
      <c r="M366" s="69"/>
      <c r="N366" s="69"/>
      <c r="O366" s="70" t="str">
        <f>IF(registreGarantie[[#This Row],[date paiement]]="","",registreGarantie[[#This Row],[Pièces 
Demandés]]-registreGarantie[[#This Row],[Pièces 
Remboursés]])</f>
        <v/>
      </c>
      <c r="P366" s="69"/>
      <c r="Q366" s="69"/>
      <c r="R366" s="70" t="str">
        <f>IF(registreGarantie[[#This Row],[date paiement]]="","",registreGarantie[[#This Row],[MO
Demandé]]-registreGarantie[[#This Row],[MO
Remboursé]])</f>
        <v/>
      </c>
      <c r="S366" s="69"/>
      <c r="T366" s="70" t="str">
        <f>IF(registreGarantie[[#This Row],[date paiement]]="","",registreGarantie[[#This Row],[MO
Refusé]]+registreGarantie[[#This Row],[Pièces
Refusés]])</f>
        <v/>
      </c>
      <c r="U366" s="106"/>
      <c r="V366" s="71" t="str">
        <f>IF(registreGarantie[[#This Row],[Pièces 
Demandés]]="","",registreGarantie[[#This Row],[Date]])</f>
        <v/>
      </c>
      <c r="W366" s="103" t="str">
        <f>IF(registreGarantie[[#This Row],[Pièces 
Demandés]]="","",IF(registreGarantie[[#This Row],[date paiement]]="","",registreGarantie[[#This Row],[date paiement]]+91))</f>
        <v/>
      </c>
      <c r="X3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6" s="74" t="str">
        <f ca="1">IF(registreGarantie[[#This Row],[Colonne1]]=0,"",IF(TODAY()&gt;registreGarantie[[#This Row],[Date rebus]],0,1))</f>
        <v/>
      </c>
      <c r="Z366" s="66"/>
      <c r="AA366" s="73" t="str">
        <f>IF(AND(registreGarantie[[#This Row],[Montant non remboursé]]&gt;1,registreGarantie[[#This Row],[Montant non remboursé]]&lt;&gt;""),1,"")</f>
        <v/>
      </c>
      <c r="AB366" s="66"/>
      <c r="AC366" s="66"/>
      <c r="AD366" s="87">
        <f t="shared" si="5"/>
        <v>366</v>
      </c>
      <c r="AE366" s="109"/>
    </row>
    <row r="367" spans="1:31" ht="18" customHeight="1" thickBot="1" x14ac:dyDescent="0.4">
      <c r="A367" s="75">
        <v>45047</v>
      </c>
      <c r="B367" s="75">
        <v>43568</v>
      </c>
      <c r="C367" s="107">
        <v>45670</v>
      </c>
      <c r="D367" s="76" t="s">
        <v>375</v>
      </c>
      <c r="E367" s="76" t="s">
        <v>75</v>
      </c>
      <c r="F367" s="78" t="s">
        <v>2284</v>
      </c>
      <c r="G367" s="76" t="s">
        <v>525</v>
      </c>
      <c r="H367" s="75">
        <v>2066</v>
      </c>
      <c r="I367" s="77" t="s">
        <v>15</v>
      </c>
      <c r="J367" s="105">
        <v>404527022</v>
      </c>
      <c r="K367" s="76"/>
      <c r="L367" s="78"/>
      <c r="M367" s="79">
        <v>170.12</v>
      </c>
      <c r="N367" s="79"/>
      <c r="O367" s="80" t="str">
        <f>IF(registreGarantie[[#This Row],[date paiement]]="","",registreGarantie[[#This Row],[Pièces 
Demandés]]-registreGarantie[[#This Row],[Pièces 
Remboursés]])</f>
        <v/>
      </c>
      <c r="P367" s="79">
        <v>2214</v>
      </c>
      <c r="Q367" s="79"/>
      <c r="R367" s="80" t="str">
        <f>IF(registreGarantie[[#This Row],[date paiement]]="","",registreGarantie[[#This Row],[MO
Demandé]]-registreGarantie[[#This Row],[MO
Remboursé]])</f>
        <v/>
      </c>
      <c r="S367" s="79"/>
      <c r="T367" s="80" t="str">
        <f>IF(registreGarantie[[#This Row],[date paiement]]="","",registreGarantie[[#This Row],[MO
Refusé]]+registreGarantie[[#This Row],[Pièces
Refusés]])</f>
        <v/>
      </c>
      <c r="U367" s="107"/>
      <c r="V367" s="71">
        <f>IF(registreGarantie[[#This Row],[Pièces 
Demandés]]="","",registreGarantie[[#This Row],[Date]])</f>
        <v>45670</v>
      </c>
      <c r="W367" s="103" t="str">
        <f>IF(registreGarantie[[#This Row],[Pièces 
Demandés]]="","",IF(registreGarantie[[#This Row],[date paiement]]="","",registreGarantie[[#This Row],[date paiement]]+91))</f>
        <v/>
      </c>
      <c r="X367" s="8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7" s="82" t="str">
        <f ca="1">IF(registreGarantie[[#This Row],[Colonne1]]=0,"",IF(TODAY()&gt;registreGarantie[[#This Row],[Date rebus]],0,1))</f>
        <v/>
      </c>
      <c r="Z367" s="76"/>
      <c r="AA367" s="83" t="str">
        <f>IF(AND(registreGarantie[[#This Row],[Montant non remboursé]]&gt;1,registreGarantie[[#This Row],[Montant non remboursé]]&lt;&gt;""),1,"")</f>
        <v/>
      </c>
      <c r="AB367" s="76"/>
      <c r="AC367" s="76"/>
      <c r="AD367" s="87">
        <f t="shared" si="5"/>
        <v>367</v>
      </c>
      <c r="AE367" s="109"/>
    </row>
    <row r="368" spans="1:31" ht="18" customHeight="1" thickBot="1" x14ac:dyDescent="0.4">
      <c r="A368" s="64">
        <v>45048</v>
      </c>
      <c r="B368" s="64">
        <v>43810</v>
      </c>
      <c r="C368" s="106">
        <v>45671.381469907406</v>
      </c>
      <c r="D368" s="66" t="s">
        <v>567</v>
      </c>
      <c r="E368" s="66" t="s">
        <v>299</v>
      </c>
      <c r="F368" s="68"/>
      <c r="G368" s="66" t="s">
        <v>1593</v>
      </c>
      <c r="H368" s="64">
        <v>4610</v>
      </c>
      <c r="I368" s="67" t="s">
        <v>15</v>
      </c>
      <c r="J368" s="97">
        <v>404527114</v>
      </c>
      <c r="K368" s="66"/>
      <c r="L368" s="68"/>
      <c r="M368" s="69">
        <v>553.07000000000005</v>
      </c>
      <c r="N368" s="69">
        <v>533.94000000000005</v>
      </c>
      <c r="O368" s="70">
        <f>IF(registreGarantie[[#This Row],[date paiement]]="","",registreGarantie[[#This Row],[Pièces 
Demandés]]-registreGarantie[[#This Row],[Pièces 
Remboursés]])</f>
        <v>19.129999999999995</v>
      </c>
      <c r="P368" s="69">
        <v>196.5</v>
      </c>
      <c r="Q368" s="69">
        <v>196.5</v>
      </c>
      <c r="R368" s="70">
        <f>IF(registreGarantie[[#This Row],[date paiement]]="","",registreGarantie[[#This Row],[MO
Demandé]]-registreGarantie[[#This Row],[MO
Remboursé]])</f>
        <v>0</v>
      </c>
      <c r="S368" s="69"/>
      <c r="T368" s="70">
        <f>IF(registreGarantie[[#This Row],[date paiement]]="","",registreGarantie[[#This Row],[MO
Refusé]]+registreGarantie[[#This Row],[Pièces
Refusés]])</f>
        <v>19.129999999999995</v>
      </c>
      <c r="U368" s="106">
        <v>45687.538912037038</v>
      </c>
      <c r="V368" s="71">
        <f>IF(registreGarantie[[#This Row],[Pièces 
Demandés]]="","",registreGarantie[[#This Row],[Date]])</f>
        <v>45671.381469907406</v>
      </c>
      <c r="W368" s="103">
        <f>IF(registreGarantie[[#This Row],[Pièces 
Demandés]]="","",IF(registreGarantie[[#This Row],[date paiement]]="","",registreGarantie[[#This Row],[date paiement]]+91))</f>
        <v>45778.538912037038</v>
      </c>
      <c r="X3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68" s="74">
        <f ca="1">IF(registreGarantie[[#This Row],[Colonne1]]=0,"",IF(TODAY()&gt;registreGarantie[[#This Row],[Date rebus]],0,1))</f>
        <v>0</v>
      </c>
      <c r="Z368" s="66" t="s">
        <v>1922</v>
      </c>
      <c r="AA368" s="73">
        <f>IF(AND(registreGarantie[[#This Row],[Montant non remboursé]]&gt;1,registreGarantie[[#This Row],[Montant non remboursé]]&lt;&gt;""),1,"")</f>
        <v>1</v>
      </c>
      <c r="AB368" s="66"/>
      <c r="AC368" s="66"/>
      <c r="AD368" s="87">
        <f t="shared" si="5"/>
        <v>368</v>
      </c>
      <c r="AE368" s="109"/>
    </row>
    <row r="369" spans="1:31" ht="18" customHeight="1" thickBot="1" x14ac:dyDescent="0.4">
      <c r="A369" s="64">
        <v>45049</v>
      </c>
      <c r="B369" s="64">
        <v>43817</v>
      </c>
      <c r="C369" s="106">
        <v>45671</v>
      </c>
      <c r="D369" s="66" t="s">
        <v>639</v>
      </c>
      <c r="E369" s="66" t="s">
        <v>106</v>
      </c>
      <c r="F369" s="68" t="s">
        <v>2295</v>
      </c>
      <c r="G369" s="66" t="s">
        <v>991</v>
      </c>
      <c r="H369" s="64">
        <v>2756</v>
      </c>
      <c r="I369" s="67" t="s">
        <v>18</v>
      </c>
      <c r="J369" s="97">
        <v>404528563</v>
      </c>
      <c r="K369" s="66"/>
      <c r="L369" s="68"/>
      <c r="M369" s="69"/>
      <c r="N369" s="69"/>
      <c r="O369" s="70" t="str">
        <f>IF(registreGarantie[[#This Row],[date paiement]]="","",registreGarantie[[#This Row],[Pièces 
Demandés]]-registreGarantie[[#This Row],[Pièces 
Remboursés]])</f>
        <v/>
      </c>
      <c r="P369" s="69"/>
      <c r="Q369" s="69"/>
      <c r="R369" s="70" t="str">
        <f>IF(registreGarantie[[#This Row],[date paiement]]="","",registreGarantie[[#This Row],[MO
Demandé]]-registreGarantie[[#This Row],[MO
Remboursé]])</f>
        <v/>
      </c>
      <c r="S369" s="69"/>
      <c r="T369" s="70" t="str">
        <f>IF(registreGarantie[[#This Row],[date paiement]]="","",registreGarantie[[#This Row],[MO
Refusé]]+registreGarantie[[#This Row],[Pièces
Refusés]])</f>
        <v/>
      </c>
      <c r="U369" s="106"/>
      <c r="V369" s="71" t="str">
        <f>IF(registreGarantie[[#This Row],[Pièces 
Demandés]]="","",registreGarantie[[#This Row],[Date]])</f>
        <v/>
      </c>
      <c r="W369" s="103" t="str">
        <f>IF(registreGarantie[[#This Row],[Pièces 
Demandés]]="","",IF(registreGarantie[[#This Row],[date paiement]]="","",registreGarantie[[#This Row],[date paiement]]+91))</f>
        <v/>
      </c>
      <c r="X3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69" s="74" t="str">
        <f ca="1">IF(registreGarantie[[#This Row],[Colonne1]]=0,"",IF(TODAY()&gt;registreGarantie[[#This Row],[Date rebus]],0,1))</f>
        <v/>
      </c>
      <c r="Z369" s="66"/>
      <c r="AA369" s="73" t="str">
        <f>IF(AND(registreGarantie[[#This Row],[Montant non remboursé]]&gt;1,registreGarantie[[#This Row],[Montant non remboursé]]&lt;&gt;""),1,"")</f>
        <v/>
      </c>
      <c r="AB369" s="66"/>
      <c r="AC369" s="66"/>
      <c r="AD369" s="87">
        <f t="shared" si="5"/>
        <v>369</v>
      </c>
      <c r="AE369" s="109"/>
    </row>
    <row r="370" spans="1:31" ht="18" customHeight="1" thickBot="1" x14ac:dyDescent="0.4">
      <c r="A370" s="64">
        <v>45050</v>
      </c>
      <c r="B370" s="64">
        <v>43813</v>
      </c>
      <c r="C370" s="106">
        <v>45672</v>
      </c>
      <c r="D370" s="66" t="s">
        <v>1097</v>
      </c>
      <c r="E370" s="66" t="s">
        <v>106</v>
      </c>
      <c r="F370" s="68" t="s">
        <v>2313</v>
      </c>
      <c r="G370" s="66" t="s">
        <v>1923</v>
      </c>
      <c r="H370" s="64">
        <v>1040</v>
      </c>
      <c r="I370" s="67" t="s">
        <v>3</v>
      </c>
      <c r="J370" s="97">
        <v>404529198</v>
      </c>
      <c r="K370" s="66"/>
      <c r="L370" s="68"/>
      <c r="M370" s="69">
        <v>121.04</v>
      </c>
      <c r="N370" s="69">
        <v>121.04</v>
      </c>
      <c r="O370" s="70">
        <f>IF(registreGarantie[[#This Row],[date paiement]]="","",registreGarantie[[#This Row],[Pièces 
Demandés]]-registreGarantie[[#This Row],[Pièces 
Remboursés]])</f>
        <v>0</v>
      </c>
      <c r="P370" s="69">
        <v>131</v>
      </c>
      <c r="Q370" s="69">
        <v>131</v>
      </c>
      <c r="R370" s="70">
        <f>IF(registreGarantie[[#This Row],[date paiement]]="","",registreGarantie[[#This Row],[MO
Demandé]]-registreGarantie[[#This Row],[MO
Remboursé]])</f>
        <v>0</v>
      </c>
      <c r="S370" s="69"/>
      <c r="T370" s="70">
        <f>IF(registreGarantie[[#This Row],[date paiement]]="","",registreGarantie[[#This Row],[MO
Refusé]]+registreGarantie[[#This Row],[Pièces
Refusés]])</f>
        <v>0</v>
      </c>
      <c r="U370" s="106">
        <v>45672</v>
      </c>
      <c r="V370" s="71">
        <f>IF(registreGarantie[[#This Row],[Pièces 
Demandés]]="","",registreGarantie[[#This Row],[Date]])</f>
        <v>45672</v>
      </c>
      <c r="W370" s="103">
        <f>IF(registreGarantie[[#This Row],[Pièces 
Demandés]]="","",IF(registreGarantie[[#This Row],[date paiement]]="","",registreGarantie[[#This Row],[date paiement]]+91))</f>
        <v>45763</v>
      </c>
      <c r="X3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0" s="74">
        <f ca="1">IF(registreGarantie[[#This Row],[Colonne1]]=0,"",IF(TODAY()&gt;registreGarantie[[#This Row],[Date rebus]],0,1))</f>
        <v>0</v>
      </c>
      <c r="Z370" s="66"/>
      <c r="AA370" s="73" t="str">
        <f>IF(AND(registreGarantie[[#This Row],[Montant non remboursé]]&gt;1,registreGarantie[[#This Row],[Montant non remboursé]]&lt;&gt;""),1,"")</f>
        <v/>
      </c>
      <c r="AB370" s="66"/>
      <c r="AC370" s="66"/>
      <c r="AD370" s="87">
        <f t="shared" si="5"/>
        <v>370</v>
      </c>
      <c r="AE370" s="109"/>
    </row>
    <row r="371" spans="1:31" ht="18" customHeight="1" thickBot="1" x14ac:dyDescent="0.4">
      <c r="A371" s="64">
        <v>45051</v>
      </c>
      <c r="B371" s="64">
        <v>6045</v>
      </c>
      <c r="C371" s="106">
        <v>45680.60701388889</v>
      </c>
      <c r="D371" s="66" t="s">
        <v>239</v>
      </c>
      <c r="E371" s="66" t="s">
        <v>546</v>
      </c>
      <c r="F371" s="68">
        <v>78410241</v>
      </c>
      <c r="G371" s="66" t="s">
        <v>787</v>
      </c>
      <c r="H371" s="64">
        <v>1113</v>
      </c>
      <c r="I371" s="67" t="s">
        <v>20</v>
      </c>
      <c r="J371" s="97">
        <v>404535344</v>
      </c>
      <c r="K371" s="66"/>
      <c r="L371" s="68" t="s">
        <v>1924</v>
      </c>
      <c r="M371" s="69">
        <v>3530.2</v>
      </c>
      <c r="N371" s="69">
        <v>3530.2</v>
      </c>
      <c r="O371" s="70">
        <f>IF(registreGarantie[[#This Row],[date paiement]]="","",registreGarantie[[#This Row],[Pièces 
Demandés]]-registreGarantie[[#This Row],[Pièces 
Remboursés]])</f>
        <v>0</v>
      </c>
      <c r="P371" s="69">
        <v>1834</v>
      </c>
      <c r="Q371" s="69">
        <v>1834</v>
      </c>
      <c r="R371" s="70">
        <f>IF(registreGarantie[[#This Row],[date paiement]]="","",registreGarantie[[#This Row],[MO
Demandé]]-registreGarantie[[#This Row],[MO
Remboursé]])</f>
        <v>0</v>
      </c>
      <c r="S371" s="69"/>
      <c r="T371" s="70">
        <f>IF(registreGarantie[[#This Row],[date paiement]]="","",registreGarantie[[#This Row],[MO
Refusé]]+registreGarantie[[#This Row],[Pièces
Refusés]])</f>
        <v>0</v>
      </c>
      <c r="U371" s="106">
        <v>45783</v>
      </c>
      <c r="V371" s="71">
        <f>IF(registreGarantie[[#This Row],[Pièces 
Demandés]]="","",registreGarantie[[#This Row],[Date]])</f>
        <v>45680.60701388889</v>
      </c>
      <c r="W371" s="103">
        <f>IF(registreGarantie[[#This Row],[Pièces 
Demandés]]="","",IF(registreGarantie[[#This Row],[date paiement]]="","",registreGarantie[[#This Row],[date paiement]]+91))</f>
        <v>45874</v>
      </c>
      <c r="X3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71" s="74" t="str">
        <f ca="1">IF(registreGarantie[[#This Row],[Colonne1]]=0,"",IF(TODAY()&gt;registreGarantie[[#This Row],[Date rebus]],0,1))</f>
        <v/>
      </c>
      <c r="Z371" s="66"/>
      <c r="AA371" s="73" t="str">
        <f>IF(AND(registreGarantie[[#This Row],[Montant non remboursé]]&gt;1,registreGarantie[[#This Row],[Montant non remboursé]]&lt;&gt;""),1,"")</f>
        <v/>
      </c>
      <c r="AB371" s="66"/>
      <c r="AC371" s="66"/>
      <c r="AD371" s="87">
        <f t="shared" si="5"/>
        <v>371</v>
      </c>
      <c r="AE371" s="109"/>
    </row>
    <row r="372" spans="1:31" ht="18" customHeight="1" thickBot="1" x14ac:dyDescent="0.4">
      <c r="A372" s="64">
        <v>45051</v>
      </c>
      <c r="B372" s="64">
        <v>6045</v>
      </c>
      <c r="C372" s="106">
        <v>45680.60701388889</v>
      </c>
      <c r="D372" s="66" t="s">
        <v>239</v>
      </c>
      <c r="E372" s="66" t="s">
        <v>546</v>
      </c>
      <c r="F372" s="68">
        <v>78410241</v>
      </c>
      <c r="G372" s="66" t="s">
        <v>787</v>
      </c>
      <c r="H372" s="64">
        <v>1113</v>
      </c>
      <c r="I372" s="67" t="s">
        <v>2</v>
      </c>
      <c r="J372" s="97">
        <v>404535344</v>
      </c>
      <c r="K372" s="66"/>
      <c r="L372" s="68" t="s">
        <v>1924</v>
      </c>
      <c r="M372" s="69">
        <v>3530.2</v>
      </c>
      <c r="N372" s="69">
        <v>3530.2</v>
      </c>
      <c r="O372" s="70">
        <f>IF(registreGarantie[[#This Row],[date paiement]]="","",registreGarantie[[#This Row],[Pièces 
Demandés]]-registreGarantie[[#This Row],[Pièces 
Remboursés]])</f>
        <v>0</v>
      </c>
      <c r="P372" s="69">
        <v>1834</v>
      </c>
      <c r="Q372" s="69">
        <v>1834</v>
      </c>
      <c r="R372" s="70">
        <f>IF(registreGarantie[[#This Row],[date paiement]]="","",registreGarantie[[#This Row],[MO
Demandé]]-registreGarantie[[#This Row],[MO
Remboursé]])</f>
        <v>0</v>
      </c>
      <c r="S372" s="69"/>
      <c r="T372" s="70">
        <f>IF(registreGarantie[[#This Row],[date paiement]]="","",registreGarantie[[#This Row],[MO
Refusé]]+registreGarantie[[#This Row],[Pièces
Refusés]])</f>
        <v>0</v>
      </c>
      <c r="U372" s="106">
        <v>45782</v>
      </c>
      <c r="V372" s="71">
        <f>IF(registreGarantie[[#This Row],[Pièces 
Demandés]]="","",registreGarantie[[#This Row],[Date]])</f>
        <v>45680.60701388889</v>
      </c>
      <c r="W372" s="103">
        <f>IF(registreGarantie[[#This Row],[Pièces 
Demandés]]="","",IF(registreGarantie[[#This Row],[date paiement]]="","",registreGarantie[[#This Row],[date paiement]]+91))</f>
        <v>45873</v>
      </c>
      <c r="X3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2" s="74">
        <f ca="1">IF(registreGarantie[[#This Row],[Colonne1]]=0,"",IF(TODAY()&gt;registreGarantie[[#This Row],[Date rebus]],0,1))</f>
        <v>0</v>
      </c>
      <c r="Z372" s="66"/>
      <c r="AA372" s="73" t="str">
        <f>IF(AND(registreGarantie[[#This Row],[Montant non remboursé]]&gt;1,registreGarantie[[#This Row],[Montant non remboursé]]&lt;&gt;""),1,"")</f>
        <v/>
      </c>
      <c r="AB372" s="66"/>
      <c r="AC372" s="66"/>
      <c r="AD372" s="87">
        <f t="shared" si="5"/>
        <v>372</v>
      </c>
      <c r="AE372" s="109"/>
    </row>
    <row r="373" spans="1:31" ht="18" customHeight="1" thickBot="1" x14ac:dyDescent="0.4">
      <c r="A373" s="64">
        <v>45052</v>
      </c>
      <c r="B373" s="64">
        <v>43832</v>
      </c>
      <c r="C373" s="106">
        <v>45674</v>
      </c>
      <c r="D373" s="66" t="s">
        <v>411</v>
      </c>
      <c r="E373" s="66" t="s">
        <v>179</v>
      </c>
      <c r="F373" s="68" t="s">
        <v>2347</v>
      </c>
      <c r="G373" s="66" t="s">
        <v>1140</v>
      </c>
      <c r="H373" s="64">
        <v>3894</v>
      </c>
      <c r="I373" s="67" t="s">
        <v>15</v>
      </c>
      <c r="J373" s="97">
        <v>404538813</v>
      </c>
      <c r="K373" s="66"/>
      <c r="L373" s="68"/>
      <c r="M373" s="69">
        <v>70.17</v>
      </c>
      <c r="N373" s="69">
        <v>70.17</v>
      </c>
      <c r="O373" s="70">
        <f>IF(registreGarantie[[#This Row],[date paiement]]="","",registreGarantie[[#This Row],[Pièces 
Demandés]]-registreGarantie[[#This Row],[Pièces 
Remboursés]])</f>
        <v>0</v>
      </c>
      <c r="P373" s="69">
        <v>52.4</v>
      </c>
      <c r="Q373" s="69">
        <v>52.4</v>
      </c>
      <c r="R373" s="70">
        <f>IF(registreGarantie[[#This Row],[date paiement]]="","",registreGarantie[[#This Row],[MO
Demandé]]-registreGarantie[[#This Row],[MO
Remboursé]])</f>
        <v>0</v>
      </c>
      <c r="S373" s="69"/>
      <c r="T373" s="70">
        <f>IF(registreGarantie[[#This Row],[date paiement]]="","",registreGarantie[[#This Row],[MO
Refusé]]+registreGarantie[[#This Row],[Pièces
Refusés]])</f>
        <v>0</v>
      </c>
      <c r="U373" s="106">
        <v>45687.539259259262</v>
      </c>
      <c r="V373" s="71">
        <f>IF(registreGarantie[[#This Row],[Pièces 
Demandés]]="","",registreGarantie[[#This Row],[Date]])</f>
        <v>45674</v>
      </c>
      <c r="W373" s="103">
        <f>IF(registreGarantie[[#This Row],[Pièces 
Demandés]]="","",IF(registreGarantie[[#This Row],[date paiement]]="","",registreGarantie[[#This Row],[date paiement]]+91))</f>
        <v>45778.539259259262</v>
      </c>
      <c r="X3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3" s="74">
        <f ca="1">IF(registreGarantie[[#This Row],[Colonne1]]=0,"",IF(TODAY()&gt;registreGarantie[[#This Row],[Date rebus]],0,1))</f>
        <v>0</v>
      </c>
      <c r="Z373" s="66"/>
      <c r="AA373" s="73" t="str">
        <f>IF(AND(registreGarantie[[#This Row],[Montant non remboursé]]&gt;1,registreGarantie[[#This Row],[Montant non remboursé]]&lt;&gt;""),1,"")</f>
        <v/>
      </c>
      <c r="AB373" s="66"/>
      <c r="AC373" s="66"/>
      <c r="AD373" s="87">
        <f t="shared" si="5"/>
        <v>373</v>
      </c>
      <c r="AE373" s="109"/>
    </row>
    <row r="374" spans="1:31" ht="18" customHeight="1" thickBot="1" x14ac:dyDescent="0.4">
      <c r="A374" s="64">
        <v>45053</v>
      </c>
      <c r="B374" s="64">
        <v>43775</v>
      </c>
      <c r="C374" s="106">
        <v>45679</v>
      </c>
      <c r="D374" s="66" t="s">
        <v>262</v>
      </c>
      <c r="E374" s="66" t="s">
        <v>78</v>
      </c>
      <c r="F374" s="68"/>
      <c r="G374" s="66" t="s">
        <v>1925</v>
      </c>
      <c r="H374" s="64" t="s">
        <v>1926</v>
      </c>
      <c r="I374" s="67" t="s">
        <v>1927</v>
      </c>
      <c r="J374" s="97" t="s">
        <v>1928</v>
      </c>
      <c r="K374" s="66"/>
      <c r="L374" s="68" t="s">
        <v>1929</v>
      </c>
      <c r="M374" s="69"/>
      <c r="N374" s="69"/>
      <c r="O374" s="70" t="str">
        <f>IF(registreGarantie[[#This Row],[date paiement]]="","",registreGarantie[[#This Row],[Pièces 
Demandés]]-registreGarantie[[#This Row],[Pièces 
Remboursés]])</f>
        <v/>
      </c>
      <c r="P374" s="69"/>
      <c r="Q374" s="69"/>
      <c r="R374" s="70" t="str">
        <f>IF(registreGarantie[[#This Row],[date paiement]]="","",registreGarantie[[#This Row],[MO
Demandé]]-registreGarantie[[#This Row],[MO
Remboursé]])</f>
        <v/>
      </c>
      <c r="S374" s="69"/>
      <c r="T374" s="70" t="str">
        <f>IF(registreGarantie[[#This Row],[date paiement]]="","",registreGarantie[[#This Row],[MO
Refusé]]+registreGarantie[[#This Row],[Pièces
Refusés]])</f>
        <v/>
      </c>
      <c r="U374" s="106"/>
      <c r="V374" s="71" t="str">
        <f>IF(registreGarantie[[#This Row],[Pièces 
Demandés]]="","",registreGarantie[[#This Row],[Date]])</f>
        <v/>
      </c>
      <c r="W374" s="103" t="str">
        <f>IF(registreGarantie[[#This Row],[Pièces 
Demandés]]="","",IF(registreGarantie[[#This Row],[date paiement]]="","",registreGarantie[[#This Row],[date paiement]]+91))</f>
        <v/>
      </c>
      <c r="X3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74" s="74" t="str">
        <f ca="1">IF(registreGarantie[[#This Row],[Colonne1]]=0,"",IF(TODAY()&gt;registreGarantie[[#This Row],[Date rebus]],0,1))</f>
        <v/>
      </c>
      <c r="Z374" s="66"/>
      <c r="AA374" s="73" t="str">
        <f>IF(AND(registreGarantie[[#This Row],[Montant non remboursé]]&gt;1,registreGarantie[[#This Row],[Montant non remboursé]]&lt;&gt;""),1,"")</f>
        <v/>
      </c>
      <c r="AB374" s="66"/>
      <c r="AC374" s="66"/>
      <c r="AD374" s="87">
        <f t="shared" si="5"/>
        <v>374</v>
      </c>
      <c r="AE374" s="109"/>
    </row>
    <row r="375" spans="1:31" ht="18" customHeight="1" thickBot="1" x14ac:dyDescent="0.4">
      <c r="A375" s="64">
        <v>45053</v>
      </c>
      <c r="B375" s="64">
        <v>43775</v>
      </c>
      <c r="C375" s="106">
        <v>45918</v>
      </c>
      <c r="D375" s="66" t="s">
        <v>262</v>
      </c>
      <c r="E375" s="66" t="s">
        <v>78</v>
      </c>
      <c r="F375" s="68"/>
      <c r="G375" s="66" t="s">
        <v>1925</v>
      </c>
      <c r="H375" s="64" t="s">
        <v>1926</v>
      </c>
      <c r="I375" s="67" t="s">
        <v>21</v>
      </c>
      <c r="J375" s="97" t="s">
        <v>2786</v>
      </c>
      <c r="K375" s="66"/>
      <c r="L375" s="68" t="s">
        <v>1929</v>
      </c>
      <c r="M375" s="69">
        <v>1953.44</v>
      </c>
      <c r="N375" s="69"/>
      <c r="O375" s="69" t="str">
        <f>IF(registreGarantie[[#This Row],[date paiement]]="","",registreGarantie[[#This Row],[Pièces 
Demandés]]-registreGarantie[[#This Row],[Pièces 
Remboursés]])</f>
        <v/>
      </c>
      <c r="P375" s="69">
        <v>265</v>
      </c>
      <c r="Q375" s="69"/>
      <c r="R375" s="70" t="str">
        <f>IF(registreGarantie[[#This Row],[date paiement]]="","",registreGarantie[[#This Row],[MO
Demandé]]-registreGarantie[[#This Row],[MO
Remboursé]])</f>
        <v/>
      </c>
      <c r="S375" s="69"/>
      <c r="T375" s="70" t="str">
        <f>IF(registreGarantie[[#This Row],[date paiement]]="","",registreGarantie[[#This Row],[MO
Refusé]]+registreGarantie[[#This Row],[Pièces
Refusés]])</f>
        <v/>
      </c>
      <c r="U375" s="106"/>
      <c r="V375" s="71">
        <f>IF(registreGarantie[[#This Row],[Pièces 
Demandés]]="","",registreGarantie[[#This Row],[Date]])</f>
        <v>45918</v>
      </c>
      <c r="W375" s="103" t="str">
        <f>IF(registreGarantie[[#This Row],[Pièces 
Demandés]]="","",IF(registreGarantie[[#This Row],[date paiement]]="","",registreGarantie[[#This Row],[date paiement]]+91))</f>
        <v/>
      </c>
      <c r="X3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75" s="74" t="str">
        <f ca="1">IF(registreGarantie[[#This Row],[Colonne1]]=0,"",IF(TODAY()&gt;registreGarantie[[#This Row],[Date rebus]],0,1))</f>
        <v/>
      </c>
      <c r="Z375" s="66"/>
      <c r="AA375" s="73" t="str">
        <f>IF(AND(registreGarantie[[#This Row],[Montant non remboursé]]&gt;1,registreGarantie[[#This Row],[Montant non remboursé]]&lt;&gt;""),1,"")</f>
        <v/>
      </c>
      <c r="AB375" s="66"/>
      <c r="AC375" s="66"/>
      <c r="AD375" s="87">
        <f t="shared" si="5"/>
        <v>375</v>
      </c>
      <c r="AE375" s="109"/>
    </row>
    <row r="376" spans="1:31" ht="18" customHeight="1" thickBot="1" x14ac:dyDescent="0.4">
      <c r="A376" s="64">
        <v>45054</v>
      </c>
      <c r="B376" s="64">
        <v>43829</v>
      </c>
      <c r="C376" s="106">
        <v>45681</v>
      </c>
      <c r="D376" s="66" t="s">
        <v>292</v>
      </c>
      <c r="E376" s="66" t="s">
        <v>75</v>
      </c>
      <c r="F376" s="68" t="s">
        <v>2244</v>
      </c>
      <c r="G376" s="66" t="s">
        <v>146</v>
      </c>
      <c r="H376" s="64">
        <v>694</v>
      </c>
      <c r="I376" s="67" t="s">
        <v>3</v>
      </c>
      <c r="J376" s="97">
        <v>404547778</v>
      </c>
      <c r="K376" s="66"/>
      <c r="L376" s="68"/>
      <c r="M376" s="69">
        <v>79.64</v>
      </c>
      <c r="N376" s="69">
        <v>79.64</v>
      </c>
      <c r="O376" s="70">
        <f>IF(registreGarantie[[#This Row],[date paiement]]="","",registreGarantie[[#This Row],[Pièces 
Demandés]]-registreGarantie[[#This Row],[Pièces 
Remboursés]])</f>
        <v>0</v>
      </c>
      <c r="P376" s="69">
        <v>884.25</v>
      </c>
      <c r="Q376" s="69">
        <v>524</v>
      </c>
      <c r="R376" s="70">
        <f>IF(registreGarantie[[#This Row],[date paiement]]="","",registreGarantie[[#This Row],[MO
Demandé]]-registreGarantie[[#This Row],[MO
Remboursé]])</f>
        <v>360.25</v>
      </c>
      <c r="S376" s="69">
        <v>150</v>
      </c>
      <c r="T376" s="70">
        <f>IF(registreGarantie[[#This Row],[date paiement]]="","",registreGarantie[[#This Row],[MO
Refusé]]+registreGarantie[[#This Row],[Pièces
Refusés]])</f>
        <v>360.25</v>
      </c>
      <c r="U376" s="106">
        <v>45687.539340277777</v>
      </c>
      <c r="V376" s="71">
        <f>IF(registreGarantie[[#This Row],[Pièces 
Demandés]]="","",registreGarantie[[#This Row],[Date]])</f>
        <v>45681</v>
      </c>
      <c r="W376" s="103">
        <f>IF(registreGarantie[[#This Row],[Pièces 
Demandés]]="","",IF(registreGarantie[[#This Row],[date paiement]]="","",registreGarantie[[#This Row],[date paiement]]+91))</f>
        <v>45778.539340277777</v>
      </c>
      <c r="X3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6" s="74">
        <f ca="1">IF(registreGarantie[[#This Row],[Colonne1]]=0,"",IF(TODAY()&gt;registreGarantie[[#This Row],[Date rebus]],0,1))</f>
        <v>0</v>
      </c>
      <c r="Z376" s="66" t="s">
        <v>2245</v>
      </c>
      <c r="AA376" s="73">
        <f>IF(AND(registreGarantie[[#This Row],[Montant non remboursé]]&gt;1,registreGarantie[[#This Row],[Montant non remboursé]]&lt;&gt;""),1,"")</f>
        <v>1</v>
      </c>
      <c r="AB376" s="66"/>
      <c r="AC376" s="66"/>
      <c r="AD376" s="87">
        <f t="shared" si="5"/>
        <v>376</v>
      </c>
      <c r="AE376" s="109"/>
    </row>
    <row r="377" spans="1:31" ht="18" customHeight="1" thickBot="1" x14ac:dyDescent="0.4">
      <c r="A377" s="64">
        <v>45055</v>
      </c>
      <c r="B377" s="64">
        <v>6049</v>
      </c>
      <c r="C377" s="106">
        <v>45681</v>
      </c>
      <c r="D377" s="66" t="s">
        <v>1117</v>
      </c>
      <c r="E377" s="66" t="s">
        <v>1474</v>
      </c>
      <c r="F377" s="68" t="s">
        <v>2298</v>
      </c>
      <c r="G377" s="66" t="s">
        <v>755</v>
      </c>
      <c r="H377" s="64">
        <v>318</v>
      </c>
      <c r="I377" s="67" t="s">
        <v>2</v>
      </c>
      <c r="J377" s="97">
        <v>404548480</v>
      </c>
      <c r="K377" s="66"/>
      <c r="L377" s="68"/>
      <c r="M377" s="69">
        <v>2.16</v>
      </c>
      <c r="N377" s="69">
        <v>2.16</v>
      </c>
      <c r="O377" s="70">
        <f>IF(registreGarantie[[#This Row],[date paiement]]="","",registreGarantie[[#This Row],[Pièces 
Demandés]]-registreGarantie[[#This Row],[Pièces 
Remboursés]])</f>
        <v>0</v>
      </c>
      <c r="P377" s="69">
        <v>32.75</v>
      </c>
      <c r="Q377" s="69">
        <v>32.75</v>
      </c>
      <c r="R377" s="70">
        <f>IF(registreGarantie[[#This Row],[date paiement]]="","",registreGarantie[[#This Row],[MO
Demandé]]-registreGarantie[[#This Row],[MO
Remboursé]])</f>
        <v>0</v>
      </c>
      <c r="S377" s="69"/>
      <c r="T377" s="70">
        <f>IF(registreGarantie[[#This Row],[date paiement]]="","",registreGarantie[[#This Row],[MO
Refusé]]+registreGarantie[[#This Row],[Pièces
Refusés]])</f>
        <v>0</v>
      </c>
      <c r="U377" s="106">
        <v>45687.539571759262</v>
      </c>
      <c r="V377" s="71">
        <f>IF(registreGarantie[[#This Row],[Pièces 
Demandés]]="","",registreGarantie[[#This Row],[Date]])</f>
        <v>45681</v>
      </c>
      <c r="W377" s="103">
        <f>IF(registreGarantie[[#This Row],[Pièces 
Demandés]]="","",IF(registreGarantie[[#This Row],[date paiement]]="","",registreGarantie[[#This Row],[date paiement]]+91))</f>
        <v>45778.539571759262</v>
      </c>
      <c r="X3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7" s="74">
        <f ca="1">IF(registreGarantie[[#This Row],[Colonne1]]=0,"",IF(TODAY()&gt;registreGarantie[[#This Row],[Date rebus]],0,1))</f>
        <v>0</v>
      </c>
      <c r="Z377" s="66"/>
      <c r="AA377" s="73" t="str">
        <f>IF(AND(registreGarantie[[#This Row],[Montant non remboursé]]&gt;1,registreGarantie[[#This Row],[Montant non remboursé]]&lt;&gt;""),1,"")</f>
        <v/>
      </c>
      <c r="AB377" s="66"/>
      <c r="AC377" s="66"/>
      <c r="AD377" s="87">
        <f t="shared" si="5"/>
        <v>377</v>
      </c>
      <c r="AE377" s="109"/>
    </row>
    <row r="378" spans="1:31" ht="18" customHeight="1" thickBot="1" x14ac:dyDescent="0.4">
      <c r="A378" s="64">
        <v>45056</v>
      </c>
      <c r="B378" s="64">
        <v>43861</v>
      </c>
      <c r="C378" s="106">
        <v>45681</v>
      </c>
      <c r="D378" s="66" t="s">
        <v>86</v>
      </c>
      <c r="E378" s="66" t="s">
        <v>45</v>
      </c>
      <c r="F378" s="68" t="s">
        <v>2239</v>
      </c>
      <c r="G378" s="66" t="s">
        <v>1147</v>
      </c>
      <c r="H378" s="64">
        <v>914</v>
      </c>
      <c r="I378" s="67" t="s">
        <v>3</v>
      </c>
      <c r="J378" s="97">
        <v>404548617</v>
      </c>
      <c r="K378" s="66"/>
      <c r="L378" s="68"/>
      <c r="M378" s="69">
        <v>292.36</v>
      </c>
      <c r="N378" s="69">
        <v>292.36</v>
      </c>
      <c r="O378" s="70">
        <f>IF(registreGarantie[[#This Row],[date paiement]]="","",registreGarantie[[#This Row],[Pièces 
Demandés]]-registreGarantie[[#This Row],[Pièces 
Remboursés]])</f>
        <v>0</v>
      </c>
      <c r="P378" s="69">
        <v>65.5</v>
      </c>
      <c r="Q378" s="69">
        <v>65.5</v>
      </c>
      <c r="R378" s="70">
        <f>IF(registreGarantie[[#This Row],[date paiement]]="","",registreGarantie[[#This Row],[MO
Demandé]]-registreGarantie[[#This Row],[MO
Remboursé]])</f>
        <v>0</v>
      </c>
      <c r="S378" s="69">
        <v>150</v>
      </c>
      <c r="T378" s="70">
        <f>IF(registreGarantie[[#This Row],[date paiement]]="","",registreGarantie[[#This Row],[MO
Refusé]]+registreGarantie[[#This Row],[Pièces
Refusés]])</f>
        <v>0</v>
      </c>
      <c r="U378" s="106">
        <v>45687.539629629631</v>
      </c>
      <c r="V378" s="71">
        <f>IF(registreGarantie[[#This Row],[Pièces 
Demandés]]="","",registreGarantie[[#This Row],[Date]])</f>
        <v>45681</v>
      </c>
      <c r="W378" s="103">
        <f>IF(registreGarantie[[#This Row],[Pièces 
Demandés]]="","",IF(registreGarantie[[#This Row],[date paiement]]="","",registreGarantie[[#This Row],[date paiement]]+91))</f>
        <v>45778.539629629631</v>
      </c>
      <c r="X3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78" s="74">
        <f ca="1">IF(registreGarantie[[#This Row],[Colonne1]]=0,"",IF(TODAY()&gt;registreGarantie[[#This Row],[Date rebus]],0,1))</f>
        <v>0</v>
      </c>
      <c r="Z378" s="66"/>
      <c r="AA378" s="73" t="str">
        <f>IF(AND(registreGarantie[[#This Row],[Montant non remboursé]]&gt;1,registreGarantie[[#This Row],[Montant non remboursé]]&lt;&gt;""),1,"")</f>
        <v/>
      </c>
      <c r="AB378" s="66"/>
      <c r="AC378" s="66"/>
      <c r="AD378" s="87">
        <f t="shared" si="5"/>
        <v>378</v>
      </c>
      <c r="AE378" s="109"/>
    </row>
    <row r="379" spans="1:31" ht="18" customHeight="1" thickBot="1" x14ac:dyDescent="0.4">
      <c r="A379" s="64">
        <v>45057</v>
      </c>
      <c r="B379" s="64">
        <v>43860</v>
      </c>
      <c r="C379" s="106">
        <v>45684</v>
      </c>
      <c r="D379" s="66" t="s">
        <v>86</v>
      </c>
      <c r="E379" s="66" t="s">
        <v>45</v>
      </c>
      <c r="F379" s="68" t="s">
        <v>2239</v>
      </c>
      <c r="G379" s="66" t="s">
        <v>671</v>
      </c>
      <c r="H379" s="64">
        <v>914</v>
      </c>
      <c r="I379" s="67" t="s">
        <v>18</v>
      </c>
      <c r="J379" s="97">
        <v>404549060</v>
      </c>
      <c r="K379" s="66"/>
      <c r="L379" s="68"/>
      <c r="M379" s="69"/>
      <c r="N379" s="69"/>
      <c r="O379" s="70" t="str">
        <f>IF(registreGarantie[[#This Row],[date paiement]]="","",registreGarantie[[#This Row],[Pièces 
Demandés]]-registreGarantie[[#This Row],[Pièces 
Remboursés]])</f>
        <v/>
      </c>
      <c r="P379" s="69"/>
      <c r="Q379" s="69"/>
      <c r="R379" s="70" t="str">
        <f>IF(registreGarantie[[#This Row],[date paiement]]="","",registreGarantie[[#This Row],[MO
Demandé]]-registreGarantie[[#This Row],[MO
Remboursé]])</f>
        <v/>
      </c>
      <c r="S379" s="69"/>
      <c r="T379" s="70" t="str">
        <f>IF(registreGarantie[[#This Row],[date paiement]]="","",registreGarantie[[#This Row],[MO
Refusé]]+registreGarantie[[#This Row],[Pièces
Refusés]])</f>
        <v/>
      </c>
      <c r="U379" s="106"/>
      <c r="V379" s="71" t="str">
        <f>IF(registreGarantie[[#This Row],[Pièces 
Demandés]]="","",registreGarantie[[#This Row],[Date]])</f>
        <v/>
      </c>
      <c r="W379" s="103" t="str">
        <f>IF(registreGarantie[[#This Row],[Pièces 
Demandés]]="","",IF(registreGarantie[[#This Row],[date paiement]]="","",registreGarantie[[#This Row],[date paiement]]+91))</f>
        <v/>
      </c>
      <c r="X3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79" s="74" t="str">
        <f ca="1">IF(registreGarantie[[#This Row],[Colonne1]]=0,"",IF(TODAY()&gt;registreGarantie[[#This Row],[Date rebus]],0,1))</f>
        <v/>
      </c>
      <c r="Z379" s="66"/>
      <c r="AA379" s="73" t="str">
        <f>IF(AND(registreGarantie[[#This Row],[Montant non remboursé]]&gt;1,registreGarantie[[#This Row],[Montant non remboursé]]&lt;&gt;""),1,"")</f>
        <v/>
      </c>
      <c r="AB379" s="66"/>
      <c r="AC379" s="66"/>
      <c r="AD379" s="87">
        <f t="shared" si="5"/>
        <v>379</v>
      </c>
      <c r="AE379" s="109"/>
    </row>
    <row r="380" spans="1:31" ht="18" customHeight="1" thickBot="1" x14ac:dyDescent="0.4">
      <c r="A380" s="64">
        <v>45057</v>
      </c>
      <c r="B380" s="64">
        <v>43860</v>
      </c>
      <c r="C380" s="106">
        <v>45684</v>
      </c>
      <c r="D380" s="66" t="s">
        <v>86</v>
      </c>
      <c r="E380" s="66" t="s">
        <v>45</v>
      </c>
      <c r="F380" s="68" t="s">
        <v>2239</v>
      </c>
      <c r="G380" s="66" t="s">
        <v>671</v>
      </c>
      <c r="H380" s="64">
        <v>914</v>
      </c>
      <c r="I380" s="67" t="s">
        <v>1908</v>
      </c>
      <c r="J380" s="97">
        <v>404549074</v>
      </c>
      <c r="K380" s="66"/>
      <c r="L380" s="68"/>
      <c r="M380" s="69"/>
      <c r="N380" s="69"/>
      <c r="O380" s="70" t="str">
        <f>IF(registreGarantie[[#This Row],[date paiement]]="","",registreGarantie[[#This Row],[Pièces 
Demandés]]-registreGarantie[[#This Row],[Pièces 
Remboursés]])</f>
        <v/>
      </c>
      <c r="P380" s="69"/>
      <c r="Q380" s="69"/>
      <c r="R380" s="70" t="str">
        <f>IF(registreGarantie[[#This Row],[date paiement]]="","",registreGarantie[[#This Row],[MO
Demandé]]-registreGarantie[[#This Row],[MO
Remboursé]])</f>
        <v/>
      </c>
      <c r="S380" s="69"/>
      <c r="T380" s="70" t="str">
        <f>IF(registreGarantie[[#This Row],[date paiement]]="","",registreGarantie[[#This Row],[MO
Refusé]]+registreGarantie[[#This Row],[Pièces
Refusés]])</f>
        <v/>
      </c>
      <c r="U380" s="106"/>
      <c r="V380" s="71" t="str">
        <f>IF(registreGarantie[[#This Row],[Pièces 
Demandés]]="","",registreGarantie[[#This Row],[Date]])</f>
        <v/>
      </c>
      <c r="W380" s="103" t="str">
        <f>IF(registreGarantie[[#This Row],[Pièces 
Demandés]]="","",IF(registreGarantie[[#This Row],[date paiement]]="","",registreGarantie[[#This Row],[date paiement]]+91))</f>
        <v/>
      </c>
      <c r="X3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0" s="74" t="str">
        <f ca="1">IF(registreGarantie[[#This Row],[Colonne1]]=0,"",IF(TODAY()&gt;registreGarantie[[#This Row],[Date rebus]],0,1))</f>
        <v/>
      </c>
      <c r="Z380" s="66"/>
      <c r="AA380" s="73" t="str">
        <f>IF(AND(registreGarantie[[#This Row],[Montant non remboursé]]&gt;1,registreGarantie[[#This Row],[Montant non remboursé]]&lt;&gt;""),1,"")</f>
        <v/>
      </c>
      <c r="AB380" s="66"/>
      <c r="AC380" s="66"/>
      <c r="AD380" s="87">
        <f t="shared" si="5"/>
        <v>380</v>
      </c>
      <c r="AE380" s="109"/>
    </row>
    <row r="381" spans="1:31" ht="18" customHeight="1" thickBot="1" x14ac:dyDescent="0.4">
      <c r="A381" s="64">
        <v>45058</v>
      </c>
      <c r="B381" s="64">
        <v>43873</v>
      </c>
      <c r="C381" s="106">
        <v>45685</v>
      </c>
      <c r="D381" s="66" t="s">
        <v>622</v>
      </c>
      <c r="E381" s="66" t="s">
        <v>133</v>
      </c>
      <c r="F381" s="68"/>
      <c r="G381" s="66" t="s">
        <v>1815</v>
      </c>
      <c r="H381" s="64">
        <v>4050</v>
      </c>
      <c r="I381" s="67" t="s">
        <v>20</v>
      </c>
      <c r="J381" s="97">
        <v>404550841</v>
      </c>
      <c r="K381" s="66"/>
      <c r="L381" s="68"/>
      <c r="M381" s="69"/>
      <c r="N381" s="69"/>
      <c r="O381" s="70" t="str">
        <f>IF(registreGarantie[[#This Row],[date paiement]]="","",registreGarantie[[#This Row],[Pièces 
Demandés]]-registreGarantie[[#This Row],[Pièces 
Remboursés]])</f>
        <v/>
      </c>
      <c r="P381" s="69"/>
      <c r="Q381" s="69"/>
      <c r="R381" s="70" t="str">
        <f>IF(registreGarantie[[#This Row],[date paiement]]="","",registreGarantie[[#This Row],[MO
Demandé]]-registreGarantie[[#This Row],[MO
Remboursé]])</f>
        <v/>
      </c>
      <c r="S381" s="69"/>
      <c r="T381" s="70" t="str">
        <f>IF(registreGarantie[[#This Row],[date paiement]]="","",registreGarantie[[#This Row],[MO
Refusé]]+registreGarantie[[#This Row],[Pièces
Refusés]])</f>
        <v/>
      </c>
      <c r="U381" s="106"/>
      <c r="V381" s="71" t="str">
        <f>IF(registreGarantie[[#This Row],[Pièces 
Demandés]]="","",registreGarantie[[#This Row],[Date]])</f>
        <v/>
      </c>
      <c r="W381" s="103" t="str">
        <f>IF(registreGarantie[[#This Row],[Pièces 
Demandés]]="","",IF(registreGarantie[[#This Row],[date paiement]]="","",registreGarantie[[#This Row],[date paiement]]+91))</f>
        <v/>
      </c>
      <c r="X3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1" s="74" t="str">
        <f ca="1">IF(registreGarantie[[#This Row],[Colonne1]]=0,"",IF(TODAY()&gt;registreGarantie[[#This Row],[Date rebus]],0,1))</f>
        <v/>
      </c>
      <c r="Z381" s="66"/>
      <c r="AA381" s="73" t="str">
        <f>IF(AND(registreGarantie[[#This Row],[Montant non remboursé]]&gt;1,registreGarantie[[#This Row],[Montant non remboursé]]&lt;&gt;""),1,"")</f>
        <v/>
      </c>
      <c r="AB381" s="66"/>
      <c r="AC381" s="66"/>
      <c r="AD381" s="87">
        <f t="shared" si="5"/>
        <v>381</v>
      </c>
      <c r="AE381" s="109"/>
    </row>
    <row r="382" spans="1:31" ht="18" customHeight="1" thickBot="1" x14ac:dyDescent="0.4">
      <c r="A382" s="64">
        <v>45058</v>
      </c>
      <c r="B382" s="64">
        <v>43873</v>
      </c>
      <c r="C382" s="106">
        <v>45706.492210648146</v>
      </c>
      <c r="D382" s="66" t="s">
        <v>622</v>
      </c>
      <c r="E382" s="66" t="s">
        <v>133</v>
      </c>
      <c r="F382" s="68"/>
      <c r="G382" s="66" t="s">
        <v>1815</v>
      </c>
      <c r="H382" s="64">
        <v>4050</v>
      </c>
      <c r="I382" s="67" t="s">
        <v>3</v>
      </c>
      <c r="J382" s="97">
        <v>404550841</v>
      </c>
      <c r="K382" s="66"/>
      <c r="L382" s="68"/>
      <c r="M382" s="69">
        <v>46.13</v>
      </c>
      <c r="N382" s="69">
        <v>46.13</v>
      </c>
      <c r="O382" s="70">
        <f>IF(registreGarantie[[#This Row],[date paiement]]="","",registreGarantie[[#This Row],[Pièces 
Demandés]]-registreGarantie[[#This Row],[Pièces 
Remboursés]])</f>
        <v>0</v>
      </c>
      <c r="P382" s="69">
        <v>294.75</v>
      </c>
      <c r="Q382" s="69">
        <v>294.75</v>
      </c>
      <c r="R382" s="70">
        <f>IF(registreGarantie[[#This Row],[date paiement]]="","",registreGarantie[[#This Row],[MO
Demandé]]-registreGarantie[[#This Row],[MO
Remboursé]])</f>
        <v>0</v>
      </c>
      <c r="S382" s="69">
        <v>150</v>
      </c>
      <c r="T382" s="70">
        <f>IF(registreGarantie[[#This Row],[date paiement]]="","",registreGarantie[[#This Row],[MO
Refusé]]+registreGarantie[[#This Row],[Pièces
Refusés]])</f>
        <v>0</v>
      </c>
      <c r="U382" s="106">
        <v>45719</v>
      </c>
      <c r="V382" s="71">
        <f>IF(registreGarantie[[#This Row],[Pièces 
Demandés]]="","",registreGarantie[[#This Row],[Date]])</f>
        <v>45706.492210648146</v>
      </c>
      <c r="W382" s="103">
        <f>IF(registreGarantie[[#This Row],[Pièces 
Demandés]]="","",IF(registreGarantie[[#This Row],[date paiement]]="","",registreGarantie[[#This Row],[date paiement]]+91))</f>
        <v>45810</v>
      </c>
      <c r="X3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82" s="74">
        <f ca="1">IF(registreGarantie[[#This Row],[Colonne1]]=0,"",IF(TODAY()&gt;registreGarantie[[#This Row],[Date rebus]],0,1))</f>
        <v>0</v>
      </c>
      <c r="Z382" s="66"/>
      <c r="AA382" s="73" t="str">
        <f>IF(AND(registreGarantie[[#This Row],[Montant non remboursé]]&gt;1,registreGarantie[[#This Row],[Montant non remboursé]]&lt;&gt;""),1,"")</f>
        <v/>
      </c>
      <c r="AB382" s="66"/>
      <c r="AC382" s="66"/>
      <c r="AD382" s="87">
        <f t="shared" si="5"/>
        <v>382</v>
      </c>
      <c r="AE382" s="109"/>
    </row>
    <row r="383" spans="1:31" ht="18" customHeight="1" thickBot="1" x14ac:dyDescent="0.4">
      <c r="A383" s="64">
        <v>45059</v>
      </c>
      <c r="B383" s="64"/>
      <c r="C383" s="106"/>
      <c r="D383" s="66"/>
      <c r="E383" s="66"/>
      <c r="F383" s="68"/>
      <c r="G383" s="66"/>
      <c r="H383" s="64"/>
      <c r="I383" s="67"/>
      <c r="J383" s="97"/>
      <c r="K383" s="66"/>
      <c r="L383" s="68"/>
      <c r="M383" s="69"/>
      <c r="N383" s="69"/>
      <c r="O383" s="70" t="str">
        <f>IF(registreGarantie[[#This Row],[date paiement]]="","",registreGarantie[[#This Row],[Pièces 
Demandés]]-registreGarantie[[#This Row],[Pièces 
Remboursés]])</f>
        <v/>
      </c>
      <c r="P383" s="69"/>
      <c r="Q383" s="69"/>
      <c r="R383" s="70" t="str">
        <f>IF(registreGarantie[[#This Row],[date paiement]]="","",registreGarantie[[#This Row],[MO
Demandé]]-registreGarantie[[#This Row],[MO
Remboursé]])</f>
        <v/>
      </c>
      <c r="S383" s="69"/>
      <c r="T383" s="70" t="str">
        <f>IF(registreGarantie[[#This Row],[date paiement]]="","",registreGarantie[[#This Row],[MO
Refusé]]+registreGarantie[[#This Row],[Pièces
Refusés]])</f>
        <v/>
      </c>
      <c r="U383" s="106"/>
      <c r="V383" s="71" t="str">
        <f>IF(registreGarantie[[#This Row],[Pièces 
Demandés]]="","",registreGarantie[[#This Row],[Date]])</f>
        <v/>
      </c>
      <c r="W383" s="103" t="str">
        <f>IF(registreGarantie[[#This Row],[Pièces 
Demandés]]="","",IF(registreGarantie[[#This Row],[date paiement]]="","",registreGarantie[[#This Row],[date paiement]]+91))</f>
        <v/>
      </c>
      <c r="X3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3" s="74" t="str">
        <f ca="1">IF(registreGarantie[[#This Row],[Colonne1]]=0,"",IF(TODAY()&gt;registreGarantie[[#This Row],[Date rebus]],0,1))</f>
        <v/>
      </c>
      <c r="Z383" s="66"/>
      <c r="AA383" s="73" t="str">
        <f>IF(AND(registreGarantie[[#This Row],[Montant non remboursé]]&gt;1,registreGarantie[[#This Row],[Montant non remboursé]]&lt;&gt;""),1,"")</f>
        <v/>
      </c>
      <c r="AB383" s="66"/>
      <c r="AC383" s="66"/>
      <c r="AD383" s="87">
        <f t="shared" si="5"/>
        <v>383</v>
      </c>
      <c r="AE383" s="109"/>
    </row>
    <row r="384" spans="1:31" ht="18" customHeight="1" thickBot="1" x14ac:dyDescent="0.4">
      <c r="A384" s="64">
        <v>45060</v>
      </c>
      <c r="B384" s="64">
        <v>43872</v>
      </c>
      <c r="C384" s="106">
        <v>45685</v>
      </c>
      <c r="D384" s="66" t="s">
        <v>439</v>
      </c>
      <c r="E384" s="66" t="s">
        <v>718</v>
      </c>
      <c r="F384" s="68" t="s">
        <v>2292</v>
      </c>
      <c r="G384" s="66" t="s">
        <v>1134</v>
      </c>
      <c r="H384" s="64">
        <v>35</v>
      </c>
      <c r="I384" s="67" t="s">
        <v>2</v>
      </c>
      <c r="J384" s="97">
        <v>404551482</v>
      </c>
      <c r="K384" s="66"/>
      <c r="L384" s="68"/>
      <c r="M384" s="69">
        <v>32.53</v>
      </c>
      <c r="N384" s="69">
        <v>32.53</v>
      </c>
      <c r="O384" s="70">
        <f>IF(registreGarantie[[#This Row],[date paiement]]="","",registreGarantie[[#This Row],[Pièces 
Demandés]]-registreGarantie[[#This Row],[Pièces 
Remboursés]])</f>
        <v>0</v>
      </c>
      <c r="P384" s="69">
        <v>65.5</v>
      </c>
      <c r="Q384" s="69">
        <v>65.5</v>
      </c>
      <c r="R384" s="70">
        <f>IF(registreGarantie[[#This Row],[date paiement]]="","",registreGarantie[[#This Row],[MO
Demandé]]-registreGarantie[[#This Row],[MO
Remboursé]])</f>
        <v>0</v>
      </c>
      <c r="S384" s="69"/>
      <c r="T384" s="70">
        <f>IF(registreGarantie[[#This Row],[date paiement]]="","",registreGarantie[[#This Row],[MO
Refusé]]+registreGarantie[[#This Row],[Pièces
Refusés]])</f>
        <v>0</v>
      </c>
      <c r="U384" s="106">
        <v>45701</v>
      </c>
      <c r="V384" s="71">
        <f>IF(registreGarantie[[#This Row],[Pièces 
Demandés]]="","",registreGarantie[[#This Row],[Date]])</f>
        <v>45685</v>
      </c>
      <c r="W384" s="103">
        <f>IF(registreGarantie[[#This Row],[Pièces 
Demandés]]="","",IF(registreGarantie[[#This Row],[date paiement]]="","",registreGarantie[[#This Row],[date paiement]]+91))</f>
        <v>45792</v>
      </c>
      <c r="X3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84" s="74">
        <f ca="1">IF(registreGarantie[[#This Row],[Colonne1]]=0,"",IF(TODAY()&gt;registreGarantie[[#This Row],[Date rebus]],0,1))</f>
        <v>0</v>
      </c>
      <c r="Z384" s="66"/>
      <c r="AA384" s="73" t="str">
        <f>IF(AND(registreGarantie[[#This Row],[Montant non remboursé]]&gt;1,registreGarantie[[#This Row],[Montant non remboursé]]&lt;&gt;""),1,"")</f>
        <v/>
      </c>
      <c r="AB384" s="66"/>
      <c r="AC384" s="66"/>
      <c r="AD384" s="87">
        <f t="shared" si="5"/>
        <v>384</v>
      </c>
      <c r="AE384" s="109"/>
    </row>
    <row r="385" spans="1:31" ht="18" customHeight="1" thickBot="1" x14ac:dyDescent="0.4">
      <c r="A385" s="64">
        <v>45061</v>
      </c>
      <c r="B385" s="64">
        <v>43806</v>
      </c>
      <c r="C385" s="106">
        <v>45685</v>
      </c>
      <c r="D385" s="66" t="s">
        <v>41</v>
      </c>
      <c r="E385" s="66" t="s">
        <v>367</v>
      </c>
      <c r="F385" s="68" t="s">
        <v>2275</v>
      </c>
      <c r="G385" s="66" t="s">
        <v>564</v>
      </c>
      <c r="H385" s="64">
        <v>257</v>
      </c>
      <c r="I385" s="67" t="s">
        <v>5</v>
      </c>
      <c r="J385" s="97">
        <v>404519470</v>
      </c>
      <c r="K385" s="66"/>
      <c r="L385" s="68"/>
      <c r="M385" s="69">
        <v>20.6</v>
      </c>
      <c r="N385" s="69">
        <v>20.6</v>
      </c>
      <c r="O385" s="70">
        <f>IF(registreGarantie[[#This Row],[date paiement]]="","",registreGarantie[[#This Row],[Pièces 
Demandés]]-registreGarantie[[#This Row],[Pièces 
Remboursés]])</f>
        <v>0</v>
      </c>
      <c r="P385" s="69">
        <v>32.75</v>
      </c>
      <c r="Q385" s="69">
        <v>32.75</v>
      </c>
      <c r="R385" s="70">
        <f>IF(registreGarantie[[#This Row],[date paiement]]="","",registreGarantie[[#This Row],[MO
Demandé]]-registreGarantie[[#This Row],[MO
Remboursé]])</f>
        <v>0</v>
      </c>
      <c r="S385" s="69"/>
      <c r="T385" s="70">
        <f>IF(registreGarantie[[#This Row],[date paiement]]="","",registreGarantie[[#This Row],[MO
Refusé]]+registreGarantie[[#This Row],[Pièces
Refusés]])</f>
        <v>0</v>
      </c>
      <c r="U385" s="106">
        <v>45687.53979166667</v>
      </c>
      <c r="V385" s="71">
        <f>IF(registreGarantie[[#This Row],[Pièces 
Demandés]]="","",registreGarantie[[#This Row],[Date]])</f>
        <v>45685</v>
      </c>
      <c r="W385" s="103">
        <f>IF(registreGarantie[[#This Row],[Pièces 
Demandés]]="","",IF(registreGarantie[[#This Row],[date paiement]]="","",registreGarantie[[#This Row],[date paiement]]+91))</f>
        <v>45778.53979166667</v>
      </c>
      <c r="X3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5" s="74" t="str">
        <f ca="1">IF(registreGarantie[[#This Row],[Colonne1]]=0,"",IF(TODAY()&gt;registreGarantie[[#This Row],[Date rebus]],0,1))</f>
        <v/>
      </c>
      <c r="Z385" s="66"/>
      <c r="AA385" s="73" t="str">
        <f>IF(AND(registreGarantie[[#This Row],[Montant non remboursé]]&gt;1,registreGarantie[[#This Row],[Montant non remboursé]]&lt;&gt;""),1,"")</f>
        <v/>
      </c>
      <c r="AB385" s="66"/>
      <c r="AC385" s="66"/>
      <c r="AD385" s="87">
        <f t="shared" si="5"/>
        <v>385</v>
      </c>
      <c r="AE385" s="109"/>
    </row>
    <row r="386" spans="1:31" ht="18" customHeight="1" thickBot="1" x14ac:dyDescent="0.4">
      <c r="A386" s="64">
        <v>45062</v>
      </c>
      <c r="B386" s="64">
        <v>43871</v>
      </c>
      <c r="C386" s="106">
        <v>45687.547349537039</v>
      </c>
      <c r="D386" s="66" t="s">
        <v>439</v>
      </c>
      <c r="E386" s="66" t="s">
        <v>718</v>
      </c>
      <c r="F386" s="68" t="s">
        <v>2292</v>
      </c>
      <c r="G386" s="66" t="s">
        <v>1074</v>
      </c>
      <c r="H386" s="64">
        <v>35</v>
      </c>
      <c r="I386" s="67" t="s">
        <v>20</v>
      </c>
      <c r="J386" s="97">
        <v>404551651</v>
      </c>
      <c r="K386" s="66"/>
      <c r="L386" s="68"/>
      <c r="M386" s="69"/>
      <c r="N386" s="69"/>
      <c r="O386" s="70" t="str">
        <f>IF(registreGarantie[[#This Row],[date paiement]]="","",registreGarantie[[#This Row],[Pièces 
Demandés]]-registreGarantie[[#This Row],[Pièces 
Remboursés]])</f>
        <v/>
      </c>
      <c r="P386" s="69"/>
      <c r="Q386" s="69"/>
      <c r="R386" s="70" t="str">
        <f>IF(registreGarantie[[#This Row],[date paiement]]="","",registreGarantie[[#This Row],[MO
Demandé]]-registreGarantie[[#This Row],[MO
Remboursé]])</f>
        <v/>
      </c>
      <c r="S386" s="69"/>
      <c r="T386" s="70" t="str">
        <f>IF(registreGarantie[[#This Row],[date paiement]]="","",registreGarantie[[#This Row],[MO
Refusé]]+registreGarantie[[#This Row],[Pièces
Refusés]])</f>
        <v/>
      </c>
      <c r="U386" s="106"/>
      <c r="V386" s="71" t="str">
        <f>IF(registreGarantie[[#This Row],[Pièces 
Demandés]]="","",registreGarantie[[#This Row],[Date]])</f>
        <v/>
      </c>
      <c r="W386" s="103" t="str">
        <f>IF(registreGarantie[[#This Row],[Pièces 
Demandés]]="","",IF(registreGarantie[[#This Row],[date paiement]]="","",registreGarantie[[#This Row],[date paiement]]+91))</f>
        <v/>
      </c>
      <c r="X3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6" s="74" t="str">
        <f ca="1">IF(registreGarantie[[#This Row],[Colonne1]]=0,"",IF(TODAY()&gt;registreGarantie[[#This Row],[Date rebus]],0,1))</f>
        <v/>
      </c>
      <c r="Z386" s="66"/>
      <c r="AA386" s="73" t="str">
        <f>IF(AND(registreGarantie[[#This Row],[Montant non remboursé]]&gt;1,registreGarantie[[#This Row],[Montant non remboursé]]&lt;&gt;""),1,"")</f>
        <v/>
      </c>
      <c r="AB386" s="66"/>
      <c r="AC386" s="66"/>
      <c r="AD386" s="87">
        <f t="shared" ref="AD386:AD449" si="6">ROW(AD386)</f>
        <v>386</v>
      </c>
      <c r="AE386" s="109"/>
    </row>
    <row r="387" spans="1:31" ht="18" customHeight="1" thickBot="1" x14ac:dyDescent="0.4">
      <c r="A387" s="64">
        <v>45062</v>
      </c>
      <c r="B387" s="64">
        <v>43871</v>
      </c>
      <c r="C387" s="106">
        <v>45687.547349537039</v>
      </c>
      <c r="D387" s="66" t="s">
        <v>439</v>
      </c>
      <c r="E387" s="66" t="s">
        <v>718</v>
      </c>
      <c r="F387" s="68" t="s">
        <v>2292</v>
      </c>
      <c r="G387" s="66" t="s">
        <v>1074</v>
      </c>
      <c r="H387" s="64">
        <v>35</v>
      </c>
      <c r="I387" s="67" t="s">
        <v>2</v>
      </c>
      <c r="J387" s="97">
        <v>404551651</v>
      </c>
      <c r="K387" s="66"/>
      <c r="L387" s="68" t="s">
        <v>1930</v>
      </c>
      <c r="M387" s="69">
        <v>823.69</v>
      </c>
      <c r="N387" s="69">
        <v>823.69</v>
      </c>
      <c r="O387" s="70">
        <f>IF(registreGarantie[[#This Row],[date paiement]]="","",registreGarantie[[#This Row],[Pièces 
Demandés]]-registreGarantie[[#This Row],[Pièces 
Remboursés]])</f>
        <v>0</v>
      </c>
      <c r="P387" s="69">
        <v>327.5</v>
      </c>
      <c r="Q387" s="69">
        <v>196.5</v>
      </c>
      <c r="R387" s="70">
        <f>IF(registreGarantie[[#This Row],[date paiement]]="","",registreGarantie[[#This Row],[MO
Demandé]]-registreGarantie[[#This Row],[MO
Remboursé]])</f>
        <v>131</v>
      </c>
      <c r="S387" s="69"/>
      <c r="T387" s="70">
        <f>IF(registreGarantie[[#This Row],[date paiement]]="","",registreGarantie[[#This Row],[MO
Refusé]]+registreGarantie[[#This Row],[Pièces
Refusés]])</f>
        <v>131</v>
      </c>
      <c r="U387" s="106">
        <v>45701.38554398148</v>
      </c>
      <c r="V387" s="71">
        <f>IF(registreGarantie[[#This Row],[Pièces 
Demandés]]="","",registreGarantie[[#This Row],[Date]])</f>
        <v>45687.547349537039</v>
      </c>
      <c r="W387" s="103">
        <f>IF(registreGarantie[[#This Row],[Pièces 
Demandés]]="","",IF(registreGarantie[[#This Row],[date paiement]]="","",registreGarantie[[#This Row],[date paiement]]+91))</f>
        <v>45792.38554398148</v>
      </c>
      <c r="X3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87" s="74">
        <f ca="1">IF(registreGarantie[[#This Row],[Colonne1]]=0,"",IF(TODAY()&gt;registreGarantie[[#This Row],[Date rebus]],0,1))</f>
        <v>0</v>
      </c>
      <c r="Z387" s="66" t="s">
        <v>1931</v>
      </c>
      <c r="AA387" s="73">
        <f>IF(AND(registreGarantie[[#This Row],[Montant non remboursé]]&gt;1,registreGarantie[[#This Row],[Montant non remboursé]]&lt;&gt;""),1,"")</f>
        <v>1</v>
      </c>
      <c r="AB387" s="66"/>
      <c r="AC387" s="66"/>
      <c r="AD387" s="87">
        <f t="shared" si="6"/>
        <v>387</v>
      </c>
      <c r="AE387" s="109"/>
    </row>
    <row r="388" spans="1:31" ht="18" customHeight="1" thickBot="1" x14ac:dyDescent="0.4">
      <c r="A388" s="64">
        <v>45063</v>
      </c>
      <c r="B388" s="64">
        <v>43848</v>
      </c>
      <c r="C388" s="106">
        <v>45686</v>
      </c>
      <c r="D388" s="66" t="s">
        <v>1090</v>
      </c>
      <c r="E388" s="66" t="s">
        <v>133</v>
      </c>
      <c r="F388" s="68" t="s">
        <v>2326</v>
      </c>
      <c r="G388" s="66" t="s">
        <v>1932</v>
      </c>
      <c r="H388" s="64">
        <v>1439</v>
      </c>
      <c r="I388" s="67" t="s">
        <v>18</v>
      </c>
      <c r="J388" s="97">
        <v>404552188</v>
      </c>
      <c r="K388" s="66"/>
      <c r="L388" s="68"/>
      <c r="M388" s="69"/>
      <c r="N388" s="69"/>
      <c r="O388" s="70" t="str">
        <f>IF(registreGarantie[[#This Row],[date paiement]]="","",registreGarantie[[#This Row],[Pièces 
Demandés]]-registreGarantie[[#This Row],[Pièces 
Remboursés]])</f>
        <v/>
      </c>
      <c r="P388" s="69"/>
      <c r="Q388" s="69"/>
      <c r="R388" s="70" t="str">
        <f>IF(registreGarantie[[#This Row],[date paiement]]="","",registreGarantie[[#This Row],[MO
Demandé]]-registreGarantie[[#This Row],[MO
Remboursé]])</f>
        <v/>
      </c>
      <c r="S388" s="69"/>
      <c r="T388" s="70" t="str">
        <f>IF(registreGarantie[[#This Row],[date paiement]]="","",registreGarantie[[#This Row],[MO
Refusé]]+registreGarantie[[#This Row],[Pièces
Refusés]])</f>
        <v/>
      </c>
      <c r="U388" s="106"/>
      <c r="V388" s="71" t="str">
        <f>IF(registreGarantie[[#This Row],[Pièces 
Demandés]]="","",registreGarantie[[#This Row],[Date]])</f>
        <v/>
      </c>
      <c r="W388" s="103" t="str">
        <f>IF(registreGarantie[[#This Row],[Pièces 
Demandés]]="","",IF(registreGarantie[[#This Row],[date paiement]]="","",registreGarantie[[#This Row],[date paiement]]+91))</f>
        <v/>
      </c>
      <c r="X3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8" s="74" t="str">
        <f ca="1">IF(registreGarantie[[#This Row],[Colonne1]]=0,"",IF(TODAY()&gt;registreGarantie[[#This Row],[Date rebus]],0,1))</f>
        <v/>
      </c>
      <c r="Z388" s="66"/>
      <c r="AA388" s="73" t="str">
        <f>IF(AND(registreGarantie[[#This Row],[Montant non remboursé]]&gt;1,registreGarantie[[#This Row],[Montant non remboursé]]&lt;&gt;""),1,"")</f>
        <v/>
      </c>
      <c r="AB388" s="66"/>
      <c r="AC388" s="66"/>
      <c r="AD388" s="87">
        <f t="shared" si="6"/>
        <v>388</v>
      </c>
      <c r="AE388" s="109"/>
    </row>
    <row r="389" spans="1:31" ht="36.6" thickBot="1" x14ac:dyDescent="0.4">
      <c r="A389" s="64">
        <v>45063</v>
      </c>
      <c r="B389" s="64">
        <v>43848</v>
      </c>
      <c r="C389" s="106">
        <v>45686</v>
      </c>
      <c r="D389" s="66" t="s">
        <v>1090</v>
      </c>
      <c r="E389" s="66" t="s">
        <v>133</v>
      </c>
      <c r="F389" s="68" t="s">
        <v>2326</v>
      </c>
      <c r="G389" s="66" t="s">
        <v>1932</v>
      </c>
      <c r="H389" s="64">
        <v>1439</v>
      </c>
      <c r="I389" s="67" t="s">
        <v>19</v>
      </c>
      <c r="J389" s="97">
        <v>404552189</v>
      </c>
      <c r="K389" s="66" t="s">
        <v>1933</v>
      </c>
      <c r="L389" s="68"/>
      <c r="M389" s="69"/>
      <c r="N389" s="69"/>
      <c r="O389" s="70" t="str">
        <f>IF(registreGarantie[[#This Row],[date paiement]]="","",registreGarantie[[#This Row],[Pièces 
Demandés]]-registreGarantie[[#This Row],[Pièces 
Remboursés]])</f>
        <v/>
      </c>
      <c r="P389" s="69"/>
      <c r="Q389" s="69"/>
      <c r="R389" s="70" t="str">
        <f>IF(registreGarantie[[#This Row],[date paiement]]="","",registreGarantie[[#This Row],[MO
Demandé]]-registreGarantie[[#This Row],[MO
Remboursé]])</f>
        <v/>
      </c>
      <c r="S389" s="69"/>
      <c r="T389" s="70" t="str">
        <f>IF(registreGarantie[[#This Row],[date paiement]]="","",registreGarantie[[#This Row],[MO
Refusé]]+registreGarantie[[#This Row],[Pièces
Refusés]])</f>
        <v/>
      </c>
      <c r="U389" s="106"/>
      <c r="V389" s="71" t="str">
        <f>IF(registreGarantie[[#This Row],[Pièces 
Demandés]]="","",registreGarantie[[#This Row],[Date]])</f>
        <v/>
      </c>
      <c r="W389" s="103" t="str">
        <f>IF(registreGarantie[[#This Row],[Pièces 
Demandés]]="","",IF(registreGarantie[[#This Row],[date paiement]]="","",registreGarantie[[#This Row],[date paiement]]+91))</f>
        <v/>
      </c>
      <c r="X3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89" s="74" t="str">
        <f ca="1">IF(registreGarantie[[#This Row],[Colonne1]]=0,"",IF(TODAY()&gt;registreGarantie[[#This Row],[Date rebus]],0,1))</f>
        <v/>
      </c>
      <c r="Z389" s="66"/>
      <c r="AA389" s="73" t="str">
        <f>IF(AND(registreGarantie[[#This Row],[Montant non remboursé]]&gt;1,registreGarantie[[#This Row],[Montant non remboursé]]&lt;&gt;""),1,"")</f>
        <v/>
      </c>
      <c r="AB389" s="66"/>
      <c r="AC389" s="66"/>
      <c r="AD389" s="87">
        <f t="shared" si="6"/>
        <v>389</v>
      </c>
      <c r="AE389" s="109"/>
    </row>
    <row r="390" spans="1:31" ht="18" customHeight="1" thickBot="1" x14ac:dyDescent="0.4">
      <c r="A390" s="64">
        <v>45064</v>
      </c>
      <c r="B390" s="64">
        <v>43574</v>
      </c>
      <c r="C390" s="106">
        <v>45686</v>
      </c>
      <c r="D390" s="66" t="s">
        <v>858</v>
      </c>
      <c r="E390" s="66" t="s">
        <v>1017</v>
      </c>
      <c r="F390" s="68"/>
      <c r="G390" s="66" t="s">
        <v>319</v>
      </c>
      <c r="H390" s="64">
        <v>61</v>
      </c>
      <c r="I390" s="67" t="s">
        <v>22</v>
      </c>
      <c r="J390" s="97" t="s">
        <v>1934</v>
      </c>
      <c r="K390" s="66"/>
      <c r="L390" s="68"/>
      <c r="M390" s="69">
        <v>39.6</v>
      </c>
      <c r="N390" s="69">
        <v>35.119999999999997</v>
      </c>
      <c r="O390" s="70">
        <f>IF(registreGarantie[[#This Row],[date paiement]]="","",registreGarantie[[#This Row],[Pièces 
Demandés]]-registreGarantie[[#This Row],[Pièces 
Remboursés]])</f>
        <v>4.480000000000004</v>
      </c>
      <c r="P390" s="69">
        <v>39</v>
      </c>
      <c r="Q390" s="69">
        <v>39</v>
      </c>
      <c r="R390" s="70">
        <f>IF(registreGarantie[[#This Row],[date paiement]]="","",registreGarantie[[#This Row],[MO
Demandé]]-registreGarantie[[#This Row],[MO
Remboursé]])</f>
        <v>0</v>
      </c>
      <c r="S390" s="69"/>
      <c r="T390" s="70">
        <f>IF(registreGarantie[[#This Row],[date paiement]]="","",registreGarantie[[#This Row],[MO
Refusé]]+registreGarantie[[#This Row],[Pièces
Refusés]])</f>
        <v>4.480000000000004</v>
      </c>
      <c r="U390" s="106">
        <v>45730</v>
      </c>
      <c r="V390" s="71">
        <f>IF(registreGarantie[[#This Row],[Pièces 
Demandés]]="","",registreGarantie[[#This Row],[Date]])</f>
        <v>45686</v>
      </c>
      <c r="W390" s="103">
        <f>IF(registreGarantie[[#This Row],[Pièces 
Demandés]]="","",IF(registreGarantie[[#This Row],[date paiement]]="","",registreGarantie[[#This Row],[date paiement]]+91))</f>
        <v>45821</v>
      </c>
      <c r="X3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0" s="74" t="str">
        <f ca="1">IF(registreGarantie[[#This Row],[Colonne1]]=0,"",IF(TODAY()&gt;registreGarantie[[#This Row],[Date rebus]],0,1))</f>
        <v/>
      </c>
      <c r="Z390" s="66"/>
      <c r="AA390" s="73">
        <f>IF(AND(registreGarantie[[#This Row],[Montant non remboursé]]&gt;1,registreGarantie[[#This Row],[Montant non remboursé]]&lt;&gt;""),1,"")</f>
        <v>1</v>
      </c>
      <c r="AB390" s="66"/>
      <c r="AC390" s="66"/>
      <c r="AD390" s="87">
        <f t="shared" si="6"/>
        <v>390</v>
      </c>
      <c r="AE390" s="109"/>
    </row>
    <row r="391" spans="1:31" ht="18" customHeight="1" thickBot="1" x14ac:dyDescent="0.4">
      <c r="A391" s="64">
        <v>45065</v>
      </c>
      <c r="B391" s="64">
        <v>43863</v>
      </c>
      <c r="C391" s="106">
        <v>45686</v>
      </c>
      <c r="D391" s="66" t="s">
        <v>858</v>
      </c>
      <c r="E391" s="66" t="s">
        <v>1017</v>
      </c>
      <c r="F391" s="68"/>
      <c r="G391" s="66" t="s">
        <v>1148</v>
      </c>
      <c r="H391" s="64">
        <v>108</v>
      </c>
      <c r="I391" s="67" t="s">
        <v>22</v>
      </c>
      <c r="J391" s="97" t="s">
        <v>1935</v>
      </c>
      <c r="K391" s="66"/>
      <c r="L391" s="68"/>
      <c r="M391" s="69">
        <v>38.26</v>
      </c>
      <c r="N391" s="69">
        <v>38.26</v>
      </c>
      <c r="O391" s="70">
        <f>IF(registreGarantie[[#This Row],[date paiement]]="","",registreGarantie[[#This Row],[Pièces 
Demandés]]-registreGarantie[[#This Row],[Pièces 
Remboursés]])</f>
        <v>0</v>
      </c>
      <c r="P391" s="69">
        <v>234</v>
      </c>
      <c r="Q391" s="69">
        <v>234</v>
      </c>
      <c r="R391" s="70">
        <f>IF(registreGarantie[[#This Row],[date paiement]]="","",registreGarantie[[#This Row],[MO
Demandé]]-registreGarantie[[#This Row],[MO
Remboursé]])</f>
        <v>0</v>
      </c>
      <c r="S391" s="69"/>
      <c r="T391" s="70">
        <f>IF(registreGarantie[[#This Row],[date paiement]]="","",registreGarantie[[#This Row],[MO
Refusé]]+registreGarantie[[#This Row],[Pièces
Refusés]])</f>
        <v>0</v>
      </c>
      <c r="U391" s="106">
        <v>45735.505173611113</v>
      </c>
      <c r="V391" s="71">
        <f>IF(registreGarantie[[#This Row],[Pièces 
Demandés]]="","",registreGarantie[[#This Row],[Date]])</f>
        <v>45686</v>
      </c>
      <c r="W391" s="103">
        <f>IF(registreGarantie[[#This Row],[Pièces 
Demandés]]="","",IF(registreGarantie[[#This Row],[date paiement]]="","",registreGarantie[[#This Row],[date paiement]]+91))</f>
        <v>45826.505173611113</v>
      </c>
      <c r="X3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1" s="74" t="str">
        <f ca="1">IF(registreGarantie[[#This Row],[Colonne1]]=0,"",IF(TODAY()&gt;registreGarantie[[#This Row],[Date rebus]],0,1))</f>
        <v/>
      </c>
      <c r="Z391" s="66"/>
      <c r="AA391" s="73" t="str">
        <f>IF(AND(registreGarantie[[#This Row],[Montant non remboursé]]&gt;1,registreGarantie[[#This Row],[Montant non remboursé]]&lt;&gt;""),1,"")</f>
        <v/>
      </c>
      <c r="AB391" s="66"/>
      <c r="AC391" s="66"/>
      <c r="AD391" s="87">
        <f t="shared" si="6"/>
        <v>391</v>
      </c>
      <c r="AE391" s="109"/>
    </row>
    <row r="392" spans="1:31" ht="18" customHeight="1" thickBot="1" x14ac:dyDescent="0.4">
      <c r="A392" s="64">
        <v>45066</v>
      </c>
      <c r="B392" s="64">
        <v>43819</v>
      </c>
      <c r="C392" s="106">
        <v>45691</v>
      </c>
      <c r="D392" s="66" t="s">
        <v>41</v>
      </c>
      <c r="E392" s="66" t="s">
        <v>367</v>
      </c>
      <c r="F392" s="68" t="s">
        <v>2275</v>
      </c>
      <c r="G392" s="66" t="s">
        <v>1134</v>
      </c>
      <c r="H392" s="64">
        <v>262</v>
      </c>
      <c r="I392" s="67" t="s">
        <v>2</v>
      </c>
      <c r="J392" s="97">
        <v>404556591</v>
      </c>
      <c r="K392" s="66"/>
      <c r="L392" s="68"/>
      <c r="M392" s="69">
        <v>32.53</v>
      </c>
      <c r="N392" s="69">
        <v>32.53</v>
      </c>
      <c r="O392" s="70">
        <f>IF(registreGarantie[[#This Row],[date paiement]]="","",registreGarantie[[#This Row],[Pièces 
Demandés]]-registreGarantie[[#This Row],[Pièces 
Remboursés]])</f>
        <v>0</v>
      </c>
      <c r="P392" s="69">
        <v>131</v>
      </c>
      <c r="Q392" s="69">
        <v>131</v>
      </c>
      <c r="R392" s="70">
        <f>IF(registreGarantie[[#This Row],[date paiement]]="","",registreGarantie[[#This Row],[MO
Demandé]]-registreGarantie[[#This Row],[MO
Remboursé]])</f>
        <v>0</v>
      </c>
      <c r="S392" s="69"/>
      <c r="T392" s="70">
        <f>IF(registreGarantie[[#This Row],[date paiement]]="","",registreGarantie[[#This Row],[MO
Refusé]]+registreGarantie[[#This Row],[Pièces
Refusés]])</f>
        <v>0</v>
      </c>
      <c r="U392" s="106">
        <v>45701</v>
      </c>
      <c r="V392" s="71">
        <f>IF(registreGarantie[[#This Row],[Pièces 
Demandés]]="","",registreGarantie[[#This Row],[Date]])</f>
        <v>45691</v>
      </c>
      <c r="W392" s="103">
        <f>IF(registreGarantie[[#This Row],[Pièces 
Demandés]]="","",IF(registreGarantie[[#This Row],[date paiement]]="","",registreGarantie[[#This Row],[date paiement]]+91))</f>
        <v>45792</v>
      </c>
      <c r="X3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92" s="74">
        <f ca="1">IF(registreGarantie[[#This Row],[Colonne1]]=0,"",IF(TODAY()&gt;registreGarantie[[#This Row],[Date rebus]],0,1))</f>
        <v>0</v>
      </c>
      <c r="Z392" s="66"/>
      <c r="AA392" s="73" t="str">
        <f>IF(AND(registreGarantie[[#This Row],[Montant non remboursé]]&gt;1,registreGarantie[[#This Row],[Montant non remboursé]]&lt;&gt;""),1,"")</f>
        <v/>
      </c>
      <c r="AB392" s="66"/>
      <c r="AC392" s="66"/>
      <c r="AD392" s="87">
        <f t="shared" si="6"/>
        <v>392</v>
      </c>
      <c r="AE392" s="109"/>
    </row>
    <row r="393" spans="1:31" ht="18" customHeight="1" thickBot="1" x14ac:dyDescent="0.4">
      <c r="A393" s="64">
        <v>45067</v>
      </c>
      <c r="B393" s="64">
        <v>43897</v>
      </c>
      <c r="C393" s="106">
        <v>45691</v>
      </c>
      <c r="D393" s="66" t="s">
        <v>239</v>
      </c>
      <c r="E393" s="66" t="s">
        <v>546</v>
      </c>
      <c r="F393" s="68">
        <v>78410241</v>
      </c>
      <c r="G393" s="66" t="s">
        <v>1049</v>
      </c>
      <c r="H393" s="64">
        <v>554</v>
      </c>
      <c r="I393" s="67" t="s">
        <v>2</v>
      </c>
      <c r="J393" s="97">
        <v>404556794</v>
      </c>
      <c r="K393" s="66"/>
      <c r="L393" s="68"/>
      <c r="M393" s="69">
        <v>546.54999999999995</v>
      </c>
      <c r="N393" s="69">
        <v>546.54999999999995</v>
      </c>
      <c r="O393" s="70">
        <f>IF(registreGarantie[[#This Row],[date paiement]]="","",registreGarantie[[#This Row],[Pièces 
Demandés]]-registreGarantie[[#This Row],[Pièces 
Remboursés]])</f>
        <v>0</v>
      </c>
      <c r="P393" s="69"/>
      <c r="Q393" s="69">
        <v>0</v>
      </c>
      <c r="R393" s="70">
        <f>IF(registreGarantie[[#This Row],[date paiement]]="","",registreGarantie[[#This Row],[MO
Demandé]]-registreGarantie[[#This Row],[MO
Remboursé]])</f>
        <v>0</v>
      </c>
      <c r="S393" s="69"/>
      <c r="T393" s="70">
        <f>IF(registreGarantie[[#This Row],[date paiement]]="","",registreGarantie[[#This Row],[MO
Refusé]]+registreGarantie[[#This Row],[Pièces
Refusés]])</f>
        <v>0</v>
      </c>
      <c r="U393" s="106">
        <v>45719</v>
      </c>
      <c r="V393" s="71">
        <f>IF(registreGarantie[[#This Row],[Pièces 
Demandés]]="","",registreGarantie[[#This Row],[Date]])</f>
        <v>45691</v>
      </c>
      <c r="W393" s="103">
        <f>IF(registreGarantie[[#This Row],[Pièces 
Demandés]]="","",IF(registreGarantie[[#This Row],[date paiement]]="","",registreGarantie[[#This Row],[date paiement]]+91))</f>
        <v>45810</v>
      </c>
      <c r="X3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93" s="74">
        <f ca="1">IF(registreGarantie[[#This Row],[Colonne1]]=0,"",IF(TODAY()&gt;registreGarantie[[#This Row],[Date rebus]],0,1))</f>
        <v>0</v>
      </c>
      <c r="Z393" s="66"/>
      <c r="AA393" s="73" t="str">
        <f>IF(AND(registreGarantie[[#This Row],[Montant non remboursé]]&gt;1,registreGarantie[[#This Row],[Montant non remboursé]]&lt;&gt;""),1,"")</f>
        <v/>
      </c>
      <c r="AB393" s="66"/>
      <c r="AC393" s="66"/>
      <c r="AD393" s="87">
        <f t="shared" si="6"/>
        <v>393</v>
      </c>
      <c r="AE393" s="109"/>
    </row>
    <row r="394" spans="1:31" ht="18" customHeight="1" thickBot="1" x14ac:dyDescent="0.4">
      <c r="A394" s="64">
        <v>45068</v>
      </c>
      <c r="B394" s="64">
        <v>6054</v>
      </c>
      <c r="C394" s="106">
        <v>45691</v>
      </c>
      <c r="D394" s="66" t="s">
        <v>239</v>
      </c>
      <c r="E394" s="66" t="s">
        <v>546</v>
      </c>
      <c r="F394" s="68">
        <v>78410241</v>
      </c>
      <c r="G394" s="66" t="s">
        <v>1450</v>
      </c>
      <c r="H394" s="64">
        <v>1152</v>
      </c>
      <c r="I394" s="67" t="s">
        <v>2</v>
      </c>
      <c r="J394" s="97">
        <v>404557067</v>
      </c>
      <c r="K394" s="66"/>
      <c r="L394" s="68"/>
      <c r="M394" s="69">
        <v>40</v>
      </c>
      <c r="N394" s="69">
        <v>40</v>
      </c>
      <c r="O394" s="70">
        <f>IF(registreGarantie[[#This Row],[date paiement]]="","",registreGarantie[[#This Row],[Pièces 
Demandés]]-registreGarantie[[#This Row],[Pièces 
Remboursés]])</f>
        <v>0</v>
      </c>
      <c r="P394" s="69">
        <v>65.5</v>
      </c>
      <c r="Q394" s="69">
        <v>65.5</v>
      </c>
      <c r="R394" s="70">
        <f>IF(registreGarantie[[#This Row],[date paiement]]="","",registreGarantie[[#This Row],[MO
Demandé]]-registreGarantie[[#This Row],[MO
Remboursé]])</f>
        <v>0</v>
      </c>
      <c r="S394" s="69"/>
      <c r="T394" s="70">
        <f>IF(registreGarantie[[#This Row],[date paiement]]="","",registreGarantie[[#This Row],[MO
Refusé]]+registreGarantie[[#This Row],[Pièces
Refusés]])</f>
        <v>0</v>
      </c>
      <c r="U394" s="106">
        <v>45701</v>
      </c>
      <c r="V394" s="71">
        <f>IF(registreGarantie[[#This Row],[Pièces 
Demandés]]="","",registreGarantie[[#This Row],[Date]])</f>
        <v>45691</v>
      </c>
      <c r="W394" s="103">
        <f>IF(registreGarantie[[#This Row],[Pièces 
Demandés]]="","",IF(registreGarantie[[#This Row],[date paiement]]="","",registreGarantie[[#This Row],[date paiement]]+91))</f>
        <v>45792</v>
      </c>
      <c r="X3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94" s="74">
        <f ca="1">IF(registreGarantie[[#This Row],[Colonne1]]=0,"",IF(TODAY()&gt;registreGarantie[[#This Row],[Date rebus]],0,1))</f>
        <v>0</v>
      </c>
      <c r="Z394" s="66"/>
      <c r="AA394" s="73" t="str">
        <f>IF(AND(registreGarantie[[#This Row],[Montant non remboursé]]&gt;1,registreGarantie[[#This Row],[Montant non remboursé]]&lt;&gt;""),1,"")</f>
        <v/>
      </c>
      <c r="AB394" s="66"/>
      <c r="AC394" s="66"/>
      <c r="AD394" s="87">
        <f t="shared" si="6"/>
        <v>394</v>
      </c>
      <c r="AE394" s="109"/>
    </row>
    <row r="395" spans="1:31" ht="18" customHeight="1" thickBot="1" x14ac:dyDescent="0.4">
      <c r="A395" s="64">
        <v>45069</v>
      </c>
      <c r="B395" s="64">
        <v>43816</v>
      </c>
      <c r="C395" s="106">
        <v>45691</v>
      </c>
      <c r="D395" s="66" t="s">
        <v>256</v>
      </c>
      <c r="E395" s="66" t="s">
        <v>1936</v>
      </c>
      <c r="F395" s="68"/>
      <c r="G395" s="66" t="s">
        <v>1937</v>
      </c>
      <c r="H395" s="64"/>
      <c r="I395" s="67" t="s">
        <v>1938</v>
      </c>
      <c r="J395" s="97"/>
      <c r="K395" s="66"/>
      <c r="L395" s="68"/>
      <c r="M395" s="69"/>
      <c r="N395" s="69"/>
      <c r="O395" s="70" t="str">
        <f>IF(registreGarantie[[#This Row],[date paiement]]="","",registreGarantie[[#This Row],[Pièces 
Demandés]]-registreGarantie[[#This Row],[Pièces 
Remboursés]])</f>
        <v/>
      </c>
      <c r="P395" s="69"/>
      <c r="Q395" s="69"/>
      <c r="R395" s="70" t="str">
        <f>IF(registreGarantie[[#This Row],[date paiement]]="","",registreGarantie[[#This Row],[MO
Demandé]]-registreGarantie[[#This Row],[MO
Remboursé]])</f>
        <v/>
      </c>
      <c r="S395" s="69"/>
      <c r="T395" s="70" t="str">
        <f>IF(registreGarantie[[#This Row],[date paiement]]="","",registreGarantie[[#This Row],[MO
Refusé]]+registreGarantie[[#This Row],[Pièces
Refusés]])</f>
        <v/>
      </c>
      <c r="U395" s="106"/>
      <c r="V395" s="71" t="str">
        <f>IF(registreGarantie[[#This Row],[Pièces 
Demandés]]="","",registreGarantie[[#This Row],[Date]])</f>
        <v/>
      </c>
      <c r="W395" s="103" t="str">
        <f>IF(registreGarantie[[#This Row],[Pièces 
Demandés]]="","",IF(registreGarantie[[#This Row],[date paiement]]="","",registreGarantie[[#This Row],[date paiement]]+91))</f>
        <v/>
      </c>
      <c r="X3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5" s="74" t="str">
        <f ca="1">IF(registreGarantie[[#This Row],[Colonne1]]=0,"",IF(TODAY()&gt;registreGarantie[[#This Row],[Date rebus]],0,1))</f>
        <v/>
      </c>
      <c r="Z395" s="66"/>
      <c r="AA395" s="73" t="str">
        <f>IF(AND(registreGarantie[[#This Row],[Montant non remboursé]]&gt;1,registreGarantie[[#This Row],[Montant non remboursé]]&lt;&gt;""),1,"")</f>
        <v/>
      </c>
      <c r="AB395" s="66"/>
      <c r="AC395" s="66"/>
      <c r="AD395" s="87">
        <f t="shared" si="6"/>
        <v>395</v>
      </c>
      <c r="AE395" s="109"/>
    </row>
    <row r="396" spans="1:31" ht="18" customHeight="1" thickBot="1" x14ac:dyDescent="0.4">
      <c r="A396" s="64">
        <v>45070</v>
      </c>
      <c r="B396" s="64">
        <v>43797</v>
      </c>
      <c r="C396" s="106">
        <v>45692</v>
      </c>
      <c r="D396" s="66" t="s">
        <v>789</v>
      </c>
      <c r="E396" s="66" t="s">
        <v>45</v>
      </c>
      <c r="F396" s="68" t="s">
        <v>2336</v>
      </c>
      <c r="G396" s="66" t="s">
        <v>1122</v>
      </c>
      <c r="H396" s="64">
        <v>103</v>
      </c>
      <c r="I396" s="67" t="s">
        <v>5</v>
      </c>
      <c r="J396" s="97">
        <v>404507202</v>
      </c>
      <c r="K396" s="66"/>
      <c r="L396" s="68"/>
      <c r="M396" s="69">
        <v>7.53</v>
      </c>
      <c r="N396" s="69">
        <v>7.53</v>
      </c>
      <c r="O396" s="70">
        <f>IF(registreGarantie[[#This Row],[date paiement]]="","",registreGarantie[[#This Row],[Pièces 
Demandés]]-registreGarantie[[#This Row],[Pièces 
Remboursés]])</f>
        <v>0</v>
      </c>
      <c r="P396" s="69">
        <v>92.25</v>
      </c>
      <c r="Q396" s="69">
        <v>92.25</v>
      </c>
      <c r="R396" s="70">
        <f>IF(registreGarantie[[#This Row],[date paiement]]="","",registreGarantie[[#This Row],[MO
Demandé]]-registreGarantie[[#This Row],[MO
Remboursé]])</f>
        <v>0</v>
      </c>
      <c r="S396" s="69"/>
      <c r="T396" s="70">
        <f>IF(registreGarantie[[#This Row],[date paiement]]="","",registreGarantie[[#This Row],[MO
Refusé]]+registreGarantie[[#This Row],[Pièces
Refusés]])</f>
        <v>0</v>
      </c>
      <c r="U396" s="106">
        <v>45701</v>
      </c>
      <c r="V396" s="71">
        <f>IF(registreGarantie[[#This Row],[Pièces 
Demandés]]="","",registreGarantie[[#This Row],[Date]])</f>
        <v>45692</v>
      </c>
      <c r="W396" s="103">
        <f>IF(registreGarantie[[#This Row],[Pièces 
Demandés]]="","",IF(registreGarantie[[#This Row],[date paiement]]="","",registreGarantie[[#This Row],[date paiement]]+91))</f>
        <v>45792</v>
      </c>
      <c r="X3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6" s="74" t="str">
        <f ca="1">IF(registreGarantie[[#This Row],[Colonne1]]=0,"",IF(TODAY()&gt;registreGarantie[[#This Row],[Date rebus]],0,1))</f>
        <v/>
      </c>
      <c r="Z396" s="66"/>
      <c r="AA396" s="73" t="str">
        <f>IF(AND(registreGarantie[[#This Row],[Montant non remboursé]]&gt;1,registreGarantie[[#This Row],[Montant non remboursé]]&lt;&gt;""),1,"")</f>
        <v/>
      </c>
      <c r="AB396" s="66"/>
      <c r="AC396" s="66"/>
      <c r="AD396" s="87">
        <f t="shared" si="6"/>
        <v>396</v>
      </c>
      <c r="AE396" s="109"/>
    </row>
    <row r="397" spans="1:31" ht="18" customHeight="1" thickBot="1" x14ac:dyDescent="0.4">
      <c r="A397" s="64">
        <v>45071</v>
      </c>
      <c r="B397" s="64">
        <v>43853</v>
      </c>
      <c r="C397" s="106">
        <v>45692</v>
      </c>
      <c r="D397" s="66" t="s">
        <v>1081</v>
      </c>
      <c r="E397" s="66" t="s">
        <v>718</v>
      </c>
      <c r="F397" s="68" t="s">
        <v>2307</v>
      </c>
      <c r="G397" s="66" t="s">
        <v>1939</v>
      </c>
      <c r="H397" s="64">
        <v>508</v>
      </c>
      <c r="I397" s="67" t="s">
        <v>23</v>
      </c>
      <c r="J397" s="97">
        <v>404558670</v>
      </c>
      <c r="K397" s="66"/>
      <c r="L397" s="68"/>
      <c r="M397" s="69">
        <v>258.52999999999997</v>
      </c>
      <c r="N397" s="69">
        <v>258.52999999999997</v>
      </c>
      <c r="O397" s="70" t="str">
        <f>IF(registreGarantie[[#This Row],[date paiement]]="","",registreGarantie[[#This Row],[Pièces 
Demandés]]-registreGarantie[[#This Row],[Pièces 
Remboursés]])</f>
        <v/>
      </c>
      <c r="P397" s="69">
        <v>337.33</v>
      </c>
      <c r="Q397" s="69">
        <v>337.33</v>
      </c>
      <c r="R397" s="70" t="str">
        <f>IF(registreGarantie[[#This Row],[date paiement]]="","",registreGarantie[[#This Row],[MO
Demandé]]-registreGarantie[[#This Row],[MO
Remboursé]])</f>
        <v/>
      </c>
      <c r="S397" s="69"/>
      <c r="T397" s="70" t="str">
        <f>IF(registreGarantie[[#This Row],[date paiement]]="","",registreGarantie[[#This Row],[MO
Refusé]]+registreGarantie[[#This Row],[Pièces
Refusés]])</f>
        <v/>
      </c>
      <c r="U397" s="106"/>
      <c r="V397" s="71">
        <f>IF(registreGarantie[[#This Row],[Pièces 
Demandés]]="","",registreGarantie[[#This Row],[Date]])</f>
        <v>45692</v>
      </c>
      <c r="W397" s="103" t="str">
        <f>IF(registreGarantie[[#This Row],[Pièces 
Demandés]]="","",IF(registreGarantie[[#This Row],[date paiement]]="","",registreGarantie[[#This Row],[date paiement]]+91))</f>
        <v/>
      </c>
      <c r="X3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7" s="74" t="str">
        <f ca="1">IF(registreGarantie[[#This Row],[Colonne1]]=0,"",IF(TODAY()&gt;registreGarantie[[#This Row],[Date rebus]],0,1))</f>
        <v/>
      </c>
      <c r="Z397" s="66"/>
      <c r="AA397" s="73" t="str">
        <f>IF(AND(registreGarantie[[#This Row],[Montant non remboursé]]&gt;1,registreGarantie[[#This Row],[Montant non remboursé]]&lt;&gt;""),1,"")</f>
        <v/>
      </c>
      <c r="AB397" s="66"/>
      <c r="AC397" s="66"/>
      <c r="AD397" s="87">
        <f t="shared" si="6"/>
        <v>397</v>
      </c>
      <c r="AE397" s="109"/>
    </row>
    <row r="398" spans="1:31" ht="18" customHeight="1" thickBot="1" x14ac:dyDescent="0.4">
      <c r="A398" s="64">
        <v>45071</v>
      </c>
      <c r="B398" s="64">
        <v>43853</v>
      </c>
      <c r="C398" s="106">
        <v>45692</v>
      </c>
      <c r="D398" s="66" t="s">
        <v>1081</v>
      </c>
      <c r="E398" s="66" t="s">
        <v>718</v>
      </c>
      <c r="F398" s="68" t="s">
        <v>2307</v>
      </c>
      <c r="G398" s="66" t="s">
        <v>1939</v>
      </c>
      <c r="H398" s="64">
        <v>508</v>
      </c>
      <c r="I398" s="67" t="s">
        <v>24</v>
      </c>
      <c r="J398" s="97">
        <v>404558691</v>
      </c>
      <c r="K398" s="66"/>
      <c r="L398" s="68"/>
      <c r="M398" s="69">
        <v>288.99</v>
      </c>
      <c r="N398" s="69">
        <v>288.99</v>
      </c>
      <c r="O398" s="69" t="str">
        <f>IF(registreGarantie[[#This Row],[date paiement]]="","",registreGarantie[[#This Row],[Pièces 
Demandés]]-registreGarantie[[#This Row],[Pièces 
Remboursés]])</f>
        <v/>
      </c>
      <c r="P398" s="69">
        <v>360.25</v>
      </c>
      <c r="Q398" s="69">
        <v>360.25</v>
      </c>
      <c r="R398" s="70" t="str">
        <f>IF(registreGarantie[[#This Row],[date paiement]]="","",registreGarantie[[#This Row],[MO
Demandé]]-registreGarantie[[#This Row],[MO
Remboursé]])</f>
        <v/>
      </c>
      <c r="S398" s="69"/>
      <c r="T398" s="70" t="str">
        <f>IF(registreGarantie[[#This Row],[date paiement]]="","",registreGarantie[[#This Row],[MO
Refusé]]+registreGarantie[[#This Row],[Pièces
Refusés]])</f>
        <v/>
      </c>
      <c r="U398" s="106"/>
      <c r="V398" s="71">
        <f>IF(registreGarantie[[#This Row],[Pièces 
Demandés]]="","",registreGarantie[[#This Row],[Date]])</f>
        <v>45692</v>
      </c>
      <c r="W398" s="103" t="str">
        <f>IF(registreGarantie[[#This Row],[Pièces 
Demandés]]="","",IF(registreGarantie[[#This Row],[date paiement]]="","",registreGarantie[[#This Row],[date paiement]]+91))</f>
        <v/>
      </c>
      <c r="X3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398" s="74" t="str">
        <f ca="1">IF(registreGarantie[[#This Row],[Colonne1]]=0,"",IF(TODAY()&gt;registreGarantie[[#This Row],[Date rebus]],0,1))</f>
        <v/>
      </c>
      <c r="Z398" s="66"/>
      <c r="AA398" s="73" t="str">
        <f>IF(AND(registreGarantie[[#This Row],[Montant non remboursé]]&gt;1,registreGarantie[[#This Row],[Montant non remboursé]]&lt;&gt;""),1,"")</f>
        <v/>
      </c>
      <c r="AB398" s="66"/>
      <c r="AC398" s="66"/>
      <c r="AD398" s="87">
        <f t="shared" si="6"/>
        <v>398</v>
      </c>
      <c r="AE398" s="109"/>
    </row>
    <row r="399" spans="1:31" ht="18" customHeight="1" thickBot="1" x14ac:dyDescent="0.4">
      <c r="A399" s="64">
        <v>45072</v>
      </c>
      <c r="B399" s="64">
        <v>43820</v>
      </c>
      <c r="C399" s="106">
        <v>45693</v>
      </c>
      <c r="D399" s="66" t="s">
        <v>1135</v>
      </c>
      <c r="E399" s="66" t="s">
        <v>63</v>
      </c>
      <c r="F399" s="68" t="s">
        <v>2243</v>
      </c>
      <c r="G399" s="66" t="s">
        <v>1136</v>
      </c>
      <c r="H399" s="64">
        <v>4360</v>
      </c>
      <c r="I399" s="67" t="s">
        <v>3</v>
      </c>
      <c r="J399" s="97">
        <v>404559418</v>
      </c>
      <c r="K399" s="66"/>
      <c r="L399" s="68"/>
      <c r="M399" s="69">
        <v>188.6</v>
      </c>
      <c r="N399" s="69">
        <v>188.6</v>
      </c>
      <c r="O399" s="70">
        <f>IF(registreGarantie[[#This Row],[date paiement]]="","",registreGarantie[[#This Row],[Pièces 
Demandés]]-registreGarantie[[#This Row],[Pièces 
Remboursés]])</f>
        <v>0</v>
      </c>
      <c r="P399" s="69">
        <v>65.5</v>
      </c>
      <c r="Q399" s="69">
        <v>65.5</v>
      </c>
      <c r="R399" s="70">
        <f>IF(registreGarantie[[#This Row],[date paiement]]="","",registreGarantie[[#This Row],[MO
Demandé]]-registreGarantie[[#This Row],[MO
Remboursé]])</f>
        <v>0</v>
      </c>
      <c r="S399" s="69">
        <v>150</v>
      </c>
      <c r="T399" s="70">
        <f>IF(registreGarantie[[#This Row],[date paiement]]="","",registreGarantie[[#This Row],[MO
Refusé]]+registreGarantie[[#This Row],[Pièces
Refusés]])</f>
        <v>0</v>
      </c>
      <c r="U399" s="106">
        <v>45719</v>
      </c>
      <c r="V399" s="71">
        <f>IF(registreGarantie[[#This Row],[Pièces 
Demandés]]="","",registreGarantie[[#This Row],[Date]])</f>
        <v>45693</v>
      </c>
      <c r="W399" s="103">
        <f>IF(registreGarantie[[#This Row],[Pièces 
Demandés]]="","",IF(registreGarantie[[#This Row],[date paiement]]="","",registreGarantie[[#This Row],[date paiement]]+91))</f>
        <v>45810</v>
      </c>
      <c r="X3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399" s="74">
        <f ca="1">IF(registreGarantie[[#This Row],[Colonne1]]=0,"",IF(TODAY()&gt;registreGarantie[[#This Row],[Date rebus]],0,1))</f>
        <v>0</v>
      </c>
      <c r="Z399" s="66"/>
      <c r="AA399" s="73" t="str">
        <f>IF(AND(registreGarantie[[#This Row],[Montant non remboursé]]&gt;1,registreGarantie[[#This Row],[Montant non remboursé]]&lt;&gt;""),1,"")</f>
        <v/>
      </c>
      <c r="AB399" s="66"/>
      <c r="AC399" s="66"/>
      <c r="AD399" s="87">
        <f t="shared" si="6"/>
        <v>399</v>
      </c>
      <c r="AE399" s="109"/>
    </row>
    <row r="400" spans="1:31" ht="18" customHeight="1" thickBot="1" x14ac:dyDescent="0.4">
      <c r="A400" s="64">
        <v>45073</v>
      </c>
      <c r="B400" s="64">
        <v>43821</v>
      </c>
      <c r="C400" s="106">
        <v>45693</v>
      </c>
      <c r="D400" s="66" t="s">
        <v>1135</v>
      </c>
      <c r="E400" s="66" t="s">
        <v>63</v>
      </c>
      <c r="F400" s="68" t="s">
        <v>2243</v>
      </c>
      <c r="G400" s="66" t="s">
        <v>1074</v>
      </c>
      <c r="H400" s="64">
        <v>4360</v>
      </c>
      <c r="I400" s="67" t="s">
        <v>3</v>
      </c>
      <c r="J400" s="97">
        <v>404559565</v>
      </c>
      <c r="K400" s="66"/>
      <c r="L400" s="68"/>
      <c r="M400" s="69">
        <v>1150.5899999999999</v>
      </c>
      <c r="N400" s="69">
        <v>1150.5899999999999</v>
      </c>
      <c r="O400" s="70">
        <f>IF(registreGarantie[[#This Row],[date paiement]]="","",registreGarantie[[#This Row],[Pièces 
Demandés]]-registreGarantie[[#This Row],[Pièces 
Remboursés]])</f>
        <v>0</v>
      </c>
      <c r="P400" s="69">
        <v>491.25</v>
      </c>
      <c r="Q400" s="69">
        <v>327.5</v>
      </c>
      <c r="R400" s="70">
        <f>IF(registreGarantie[[#This Row],[date paiement]]="","",registreGarantie[[#This Row],[MO
Demandé]]-registreGarantie[[#This Row],[MO
Remboursé]])</f>
        <v>163.75</v>
      </c>
      <c r="S400" s="69">
        <v>150</v>
      </c>
      <c r="T400" s="70">
        <f>IF(registreGarantie[[#This Row],[date paiement]]="","",registreGarantie[[#This Row],[MO
Refusé]]+registreGarantie[[#This Row],[Pièces
Refusés]])</f>
        <v>163.75</v>
      </c>
      <c r="U400" s="106">
        <v>45719</v>
      </c>
      <c r="V400" s="71">
        <f>IF(registreGarantie[[#This Row],[Pièces 
Demandés]]="","",registreGarantie[[#This Row],[Date]])</f>
        <v>45693</v>
      </c>
      <c r="W400" s="103">
        <f>IF(registreGarantie[[#This Row],[Pièces 
Demandés]]="","",IF(registreGarantie[[#This Row],[date paiement]]="","",registreGarantie[[#This Row],[date paiement]]+91))</f>
        <v>45810</v>
      </c>
      <c r="X4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00" s="74">
        <f ca="1">IF(registreGarantie[[#This Row],[Colonne1]]=0,"",IF(TODAY()&gt;registreGarantie[[#This Row],[Date rebus]],0,1))</f>
        <v>0</v>
      </c>
      <c r="Z400" s="66"/>
      <c r="AA400" s="73">
        <f>IF(AND(registreGarantie[[#This Row],[Montant non remboursé]]&gt;1,registreGarantie[[#This Row],[Montant non remboursé]]&lt;&gt;""),1,"")</f>
        <v>1</v>
      </c>
      <c r="AB400" s="66"/>
      <c r="AC400" s="66"/>
      <c r="AD400" s="87">
        <f t="shared" si="6"/>
        <v>400</v>
      </c>
      <c r="AE400" s="109"/>
    </row>
    <row r="401" spans="1:31" ht="18" customHeight="1" thickBot="1" x14ac:dyDescent="0.4">
      <c r="A401" s="64">
        <v>45074</v>
      </c>
      <c r="B401" s="64">
        <v>43822</v>
      </c>
      <c r="C401" s="106">
        <v>45693</v>
      </c>
      <c r="D401" s="66" t="s">
        <v>1135</v>
      </c>
      <c r="E401" s="66" t="s">
        <v>63</v>
      </c>
      <c r="F401" s="68" t="s">
        <v>2243</v>
      </c>
      <c r="G401" s="66" t="s">
        <v>172</v>
      </c>
      <c r="H401" s="64">
        <v>4360</v>
      </c>
      <c r="I401" s="67" t="s">
        <v>3</v>
      </c>
      <c r="J401" s="97">
        <v>404559667</v>
      </c>
      <c r="K401" s="66"/>
      <c r="L401" s="68"/>
      <c r="M401" s="69">
        <v>76.88</v>
      </c>
      <c r="N401" s="69">
        <v>76.88</v>
      </c>
      <c r="O401" s="70">
        <f>IF(registreGarantie[[#This Row],[date paiement]]="","",registreGarantie[[#This Row],[Pièces 
Demandés]]-registreGarantie[[#This Row],[Pièces 
Remboursés]])</f>
        <v>0</v>
      </c>
      <c r="P401" s="69">
        <v>229.25</v>
      </c>
      <c r="Q401" s="69">
        <v>229.25</v>
      </c>
      <c r="R401" s="70">
        <f>IF(registreGarantie[[#This Row],[date paiement]]="","",registreGarantie[[#This Row],[MO
Demandé]]-registreGarantie[[#This Row],[MO
Remboursé]])</f>
        <v>0</v>
      </c>
      <c r="S401" s="69">
        <v>150</v>
      </c>
      <c r="T401" s="70">
        <f>IF(registreGarantie[[#This Row],[date paiement]]="","",registreGarantie[[#This Row],[MO
Refusé]]+registreGarantie[[#This Row],[Pièces
Refusés]])</f>
        <v>0</v>
      </c>
      <c r="U401" s="106">
        <v>45719</v>
      </c>
      <c r="V401" s="71">
        <f>IF(registreGarantie[[#This Row],[Pièces 
Demandés]]="","",registreGarantie[[#This Row],[Date]])</f>
        <v>45693</v>
      </c>
      <c r="W401" s="103">
        <f>IF(registreGarantie[[#This Row],[Pièces 
Demandés]]="","",IF(registreGarantie[[#This Row],[date paiement]]="","",registreGarantie[[#This Row],[date paiement]]+91))</f>
        <v>45810</v>
      </c>
      <c r="X4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01" s="74">
        <f ca="1">IF(registreGarantie[[#This Row],[Colonne1]]=0,"",IF(TODAY()&gt;registreGarantie[[#This Row],[Date rebus]],0,1))</f>
        <v>0</v>
      </c>
      <c r="Z401" s="66"/>
      <c r="AA401" s="73" t="str">
        <f>IF(AND(registreGarantie[[#This Row],[Montant non remboursé]]&gt;1,registreGarantie[[#This Row],[Montant non remboursé]]&lt;&gt;""),1,"")</f>
        <v/>
      </c>
      <c r="AB401" s="66"/>
      <c r="AC401" s="66"/>
      <c r="AD401" s="87">
        <f t="shared" si="6"/>
        <v>401</v>
      </c>
      <c r="AE401" s="109"/>
    </row>
    <row r="402" spans="1:31" ht="18" customHeight="1" thickBot="1" x14ac:dyDescent="0.4">
      <c r="A402" s="64">
        <v>45075</v>
      </c>
      <c r="B402" s="64">
        <v>43345</v>
      </c>
      <c r="C402" s="106">
        <v>45701</v>
      </c>
      <c r="D402" s="66" t="s">
        <v>562</v>
      </c>
      <c r="E402" s="66" t="s">
        <v>563</v>
      </c>
      <c r="F402" s="68" t="s">
        <v>2337</v>
      </c>
      <c r="G402" s="66" t="s">
        <v>1944</v>
      </c>
      <c r="H402" s="64">
        <v>1227</v>
      </c>
      <c r="I402" s="67" t="s">
        <v>20</v>
      </c>
      <c r="J402" s="97">
        <v>404568208</v>
      </c>
      <c r="K402" s="66"/>
      <c r="L402" s="68"/>
      <c r="M402" s="69">
        <v>468.58</v>
      </c>
      <c r="N402" s="69">
        <v>468.58</v>
      </c>
      <c r="O402" s="70" t="str">
        <f>IF(registreGarantie[[#This Row],[date paiement]]="","",registreGarantie[[#This Row],[Pièces 
Demandés]]-registreGarantie[[#This Row],[Pièces 
Remboursés]])</f>
        <v/>
      </c>
      <c r="P402" s="69">
        <v>625.53</v>
      </c>
      <c r="Q402" s="69">
        <v>625.53</v>
      </c>
      <c r="R402" s="70" t="str">
        <f>IF(registreGarantie[[#This Row],[date paiement]]="","",registreGarantie[[#This Row],[MO
Demandé]]-registreGarantie[[#This Row],[MO
Remboursé]])</f>
        <v/>
      </c>
      <c r="S402" s="69"/>
      <c r="T402" s="70" t="str">
        <f>IF(registreGarantie[[#This Row],[date paiement]]="","",registreGarantie[[#This Row],[MO
Refusé]]+registreGarantie[[#This Row],[Pièces
Refusés]])</f>
        <v/>
      </c>
      <c r="U402" s="106"/>
      <c r="V402" s="71">
        <f>IF(registreGarantie[[#This Row],[Pièces 
Demandés]]="","",registreGarantie[[#This Row],[Date]])</f>
        <v>45701</v>
      </c>
      <c r="W402" s="103" t="str">
        <f>IF(registreGarantie[[#This Row],[Pièces 
Demandés]]="","",IF(registreGarantie[[#This Row],[date paiement]]="","",registreGarantie[[#This Row],[date paiement]]+91))</f>
        <v/>
      </c>
      <c r="X4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2" s="74" t="str">
        <f ca="1">IF(registreGarantie[[#This Row],[Colonne1]]=0,"",IF(TODAY()&gt;registreGarantie[[#This Row],[Date rebus]],0,1))</f>
        <v/>
      </c>
      <c r="Z402" s="66"/>
      <c r="AA402" s="73" t="str">
        <f>IF(AND(registreGarantie[[#This Row],[Montant non remboursé]]&gt;1,registreGarantie[[#This Row],[Montant non remboursé]]&lt;&gt;""),1,"")</f>
        <v/>
      </c>
      <c r="AB402" s="66"/>
      <c r="AC402" s="66"/>
      <c r="AD402" s="87">
        <f t="shared" si="6"/>
        <v>402</v>
      </c>
      <c r="AE402" s="109"/>
    </row>
    <row r="403" spans="1:31" ht="18" customHeight="1" thickBot="1" x14ac:dyDescent="0.4">
      <c r="A403" s="64">
        <v>45076</v>
      </c>
      <c r="B403" s="64">
        <v>6058</v>
      </c>
      <c r="C403" s="106">
        <v>45705</v>
      </c>
      <c r="D403" s="66" t="s">
        <v>1951</v>
      </c>
      <c r="E403" s="66" t="s">
        <v>718</v>
      </c>
      <c r="F403" s="68"/>
      <c r="G403" s="66" t="s">
        <v>1952</v>
      </c>
      <c r="H403" s="64">
        <v>6296</v>
      </c>
      <c r="I403" s="67" t="s">
        <v>18</v>
      </c>
      <c r="J403" s="97">
        <v>404572744</v>
      </c>
      <c r="K403" s="66"/>
      <c r="L403" s="68"/>
      <c r="M403" s="69"/>
      <c r="N403" s="69"/>
      <c r="O403" s="70" t="str">
        <f>IF(registreGarantie[[#This Row],[date paiement]]="","",registreGarantie[[#This Row],[Pièces 
Demandés]]-registreGarantie[[#This Row],[Pièces 
Remboursés]])</f>
        <v/>
      </c>
      <c r="P403" s="69"/>
      <c r="Q403" s="69"/>
      <c r="R403" s="70" t="str">
        <f>IF(registreGarantie[[#This Row],[date paiement]]="","",registreGarantie[[#This Row],[MO
Demandé]]-registreGarantie[[#This Row],[MO
Remboursé]])</f>
        <v/>
      </c>
      <c r="S403" s="69"/>
      <c r="T403" s="70" t="str">
        <f>IF(registreGarantie[[#This Row],[date paiement]]="","",registreGarantie[[#This Row],[MO
Refusé]]+registreGarantie[[#This Row],[Pièces
Refusés]])</f>
        <v/>
      </c>
      <c r="U403" s="106"/>
      <c r="V403" s="71" t="str">
        <f>IF(registreGarantie[[#This Row],[Pièces 
Demandés]]="","",registreGarantie[[#This Row],[Date]])</f>
        <v/>
      </c>
      <c r="W403" s="103" t="str">
        <f>IF(registreGarantie[[#This Row],[Pièces 
Demandés]]="","",IF(registreGarantie[[#This Row],[date paiement]]="","",registreGarantie[[#This Row],[date paiement]]+91))</f>
        <v/>
      </c>
      <c r="X4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3" s="74" t="str">
        <f ca="1">IF(registreGarantie[[#This Row],[Colonne1]]=0,"",IF(TODAY()&gt;registreGarantie[[#This Row],[Date rebus]],0,1))</f>
        <v/>
      </c>
      <c r="Z403" s="66"/>
      <c r="AA403" s="73" t="str">
        <f>IF(AND(registreGarantie[[#This Row],[Montant non remboursé]]&gt;1,registreGarantie[[#This Row],[Montant non remboursé]]&lt;&gt;""),1,"")</f>
        <v/>
      </c>
      <c r="AB403" s="66"/>
      <c r="AC403" s="66"/>
      <c r="AD403" s="87">
        <f t="shared" si="6"/>
        <v>403</v>
      </c>
      <c r="AE403" s="109"/>
    </row>
    <row r="404" spans="1:31" ht="18" customHeight="1" thickBot="1" x14ac:dyDescent="0.4">
      <c r="A404" s="64">
        <v>45077</v>
      </c>
      <c r="B404" s="64">
        <v>6070</v>
      </c>
      <c r="C404" s="106">
        <v>45706</v>
      </c>
      <c r="D404" s="66" t="s">
        <v>239</v>
      </c>
      <c r="E404" s="66" t="s">
        <v>546</v>
      </c>
      <c r="F404" s="68">
        <v>78410241</v>
      </c>
      <c r="G404" s="66" t="s">
        <v>1957</v>
      </c>
      <c r="H404" s="64">
        <v>1228</v>
      </c>
      <c r="I404" s="67" t="s">
        <v>2</v>
      </c>
      <c r="J404" s="97">
        <v>404573390</v>
      </c>
      <c r="K404" s="66"/>
      <c r="L404" s="68"/>
      <c r="M404" s="69">
        <v>94.18</v>
      </c>
      <c r="N404" s="69">
        <v>92.2</v>
      </c>
      <c r="O404" s="70">
        <f>IF(registreGarantie[[#This Row],[date paiement]]="","",registreGarantie[[#This Row],[Pièces 
Demandés]]-registreGarantie[[#This Row],[Pièces 
Remboursés]])</f>
        <v>1.980000000000004</v>
      </c>
      <c r="P404" s="69">
        <v>229.25</v>
      </c>
      <c r="Q404" s="69">
        <v>131</v>
      </c>
      <c r="R404" s="70">
        <f>IF(registreGarantie[[#This Row],[date paiement]]="","",registreGarantie[[#This Row],[MO
Demandé]]-registreGarantie[[#This Row],[MO
Remboursé]])</f>
        <v>98.25</v>
      </c>
      <c r="S404" s="69"/>
      <c r="T404" s="70">
        <f>IF(registreGarantie[[#This Row],[date paiement]]="","",registreGarantie[[#This Row],[MO
Refusé]]+registreGarantie[[#This Row],[Pièces
Refusés]])</f>
        <v>100.23</v>
      </c>
      <c r="U404" s="106">
        <v>45719</v>
      </c>
      <c r="V404" s="71">
        <f>IF(registreGarantie[[#This Row],[Pièces 
Demandés]]="","",registreGarantie[[#This Row],[Date]])</f>
        <v>45706</v>
      </c>
      <c r="W404" s="103">
        <f>IF(registreGarantie[[#This Row],[Pièces 
Demandés]]="","",IF(registreGarantie[[#This Row],[date paiement]]="","",registreGarantie[[#This Row],[date paiement]]+91))</f>
        <v>45810</v>
      </c>
      <c r="X4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04" s="74">
        <f ca="1">IF(registreGarantie[[#This Row],[Colonne1]]=0,"",IF(TODAY()&gt;registreGarantie[[#This Row],[Date rebus]],0,1))</f>
        <v>0</v>
      </c>
      <c r="Z404" s="66" t="s">
        <v>1985</v>
      </c>
      <c r="AA404" s="73">
        <f>IF(AND(registreGarantie[[#This Row],[Montant non remboursé]]&gt;1,registreGarantie[[#This Row],[Montant non remboursé]]&lt;&gt;""),1,"")</f>
        <v>1</v>
      </c>
      <c r="AB404" s="66"/>
      <c r="AC404" s="66"/>
      <c r="AD404" s="87">
        <f t="shared" si="6"/>
        <v>404</v>
      </c>
      <c r="AE404" s="109"/>
    </row>
    <row r="405" spans="1:31" ht="18" customHeight="1" thickBot="1" x14ac:dyDescent="0.4">
      <c r="A405" s="64">
        <v>45078</v>
      </c>
      <c r="B405" s="64">
        <v>43664</v>
      </c>
      <c r="C405" s="106">
        <v>45706</v>
      </c>
      <c r="D405" s="66" t="s">
        <v>486</v>
      </c>
      <c r="E405" s="66" t="s">
        <v>179</v>
      </c>
      <c r="F405" s="68" t="s">
        <v>2263</v>
      </c>
      <c r="G405" s="66" t="s">
        <v>1958</v>
      </c>
      <c r="H405" s="64">
        <v>7840</v>
      </c>
      <c r="I405" s="67" t="s">
        <v>18</v>
      </c>
      <c r="J405" s="97">
        <v>404573825</v>
      </c>
      <c r="K405" s="66"/>
      <c r="L405" s="68"/>
      <c r="M405" s="69"/>
      <c r="N405" s="69"/>
      <c r="O405" s="70" t="str">
        <f>IF(registreGarantie[[#This Row],[date paiement]]="","",registreGarantie[[#This Row],[Pièces 
Demandés]]-registreGarantie[[#This Row],[Pièces 
Remboursés]])</f>
        <v/>
      </c>
      <c r="P405" s="69"/>
      <c r="Q405" s="69"/>
      <c r="R405" s="70" t="str">
        <f>IF(registreGarantie[[#This Row],[date paiement]]="","",registreGarantie[[#This Row],[MO
Demandé]]-registreGarantie[[#This Row],[MO
Remboursé]])</f>
        <v/>
      </c>
      <c r="S405" s="69"/>
      <c r="T405" s="70" t="str">
        <f>IF(registreGarantie[[#This Row],[date paiement]]="","",registreGarantie[[#This Row],[MO
Refusé]]+registreGarantie[[#This Row],[Pièces
Refusés]])</f>
        <v/>
      </c>
      <c r="U405" s="106"/>
      <c r="V405" s="71" t="str">
        <f>IF(registreGarantie[[#This Row],[Pièces 
Demandés]]="","",registreGarantie[[#This Row],[Date]])</f>
        <v/>
      </c>
      <c r="W405" s="103" t="str">
        <f>IF(registreGarantie[[#This Row],[Pièces 
Demandés]]="","",IF(registreGarantie[[#This Row],[date paiement]]="","",registreGarantie[[#This Row],[date paiement]]+91))</f>
        <v/>
      </c>
      <c r="X4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5" s="74" t="str">
        <f ca="1">IF(registreGarantie[[#This Row],[Colonne1]]=0,"",IF(TODAY()&gt;registreGarantie[[#This Row],[Date rebus]],0,1))</f>
        <v/>
      </c>
      <c r="Z405" s="66"/>
      <c r="AA405" s="73" t="str">
        <f>IF(AND(registreGarantie[[#This Row],[Montant non remboursé]]&gt;1,registreGarantie[[#This Row],[Montant non remboursé]]&lt;&gt;""),1,"")</f>
        <v/>
      </c>
      <c r="AB405" s="66"/>
      <c r="AC405" s="66"/>
      <c r="AD405" s="87">
        <f t="shared" si="6"/>
        <v>405</v>
      </c>
      <c r="AE405" s="109"/>
    </row>
    <row r="406" spans="1:31" ht="18" customHeight="1" thickBot="1" x14ac:dyDescent="0.4">
      <c r="A406" s="64">
        <v>45079</v>
      </c>
      <c r="B406" s="64">
        <v>43843</v>
      </c>
      <c r="C406" s="106">
        <v>45709</v>
      </c>
      <c r="D406" s="66" t="s">
        <v>1963</v>
      </c>
      <c r="E406" s="66" t="s">
        <v>106</v>
      </c>
      <c r="F406" s="68" t="s">
        <v>2334</v>
      </c>
      <c r="G406" s="66" t="s">
        <v>1894</v>
      </c>
      <c r="H406" s="64">
        <v>1118</v>
      </c>
      <c r="I406" s="67" t="s">
        <v>18</v>
      </c>
      <c r="J406" s="97">
        <v>404577683</v>
      </c>
      <c r="K406" s="66"/>
      <c r="L406" s="68"/>
      <c r="M406" s="69"/>
      <c r="N406" s="69"/>
      <c r="O406" s="70" t="str">
        <f>IF(registreGarantie[[#This Row],[date paiement]]="","",registreGarantie[[#This Row],[Pièces 
Demandés]]-registreGarantie[[#This Row],[Pièces 
Remboursés]])</f>
        <v/>
      </c>
      <c r="P406" s="69"/>
      <c r="Q406" s="69"/>
      <c r="R406" s="70" t="str">
        <f>IF(registreGarantie[[#This Row],[date paiement]]="","",registreGarantie[[#This Row],[MO
Demandé]]-registreGarantie[[#This Row],[MO
Remboursé]])</f>
        <v/>
      </c>
      <c r="S406" s="69"/>
      <c r="T406" s="70" t="str">
        <f>IF(registreGarantie[[#This Row],[date paiement]]="","",registreGarantie[[#This Row],[MO
Refusé]]+registreGarantie[[#This Row],[Pièces
Refusés]])</f>
        <v/>
      </c>
      <c r="U406" s="106"/>
      <c r="V406" s="71" t="str">
        <f>IF(registreGarantie[[#This Row],[Pièces 
Demandés]]="","",registreGarantie[[#This Row],[Date]])</f>
        <v/>
      </c>
      <c r="W406" s="103" t="str">
        <f>IF(registreGarantie[[#This Row],[Pièces 
Demandés]]="","",IF(registreGarantie[[#This Row],[date paiement]]="","",registreGarantie[[#This Row],[date paiement]]+91))</f>
        <v/>
      </c>
      <c r="X4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6" s="74" t="str">
        <f ca="1">IF(registreGarantie[[#This Row],[Colonne1]]=0,"",IF(TODAY()&gt;registreGarantie[[#This Row],[Date rebus]],0,1))</f>
        <v/>
      </c>
      <c r="Z406" s="66"/>
      <c r="AA406" s="73" t="str">
        <f>IF(AND(registreGarantie[[#This Row],[Montant non remboursé]]&gt;1,registreGarantie[[#This Row],[Montant non remboursé]]&lt;&gt;""),1,"")</f>
        <v/>
      </c>
      <c r="AB406" s="66"/>
      <c r="AC406" s="66"/>
      <c r="AD406" s="87">
        <f t="shared" si="6"/>
        <v>406</v>
      </c>
      <c r="AE406" s="109"/>
    </row>
    <row r="407" spans="1:31" ht="18" customHeight="1" thickBot="1" x14ac:dyDescent="0.4">
      <c r="A407" s="64">
        <v>45080</v>
      </c>
      <c r="B407" s="64">
        <v>6084</v>
      </c>
      <c r="C407" s="106">
        <v>45716</v>
      </c>
      <c r="D407" s="66" t="s">
        <v>239</v>
      </c>
      <c r="E407" s="66" t="s">
        <v>546</v>
      </c>
      <c r="F407" s="68">
        <v>78410241</v>
      </c>
      <c r="G407" s="66" t="s">
        <v>1969</v>
      </c>
      <c r="H407" s="64">
        <v>1288</v>
      </c>
      <c r="I407" s="67" t="s">
        <v>20</v>
      </c>
      <c r="J407" s="97">
        <v>404583294</v>
      </c>
      <c r="K407" s="66"/>
      <c r="L407" s="68"/>
      <c r="M407" s="69">
        <v>88.08</v>
      </c>
      <c r="N407" s="69">
        <v>88.08</v>
      </c>
      <c r="O407" s="70">
        <f>IF(registreGarantie[[#This Row],[date paiement]]="","",registreGarantie[[#This Row],[Pièces 
Demandés]]-registreGarantie[[#This Row],[Pièces 
Remboursés]])</f>
        <v>0</v>
      </c>
      <c r="P407" s="69">
        <v>229.25</v>
      </c>
      <c r="Q407" s="69">
        <v>196.5</v>
      </c>
      <c r="R407" s="70">
        <f>IF(registreGarantie[[#This Row],[date paiement]]="","",registreGarantie[[#This Row],[MO
Demandé]]-registreGarantie[[#This Row],[MO
Remboursé]])</f>
        <v>32.75</v>
      </c>
      <c r="S407" s="69"/>
      <c r="T407" s="70">
        <f>IF(registreGarantie[[#This Row],[date paiement]]="","",registreGarantie[[#This Row],[MO
Refusé]]+registreGarantie[[#This Row],[Pièces
Refusés]])</f>
        <v>32.75</v>
      </c>
      <c r="U407" s="106">
        <v>45782</v>
      </c>
      <c r="V407" s="71">
        <f>IF(registreGarantie[[#This Row],[Pièces 
Demandés]]="","",registreGarantie[[#This Row],[Date]])</f>
        <v>45716</v>
      </c>
      <c r="W407" s="103">
        <f>IF(registreGarantie[[#This Row],[Pièces 
Demandés]]="","",IF(registreGarantie[[#This Row],[date paiement]]="","",registreGarantie[[#This Row],[date paiement]]+91))</f>
        <v>45873</v>
      </c>
      <c r="X4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7" s="74" t="str">
        <f ca="1">IF(registreGarantie[[#This Row],[Colonne1]]=0,"",IF(TODAY()&gt;registreGarantie[[#This Row],[Date rebus]],0,1))</f>
        <v/>
      </c>
      <c r="Z407" s="66"/>
      <c r="AA407" s="73">
        <f>IF(AND(registreGarantie[[#This Row],[Montant non remboursé]]&gt;1,registreGarantie[[#This Row],[Montant non remboursé]]&lt;&gt;""),1,"")</f>
        <v>1</v>
      </c>
      <c r="AB407" s="66"/>
      <c r="AC407" s="66"/>
      <c r="AD407" s="87">
        <f t="shared" si="6"/>
        <v>407</v>
      </c>
      <c r="AE407" s="109"/>
    </row>
    <row r="408" spans="1:31" ht="18" customHeight="1" thickBot="1" x14ac:dyDescent="0.4">
      <c r="A408" s="64">
        <v>45080</v>
      </c>
      <c r="B408" s="64">
        <v>6084</v>
      </c>
      <c r="C408" s="106">
        <v>45716</v>
      </c>
      <c r="D408" s="66" t="s">
        <v>239</v>
      </c>
      <c r="E408" s="66" t="s">
        <v>546</v>
      </c>
      <c r="F408" s="68">
        <v>78410241</v>
      </c>
      <c r="G408" s="66" t="s">
        <v>1969</v>
      </c>
      <c r="H408" s="64">
        <v>1288</v>
      </c>
      <c r="I408" s="67" t="s">
        <v>2</v>
      </c>
      <c r="J408" s="97">
        <v>404583294</v>
      </c>
      <c r="K408" s="66"/>
      <c r="L408" s="68"/>
      <c r="M408" s="69">
        <v>88.08</v>
      </c>
      <c r="N408" s="69">
        <v>88.08</v>
      </c>
      <c r="O408" s="70">
        <f>IF(registreGarantie[[#This Row],[date paiement]]="","",registreGarantie[[#This Row],[Pièces 
Demandés]]-registreGarantie[[#This Row],[Pièces 
Remboursés]])</f>
        <v>0</v>
      </c>
      <c r="P408" s="69">
        <v>229.25</v>
      </c>
      <c r="Q408" s="69">
        <v>196.5</v>
      </c>
      <c r="R408" s="70">
        <f>IF(registreGarantie[[#This Row],[date paiement]]="","",registreGarantie[[#This Row],[MO
Demandé]]-registreGarantie[[#This Row],[MO
Remboursé]])</f>
        <v>32.75</v>
      </c>
      <c r="S408" s="69"/>
      <c r="T408" s="70">
        <f>IF(registreGarantie[[#This Row],[date paiement]]="","",registreGarantie[[#This Row],[MO
Refusé]]+registreGarantie[[#This Row],[Pièces
Refusés]])</f>
        <v>32.75</v>
      </c>
      <c r="U408" s="106">
        <v>45782</v>
      </c>
      <c r="V408" s="71">
        <f>IF(registreGarantie[[#This Row],[Pièces 
Demandés]]="","",registreGarantie[[#This Row],[Date]])</f>
        <v>45716</v>
      </c>
      <c r="W408" s="103">
        <f>IF(registreGarantie[[#This Row],[Pièces 
Demandés]]="","",IF(registreGarantie[[#This Row],[date paiement]]="","",registreGarantie[[#This Row],[date paiement]]+91))</f>
        <v>45873</v>
      </c>
      <c r="X4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08" s="74">
        <f ca="1">IF(registreGarantie[[#This Row],[Colonne1]]=0,"",IF(TODAY()&gt;registreGarantie[[#This Row],[Date rebus]],0,1))</f>
        <v>0</v>
      </c>
      <c r="Z408" s="66" t="s">
        <v>2647</v>
      </c>
      <c r="AA408" s="73">
        <f>IF(AND(registreGarantie[[#This Row],[Montant non remboursé]]&gt;1,registreGarantie[[#This Row],[Montant non remboursé]]&lt;&gt;""),1,"")</f>
        <v>1</v>
      </c>
      <c r="AB408" s="66"/>
      <c r="AC408" s="66"/>
      <c r="AD408" s="87">
        <f t="shared" si="6"/>
        <v>408</v>
      </c>
      <c r="AE408" s="109"/>
    </row>
    <row r="409" spans="1:31" ht="18" customHeight="1" thickBot="1" x14ac:dyDescent="0.4">
      <c r="A409" s="64">
        <v>45081</v>
      </c>
      <c r="B409" s="64">
        <v>6086</v>
      </c>
      <c r="C409" s="106">
        <v>45716</v>
      </c>
      <c r="D409" s="66" t="s">
        <v>1099</v>
      </c>
      <c r="E409" s="66" t="s">
        <v>272</v>
      </c>
      <c r="F409" s="68"/>
      <c r="G409" s="66" t="s">
        <v>1970</v>
      </c>
      <c r="H409" s="64"/>
      <c r="I409" s="67" t="s">
        <v>1915</v>
      </c>
      <c r="J409" s="97"/>
      <c r="K409" s="66"/>
      <c r="L409" s="68"/>
      <c r="M409" s="69"/>
      <c r="N409" s="69"/>
      <c r="O409" s="70">
        <f>IF(registreGarantie[[#This Row],[date paiement]]="","",registreGarantie[[#This Row],[Pièces 
Demandés]]-registreGarantie[[#This Row],[Pièces 
Remboursés]])</f>
        <v>0</v>
      </c>
      <c r="P409" s="69">
        <v>80</v>
      </c>
      <c r="Q409" s="69">
        <v>80</v>
      </c>
      <c r="R409" s="70">
        <f>IF(registreGarantie[[#This Row],[date paiement]]="","",registreGarantie[[#This Row],[MO
Demandé]]-registreGarantie[[#This Row],[MO
Remboursé]])</f>
        <v>0</v>
      </c>
      <c r="S409" s="69"/>
      <c r="T409" s="70">
        <f>IF(registreGarantie[[#This Row],[date paiement]]="","",registreGarantie[[#This Row],[MO
Refusé]]+registreGarantie[[#This Row],[Pièces
Refusés]])</f>
        <v>0</v>
      </c>
      <c r="U409" s="106">
        <v>45782.734560185185</v>
      </c>
      <c r="V409" s="71" t="str">
        <f>IF(registreGarantie[[#This Row],[Pièces 
Demandés]]="","",registreGarantie[[#This Row],[Date]])</f>
        <v/>
      </c>
      <c r="W409" s="103" t="str">
        <f>IF(registreGarantie[[#This Row],[Pièces 
Demandés]]="","",IF(registreGarantie[[#This Row],[date paiement]]="","",registreGarantie[[#This Row],[date paiement]]+91))</f>
        <v/>
      </c>
      <c r="X4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09" s="74" t="str">
        <f ca="1">IF(registreGarantie[[#This Row],[Colonne1]]=0,"",IF(TODAY()&gt;registreGarantie[[#This Row],[Date rebus]],0,1))</f>
        <v/>
      </c>
      <c r="Z409" s="66"/>
      <c r="AA409" s="73" t="str">
        <f>IF(AND(registreGarantie[[#This Row],[Montant non remboursé]]&gt;1,registreGarantie[[#This Row],[Montant non remboursé]]&lt;&gt;""),1,"")</f>
        <v/>
      </c>
      <c r="AB409" s="66"/>
      <c r="AC409" s="66"/>
      <c r="AD409" s="87">
        <f t="shared" si="6"/>
        <v>409</v>
      </c>
      <c r="AE409" s="109"/>
    </row>
    <row r="410" spans="1:31" ht="18" customHeight="1" thickBot="1" x14ac:dyDescent="0.4">
      <c r="A410" s="64">
        <v>45082</v>
      </c>
      <c r="B410" s="64">
        <v>43899</v>
      </c>
      <c r="C410" s="106">
        <v>45719</v>
      </c>
      <c r="D410" s="66" t="s">
        <v>74</v>
      </c>
      <c r="E410" s="66" t="s">
        <v>217</v>
      </c>
      <c r="F410" s="68" t="s">
        <v>2255</v>
      </c>
      <c r="G410" s="66" t="s">
        <v>1973</v>
      </c>
      <c r="H410" s="64">
        <v>2793</v>
      </c>
      <c r="I410" s="67" t="s">
        <v>3</v>
      </c>
      <c r="J410" s="97" t="s">
        <v>2178</v>
      </c>
      <c r="K410" s="66"/>
      <c r="L410" s="68"/>
      <c r="M410" s="69">
        <v>30.75</v>
      </c>
      <c r="N410" s="69">
        <v>30.75</v>
      </c>
      <c r="O410" s="70">
        <f>IF(registreGarantie[[#This Row],[date paiement]]="","",registreGarantie[[#This Row],[Pièces 
Demandés]]-registreGarantie[[#This Row],[Pièces 
Remboursés]])</f>
        <v>0</v>
      </c>
      <c r="P410" s="69">
        <v>917</v>
      </c>
      <c r="Q410" s="69">
        <v>65.5</v>
      </c>
      <c r="R410" s="70">
        <f>IF(registreGarantie[[#This Row],[date paiement]]="","",registreGarantie[[#This Row],[MO
Demandé]]-registreGarantie[[#This Row],[MO
Remboursé]])</f>
        <v>851.5</v>
      </c>
      <c r="S410" s="69">
        <v>150</v>
      </c>
      <c r="T410" s="70">
        <f>IF(registreGarantie[[#This Row],[date paiement]]="","",registreGarantie[[#This Row],[MO
Refusé]]+registreGarantie[[#This Row],[Pièces
Refusés]])</f>
        <v>851.5</v>
      </c>
      <c r="U410" s="106">
        <v>45870</v>
      </c>
      <c r="V410" s="71">
        <f>IF(registreGarantie[[#This Row],[Pièces 
Demandés]]="","",registreGarantie[[#This Row],[Date]])</f>
        <v>45719</v>
      </c>
      <c r="W410" s="103">
        <f>IF(registreGarantie[[#This Row],[Pièces 
Demandés]]="","",IF(registreGarantie[[#This Row],[date paiement]]="","",registreGarantie[[#This Row],[date paiement]]+91))</f>
        <v>45961</v>
      </c>
      <c r="X4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10" s="74">
        <f ca="1">IF(registreGarantie[[#This Row],[Colonne1]]=0,"",IF(TODAY()&gt;registreGarantie[[#This Row],[Date rebus]],0,1))</f>
        <v>1</v>
      </c>
      <c r="Z410" s="66" t="s">
        <v>2651</v>
      </c>
      <c r="AA410" s="73">
        <f>IF(AND(registreGarantie[[#This Row],[Montant non remboursé]]&gt;1,registreGarantie[[#This Row],[Montant non remboursé]]&lt;&gt;""),1,"")</f>
        <v>1</v>
      </c>
      <c r="AB410" s="66"/>
      <c r="AC410" s="66"/>
      <c r="AD410" s="87">
        <f t="shared" si="6"/>
        <v>410</v>
      </c>
      <c r="AE410" s="109"/>
    </row>
    <row r="411" spans="1:31" ht="18" customHeight="1" thickBot="1" x14ac:dyDescent="0.4">
      <c r="A411" s="64">
        <v>45083</v>
      </c>
      <c r="B411" s="64">
        <v>43943</v>
      </c>
      <c r="C411" s="106">
        <v>45719</v>
      </c>
      <c r="D411" s="66" t="s">
        <v>1974</v>
      </c>
      <c r="E411" s="66" t="s">
        <v>797</v>
      </c>
      <c r="F411" s="68"/>
      <c r="G411" s="66" t="s">
        <v>1975</v>
      </c>
      <c r="H411" s="64"/>
      <c r="I411" s="67" t="s">
        <v>21</v>
      </c>
      <c r="J411" s="97" t="s">
        <v>1976</v>
      </c>
      <c r="K411" s="66"/>
      <c r="L411" s="68"/>
      <c r="M411" s="69">
        <v>176</v>
      </c>
      <c r="N411" s="69">
        <v>176</v>
      </c>
      <c r="O411" s="70">
        <f>IF(registreGarantie[[#This Row],[date paiement]]="","",registreGarantie[[#This Row],[Pièces 
Demandés]]-registreGarantie[[#This Row],[Pièces 
Remboursés]])</f>
        <v>0</v>
      </c>
      <c r="P411" s="69">
        <v>53</v>
      </c>
      <c r="Q411" s="69">
        <v>53</v>
      </c>
      <c r="R411" s="70">
        <f>IF(registreGarantie[[#This Row],[date paiement]]="","",registreGarantie[[#This Row],[MO
Demandé]]-registreGarantie[[#This Row],[MO
Remboursé]])</f>
        <v>0</v>
      </c>
      <c r="S411" s="69"/>
      <c r="T411" s="70">
        <f>IF(registreGarantie[[#This Row],[date paiement]]="","",registreGarantie[[#This Row],[MO
Refusé]]+registreGarantie[[#This Row],[Pièces
Refusés]])</f>
        <v>0</v>
      </c>
      <c r="U411" s="106">
        <v>45727.75508101852</v>
      </c>
      <c r="V411" s="71">
        <f>IF(registreGarantie[[#This Row],[Pièces 
Demandés]]="","",registreGarantie[[#This Row],[Date]])</f>
        <v>45719</v>
      </c>
      <c r="W411" s="103">
        <f>IF(registreGarantie[[#This Row],[Pièces 
Demandés]]="","",IF(registreGarantie[[#This Row],[date paiement]]="","",registreGarantie[[#This Row],[date paiement]]+91))</f>
        <v>45818.75508101852</v>
      </c>
      <c r="X4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1" s="74" t="str">
        <f ca="1">IF(registreGarantie[[#This Row],[Colonne1]]=0,"",IF(TODAY()&gt;registreGarantie[[#This Row],[Date rebus]],0,1))</f>
        <v/>
      </c>
      <c r="Z411" s="66"/>
      <c r="AA411" s="73" t="str">
        <f>IF(AND(registreGarantie[[#This Row],[Montant non remboursé]]&gt;1,registreGarantie[[#This Row],[Montant non remboursé]]&lt;&gt;""),1,"")</f>
        <v/>
      </c>
      <c r="AB411" s="66"/>
      <c r="AC411" s="66"/>
      <c r="AD411" s="87">
        <f t="shared" si="6"/>
        <v>411</v>
      </c>
      <c r="AE411" s="109"/>
    </row>
    <row r="412" spans="1:31" ht="18.600000000000001" thickBot="1" x14ac:dyDescent="0.4">
      <c r="A412" s="64">
        <v>45084</v>
      </c>
      <c r="B412" s="64">
        <v>43935</v>
      </c>
      <c r="C412" s="106">
        <v>45719</v>
      </c>
      <c r="D412" s="66" t="s">
        <v>509</v>
      </c>
      <c r="E412" s="66" t="s">
        <v>440</v>
      </c>
      <c r="F412" s="68" t="s">
        <v>2300</v>
      </c>
      <c r="G412" s="66" t="s">
        <v>1979</v>
      </c>
      <c r="H412" s="64">
        <v>1915</v>
      </c>
      <c r="I412" s="67" t="s">
        <v>3</v>
      </c>
      <c r="J412" s="97">
        <v>404584577</v>
      </c>
      <c r="K412" s="66"/>
      <c r="L412" s="68"/>
      <c r="M412" s="69">
        <v>48.98</v>
      </c>
      <c r="N412" s="69">
        <v>48.98</v>
      </c>
      <c r="O412" s="70">
        <f>IF(registreGarantie[[#This Row],[date paiement]]="","",registreGarantie[[#This Row],[Pièces 
Demandés]]-registreGarantie[[#This Row],[Pièces 
Remboursés]])</f>
        <v>0</v>
      </c>
      <c r="P412" s="69">
        <v>131</v>
      </c>
      <c r="Q412" s="69">
        <v>131</v>
      </c>
      <c r="R412" s="70">
        <f>IF(registreGarantie[[#This Row],[date paiement]]="","",registreGarantie[[#This Row],[MO
Demandé]]-registreGarantie[[#This Row],[MO
Remboursé]])</f>
        <v>0</v>
      </c>
      <c r="S412" s="69">
        <v>150</v>
      </c>
      <c r="T412" s="70">
        <f>IF(registreGarantie[[#This Row],[date paiement]]="","",registreGarantie[[#This Row],[MO
Refusé]]+registreGarantie[[#This Row],[Pièces
Refusés]])</f>
        <v>0</v>
      </c>
      <c r="U412" s="106">
        <v>45736.349502314813</v>
      </c>
      <c r="V412" s="71">
        <f>IF(registreGarantie[[#This Row],[Pièces 
Demandés]]="","",registreGarantie[[#This Row],[Date]])</f>
        <v>45719</v>
      </c>
      <c r="W412" s="103">
        <f>IF(registreGarantie[[#This Row],[Pièces 
Demandés]]="","",IF(registreGarantie[[#This Row],[date paiement]]="","",registreGarantie[[#This Row],[date paiement]]+91))</f>
        <v>45827.349502314813</v>
      </c>
      <c r="X4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12" s="74">
        <f ca="1">IF(registreGarantie[[#This Row],[Colonne1]]=0,"",IF(TODAY()&gt;registreGarantie[[#This Row],[Date rebus]],0,1))</f>
        <v>0</v>
      </c>
      <c r="Z412" s="66"/>
      <c r="AA412" s="73" t="str">
        <f>IF(AND(registreGarantie[[#This Row],[Montant non remboursé]]&gt;1,registreGarantie[[#This Row],[Montant non remboursé]]&lt;&gt;""),1,"")</f>
        <v/>
      </c>
      <c r="AB412" s="66"/>
      <c r="AC412" s="66"/>
      <c r="AD412" s="87">
        <f t="shared" si="6"/>
        <v>412</v>
      </c>
      <c r="AE412" s="109"/>
    </row>
    <row r="413" spans="1:31" ht="18" customHeight="1" thickBot="1" x14ac:dyDescent="0.4">
      <c r="A413" s="64">
        <v>45085</v>
      </c>
      <c r="B413" s="64">
        <v>6067</v>
      </c>
      <c r="C413" s="106">
        <v>45720</v>
      </c>
      <c r="D413" s="66" t="s">
        <v>1117</v>
      </c>
      <c r="E413" s="66" t="s">
        <v>32</v>
      </c>
      <c r="F413" s="68" t="s">
        <v>2297</v>
      </c>
      <c r="G413" s="66" t="s">
        <v>1982</v>
      </c>
      <c r="H413" s="64">
        <v>359</v>
      </c>
      <c r="I413" s="67" t="s">
        <v>18</v>
      </c>
      <c r="J413" s="97">
        <v>404585352</v>
      </c>
      <c r="K413" s="66" t="s">
        <v>1983</v>
      </c>
      <c r="L413" s="68"/>
      <c r="M413" s="69"/>
      <c r="N413" s="69"/>
      <c r="O413" s="70" t="str">
        <f>IF(registreGarantie[[#This Row],[date paiement]]="","",registreGarantie[[#This Row],[Pièces 
Demandés]]-registreGarantie[[#This Row],[Pièces 
Remboursés]])</f>
        <v/>
      </c>
      <c r="P413" s="69"/>
      <c r="Q413" s="69"/>
      <c r="R413" s="70" t="str">
        <f>IF(registreGarantie[[#This Row],[date paiement]]="","",registreGarantie[[#This Row],[MO
Demandé]]-registreGarantie[[#This Row],[MO
Remboursé]])</f>
        <v/>
      </c>
      <c r="S413" s="69"/>
      <c r="T413" s="70" t="str">
        <f>IF(registreGarantie[[#This Row],[date paiement]]="","",registreGarantie[[#This Row],[MO
Refusé]]+registreGarantie[[#This Row],[Pièces
Refusés]])</f>
        <v/>
      </c>
      <c r="U413" s="106"/>
      <c r="V413" s="71" t="str">
        <f>IF(registreGarantie[[#This Row],[Pièces 
Demandés]]="","",registreGarantie[[#This Row],[Date]])</f>
        <v/>
      </c>
      <c r="W413" s="103" t="str">
        <f>IF(registreGarantie[[#This Row],[Pièces 
Demandés]]="","",IF(registreGarantie[[#This Row],[date paiement]]="","",registreGarantie[[#This Row],[date paiement]]+91))</f>
        <v/>
      </c>
      <c r="X4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3" s="74" t="str">
        <f ca="1">IF(registreGarantie[[#This Row],[Colonne1]]=0,"",IF(TODAY()&gt;registreGarantie[[#This Row],[Date rebus]],0,1))</f>
        <v/>
      </c>
      <c r="Z413" s="66"/>
      <c r="AA413" s="73" t="str">
        <f>IF(AND(registreGarantie[[#This Row],[Montant non remboursé]]&gt;1,registreGarantie[[#This Row],[Montant non remboursé]]&lt;&gt;""),1,"")</f>
        <v/>
      </c>
      <c r="AB413" s="66"/>
      <c r="AC413" s="66"/>
      <c r="AD413" s="87">
        <f t="shared" si="6"/>
        <v>413</v>
      </c>
      <c r="AE413" s="109"/>
    </row>
    <row r="414" spans="1:31" ht="18" customHeight="1" thickBot="1" x14ac:dyDescent="0.4">
      <c r="A414" s="64">
        <v>45085</v>
      </c>
      <c r="B414" s="64">
        <v>6067</v>
      </c>
      <c r="C414" s="106">
        <v>45720</v>
      </c>
      <c r="D414" s="66" t="s">
        <v>1117</v>
      </c>
      <c r="E414" s="66" t="s">
        <v>32</v>
      </c>
      <c r="F414" s="68" t="s">
        <v>2297</v>
      </c>
      <c r="G414" s="66" t="s">
        <v>1982</v>
      </c>
      <c r="H414" s="64">
        <v>359</v>
      </c>
      <c r="I414" s="67" t="s">
        <v>19</v>
      </c>
      <c r="J414" s="97">
        <v>404585353</v>
      </c>
      <c r="K414" s="66"/>
      <c r="L414" s="68"/>
      <c r="M414" s="69"/>
      <c r="N414" s="69"/>
      <c r="O414" s="70" t="str">
        <f>IF(registreGarantie[[#This Row],[date paiement]]="","",registreGarantie[[#This Row],[Pièces 
Demandés]]-registreGarantie[[#This Row],[Pièces 
Remboursés]])</f>
        <v/>
      </c>
      <c r="P414" s="69"/>
      <c r="Q414" s="69"/>
      <c r="R414" s="70" t="str">
        <f>IF(registreGarantie[[#This Row],[date paiement]]="","",registreGarantie[[#This Row],[MO
Demandé]]-registreGarantie[[#This Row],[MO
Remboursé]])</f>
        <v/>
      </c>
      <c r="S414" s="69"/>
      <c r="T414" s="70" t="str">
        <f>IF(registreGarantie[[#This Row],[date paiement]]="","",registreGarantie[[#This Row],[MO
Refusé]]+registreGarantie[[#This Row],[Pièces
Refusés]])</f>
        <v/>
      </c>
      <c r="U414" s="106"/>
      <c r="V414" s="71" t="str">
        <f>IF(registreGarantie[[#This Row],[Pièces 
Demandés]]="","",registreGarantie[[#This Row],[Date]])</f>
        <v/>
      </c>
      <c r="W414" s="103" t="str">
        <f>IF(registreGarantie[[#This Row],[Pièces 
Demandés]]="","",IF(registreGarantie[[#This Row],[date paiement]]="","",registreGarantie[[#This Row],[date paiement]]+91))</f>
        <v/>
      </c>
      <c r="X4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4" s="74" t="str">
        <f ca="1">IF(registreGarantie[[#This Row],[Colonne1]]=0,"",IF(TODAY()&gt;registreGarantie[[#This Row],[Date rebus]],0,1))</f>
        <v/>
      </c>
      <c r="Z414" s="66"/>
      <c r="AA414" s="73" t="str">
        <f>IF(AND(registreGarantie[[#This Row],[Montant non remboursé]]&gt;1,registreGarantie[[#This Row],[Montant non remboursé]]&lt;&gt;""),1,"")</f>
        <v/>
      </c>
      <c r="AB414" s="66"/>
      <c r="AC414" s="66"/>
      <c r="AD414" s="87">
        <f t="shared" si="6"/>
        <v>414</v>
      </c>
      <c r="AE414" s="109"/>
    </row>
    <row r="415" spans="1:31" ht="18" customHeight="1" thickBot="1" x14ac:dyDescent="0.4">
      <c r="A415" s="64">
        <v>45086</v>
      </c>
      <c r="B415" s="64">
        <v>43874</v>
      </c>
      <c r="C415" s="106">
        <v>45728</v>
      </c>
      <c r="D415" s="66" t="s">
        <v>622</v>
      </c>
      <c r="E415" s="66" t="s">
        <v>133</v>
      </c>
      <c r="F415" s="68"/>
      <c r="G415" s="66" t="s">
        <v>525</v>
      </c>
      <c r="H415" s="64">
        <v>4050</v>
      </c>
      <c r="I415" s="67" t="s">
        <v>3</v>
      </c>
      <c r="J415" s="97">
        <v>404593150</v>
      </c>
      <c r="K415" s="66"/>
      <c r="L415" s="68"/>
      <c r="M415" s="69">
        <v>2929.11</v>
      </c>
      <c r="N415" s="69">
        <v>2929.11</v>
      </c>
      <c r="O415" s="70">
        <f>IF(registreGarantie[[#This Row],[date paiement]]="","",registreGarantie[[#This Row],[Pièces 
Demandés]]-registreGarantie[[#This Row],[Pièces 
Remboursés]])</f>
        <v>0</v>
      </c>
      <c r="P415" s="69">
        <v>5141.75</v>
      </c>
      <c r="Q415" s="69">
        <v>4585</v>
      </c>
      <c r="R415" s="70">
        <f>IF(registreGarantie[[#This Row],[date paiement]]="","",registreGarantie[[#This Row],[MO
Demandé]]-registreGarantie[[#This Row],[MO
Remboursé]])</f>
        <v>556.75</v>
      </c>
      <c r="S415" s="69">
        <v>150</v>
      </c>
      <c r="T415" s="70">
        <f>IF(registreGarantie[[#This Row],[date paiement]]="","",registreGarantie[[#This Row],[MO
Refusé]]+registreGarantie[[#This Row],[Pièces
Refusés]])</f>
        <v>556.75</v>
      </c>
      <c r="U415" s="106">
        <v>45810</v>
      </c>
      <c r="V415" s="71">
        <f>IF(registreGarantie[[#This Row],[Pièces 
Demandés]]="","",registreGarantie[[#This Row],[Date]])</f>
        <v>45728</v>
      </c>
      <c r="W415" s="103">
        <f>IF(registreGarantie[[#This Row],[Pièces 
Demandés]]="","",IF(registreGarantie[[#This Row],[date paiement]]="","",registreGarantie[[#This Row],[date paiement]]+91))</f>
        <v>45901</v>
      </c>
      <c r="X4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15" s="74">
        <f ca="1">IF(registreGarantie[[#This Row],[Colonne1]]=0,"",IF(TODAY()&gt;registreGarantie[[#This Row],[Date rebus]],0,1))</f>
        <v>0</v>
      </c>
      <c r="Z415" s="66"/>
      <c r="AA415" s="73">
        <f>IF(AND(registreGarantie[[#This Row],[Montant non remboursé]]&gt;1,registreGarantie[[#This Row],[Montant non remboursé]]&lt;&gt;""),1,"")</f>
        <v>1</v>
      </c>
      <c r="AB415" s="66"/>
      <c r="AC415" s="66"/>
      <c r="AD415" s="87">
        <f t="shared" si="6"/>
        <v>415</v>
      </c>
      <c r="AE415" s="109"/>
    </row>
    <row r="416" spans="1:31" ht="18" customHeight="1" thickBot="1" x14ac:dyDescent="0.4">
      <c r="A416" s="64">
        <v>45087</v>
      </c>
      <c r="B416" s="64">
        <v>43831</v>
      </c>
      <c r="C416" s="106">
        <v>45729</v>
      </c>
      <c r="D416" s="66" t="s">
        <v>1097</v>
      </c>
      <c r="E416" s="66" t="s">
        <v>533</v>
      </c>
      <c r="F416" s="68" t="s">
        <v>2316</v>
      </c>
      <c r="G416" s="66" t="s">
        <v>1987</v>
      </c>
      <c r="H416" s="64">
        <v>3514</v>
      </c>
      <c r="I416" s="67" t="s">
        <v>5</v>
      </c>
      <c r="J416" s="97">
        <v>404508086</v>
      </c>
      <c r="K416" s="66"/>
      <c r="L416" s="68"/>
      <c r="M416" s="69">
        <v>80.959999999999994</v>
      </c>
      <c r="N416" s="69">
        <v>80.959999999999994</v>
      </c>
      <c r="O416" s="70" t="str">
        <f>IF(registreGarantie[[#This Row],[date paiement]]="","",registreGarantie[[#This Row],[Pièces 
Demandés]]-registreGarantie[[#This Row],[Pièces 
Remboursés]])</f>
        <v/>
      </c>
      <c r="P416" s="69">
        <v>107.63</v>
      </c>
      <c r="Q416" s="69">
        <v>107.63</v>
      </c>
      <c r="R416" s="70" t="str">
        <f>IF(registreGarantie[[#This Row],[date paiement]]="","",registreGarantie[[#This Row],[MO
Demandé]]-registreGarantie[[#This Row],[MO
Remboursé]])</f>
        <v/>
      </c>
      <c r="S416" s="69"/>
      <c r="T416" s="70" t="str">
        <f>IF(registreGarantie[[#This Row],[date paiement]]="","",registreGarantie[[#This Row],[MO
Refusé]]+registreGarantie[[#This Row],[Pièces
Refusés]])</f>
        <v/>
      </c>
      <c r="U416" s="106"/>
      <c r="V416" s="71">
        <f>IF(registreGarantie[[#This Row],[Pièces 
Demandés]]="","",registreGarantie[[#This Row],[Date]])</f>
        <v>45729</v>
      </c>
      <c r="W416" s="103" t="str">
        <f>IF(registreGarantie[[#This Row],[Pièces 
Demandés]]="","",IF(registreGarantie[[#This Row],[date paiement]]="","",registreGarantie[[#This Row],[date paiement]]+91))</f>
        <v/>
      </c>
      <c r="X4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6" s="74" t="str">
        <f ca="1">IF(registreGarantie[[#This Row],[Colonne1]]=0,"",IF(TODAY()&gt;registreGarantie[[#This Row],[Date rebus]],0,1))</f>
        <v/>
      </c>
      <c r="Z416" s="66"/>
      <c r="AA416" s="73" t="str">
        <f>IF(AND(registreGarantie[[#This Row],[Montant non remboursé]]&gt;1,registreGarantie[[#This Row],[Montant non remboursé]]&lt;&gt;""),1,"")</f>
        <v/>
      </c>
      <c r="AB416" s="66"/>
      <c r="AC416" s="66"/>
      <c r="AD416" s="87">
        <f t="shared" si="6"/>
        <v>416</v>
      </c>
      <c r="AE416" s="109"/>
    </row>
    <row r="417" spans="1:31" ht="18" customHeight="1" thickBot="1" x14ac:dyDescent="0.4">
      <c r="A417" s="64">
        <v>45088</v>
      </c>
      <c r="B417" s="64">
        <v>43979</v>
      </c>
      <c r="C417" s="106">
        <v>45730</v>
      </c>
      <c r="D417" s="66" t="s">
        <v>74</v>
      </c>
      <c r="E417" s="66" t="s">
        <v>367</v>
      </c>
      <c r="F417" s="68" t="s">
        <v>2254</v>
      </c>
      <c r="G417" s="66" t="s">
        <v>1134</v>
      </c>
      <c r="H417" s="64">
        <v>52</v>
      </c>
      <c r="I417" s="67" t="s">
        <v>2</v>
      </c>
      <c r="J417" s="97">
        <v>404595291</v>
      </c>
      <c r="K417" s="66"/>
      <c r="L417" s="68"/>
      <c r="M417" s="69">
        <v>32.53</v>
      </c>
      <c r="N417" s="69">
        <v>32.53</v>
      </c>
      <c r="O417" s="70">
        <f>IF(registreGarantie[[#This Row],[date paiement]]="","",registreGarantie[[#This Row],[Pièces 
Demandés]]-registreGarantie[[#This Row],[Pièces 
Remboursés]])</f>
        <v>0</v>
      </c>
      <c r="P417" s="69">
        <v>65.5</v>
      </c>
      <c r="Q417" s="69">
        <v>65.5</v>
      </c>
      <c r="R417" s="70">
        <f>IF(registreGarantie[[#This Row],[date paiement]]="","",registreGarantie[[#This Row],[MO
Demandé]]-registreGarantie[[#This Row],[MO
Remboursé]])</f>
        <v>0</v>
      </c>
      <c r="S417" s="69"/>
      <c r="T417" s="70">
        <f>IF(registreGarantie[[#This Row],[date paiement]]="","",registreGarantie[[#This Row],[MO
Refusé]]+registreGarantie[[#This Row],[Pièces
Refusés]])</f>
        <v>0</v>
      </c>
      <c r="U417" s="106">
        <v>45736.349085648151</v>
      </c>
      <c r="V417" s="71">
        <f>IF(registreGarantie[[#This Row],[Pièces 
Demandés]]="","",registreGarantie[[#This Row],[Date]])</f>
        <v>45730</v>
      </c>
      <c r="W417" s="103">
        <f>IF(registreGarantie[[#This Row],[Pièces 
Demandés]]="","",IF(registreGarantie[[#This Row],[date paiement]]="","",registreGarantie[[#This Row],[date paiement]]+91))</f>
        <v>45827.349085648151</v>
      </c>
      <c r="X4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17" s="74">
        <f ca="1">IF(registreGarantie[[#This Row],[Colonne1]]=0,"",IF(TODAY()&gt;registreGarantie[[#This Row],[Date rebus]],0,1))</f>
        <v>0</v>
      </c>
      <c r="Z417" s="66"/>
      <c r="AA417" s="73" t="str">
        <f>IF(AND(registreGarantie[[#This Row],[Montant non remboursé]]&gt;1,registreGarantie[[#This Row],[Montant non remboursé]]&lt;&gt;""),1,"")</f>
        <v/>
      </c>
      <c r="AB417" s="66"/>
      <c r="AC417" s="66"/>
      <c r="AD417" s="87">
        <f t="shared" si="6"/>
        <v>417</v>
      </c>
      <c r="AE417" s="109"/>
    </row>
    <row r="418" spans="1:31" ht="18" customHeight="1" thickBot="1" x14ac:dyDescent="0.4">
      <c r="A418" s="64">
        <v>45089</v>
      </c>
      <c r="B418" s="64">
        <v>43937</v>
      </c>
      <c r="C418" s="106">
        <v>45730</v>
      </c>
      <c r="D418" s="66" t="s">
        <v>1711</v>
      </c>
      <c r="E418" s="66" t="s">
        <v>1712</v>
      </c>
      <c r="F418" s="68" t="s">
        <v>2367</v>
      </c>
      <c r="G418" s="66" t="s">
        <v>1989</v>
      </c>
      <c r="H418" s="64">
        <v>481</v>
      </c>
      <c r="I418" s="67" t="s">
        <v>21</v>
      </c>
      <c r="J418" s="97" t="s">
        <v>1990</v>
      </c>
      <c r="K418" s="66"/>
      <c r="L418" s="68"/>
      <c r="M418" s="69"/>
      <c r="N418" s="69"/>
      <c r="O418" s="70">
        <f>IF(registreGarantie[[#This Row],[date paiement]]="","",registreGarantie[[#This Row],[Pièces 
Demandés]]-registreGarantie[[#This Row],[Pièces 
Remboursés]])</f>
        <v>0</v>
      </c>
      <c r="P418" s="69">
        <v>106</v>
      </c>
      <c r="Q418" s="69">
        <v>106</v>
      </c>
      <c r="R418" s="70">
        <f>IF(registreGarantie[[#This Row],[date paiement]]="","",registreGarantie[[#This Row],[MO
Demandé]]-registreGarantie[[#This Row],[MO
Remboursé]])</f>
        <v>0</v>
      </c>
      <c r="S418" s="69"/>
      <c r="T418" s="70">
        <f>IF(registreGarantie[[#This Row],[date paiement]]="","",registreGarantie[[#This Row],[MO
Refusé]]+registreGarantie[[#This Row],[Pièces
Refusés]])</f>
        <v>0</v>
      </c>
      <c r="U418" s="106">
        <v>45734.454664351855</v>
      </c>
      <c r="V418" s="71" t="str">
        <f>IF(registreGarantie[[#This Row],[Pièces 
Demandés]]="","",registreGarantie[[#This Row],[Date]])</f>
        <v/>
      </c>
      <c r="W418" s="103" t="str">
        <f>IF(registreGarantie[[#This Row],[Pièces 
Demandés]]="","",IF(registreGarantie[[#This Row],[date paiement]]="","",registreGarantie[[#This Row],[date paiement]]+91))</f>
        <v/>
      </c>
      <c r="X4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8" s="74" t="str">
        <f ca="1">IF(registreGarantie[[#This Row],[Colonne1]]=0,"",IF(TODAY()&gt;registreGarantie[[#This Row],[Date rebus]],0,1))</f>
        <v/>
      </c>
      <c r="Z418" s="66"/>
      <c r="AA418" s="73" t="str">
        <f>IF(AND(registreGarantie[[#This Row],[Montant non remboursé]]&gt;1,registreGarantie[[#This Row],[Montant non remboursé]]&lt;&gt;""),1,"")</f>
        <v/>
      </c>
      <c r="AB418" s="66"/>
      <c r="AC418" s="66"/>
      <c r="AD418" s="87">
        <f t="shared" si="6"/>
        <v>418</v>
      </c>
      <c r="AE418" s="109"/>
    </row>
    <row r="419" spans="1:31" ht="18" customHeight="1" thickBot="1" x14ac:dyDescent="0.4">
      <c r="A419" s="64">
        <v>45090</v>
      </c>
      <c r="B419" s="64">
        <v>6104</v>
      </c>
      <c r="C419" s="106">
        <v>45730</v>
      </c>
      <c r="D419" s="66" t="s">
        <v>239</v>
      </c>
      <c r="E419" s="66" t="s">
        <v>546</v>
      </c>
      <c r="F419" s="68">
        <v>78410241</v>
      </c>
      <c r="G419" s="66" t="s">
        <v>1815</v>
      </c>
      <c r="H419" s="64">
        <v>1347</v>
      </c>
      <c r="I419" s="67" t="s">
        <v>20</v>
      </c>
      <c r="J419" s="97">
        <v>404595565</v>
      </c>
      <c r="K419" s="66"/>
      <c r="L419" s="68"/>
      <c r="M419" s="69"/>
      <c r="N419" s="69"/>
      <c r="O419" s="70" t="str">
        <f>IF(registreGarantie[[#This Row],[date paiement]]="","",registreGarantie[[#This Row],[Pièces 
Demandés]]-registreGarantie[[#This Row],[Pièces 
Remboursés]])</f>
        <v/>
      </c>
      <c r="P419" s="69"/>
      <c r="Q419" s="69"/>
      <c r="R419" s="70" t="str">
        <f>IF(registreGarantie[[#This Row],[date paiement]]="","",registreGarantie[[#This Row],[MO
Demandé]]-registreGarantie[[#This Row],[MO
Remboursé]])</f>
        <v/>
      </c>
      <c r="S419" s="69"/>
      <c r="T419" s="70" t="str">
        <f>IF(registreGarantie[[#This Row],[date paiement]]="","",registreGarantie[[#This Row],[MO
Refusé]]+registreGarantie[[#This Row],[Pièces
Refusés]])</f>
        <v/>
      </c>
      <c r="U419" s="106"/>
      <c r="V419" s="71" t="str">
        <f>IF(registreGarantie[[#This Row],[Pièces 
Demandés]]="","",registreGarantie[[#This Row],[Date]])</f>
        <v/>
      </c>
      <c r="W419" s="103" t="str">
        <f>IF(registreGarantie[[#This Row],[Pièces 
Demandés]]="","",IF(registreGarantie[[#This Row],[date paiement]]="","",registreGarantie[[#This Row],[date paiement]]+91))</f>
        <v/>
      </c>
      <c r="X4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19" s="74" t="str">
        <f ca="1">IF(registreGarantie[[#This Row],[Colonne1]]=0,"",IF(TODAY()&gt;registreGarantie[[#This Row],[Date rebus]],0,1))</f>
        <v/>
      </c>
      <c r="Z419" s="66"/>
      <c r="AA419" s="73" t="str">
        <f>IF(AND(registreGarantie[[#This Row],[Montant non remboursé]]&gt;1,registreGarantie[[#This Row],[Montant non remboursé]]&lt;&gt;""),1,"")</f>
        <v/>
      </c>
      <c r="AB419" s="66"/>
      <c r="AC419" s="66"/>
      <c r="AD419" s="87">
        <f t="shared" si="6"/>
        <v>419</v>
      </c>
      <c r="AE419" s="109"/>
    </row>
    <row r="420" spans="1:31" ht="18" customHeight="1" thickBot="1" x14ac:dyDescent="0.4">
      <c r="A420" s="64">
        <v>45090</v>
      </c>
      <c r="B420" s="64">
        <v>6104</v>
      </c>
      <c r="C420" s="106">
        <v>45730</v>
      </c>
      <c r="D420" s="66" t="s">
        <v>239</v>
      </c>
      <c r="E420" s="66" t="s">
        <v>546</v>
      </c>
      <c r="F420" s="68">
        <v>78410241</v>
      </c>
      <c r="G420" s="66" t="s">
        <v>1815</v>
      </c>
      <c r="H420" s="64">
        <v>1347</v>
      </c>
      <c r="I420" s="67" t="s">
        <v>2</v>
      </c>
      <c r="J420" s="97">
        <v>404595565</v>
      </c>
      <c r="K420" s="66"/>
      <c r="L420" s="68"/>
      <c r="M420" s="69">
        <v>265.83</v>
      </c>
      <c r="N420" s="69">
        <v>265.83</v>
      </c>
      <c r="O420" s="70">
        <f>IF(registreGarantie[[#This Row],[date paiement]]="","",registreGarantie[[#This Row],[Pièces 
Demandés]]-registreGarantie[[#This Row],[Pièces 
Remboursés]])</f>
        <v>0</v>
      </c>
      <c r="P420" s="69">
        <v>131</v>
      </c>
      <c r="Q420" s="69">
        <v>131</v>
      </c>
      <c r="R420" s="70">
        <f>IF(registreGarantie[[#This Row],[date paiement]]="","",registreGarantie[[#This Row],[MO
Demandé]]-registreGarantie[[#This Row],[MO
Remboursé]])</f>
        <v>0</v>
      </c>
      <c r="S420" s="69"/>
      <c r="T420" s="70">
        <f>IF(registreGarantie[[#This Row],[date paiement]]="","",registreGarantie[[#This Row],[MO
Refusé]]+registreGarantie[[#This Row],[Pièces
Refusés]])</f>
        <v>0</v>
      </c>
      <c r="U420" s="106">
        <v>45750</v>
      </c>
      <c r="V420" s="71">
        <f>IF(registreGarantie[[#This Row],[Pièces 
Demandés]]="","",registreGarantie[[#This Row],[Date]])</f>
        <v>45730</v>
      </c>
      <c r="W420" s="103">
        <f>IF(registreGarantie[[#This Row],[Pièces 
Demandés]]="","",IF(registreGarantie[[#This Row],[date paiement]]="","",registreGarantie[[#This Row],[date paiement]]+91))</f>
        <v>45841</v>
      </c>
      <c r="X4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0" s="74">
        <f ca="1">IF(registreGarantie[[#This Row],[Colonne1]]=0,"",IF(TODAY()&gt;registreGarantie[[#This Row],[Date rebus]],0,1))</f>
        <v>0</v>
      </c>
      <c r="Z420" s="66"/>
      <c r="AA420" s="73" t="str">
        <f>IF(AND(registreGarantie[[#This Row],[Montant non remboursé]]&gt;1,registreGarantie[[#This Row],[Montant non remboursé]]&lt;&gt;""),1,"")</f>
        <v/>
      </c>
      <c r="AB420" s="66"/>
      <c r="AC420" s="66"/>
      <c r="AD420" s="87">
        <f t="shared" si="6"/>
        <v>420</v>
      </c>
      <c r="AE420" s="109"/>
    </row>
    <row r="421" spans="1:31" ht="18" customHeight="1" thickBot="1" x14ac:dyDescent="0.4">
      <c r="A421" s="64">
        <v>45091</v>
      </c>
      <c r="B421" s="64">
        <v>43961</v>
      </c>
      <c r="C421" s="106">
        <v>45730</v>
      </c>
      <c r="D421" s="66" t="s">
        <v>292</v>
      </c>
      <c r="E421" s="66" t="s">
        <v>75</v>
      </c>
      <c r="F421" s="68" t="s">
        <v>2244</v>
      </c>
      <c r="G421" s="66" t="s">
        <v>1088</v>
      </c>
      <c r="H421" s="64">
        <v>1017</v>
      </c>
      <c r="I421" s="67" t="s">
        <v>3</v>
      </c>
      <c r="J421" s="97">
        <v>404595688</v>
      </c>
      <c r="K421" s="66"/>
      <c r="L421" s="68"/>
      <c r="M421" s="69">
        <v>51.38</v>
      </c>
      <c r="N421" s="69">
        <v>51.38</v>
      </c>
      <c r="O421" s="70">
        <f>IF(registreGarantie[[#This Row],[date paiement]]="","",registreGarantie[[#This Row],[Pièces 
Demandés]]-registreGarantie[[#This Row],[Pièces 
Remboursés]])</f>
        <v>0</v>
      </c>
      <c r="P421" s="69">
        <v>294.75</v>
      </c>
      <c r="Q421" s="69">
        <v>294.75</v>
      </c>
      <c r="R421" s="70">
        <f>IF(registreGarantie[[#This Row],[date paiement]]="","",registreGarantie[[#This Row],[MO
Demandé]]-registreGarantie[[#This Row],[MO
Remboursé]])</f>
        <v>0</v>
      </c>
      <c r="S421" s="69">
        <v>150</v>
      </c>
      <c r="T421" s="70">
        <f>IF(registreGarantie[[#This Row],[date paiement]]="","",registreGarantie[[#This Row],[MO
Refusé]]+registreGarantie[[#This Row],[Pièces
Refusés]])</f>
        <v>0</v>
      </c>
      <c r="U421" s="106">
        <v>45736.347233796296</v>
      </c>
      <c r="V421" s="71">
        <f>IF(registreGarantie[[#This Row],[Pièces 
Demandés]]="","",registreGarantie[[#This Row],[Date]])</f>
        <v>45730</v>
      </c>
      <c r="W421" s="103">
        <f>IF(registreGarantie[[#This Row],[Pièces 
Demandés]]="","",IF(registreGarantie[[#This Row],[date paiement]]="","",registreGarantie[[#This Row],[date paiement]]+91))</f>
        <v>45827.347233796296</v>
      </c>
      <c r="X4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1" s="74">
        <f ca="1">IF(registreGarantie[[#This Row],[Colonne1]]=0,"",IF(TODAY()&gt;registreGarantie[[#This Row],[Date rebus]],0,1))</f>
        <v>0</v>
      </c>
      <c r="Z421" s="66"/>
      <c r="AA421" s="73" t="str">
        <f>IF(AND(registreGarantie[[#This Row],[Montant non remboursé]]&gt;1,registreGarantie[[#This Row],[Montant non remboursé]]&lt;&gt;""),1,"")</f>
        <v/>
      </c>
      <c r="AB421" s="66"/>
      <c r="AC421" s="66"/>
      <c r="AD421" s="87">
        <f t="shared" si="6"/>
        <v>421</v>
      </c>
      <c r="AE421" s="109"/>
    </row>
    <row r="422" spans="1:31" ht="18" customHeight="1" thickBot="1" x14ac:dyDescent="0.4">
      <c r="A422" s="64">
        <v>45092</v>
      </c>
      <c r="B422" s="64">
        <v>43932</v>
      </c>
      <c r="C422" s="106">
        <v>45730</v>
      </c>
      <c r="D422" s="66" t="s">
        <v>41</v>
      </c>
      <c r="E422" s="66" t="s">
        <v>718</v>
      </c>
      <c r="F422" s="68" t="s">
        <v>2276</v>
      </c>
      <c r="G422" s="66" t="s">
        <v>1993</v>
      </c>
      <c r="H422" s="64">
        <v>3</v>
      </c>
      <c r="I422" s="67" t="s">
        <v>5</v>
      </c>
      <c r="J422" s="97">
        <v>404570147</v>
      </c>
      <c r="K422" s="66"/>
      <c r="L422" s="68"/>
      <c r="M422" s="69">
        <v>2.2799999999999998</v>
      </c>
      <c r="N422" s="69">
        <v>2.2799999999999998</v>
      </c>
      <c r="O422" s="70">
        <f>IF(registreGarantie[[#This Row],[date paiement]]="","",registreGarantie[[#This Row],[Pièces 
Demandés]]-registreGarantie[[#This Row],[Pièces 
Remboursés]])</f>
        <v>0</v>
      </c>
      <c r="P422" s="69">
        <v>65.5</v>
      </c>
      <c r="Q422" s="69">
        <v>65.5</v>
      </c>
      <c r="R422" s="70">
        <f>IF(registreGarantie[[#This Row],[date paiement]]="","",registreGarantie[[#This Row],[MO
Demandé]]-registreGarantie[[#This Row],[MO
Remboursé]])</f>
        <v>0</v>
      </c>
      <c r="S422" s="69"/>
      <c r="T422" s="70">
        <f>IF(registreGarantie[[#This Row],[date paiement]]="","",registreGarantie[[#This Row],[MO
Refusé]]+registreGarantie[[#This Row],[Pièces
Refusés]])</f>
        <v>0</v>
      </c>
      <c r="U422" s="106">
        <v>45736.350231481483</v>
      </c>
      <c r="V422" s="71">
        <f>IF(registreGarantie[[#This Row],[Pièces 
Demandés]]="","",registreGarantie[[#This Row],[Date]])</f>
        <v>45730</v>
      </c>
      <c r="W422" s="103">
        <f>IF(registreGarantie[[#This Row],[Pièces 
Demandés]]="","",IF(registreGarantie[[#This Row],[date paiement]]="","",registreGarantie[[#This Row],[date paiement]]+91))</f>
        <v>45827.350231481483</v>
      </c>
      <c r="X4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22" s="74" t="str">
        <f ca="1">IF(registreGarantie[[#This Row],[Colonne1]]=0,"",IF(TODAY()&gt;registreGarantie[[#This Row],[Date rebus]],0,1))</f>
        <v/>
      </c>
      <c r="Z422" s="66"/>
      <c r="AA422" s="73" t="str">
        <f>IF(AND(registreGarantie[[#This Row],[Montant non remboursé]]&gt;1,registreGarantie[[#This Row],[Montant non remboursé]]&lt;&gt;""),1,"")</f>
        <v/>
      </c>
      <c r="AB422" s="66"/>
      <c r="AC422" s="66"/>
      <c r="AD422" s="87">
        <f t="shared" si="6"/>
        <v>422</v>
      </c>
      <c r="AE422" s="109"/>
    </row>
    <row r="423" spans="1:31" ht="18" customHeight="1" thickBot="1" x14ac:dyDescent="0.4">
      <c r="A423" s="64">
        <v>45093</v>
      </c>
      <c r="B423" s="64">
        <v>43962</v>
      </c>
      <c r="C423" s="106">
        <v>45730</v>
      </c>
      <c r="D423" s="66" t="s">
        <v>1135</v>
      </c>
      <c r="E423" s="66" t="s">
        <v>63</v>
      </c>
      <c r="F423" s="68" t="s">
        <v>2243</v>
      </c>
      <c r="G423" s="66" t="s">
        <v>145</v>
      </c>
      <c r="H423" s="64">
        <v>4450</v>
      </c>
      <c r="I423" s="67" t="s">
        <v>3</v>
      </c>
      <c r="J423" s="97">
        <v>404595807</v>
      </c>
      <c r="K423" s="66"/>
      <c r="L423" s="68"/>
      <c r="M423" s="69">
        <v>503.33</v>
      </c>
      <c r="N423" s="69">
        <v>503.33</v>
      </c>
      <c r="O423" s="70">
        <f>IF(registreGarantie[[#This Row],[date paiement]]="","",registreGarantie[[#This Row],[Pièces 
Demandés]]-registreGarantie[[#This Row],[Pièces 
Remboursés]])</f>
        <v>0</v>
      </c>
      <c r="P423" s="69">
        <v>393</v>
      </c>
      <c r="Q423" s="69">
        <v>393</v>
      </c>
      <c r="R423" s="70">
        <f>IF(registreGarantie[[#This Row],[date paiement]]="","",registreGarantie[[#This Row],[MO
Demandé]]-registreGarantie[[#This Row],[MO
Remboursé]])</f>
        <v>0</v>
      </c>
      <c r="S423" s="69">
        <v>150</v>
      </c>
      <c r="T423" s="70">
        <f>IF(registreGarantie[[#This Row],[date paiement]]="","",registreGarantie[[#This Row],[MO
Refusé]]+registreGarantie[[#This Row],[Pièces
Refusés]])</f>
        <v>0</v>
      </c>
      <c r="U423" s="106">
        <v>45792</v>
      </c>
      <c r="V423" s="71">
        <f>IF(registreGarantie[[#This Row],[Pièces 
Demandés]]="","",registreGarantie[[#This Row],[Date]])</f>
        <v>45730</v>
      </c>
      <c r="W423" s="103">
        <f>IF(registreGarantie[[#This Row],[Pièces 
Demandés]]="","",IF(registreGarantie[[#This Row],[date paiement]]="","",registreGarantie[[#This Row],[date paiement]]+91))</f>
        <v>45883</v>
      </c>
      <c r="X4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3" s="74">
        <f ca="1">IF(registreGarantie[[#This Row],[Colonne1]]=0,"",IF(TODAY()&gt;registreGarantie[[#This Row],[Date rebus]],0,1))</f>
        <v>0</v>
      </c>
      <c r="Z423" s="66"/>
      <c r="AA423" s="73" t="str">
        <f>IF(AND(registreGarantie[[#This Row],[Montant non remboursé]]&gt;1,registreGarantie[[#This Row],[Montant non remboursé]]&lt;&gt;""),1,"")</f>
        <v/>
      </c>
      <c r="AB423" s="66"/>
      <c r="AC423" s="66"/>
      <c r="AD423" s="87">
        <f t="shared" si="6"/>
        <v>423</v>
      </c>
      <c r="AE423" s="109"/>
    </row>
    <row r="424" spans="1:31" ht="18" customHeight="1" thickBot="1" x14ac:dyDescent="0.4">
      <c r="A424" s="64">
        <v>45094</v>
      </c>
      <c r="B424" s="64">
        <v>44022</v>
      </c>
      <c r="C424" s="106">
        <v>45730</v>
      </c>
      <c r="D424" s="66" t="s">
        <v>446</v>
      </c>
      <c r="E424" s="66" t="s">
        <v>75</v>
      </c>
      <c r="F424" s="68" t="s">
        <v>2324</v>
      </c>
      <c r="G424" s="66" t="s">
        <v>1436</v>
      </c>
      <c r="H424" s="64">
        <v>565</v>
      </c>
      <c r="I424" s="67" t="s">
        <v>2</v>
      </c>
      <c r="J424" s="97">
        <v>404565895</v>
      </c>
      <c r="K424" s="66"/>
      <c r="L424" s="68"/>
      <c r="M424" s="69">
        <v>46.07</v>
      </c>
      <c r="N424" s="69">
        <v>46.07</v>
      </c>
      <c r="O424" s="70">
        <f>IF(registreGarantie[[#This Row],[date paiement]]="","",registreGarantie[[#This Row],[Pièces 
Demandés]]-registreGarantie[[#This Row],[Pièces 
Remboursés]])</f>
        <v>0</v>
      </c>
      <c r="P424" s="69">
        <v>26.2</v>
      </c>
      <c r="Q424" s="69">
        <v>26.2</v>
      </c>
      <c r="R424" s="70">
        <f>IF(registreGarantie[[#This Row],[date paiement]]="","",registreGarantie[[#This Row],[MO
Demandé]]-registreGarantie[[#This Row],[MO
Remboursé]])</f>
        <v>0</v>
      </c>
      <c r="S424" s="69"/>
      <c r="T424" s="70">
        <f>IF(registreGarantie[[#This Row],[date paiement]]="","",registreGarantie[[#This Row],[MO
Refusé]]+registreGarantie[[#This Row],[Pièces
Refusés]])</f>
        <v>0</v>
      </c>
      <c r="U424" s="106">
        <v>45736.34579861111</v>
      </c>
      <c r="V424" s="71">
        <f>IF(registreGarantie[[#This Row],[Pièces 
Demandés]]="","",registreGarantie[[#This Row],[Date]])</f>
        <v>45730</v>
      </c>
      <c r="W424" s="103">
        <f>IF(registreGarantie[[#This Row],[Pièces 
Demandés]]="","",IF(registreGarantie[[#This Row],[date paiement]]="","",registreGarantie[[#This Row],[date paiement]]+91))</f>
        <v>45827.34579861111</v>
      </c>
      <c r="X4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4" s="74">
        <f ca="1">IF(registreGarantie[[#This Row],[Colonne1]]=0,"",IF(TODAY()&gt;registreGarantie[[#This Row],[Date rebus]],0,1))</f>
        <v>0</v>
      </c>
      <c r="Z424" s="66"/>
      <c r="AA424" s="73" t="str">
        <f>IF(AND(registreGarantie[[#This Row],[Montant non remboursé]]&gt;1,registreGarantie[[#This Row],[Montant non remboursé]]&lt;&gt;""),1,"")</f>
        <v/>
      </c>
      <c r="AB424" s="66"/>
      <c r="AC424" s="66"/>
      <c r="AD424" s="87">
        <f t="shared" si="6"/>
        <v>424</v>
      </c>
      <c r="AE424" s="109"/>
    </row>
    <row r="425" spans="1:31" ht="18" customHeight="1" thickBot="1" x14ac:dyDescent="0.4">
      <c r="A425" s="64">
        <v>45095</v>
      </c>
      <c r="B425" s="64">
        <v>43964</v>
      </c>
      <c r="C425" s="106">
        <v>45733</v>
      </c>
      <c r="D425" s="66" t="s">
        <v>292</v>
      </c>
      <c r="E425" s="66" t="s">
        <v>75</v>
      </c>
      <c r="F425" s="68" t="s">
        <v>2244</v>
      </c>
      <c r="G425" s="66" t="s">
        <v>1798</v>
      </c>
      <c r="H425" s="64">
        <v>1017</v>
      </c>
      <c r="I425" s="67" t="s">
        <v>18</v>
      </c>
      <c r="J425" s="97">
        <v>404596685</v>
      </c>
      <c r="K425" s="66" t="s">
        <v>2001</v>
      </c>
      <c r="L425" s="68"/>
      <c r="M425" s="69"/>
      <c r="N425" s="69"/>
      <c r="O425" s="70" t="str">
        <f>IF(registreGarantie[[#This Row],[date paiement]]="","",registreGarantie[[#This Row],[Pièces 
Demandés]]-registreGarantie[[#This Row],[Pièces 
Remboursés]])</f>
        <v/>
      </c>
      <c r="P425" s="69"/>
      <c r="Q425" s="69"/>
      <c r="R425" s="70" t="str">
        <f>IF(registreGarantie[[#This Row],[date paiement]]="","",registreGarantie[[#This Row],[MO
Demandé]]-registreGarantie[[#This Row],[MO
Remboursé]])</f>
        <v/>
      </c>
      <c r="S425" s="69"/>
      <c r="T425" s="70" t="str">
        <f>IF(registreGarantie[[#This Row],[date paiement]]="","",registreGarantie[[#This Row],[MO
Refusé]]+registreGarantie[[#This Row],[Pièces
Refusés]])</f>
        <v/>
      </c>
      <c r="U425" s="106"/>
      <c r="V425" s="71" t="str">
        <f>IF(registreGarantie[[#This Row],[Pièces 
Demandés]]="","",registreGarantie[[#This Row],[Date]])</f>
        <v/>
      </c>
      <c r="W425" s="103" t="str">
        <f>IF(registreGarantie[[#This Row],[Pièces 
Demandés]]="","",IF(registreGarantie[[#This Row],[date paiement]]="","",registreGarantie[[#This Row],[date paiement]]+91))</f>
        <v/>
      </c>
      <c r="X4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25" s="74" t="str">
        <f ca="1">IF(registreGarantie[[#This Row],[Colonne1]]=0,"",IF(TODAY()&gt;registreGarantie[[#This Row],[Date rebus]],0,1))</f>
        <v/>
      </c>
      <c r="Z425" s="66"/>
      <c r="AA425" s="73" t="str">
        <f>IF(AND(registreGarantie[[#This Row],[Montant non remboursé]]&gt;1,registreGarantie[[#This Row],[Montant non remboursé]]&lt;&gt;""),1,"")</f>
        <v/>
      </c>
      <c r="AB425" s="66"/>
      <c r="AC425" s="66"/>
      <c r="AD425" s="87">
        <f t="shared" si="6"/>
        <v>425</v>
      </c>
      <c r="AE425" s="109"/>
    </row>
    <row r="426" spans="1:31" ht="18" customHeight="1" thickBot="1" x14ac:dyDescent="0.4">
      <c r="A426" s="64">
        <v>45096</v>
      </c>
      <c r="B426" s="64">
        <v>43844</v>
      </c>
      <c r="C426" s="106">
        <v>45733</v>
      </c>
      <c r="D426" s="66" t="s">
        <v>1090</v>
      </c>
      <c r="E426" s="66" t="s">
        <v>179</v>
      </c>
      <c r="F426" s="68" t="s">
        <v>2327</v>
      </c>
      <c r="G426" s="66" t="s">
        <v>2002</v>
      </c>
      <c r="H426" s="64">
        <v>4718</v>
      </c>
      <c r="I426" s="67" t="s">
        <v>18</v>
      </c>
      <c r="J426" s="97">
        <v>404596806</v>
      </c>
      <c r="K426" s="66"/>
      <c r="L426" s="68"/>
      <c r="M426" s="69"/>
      <c r="N426" s="69"/>
      <c r="O426" s="70" t="str">
        <f>IF(registreGarantie[[#This Row],[date paiement]]="","",registreGarantie[[#This Row],[Pièces 
Demandés]]-registreGarantie[[#This Row],[Pièces 
Remboursés]])</f>
        <v/>
      </c>
      <c r="P426" s="69"/>
      <c r="Q426" s="69"/>
      <c r="R426" s="70" t="str">
        <f>IF(registreGarantie[[#This Row],[date paiement]]="","",registreGarantie[[#This Row],[MO
Demandé]]-registreGarantie[[#This Row],[MO
Remboursé]])</f>
        <v/>
      </c>
      <c r="S426" s="69"/>
      <c r="T426" s="70" t="str">
        <f>IF(registreGarantie[[#This Row],[date paiement]]="","",registreGarantie[[#This Row],[MO
Refusé]]+registreGarantie[[#This Row],[Pièces
Refusés]])</f>
        <v/>
      </c>
      <c r="U426" s="106"/>
      <c r="V426" s="71" t="str">
        <f>IF(registreGarantie[[#This Row],[Pièces 
Demandés]]="","",registreGarantie[[#This Row],[Date]])</f>
        <v/>
      </c>
      <c r="W426" s="103" t="str">
        <f>IF(registreGarantie[[#This Row],[Pièces 
Demandés]]="","",IF(registreGarantie[[#This Row],[date paiement]]="","",registreGarantie[[#This Row],[date paiement]]+91))</f>
        <v/>
      </c>
      <c r="X4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26" s="74" t="str">
        <f ca="1">IF(registreGarantie[[#This Row],[Colonne1]]=0,"",IF(TODAY()&gt;registreGarantie[[#This Row],[Date rebus]],0,1))</f>
        <v/>
      </c>
      <c r="Z426" s="66"/>
      <c r="AA426" s="73" t="str">
        <f>IF(AND(registreGarantie[[#This Row],[Montant non remboursé]]&gt;1,registreGarantie[[#This Row],[Montant non remboursé]]&lt;&gt;""),1,"")</f>
        <v/>
      </c>
      <c r="AB426" s="66"/>
      <c r="AC426" s="66"/>
      <c r="AD426" s="87">
        <f t="shared" si="6"/>
        <v>426</v>
      </c>
      <c r="AE426" s="109"/>
    </row>
    <row r="427" spans="1:31" ht="18" customHeight="1" thickBot="1" x14ac:dyDescent="0.4">
      <c r="A427" s="64">
        <v>45097</v>
      </c>
      <c r="B427" s="64">
        <v>43984</v>
      </c>
      <c r="C427" s="106">
        <v>45733</v>
      </c>
      <c r="D427" s="66" t="s">
        <v>239</v>
      </c>
      <c r="E427" s="66" t="s">
        <v>546</v>
      </c>
      <c r="F427" s="68">
        <v>78410241</v>
      </c>
      <c r="G427" s="66" t="s">
        <v>172</v>
      </c>
      <c r="H427" s="64">
        <v>1347</v>
      </c>
      <c r="I427" s="67" t="s">
        <v>2</v>
      </c>
      <c r="J427" s="97">
        <v>404596942</v>
      </c>
      <c r="K427" s="66"/>
      <c r="L427" s="68"/>
      <c r="M427" s="69">
        <v>1552.8</v>
      </c>
      <c r="N427" s="69">
        <v>1552.8</v>
      </c>
      <c r="O427" s="70">
        <f>IF(registreGarantie[[#This Row],[date paiement]]="","",registreGarantie[[#This Row],[Pièces 
Demandés]]-registreGarantie[[#This Row],[Pièces 
Remboursés]])</f>
        <v>0</v>
      </c>
      <c r="P427" s="69">
        <v>949.75</v>
      </c>
      <c r="Q427" s="69">
        <v>949.75</v>
      </c>
      <c r="R427" s="70">
        <f>IF(registreGarantie[[#This Row],[date paiement]]="","",registreGarantie[[#This Row],[MO
Demandé]]-registreGarantie[[#This Row],[MO
Remboursé]])</f>
        <v>0</v>
      </c>
      <c r="S427" s="69"/>
      <c r="T427" s="70">
        <f>IF(registreGarantie[[#This Row],[date paiement]]="","",registreGarantie[[#This Row],[MO
Refusé]]+registreGarantie[[#This Row],[Pièces
Refusés]])</f>
        <v>0</v>
      </c>
      <c r="U427" s="106">
        <v>45783</v>
      </c>
      <c r="V427" s="71">
        <f>IF(registreGarantie[[#This Row],[Pièces 
Demandés]]="","",registreGarantie[[#This Row],[Date]])</f>
        <v>45733</v>
      </c>
      <c r="W427" s="103">
        <f>IF(registreGarantie[[#This Row],[Pièces 
Demandés]]="","",IF(registreGarantie[[#This Row],[date paiement]]="","",registreGarantie[[#This Row],[date paiement]]+91))</f>
        <v>45874</v>
      </c>
      <c r="X4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7" s="74">
        <f ca="1">IF(registreGarantie[[#This Row],[Colonne1]]=0,"",IF(TODAY()&gt;registreGarantie[[#This Row],[Date rebus]],0,1))</f>
        <v>0</v>
      </c>
      <c r="Z427" s="66"/>
      <c r="AA427" s="73" t="str">
        <f>IF(AND(registreGarantie[[#This Row],[Montant non remboursé]]&gt;1,registreGarantie[[#This Row],[Montant non remboursé]]&lt;&gt;""),1,"")</f>
        <v/>
      </c>
      <c r="AB427" s="66"/>
      <c r="AC427" s="66"/>
      <c r="AD427" s="87">
        <f t="shared" si="6"/>
        <v>427</v>
      </c>
      <c r="AE427" s="109"/>
    </row>
    <row r="428" spans="1:31" ht="18" customHeight="1" thickBot="1" x14ac:dyDescent="0.4">
      <c r="A428" s="64">
        <v>45098</v>
      </c>
      <c r="B428" s="64">
        <v>44036</v>
      </c>
      <c r="C428" s="106">
        <v>45734</v>
      </c>
      <c r="D428" s="66" t="s">
        <v>325</v>
      </c>
      <c r="E428" s="66" t="s">
        <v>367</v>
      </c>
      <c r="F428" s="68" t="s">
        <v>2311</v>
      </c>
      <c r="G428" s="66" t="s">
        <v>491</v>
      </c>
      <c r="H428" s="64">
        <v>985</v>
      </c>
      <c r="I428" s="67" t="s">
        <v>20</v>
      </c>
      <c r="J428" s="97">
        <v>404597968</v>
      </c>
      <c r="K428" s="66"/>
      <c r="L428" s="68"/>
      <c r="M428" s="69"/>
      <c r="N428" s="69"/>
      <c r="O428" s="70" t="str">
        <f>IF(registreGarantie[[#This Row],[date paiement]]="","",registreGarantie[[#This Row],[Pièces 
Demandés]]-registreGarantie[[#This Row],[Pièces 
Remboursés]])</f>
        <v/>
      </c>
      <c r="P428" s="69"/>
      <c r="Q428" s="69"/>
      <c r="R428" s="70" t="str">
        <f>IF(registreGarantie[[#This Row],[date paiement]]="","",registreGarantie[[#This Row],[MO
Demandé]]-registreGarantie[[#This Row],[MO
Remboursé]])</f>
        <v/>
      </c>
      <c r="S428" s="69"/>
      <c r="T428" s="70" t="str">
        <f>IF(registreGarantie[[#This Row],[date paiement]]="","",registreGarantie[[#This Row],[MO
Refusé]]+registreGarantie[[#This Row],[Pièces
Refusés]])</f>
        <v/>
      </c>
      <c r="U428" s="106"/>
      <c r="V428" s="71" t="str">
        <f>IF(registreGarantie[[#This Row],[Pièces 
Demandés]]="","",registreGarantie[[#This Row],[Date]])</f>
        <v/>
      </c>
      <c r="W428" s="103" t="str">
        <f>IF(registreGarantie[[#This Row],[Pièces 
Demandés]]="","",IF(registreGarantie[[#This Row],[date paiement]]="","",registreGarantie[[#This Row],[date paiement]]+91))</f>
        <v/>
      </c>
      <c r="X4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28" s="74" t="str">
        <f ca="1">IF(registreGarantie[[#This Row],[Colonne1]]=0,"",IF(TODAY()&gt;registreGarantie[[#This Row],[Date rebus]],0,1))</f>
        <v/>
      </c>
      <c r="Z428" s="66"/>
      <c r="AA428" s="73" t="str">
        <f>IF(AND(registreGarantie[[#This Row],[Montant non remboursé]]&gt;1,registreGarantie[[#This Row],[Montant non remboursé]]&lt;&gt;""),1,"")</f>
        <v/>
      </c>
      <c r="AB428" s="66"/>
      <c r="AC428" s="66"/>
      <c r="AD428" s="87">
        <f t="shared" si="6"/>
        <v>428</v>
      </c>
      <c r="AE428" s="109"/>
    </row>
    <row r="429" spans="1:31" ht="18" customHeight="1" thickBot="1" x14ac:dyDescent="0.4">
      <c r="A429" s="64">
        <v>45098</v>
      </c>
      <c r="B429" s="64">
        <v>44036</v>
      </c>
      <c r="C429" s="106">
        <v>45734</v>
      </c>
      <c r="D429" s="66" t="s">
        <v>325</v>
      </c>
      <c r="E429" s="66" t="s">
        <v>367</v>
      </c>
      <c r="F429" s="68" t="s">
        <v>2311</v>
      </c>
      <c r="G429" s="66" t="s">
        <v>491</v>
      </c>
      <c r="H429" s="64">
        <v>985</v>
      </c>
      <c r="I429" s="67" t="s">
        <v>2</v>
      </c>
      <c r="J429" s="97">
        <v>404597968</v>
      </c>
      <c r="K429" s="66"/>
      <c r="L429" s="68"/>
      <c r="M429" s="69">
        <v>782.05</v>
      </c>
      <c r="N429" s="69">
        <v>782.05</v>
      </c>
      <c r="O429" s="70">
        <f>IF(registreGarantie[[#This Row],[date paiement]]="","",registreGarantie[[#This Row],[Pièces 
Demandés]]-registreGarantie[[#This Row],[Pièces 
Remboursés]])</f>
        <v>0</v>
      </c>
      <c r="P429" s="69">
        <v>65.5</v>
      </c>
      <c r="Q429" s="69">
        <v>65.5</v>
      </c>
      <c r="R429" s="70">
        <f>IF(registreGarantie[[#This Row],[date paiement]]="","",registreGarantie[[#This Row],[MO
Demandé]]-registreGarantie[[#This Row],[MO
Remboursé]])</f>
        <v>0</v>
      </c>
      <c r="S429" s="69"/>
      <c r="T429" s="70">
        <f>IF(registreGarantie[[#This Row],[date paiement]]="","",registreGarantie[[#This Row],[MO
Refusé]]+registreGarantie[[#This Row],[Pièces
Refusés]])</f>
        <v>0</v>
      </c>
      <c r="U429" s="106">
        <v>45750</v>
      </c>
      <c r="V429" s="71">
        <f>IF(registreGarantie[[#This Row],[Pièces 
Demandés]]="","",registreGarantie[[#This Row],[Date]])</f>
        <v>45734</v>
      </c>
      <c r="W429" s="103">
        <f>IF(registreGarantie[[#This Row],[Pièces 
Demandés]]="","",IF(registreGarantie[[#This Row],[date paiement]]="","",registreGarantie[[#This Row],[date paiement]]+91))</f>
        <v>45841</v>
      </c>
      <c r="X4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29" s="74">
        <f ca="1">IF(registreGarantie[[#This Row],[Colonne1]]=0,"",IF(TODAY()&gt;registreGarantie[[#This Row],[Date rebus]],0,1))</f>
        <v>0</v>
      </c>
      <c r="Z429" s="66"/>
      <c r="AA429" s="73" t="str">
        <f>IF(AND(registreGarantie[[#This Row],[Montant non remboursé]]&gt;1,registreGarantie[[#This Row],[Montant non remboursé]]&lt;&gt;""),1,"")</f>
        <v/>
      </c>
      <c r="AB429" s="66"/>
      <c r="AC429" s="66"/>
      <c r="AD429" s="87">
        <f t="shared" si="6"/>
        <v>429</v>
      </c>
      <c r="AE429" s="109"/>
    </row>
    <row r="430" spans="1:31" ht="18" customHeight="1" thickBot="1" x14ac:dyDescent="0.4">
      <c r="A430" s="64">
        <v>45099</v>
      </c>
      <c r="B430" s="64">
        <v>43191</v>
      </c>
      <c r="C430" s="106">
        <v>45734</v>
      </c>
      <c r="D430" s="66" t="s">
        <v>262</v>
      </c>
      <c r="E430" s="66" t="s">
        <v>263</v>
      </c>
      <c r="F430" s="68" t="s">
        <v>2358</v>
      </c>
      <c r="G430" s="66" t="s">
        <v>2014</v>
      </c>
      <c r="H430" s="64"/>
      <c r="I430" s="67" t="s">
        <v>21</v>
      </c>
      <c r="J430" s="97" t="s">
        <v>2015</v>
      </c>
      <c r="K430" s="66"/>
      <c r="L430" s="68"/>
      <c r="M430" s="69">
        <v>1801.92</v>
      </c>
      <c r="N430" s="69">
        <v>1801.92</v>
      </c>
      <c r="O430" s="70">
        <f>IF(registreGarantie[[#This Row],[date paiement]]="","",registreGarantie[[#This Row],[Pièces 
Demandés]]-registreGarantie[[#This Row],[Pièces 
Remboursés]])</f>
        <v>0</v>
      </c>
      <c r="P430" s="69"/>
      <c r="Q430" s="69"/>
      <c r="R430" s="70">
        <f>IF(registreGarantie[[#This Row],[date paiement]]="","",registreGarantie[[#This Row],[MO
Demandé]]-registreGarantie[[#This Row],[MO
Remboursé]])</f>
        <v>0</v>
      </c>
      <c r="S430" s="69"/>
      <c r="T430" s="70">
        <f>IF(registreGarantie[[#This Row],[date paiement]]="","",registreGarantie[[#This Row],[MO
Refusé]]+registreGarantie[[#This Row],[Pièces
Refusés]])</f>
        <v>0</v>
      </c>
      <c r="U430" s="106">
        <v>45734</v>
      </c>
      <c r="V430" s="71">
        <f>IF(registreGarantie[[#This Row],[Pièces 
Demandés]]="","",registreGarantie[[#This Row],[Date]])</f>
        <v>45734</v>
      </c>
      <c r="W430" s="103">
        <f>IF(registreGarantie[[#This Row],[Pièces 
Demandés]]="","",IF(registreGarantie[[#This Row],[date paiement]]="","",registreGarantie[[#This Row],[date paiement]]+91))</f>
        <v>45825</v>
      </c>
      <c r="X4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0" s="74" t="str">
        <f ca="1">IF(registreGarantie[[#This Row],[Colonne1]]=0,"",IF(TODAY()&gt;registreGarantie[[#This Row],[Date rebus]],0,1))</f>
        <v/>
      </c>
      <c r="Z430" s="66"/>
      <c r="AA430" s="73" t="str">
        <f>IF(AND(registreGarantie[[#This Row],[Montant non remboursé]]&gt;1,registreGarantie[[#This Row],[Montant non remboursé]]&lt;&gt;""),1,"")</f>
        <v/>
      </c>
      <c r="AB430" s="66"/>
      <c r="AC430" s="66"/>
      <c r="AD430" s="87">
        <f t="shared" si="6"/>
        <v>430</v>
      </c>
      <c r="AE430" s="109"/>
    </row>
    <row r="431" spans="1:31" ht="18" customHeight="1" thickBot="1" x14ac:dyDescent="0.4">
      <c r="A431" s="64">
        <v>45100</v>
      </c>
      <c r="B431" s="64">
        <v>43879</v>
      </c>
      <c r="C431" s="106">
        <v>45734</v>
      </c>
      <c r="D431" s="66" t="s">
        <v>41</v>
      </c>
      <c r="E431" s="66" t="s">
        <v>2018</v>
      </c>
      <c r="F431" s="68"/>
      <c r="G431" s="66" t="s">
        <v>2019</v>
      </c>
      <c r="H431" s="64"/>
      <c r="I431" s="67" t="s">
        <v>5</v>
      </c>
      <c r="J431" s="97">
        <v>404539083</v>
      </c>
      <c r="K431" s="66"/>
      <c r="L431" s="68"/>
      <c r="M431" s="69"/>
      <c r="N431" s="69"/>
      <c r="O431" s="70" t="str">
        <f>IF(registreGarantie[[#This Row],[date paiement]]="","",registreGarantie[[#This Row],[Pièces 
Demandés]]-registreGarantie[[#This Row],[Pièces 
Remboursés]])</f>
        <v/>
      </c>
      <c r="P431" s="69">
        <v>343.88</v>
      </c>
      <c r="Q431" s="69"/>
      <c r="R431" s="70" t="str">
        <f>IF(registreGarantie[[#This Row],[date paiement]]="","",registreGarantie[[#This Row],[MO
Demandé]]-registreGarantie[[#This Row],[MO
Remboursé]])</f>
        <v/>
      </c>
      <c r="S431" s="69"/>
      <c r="T431" s="70" t="str">
        <f>IF(registreGarantie[[#This Row],[date paiement]]="","",registreGarantie[[#This Row],[MO
Refusé]]+registreGarantie[[#This Row],[Pièces
Refusés]])</f>
        <v/>
      </c>
      <c r="U431" s="106"/>
      <c r="V431" s="71" t="str">
        <f>IF(registreGarantie[[#This Row],[Pièces 
Demandés]]="","",registreGarantie[[#This Row],[Date]])</f>
        <v/>
      </c>
      <c r="W431" s="103" t="str">
        <f>IF(registreGarantie[[#This Row],[Pièces 
Demandés]]="","",IF(registreGarantie[[#This Row],[date paiement]]="","",registreGarantie[[#This Row],[date paiement]]+91))</f>
        <v/>
      </c>
      <c r="X4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1" s="74" t="str">
        <f ca="1">IF(registreGarantie[[#This Row],[Colonne1]]=0,"",IF(TODAY()&gt;registreGarantie[[#This Row],[Date rebus]],0,1))</f>
        <v/>
      </c>
      <c r="Z431" s="66"/>
      <c r="AA431" s="73" t="str">
        <f>IF(AND(registreGarantie[[#This Row],[Montant non remboursé]]&gt;1,registreGarantie[[#This Row],[Montant non remboursé]]&lt;&gt;""),1,"")</f>
        <v/>
      </c>
      <c r="AB431" s="66"/>
      <c r="AC431" s="66"/>
      <c r="AD431" s="87">
        <f t="shared" si="6"/>
        <v>431</v>
      </c>
      <c r="AE431" s="109"/>
    </row>
    <row r="432" spans="1:31" ht="18" customHeight="1" thickBot="1" x14ac:dyDescent="0.4">
      <c r="A432" s="64">
        <v>45101</v>
      </c>
      <c r="B432" s="64">
        <v>43972</v>
      </c>
      <c r="C432" s="106">
        <v>45735</v>
      </c>
      <c r="D432" s="66" t="s">
        <v>1701</v>
      </c>
      <c r="E432" s="66" t="s">
        <v>563</v>
      </c>
      <c r="F432" s="68" t="s">
        <v>2348</v>
      </c>
      <c r="G432" s="66" t="s">
        <v>1660</v>
      </c>
      <c r="H432" s="64">
        <v>1295</v>
      </c>
      <c r="I432" s="67" t="s">
        <v>3</v>
      </c>
      <c r="J432" s="97">
        <v>404599801</v>
      </c>
      <c r="K432" s="66"/>
      <c r="L432" s="68"/>
      <c r="M432" s="69">
        <v>445.01</v>
      </c>
      <c r="N432" s="69">
        <v>445.01</v>
      </c>
      <c r="O432" s="70">
        <f>IF(registreGarantie[[#This Row],[date paiement]]="","",registreGarantie[[#This Row],[Pièces 
Demandés]]-registreGarantie[[#This Row],[Pièces 
Remboursés]])</f>
        <v>0</v>
      </c>
      <c r="P432" s="69">
        <v>98.25</v>
      </c>
      <c r="Q432" s="69">
        <v>98.25</v>
      </c>
      <c r="R432" s="70">
        <f>IF(registreGarantie[[#This Row],[date paiement]]="","",registreGarantie[[#This Row],[MO
Demandé]]-registreGarantie[[#This Row],[MO
Remboursé]])</f>
        <v>0</v>
      </c>
      <c r="S432" s="69">
        <v>150</v>
      </c>
      <c r="T432" s="70">
        <f>IF(registreGarantie[[#This Row],[date paiement]]="","",registreGarantie[[#This Row],[MO
Refusé]]+registreGarantie[[#This Row],[Pièces
Refusés]])</f>
        <v>0</v>
      </c>
      <c r="U432" s="106">
        <v>45736.346122685187</v>
      </c>
      <c r="V432" s="71">
        <f>IF(registreGarantie[[#This Row],[Pièces 
Demandés]]="","",registreGarantie[[#This Row],[Date]])</f>
        <v>45735</v>
      </c>
      <c r="W432" s="103">
        <f>IF(registreGarantie[[#This Row],[Pièces 
Demandés]]="","",IF(registreGarantie[[#This Row],[date paiement]]="","",registreGarantie[[#This Row],[date paiement]]+91))</f>
        <v>45827.346122685187</v>
      </c>
      <c r="X4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32" s="74">
        <f ca="1">IF(registreGarantie[[#This Row],[Colonne1]]=0,"",IF(TODAY()&gt;registreGarantie[[#This Row],[Date rebus]],0,1))</f>
        <v>0</v>
      </c>
      <c r="Z432" s="66"/>
      <c r="AA432" s="73" t="str">
        <f>IF(AND(registreGarantie[[#This Row],[Montant non remboursé]]&gt;1,registreGarantie[[#This Row],[Montant non remboursé]]&lt;&gt;""),1,"")</f>
        <v/>
      </c>
      <c r="AB432" s="66"/>
      <c r="AC432" s="66"/>
      <c r="AD432" s="87">
        <f t="shared" si="6"/>
        <v>432</v>
      </c>
      <c r="AE432" s="109"/>
    </row>
    <row r="433" spans="1:31" ht="18" customHeight="1" thickBot="1" x14ac:dyDescent="0.4">
      <c r="A433" s="64">
        <v>45102</v>
      </c>
      <c r="B433" s="64">
        <v>43936</v>
      </c>
      <c r="C433" s="106">
        <v>45735</v>
      </c>
      <c r="D433" s="66" t="s">
        <v>239</v>
      </c>
      <c r="E433" s="66" t="s">
        <v>1203</v>
      </c>
      <c r="F433" s="68" t="s">
        <v>2341</v>
      </c>
      <c r="G433" s="66" t="s">
        <v>2027</v>
      </c>
      <c r="H433" s="64">
        <v>1596</v>
      </c>
      <c r="I433" s="67" t="s">
        <v>18</v>
      </c>
      <c r="J433" s="97">
        <v>404600270</v>
      </c>
      <c r="K433" s="66" t="s">
        <v>2028</v>
      </c>
      <c r="L433" s="68"/>
      <c r="M433" s="69"/>
      <c r="N433" s="69"/>
      <c r="O433" s="70" t="str">
        <f>IF(registreGarantie[[#This Row],[date paiement]]="","",registreGarantie[[#This Row],[Pièces 
Demandés]]-registreGarantie[[#This Row],[Pièces 
Remboursés]])</f>
        <v/>
      </c>
      <c r="P433" s="69"/>
      <c r="Q433" s="69"/>
      <c r="R433" s="70" t="str">
        <f>IF(registreGarantie[[#This Row],[date paiement]]="","",registreGarantie[[#This Row],[MO
Demandé]]-registreGarantie[[#This Row],[MO
Remboursé]])</f>
        <v/>
      </c>
      <c r="S433" s="69"/>
      <c r="T433" s="70" t="str">
        <f>IF(registreGarantie[[#This Row],[date paiement]]="","",registreGarantie[[#This Row],[MO
Refusé]]+registreGarantie[[#This Row],[Pièces
Refusés]])</f>
        <v/>
      </c>
      <c r="U433" s="106"/>
      <c r="V433" s="71" t="str">
        <f>IF(registreGarantie[[#This Row],[Pièces 
Demandés]]="","",registreGarantie[[#This Row],[Date]])</f>
        <v/>
      </c>
      <c r="W433" s="103" t="str">
        <f>IF(registreGarantie[[#This Row],[Pièces 
Demandés]]="","",IF(registreGarantie[[#This Row],[date paiement]]="","",registreGarantie[[#This Row],[date paiement]]+91))</f>
        <v/>
      </c>
      <c r="X4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3" s="74" t="str">
        <f ca="1">IF(registreGarantie[[#This Row],[Colonne1]]=0,"",IF(TODAY()&gt;registreGarantie[[#This Row],[Date rebus]],0,1))</f>
        <v/>
      </c>
      <c r="Z433" s="66"/>
      <c r="AA433" s="73" t="str">
        <f>IF(AND(registreGarantie[[#This Row],[Montant non remboursé]]&gt;1,registreGarantie[[#This Row],[Montant non remboursé]]&lt;&gt;""),1,"")</f>
        <v/>
      </c>
      <c r="AB433" s="66"/>
      <c r="AC433" s="66"/>
      <c r="AD433" s="87">
        <f t="shared" si="6"/>
        <v>433</v>
      </c>
      <c r="AE433" s="109"/>
    </row>
    <row r="434" spans="1:31" ht="18" customHeight="1" thickBot="1" x14ac:dyDescent="0.4">
      <c r="A434" s="64">
        <v>45103</v>
      </c>
      <c r="B434" s="64">
        <v>44027</v>
      </c>
      <c r="C434" s="106">
        <v>45735</v>
      </c>
      <c r="D434" s="66" t="s">
        <v>325</v>
      </c>
      <c r="E434" s="66" t="s">
        <v>367</v>
      </c>
      <c r="F434" s="68" t="s">
        <v>2311</v>
      </c>
      <c r="G434" s="66" t="s">
        <v>671</v>
      </c>
      <c r="H434" s="64">
        <v>984</v>
      </c>
      <c r="I434" s="67" t="s">
        <v>18</v>
      </c>
      <c r="J434" s="97">
        <v>404600635</v>
      </c>
      <c r="K434" s="66"/>
      <c r="L434" s="68"/>
      <c r="M434" s="69"/>
      <c r="N434" s="69"/>
      <c r="O434" s="70" t="str">
        <f>IF(registreGarantie[[#This Row],[date paiement]]="","",registreGarantie[[#This Row],[Pièces 
Demandés]]-registreGarantie[[#This Row],[Pièces 
Remboursés]])</f>
        <v/>
      </c>
      <c r="P434" s="69"/>
      <c r="Q434" s="69"/>
      <c r="R434" s="70" t="str">
        <f>IF(registreGarantie[[#This Row],[date paiement]]="","",registreGarantie[[#This Row],[MO
Demandé]]-registreGarantie[[#This Row],[MO
Remboursé]])</f>
        <v/>
      </c>
      <c r="S434" s="69"/>
      <c r="T434" s="70" t="str">
        <f>IF(registreGarantie[[#This Row],[date paiement]]="","",registreGarantie[[#This Row],[MO
Refusé]]+registreGarantie[[#This Row],[Pièces
Refusés]])</f>
        <v/>
      </c>
      <c r="U434" s="106"/>
      <c r="V434" s="71" t="str">
        <f>IF(registreGarantie[[#This Row],[Pièces 
Demandés]]="","",registreGarantie[[#This Row],[Date]])</f>
        <v/>
      </c>
      <c r="W434" s="103" t="str">
        <f>IF(registreGarantie[[#This Row],[Pièces 
Demandés]]="","",IF(registreGarantie[[#This Row],[date paiement]]="","",registreGarantie[[#This Row],[date paiement]]+91))</f>
        <v/>
      </c>
      <c r="X4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4" s="74" t="str">
        <f ca="1">IF(registreGarantie[[#This Row],[Colonne1]]=0,"",IF(TODAY()&gt;registreGarantie[[#This Row],[Date rebus]],0,1))</f>
        <v/>
      </c>
      <c r="Z434" s="66"/>
      <c r="AA434" s="73" t="str">
        <f>IF(AND(registreGarantie[[#This Row],[Montant non remboursé]]&gt;1,registreGarantie[[#This Row],[Montant non remboursé]]&lt;&gt;""),1,"")</f>
        <v/>
      </c>
      <c r="AB434" s="66"/>
      <c r="AC434" s="66"/>
      <c r="AD434" s="87">
        <f t="shared" si="6"/>
        <v>434</v>
      </c>
      <c r="AE434" s="109"/>
    </row>
    <row r="435" spans="1:31" ht="18" customHeight="1" thickBot="1" x14ac:dyDescent="0.4">
      <c r="A435" s="64">
        <v>45103</v>
      </c>
      <c r="B435" s="64">
        <v>44027</v>
      </c>
      <c r="C435" s="106">
        <v>45735</v>
      </c>
      <c r="D435" s="66" t="s">
        <v>325</v>
      </c>
      <c r="E435" s="66" t="s">
        <v>367</v>
      </c>
      <c r="F435" s="68" t="s">
        <v>2311</v>
      </c>
      <c r="G435" s="66" t="s">
        <v>671</v>
      </c>
      <c r="H435" s="64">
        <v>984</v>
      </c>
      <c r="I435" s="67" t="s">
        <v>19</v>
      </c>
      <c r="J435" s="97">
        <v>404600636</v>
      </c>
      <c r="K435" s="66"/>
      <c r="L435" s="68"/>
      <c r="M435" s="69"/>
      <c r="N435" s="69"/>
      <c r="O435" s="70" t="str">
        <f>IF(registreGarantie[[#This Row],[date paiement]]="","",registreGarantie[[#This Row],[Pièces 
Demandés]]-registreGarantie[[#This Row],[Pièces 
Remboursés]])</f>
        <v/>
      </c>
      <c r="P435" s="69"/>
      <c r="Q435" s="69"/>
      <c r="R435" s="70" t="str">
        <f>IF(registreGarantie[[#This Row],[date paiement]]="","",registreGarantie[[#This Row],[MO
Demandé]]-registreGarantie[[#This Row],[MO
Remboursé]])</f>
        <v/>
      </c>
      <c r="S435" s="69"/>
      <c r="T435" s="70" t="str">
        <f>IF(registreGarantie[[#This Row],[date paiement]]="","",registreGarantie[[#This Row],[MO
Refusé]]+registreGarantie[[#This Row],[Pièces
Refusés]])</f>
        <v/>
      </c>
      <c r="U435" s="106"/>
      <c r="V435" s="71" t="str">
        <f>IF(registreGarantie[[#This Row],[Pièces 
Demandés]]="","",registreGarantie[[#This Row],[Date]])</f>
        <v/>
      </c>
      <c r="W435" s="103" t="str">
        <f>IF(registreGarantie[[#This Row],[Pièces 
Demandés]]="","",IF(registreGarantie[[#This Row],[date paiement]]="","",registreGarantie[[#This Row],[date paiement]]+91))</f>
        <v/>
      </c>
      <c r="X4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5" s="74" t="str">
        <f ca="1">IF(registreGarantie[[#This Row],[Colonne1]]=0,"",IF(TODAY()&gt;registreGarantie[[#This Row],[Date rebus]],0,1))</f>
        <v/>
      </c>
      <c r="Z435" s="66"/>
      <c r="AA435" s="73" t="str">
        <f>IF(AND(registreGarantie[[#This Row],[Montant non remboursé]]&gt;1,registreGarantie[[#This Row],[Montant non remboursé]]&lt;&gt;""),1,"")</f>
        <v/>
      </c>
      <c r="AB435" s="66"/>
      <c r="AC435" s="66"/>
      <c r="AD435" s="87">
        <f t="shared" si="6"/>
        <v>435</v>
      </c>
      <c r="AE435" s="109"/>
    </row>
    <row r="436" spans="1:31" ht="18" customHeight="1" thickBot="1" x14ac:dyDescent="0.4">
      <c r="A436" s="64">
        <v>45104</v>
      </c>
      <c r="B436" s="64">
        <v>43918</v>
      </c>
      <c r="C436" s="106">
        <v>45735</v>
      </c>
      <c r="D436" s="66" t="s">
        <v>1097</v>
      </c>
      <c r="E436" s="66" t="s">
        <v>106</v>
      </c>
      <c r="F436" s="68" t="s">
        <v>2313</v>
      </c>
      <c r="G436" s="66" t="s">
        <v>1894</v>
      </c>
      <c r="H436" s="64">
        <v>1168</v>
      </c>
      <c r="I436" s="67" t="s">
        <v>18</v>
      </c>
      <c r="J436" s="97">
        <v>404600688</v>
      </c>
      <c r="K436" s="66"/>
      <c r="L436" s="68"/>
      <c r="M436" s="69"/>
      <c r="N436" s="69"/>
      <c r="O436" s="70" t="str">
        <f>IF(registreGarantie[[#This Row],[date paiement]]="","",registreGarantie[[#This Row],[Pièces 
Demandés]]-registreGarantie[[#This Row],[Pièces 
Remboursés]])</f>
        <v/>
      </c>
      <c r="P436" s="69"/>
      <c r="Q436" s="69"/>
      <c r="R436" s="70" t="str">
        <f>IF(registreGarantie[[#This Row],[date paiement]]="","",registreGarantie[[#This Row],[MO
Demandé]]-registreGarantie[[#This Row],[MO
Remboursé]])</f>
        <v/>
      </c>
      <c r="S436" s="69"/>
      <c r="T436" s="70" t="str">
        <f>IF(registreGarantie[[#This Row],[date paiement]]="","",registreGarantie[[#This Row],[MO
Refusé]]+registreGarantie[[#This Row],[Pièces
Refusés]])</f>
        <v/>
      </c>
      <c r="U436" s="106"/>
      <c r="V436" s="71" t="str">
        <f>IF(registreGarantie[[#This Row],[Pièces 
Demandés]]="","",registreGarantie[[#This Row],[Date]])</f>
        <v/>
      </c>
      <c r="W436" s="103" t="str">
        <f>IF(registreGarantie[[#This Row],[Pièces 
Demandés]]="","",IF(registreGarantie[[#This Row],[date paiement]]="","",registreGarantie[[#This Row],[date paiement]]+91))</f>
        <v/>
      </c>
      <c r="X4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6" s="74" t="str">
        <f ca="1">IF(registreGarantie[[#This Row],[Colonne1]]=0,"",IF(TODAY()&gt;registreGarantie[[#This Row],[Date rebus]],0,1))</f>
        <v/>
      </c>
      <c r="Z436" s="66"/>
      <c r="AA436" s="73" t="str">
        <f>IF(AND(registreGarantie[[#This Row],[Montant non remboursé]]&gt;1,registreGarantie[[#This Row],[Montant non remboursé]]&lt;&gt;""),1,"")</f>
        <v/>
      </c>
      <c r="AB436" s="66"/>
      <c r="AC436" s="66"/>
      <c r="AD436" s="87">
        <f t="shared" si="6"/>
        <v>436</v>
      </c>
      <c r="AE436" s="109"/>
    </row>
    <row r="437" spans="1:31" ht="18" customHeight="1" thickBot="1" x14ac:dyDescent="0.4">
      <c r="A437" s="64">
        <v>45104</v>
      </c>
      <c r="B437" s="64">
        <v>43052</v>
      </c>
      <c r="C437" s="106">
        <v>45736</v>
      </c>
      <c r="D437" s="66" t="s">
        <v>375</v>
      </c>
      <c r="E437" s="66" t="s">
        <v>75</v>
      </c>
      <c r="F437" s="68" t="s">
        <v>2284</v>
      </c>
      <c r="G437" s="66" t="s">
        <v>525</v>
      </c>
      <c r="H437" s="64">
        <v>2066</v>
      </c>
      <c r="I437" s="67" t="s">
        <v>17</v>
      </c>
      <c r="J437" s="97">
        <v>404602303</v>
      </c>
      <c r="K437" s="66"/>
      <c r="L437" s="68"/>
      <c r="M437" s="69">
        <v>2274</v>
      </c>
      <c r="N437" s="69">
        <v>1823.29</v>
      </c>
      <c r="O437" s="70">
        <f>IF(registreGarantie[[#This Row],[date paiement]]="","",registreGarantie[[#This Row],[Pièces 
Demandés]]-registreGarantie[[#This Row],[Pièces 
Remboursés]])</f>
        <v>450.71000000000004</v>
      </c>
      <c r="P437" s="69">
        <v>2091</v>
      </c>
      <c r="Q437" s="69">
        <v>1676.56</v>
      </c>
      <c r="R437" s="70">
        <f>IF(registreGarantie[[#This Row],[date paiement]]="","",registreGarantie[[#This Row],[MO
Demandé]]-registreGarantie[[#This Row],[MO
Remboursé]])</f>
        <v>414.44000000000005</v>
      </c>
      <c r="S437" s="69"/>
      <c r="T437" s="70">
        <f>IF(registreGarantie[[#This Row],[date paiement]]="","",registreGarantie[[#This Row],[MO
Refusé]]+registreGarantie[[#This Row],[Pièces
Refusés]])</f>
        <v>865.15000000000009</v>
      </c>
      <c r="U437" s="106">
        <v>45810</v>
      </c>
      <c r="V437" s="71">
        <f>IF(registreGarantie[[#This Row],[Pièces 
Demandés]]="","",registreGarantie[[#This Row],[Date]])</f>
        <v>45736</v>
      </c>
      <c r="W437" s="103">
        <f>IF(registreGarantie[[#This Row],[Pièces 
Demandés]]="","",IF(registreGarantie[[#This Row],[date paiement]]="","",registreGarantie[[#This Row],[date paiement]]+91))</f>
        <v>45901</v>
      </c>
      <c r="X4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37" s="74">
        <f ca="1">IF(registreGarantie[[#This Row],[Colonne1]]=0,"",IF(TODAY()&gt;registreGarantie[[#This Row],[Date rebus]],0,1))</f>
        <v>0</v>
      </c>
      <c r="Z437" s="66" t="s">
        <v>2205</v>
      </c>
      <c r="AA437" s="73">
        <f>IF(AND(registreGarantie[[#This Row],[Montant non remboursé]]&gt;1,registreGarantie[[#This Row],[Montant non remboursé]]&lt;&gt;""),1,"")</f>
        <v>1</v>
      </c>
      <c r="AB437" s="66"/>
      <c r="AC437" s="66"/>
      <c r="AD437" s="87">
        <f t="shared" si="6"/>
        <v>437</v>
      </c>
      <c r="AE437" s="109"/>
    </row>
    <row r="438" spans="1:31" ht="18" customHeight="1" thickBot="1" x14ac:dyDescent="0.4">
      <c r="A438" s="64">
        <v>45104</v>
      </c>
      <c r="B438" s="64">
        <v>43918</v>
      </c>
      <c r="C438" s="106">
        <v>45735</v>
      </c>
      <c r="D438" s="66" t="s">
        <v>1097</v>
      </c>
      <c r="E438" s="66" t="s">
        <v>106</v>
      </c>
      <c r="F438" s="68" t="s">
        <v>2313</v>
      </c>
      <c r="G438" s="66" t="s">
        <v>1894</v>
      </c>
      <c r="H438" s="64">
        <v>1168</v>
      </c>
      <c r="I438" s="67" t="s">
        <v>19</v>
      </c>
      <c r="J438" s="97">
        <v>404600689</v>
      </c>
      <c r="K438" s="66"/>
      <c r="L438" s="68"/>
      <c r="M438" s="69"/>
      <c r="N438" s="69"/>
      <c r="O438" s="70" t="str">
        <f>IF(registreGarantie[[#This Row],[date paiement]]="","",registreGarantie[[#This Row],[Pièces 
Demandés]]-registreGarantie[[#This Row],[Pièces 
Remboursés]])</f>
        <v/>
      </c>
      <c r="P438" s="69"/>
      <c r="Q438" s="69"/>
      <c r="R438" s="70" t="str">
        <f>IF(registreGarantie[[#This Row],[date paiement]]="","",registreGarantie[[#This Row],[MO
Demandé]]-registreGarantie[[#This Row],[MO
Remboursé]])</f>
        <v/>
      </c>
      <c r="S438" s="69"/>
      <c r="T438" s="70" t="str">
        <f>IF(registreGarantie[[#This Row],[date paiement]]="","",registreGarantie[[#This Row],[MO
Refusé]]+registreGarantie[[#This Row],[Pièces
Refusés]])</f>
        <v/>
      </c>
      <c r="U438" s="106"/>
      <c r="V438" s="71" t="str">
        <f>IF(registreGarantie[[#This Row],[Pièces 
Demandés]]="","",registreGarantie[[#This Row],[Date]])</f>
        <v/>
      </c>
      <c r="W438" s="103" t="str">
        <f>IF(registreGarantie[[#This Row],[Pièces 
Demandés]]="","",IF(registreGarantie[[#This Row],[date paiement]]="","",registreGarantie[[#This Row],[date paiement]]+91))</f>
        <v/>
      </c>
      <c r="X4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38" s="74" t="str">
        <f ca="1">IF(registreGarantie[[#This Row],[Colonne1]]=0,"",IF(TODAY()&gt;registreGarantie[[#This Row],[Date rebus]],0,1))</f>
        <v/>
      </c>
      <c r="Z438" s="66"/>
      <c r="AA438" s="73" t="str">
        <f>IF(AND(registreGarantie[[#This Row],[Montant non remboursé]]&gt;1,registreGarantie[[#This Row],[Montant non remboursé]]&lt;&gt;""),1,"")</f>
        <v/>
      </c>
      <c r="AB438" s="66"/>
      <c r="AC438" s="66"/>
      <c r="AD438" s="87">
        <f t="shared" si="6"/>
        <v>438</v>
      </c>
      <c r="AE438" s="109"/>
    </row>
    <row r="439" spans="1:31" ht="18" customHeight="1" thickBot="1" x14ac:dyDescent="0.4">
      <c r="A439" s="64">
        <v>45105</v>
      </c>
      <c r="B439" s="64">
        <v>43963</v>
      </c>
      <c r="C439" s="106">
        <v>45736</v>
      </c>
      <c r="D439" s="66" t="s">
        <v>1135</v>
      </c>
      <c r="E439" s="66" t="s">
        <v>63</v>
      </c>
      <c r="F439" s="68" t="s">
        <v>2243</v>
      </c>
      <c r="G439" s="66" t="s">
        <v>255</v>
      </c>
      <c r="H439" s="64">
        <v>4501</v>
      </c>
      <c r="I439" s="67" t="s">
        <v>3</v>
      </c>
      <c r="J439" s="97">
        <v>404602426</v>
      </c>
      <c r="K439" s="66"/>
      <c r="L439" s="68"/>
      <c r="M439" s="69">
        <v>597.91999999999996</v>
      </c>
      <c r="N439" s="69">
        <v>527.03</v>
      </c>
      <c r="O439" s="70">
        <f>IF(registreGarantie[[#This Row],[date paiement]]="","",registreGarantie[[#This Row],[Pièces 
Demandés]]-registreGarantie[[#This Row],[Pièces 
Remboursés]])</f>
        <v>70.889999999999986</v>
      </c>
      <c r="P439" s="69">
        <v>1244.5</v>
      </c>
      <c r="Q439" s="69">
        <v>655</v>
      </c>
      <c r="R439" s="70">
        <f>IF(registreGarantie[[#This Row],[date paiement]]="","",registreGarantie[[#This Row],[MO
Demandé]]-registreGarantie[[#This Row],[MO
Remboursé]])</f>
        <v>589.5</v>
      </c>
      <c r="S439" s="69">
        <v>150</v>
      </c>
      <c r="T439" s="70">
        <f>IF(registreGarantie[[#This Row],[date paiement]]="","",registreGarantie[[#This Row],[MO
Refusé]]+registreGarantie[[#This Row],[Pièces
Refusés]])</f>
        <v>660.39</v>
      </c>
      <c r="U439" s="106">
        <v>45792</v>
      </c>
      <c r="V439" s="71">
        <f>IF(registreGarantie[[#This Row],[Pièces 
Demandés]]="","",registreGarantie[[#This Row],[Date]])</f>
        <v>45736</v>
      </c>
      <c r="W439" s="103">
        <f>IF(registreGarantie[[#This Row],[Pièces 
Demandés]]="","",IF(registreGarantie[[#This Row],[date paiement]]="","",registreGarantie[[#This Row],[date paiement]]+91))</f>
        <v>45883</v>
      </c>
      <c r="X4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39" s="74">
        <f ca="1">IF(registreGarantie[[#This Row],[Colonne1]]=0,"",IF(TODAY()&gt;registreGarantie[[#This Row],[Date rebus]],0,1))</f>
        <v>0</v>
      </c>
      <c r="Z439" s="66"/>
      <c r="AA439" s="73">
        <f>IF(AND(registreGarantie[[#This Row],[Montant non remboursé]]&gt;1,registreGarantie[[#This Row],[Montant non remboursé]]&lt;&gt;""),1,"")</f>
        <v>1</v>
      </c>
      <c r="AB439" s="66"/>
      <c r="AC439" s="66"/>
      <c r="AD439" s="87">
        <f t="shared" si="6"/>
        <v>439</v>
      </c>
      <c r="AE439" s="109"/>
    </row>
    <row r="440" spans="1:31" ht="18" customHeight="1" thickBot="1" x14ac:dyDescent="0.4">
      <c r="A440" s="64">
        <v>45106</v>
      </c>
      <c r="B440" s="64">
        <v>6110</v>
      </c>
      <c r="C440" s="106">
        <v>45743</v>
      </c>
      <c r="D440" s="66" t="s">
        <v>239</v>
      </c>
      <c r="E440" s="66" t="s">
        <v>546</v>
      </c>
      <c r="F440" s="68">
        <v>78410241</v>
      </c>
      <c r="G440" s="66" t="s">
        <v>2033</v>
      </c>
      <c r="H440" s="64">
        <v>1362</v>
      </c>
      <c r="I440" s="67" t="s">
        <v>20</v>
      </c>
      <c r="J440" s="97">
        <v>404603441</v>
      </c>
      <c r="K440" s="66"/>
      <c r="L440" s="68"/>
      <c r="M440" s="69"/>
      <c r="N440" s="69"/>
      <c r="O440" s="70">
        <f>IF(registreGarantie[[#This Row],[date paiement]]="","",registreGarantie[[#This Row],[Pièces 
Demandés]]-registreGarantie[[#This Row],[Pièces 
Remboursés]])</f>
        <v>0</v>
      </c>
      <c r="P440" s="69">
        <v>49.13</v>
      </c>
      <c r="Q440" s="69">
        <v>49.13</v>
      </c>
      <c r="R440" s="70">
        <f>IF(registreGarantie[[#This Row],[date paiement]]="","",registreGarantie[[#This Row],[MO
Demandé]]-registreGarantie[[#This Row],[MO
Remboursé]])</f>
        <v>0</v>
      </c>
      <c r="S440" s="69"/>
      <c r="T440" s="70">
        <f>IF(registreGarantie[[#This Row],[date paiement]]="","",registreGarantie[[#This Row],[MO
Refusé]]+registreGarantie[[#This Row],[Pièces
Refusés]])</f>
        <v>0</v>
      </c>
      <c r="U440" s="106">
        <v>45783</v>
      </c>
      <c r="V440" s="71" t="str">
        <f>IF(registreGarantie[[#This Row],[Pièces 
Demandés]]="","",registreGarantie[[#This Row],[Date]])</f>
        <v/>
      </c>
      <c r="W440" s="103" t="str">
        <f>IF(registreGarantie[[#This Row],[Pièces 
Demandés]]="","",IF(registreGarantie[[#This Row],[date paiement]]="","",registreGarantie[[#This Row],[date paiement]]+91))</f>
        <v/>
      </c>
      <c r="X4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0" s="74" t="str">
        <f ca="1">IF(registreGarantie[[#This Row],[Colonne1]]=0,"",IF(TODAY()&gt;registreGarantie[[#This Row],[Date rebus]],0,1))</f>
        <v/>
      </c>
      <c r="Z440" s="66"/>
      <c r="AA440" s="73" t="str">
        <f>IF(AND(registreGarantie[[#This Row],[Montant non remboursé]]&gt;1,registreGarantie[[#This Row],[Montant non remboursé]]&lt;&gt;""),1,"")</f>
        <v/>
      </c>
      <c r="AB440" s="66"/>
      <c r="AC440" s="66"/>
      <c r="AD440" s="87">
        <f t="shared" si="6"/>
        <v>440</v>
      </c>
      <c r="AE440" s="109"/>
    </row>
    <row r="441" spans="1:31" ht="18" customHeight="1" thickBot="1" x14ac:dyDescent="0.4">
      <c r="A441" s="64">
        <v>45106</v>
      </c>
      <c r="B441" s="64">
        <v>6110</v>
      </c>
      <c r="C441" s="106">
        <v>45743</v>
      </c>
      <c r="D441" s="66" t="s">
        <v>239</v>
      </c>
      <c r="E441" s="66" t="s">
        <v>546</v>
      </c>
      <c r="F441" s="68" t="s">
        <v>2859</v>
      </c>
      <c r="G441" s="66" t="s">
        <v>2033</v>
      </c>
      <c r="H441" s="64">
        <v>1362</v>
      </c>
      <c r="I441" s="67" t="s">
        <v>3</v>
      </c>
      <c r="J441" s="97">
        <v>404603441</v>
      </c>
      <c r="K441" s="66"/>
      <c r="L441" s="68"/>
      <c r="M441" s="69"/>
      <c r="N441" s="69"/>
      <c r="O441" s="70">
        <f>IF(registreGarantie[[#This Row],[date paiement]]="","",registreGarantie[[#This Row],[Pièces 
Demandés]]-registreGarantie[[#This Row],[Pièces 
Remboursés]])</f>
        <v>0</v>
      </c>
      <c r="P441" s="69">
        <v>49.13</v>
      </c>
      <c r="Q441" s="69">
        <v>49.13</v>
      </c>
      <c r="R441" s="70">
        <f>IF(registreGarantie[[#This Row],[date paiement]]="","",registreGarantie[[#This Row],[MO
Demandé]]-registreGarantie[[#This Row],[MO
Remboursé]])</f>
        <v>0</v>
      </c>
      <c r="S441" s="69"/>
      <c r="T441" s="70">
        <f>IF(registreGarantie[[#This Row],[date paiement]]="","",registreGarantie[[#This Row],[MO
Refusé]]+registreGarantie[[#This Row],[Pièces
Refusés]])</f>
        <v>0</v>
      </c>
      <c r="U441" s="106">
        <v>45782</v>
      </c>
      <c r="V441" s="71" t="str">
        <f>IF(registreGarantie[[#This Row],[Pièces 
Demandés]]="","",registreGarantie[[#This Row],[Date]])</f>
        <v/>
      </c>
      <c r="W441" s="103" t="str">
        <f>IF(registreGarantie[[#This Row],[Pièces 
Demandés]]="","",IF(registreGarantie[[#This Row],[date paiement]]="","",registreGarantie[[#This Row],[date paiement]]+91))</f>
        <v/>
      </c>
      <c r="X4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1" s="74" t="str">
        <f ca="1">IF(registreGarantie[[#This Row],[Colonne1]]=0,"",IF(TODAY()&gt;registreGarantie[[#This Row],[Date rebus]],0,1))</f>
        <v/>
      </c>
      <c r="Z441" s="66"/>
      <c r="AA441" s="73" t="str">
        <f>IF(AND(registreGarantie[[#This Row],[Montant non remboursé]]&gt;1,registreGarantie[[#This Row],[Montant non remboursé]]&lt;&gt;""),1,"")</f>
        <v/>
      </c>
      <c r="AB441" s="66"/>
      <c r="AC441" s="66"/>
      <c r="AD441" s="87">
        <f t="shared" si="6"/>
        <v>441</v>
      </c>
      <c r="AE441" s="109"/>
    </row>
    <row r="442" spans="1:31" ht="18" customHeight="1" thickBot="1" x14ac:dyDescent="0.4">
      <c r="A442" s="64">
        <v>45107</v>
      </c>
      <c r="B442" s="64">
        <v>6044</v>
      </c>
      <c r="C442" s="106">
        <v>45740.585439814815</v>
      </c>
      <c r="D442" s="66" t="s">
        <v>41</v>
      </c>
      <c r="E442" s="66" t="s">
        <v>1607</v>
      </c>
      <c r="F442" s="68" t="s">
        <v>2277</v>
      </c>
      <c r="G442" s="66" t="s">
        <v>2034</v>
      </c>
      <c r="H442" s="64">
        <v>3363</v>
      </c>
      <c r="I442" s="67" t="s">
        <v>5</v>
      </c>
      <c r="J442" s="97">
        <v>404507304</v>
      </c>
      <c r="K442" s="66"/>
      <c r="L442" s="68"/>
      <c r="M442" s="69">
        <v>1.26</v>
      </c>
      <c r="N442" s="69">
        <v>1.26</v>
      </c>
      <c r="O442" s="70">
        <f>IF(registreGarantie[[#This Row],[date paiement]]="","",registreGarantie[[#This Row],[Pièces 
Demandés]]-registreGarantie[[#This Row],[Pièces 
Remboursés]])</f>
        <v>0</v>
      </c>
      <c r="P442" s="69">
        <v>107.63</v>
      </c>
      <c r="Q442" s="69">
        <v>107.63</v>
      </c>
      <c r="R442" s="70">
        <f>IF(registreGarantie[[#This Row],[date paiement]]="","",registreGarantie[[#This Row],[MO
Demandé]]-registreGarantie[[#This Row],[MO
Remboursé]])</f>
        <v>0</v>
      </c>
      <c r="S442" s="69"/>
      <c r="T442" s="70">
        <f>IF(registreGarantie[[#This Row],[date paiement]]="","",registreGarantie[[#This Row],[MO
Refusé]]+registreGarantie[[#This Row],[Pièces
Refusés]])</f>
        <v>0</v>
      </c>
      <c r="U442" s="106">
        <v>45750.546168981484</v>
      </c>
      <c r="V442" s="71">
        <f>IF(registreGarantie[[#This Row],[Pièces 
Demandés]]="","",registreGarantie[[#This Row],[Date]])</f>
        <v>45740.585439814815</v>
      </c>
      <c r="W442" s="103">
        <f>IF(registreGarantie[[#This Row],[Pièces 
Demandés]]="","",IF(registreGarantie[[#This Row],[date paiement]]="","",registreGarantie[[#This Row],[date paiement]]+91))</f>
        <v>45841.546168981484</v>
      </c>
      <c r="X4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2" s="74" t="str">
        <f ca="1">IF(registreGarantie[[#This Row],[Colonne1]]=0,"",IF(TODAY()&gt;registreGarantie[[#This Row],[Date rebus]],0,1))</f>
        <v/>
      </c>
      <c r="Z442" s="66"/>
      <c r="AA442" s="73" t="str">
        <f>IF(AND(registreGarantie[[#This Row],[Montant non remboursé]]&gt;1,registreGarantie[[#This Row],[Montant non remboursé]]&lt;&gt;""),1,"")</f>
        <v/>
      </c>
      <c r="AB442" s="66"/>
      <c r="AC442" s="66"/>
      <c r="AD442" s="87">
        <f t="shared" si="6"/>
        <v>442</v>
      </c>
      <c r="AE442" s="109"/>
    </row>
    <row r="443" spans="1:31" ht="18" customHeight="1" thickBot="1" x14ac:dyDescent="0.4">
      <c r="A443" s="64">
        <v>45108</v>
      </c>
      <c r="B443" s="64">
        <v>6107</v>
      </c>
      <c r="C443" s="106">
        <v>45740.585451388892</v>
      </c>
      <c r="D443" s="66" t="s">
        <v>239</v>
      </c>
      <c r="E443" s="66" t="s">
        <v>546</v>
      </c>
      <c r="F443" s="68">
        <v>78410241</v>
      </c>
      <c r="G443" s="66" t="s">
        <v>2036</v>
      </c>
      <c r="H443" s="64">
        <v>1350</v>
      </c>
      <c r="I443" s="67" t="s">
        <v>20</v>
      </c>
      <c r="J443" s="97">
        <v>404604800</v>
      </c>
      <c r="K443" s="66"/>
      <c r="L443" s="68"/>
      <c r="M443" s="69"/>
      <c r="N443" s="69"/>
      <c r="O443" s="70" t="str">
        <f>IF(registreGarantie[[#This Row],[date paiement]]="","",registreGarantie[[#This Row],[Pièces 
Demandés]]-registreGarantie[[#This Row],[Pièces 
Remboursés]])</f>
        <v/>
      </c>
      <c r="P443" s="69"/>
      <c r="Q443" s="69"/>
      <c r="R443" s="70" t="str">
        <f>IF(registreGarantie[[#This Row],[date paiement]]="","",registreGarantie[[#This Row],[MO
Demandé]]-registreGarantie[[#This Row],[MO
Remboursé]])</f>
        <v/>
      </c>
      <c r="S443" s="69"/>
      <c r="T443" s="70" t="str">
        <f>IF(registreGarantie[[#This Row],[date paiement]]="","",registreGarantie[[#This Row],[MO
Refusé]]+registreGarantie[[#This Row],[Pièces
Refusés]])</f>
        <v/>
      </c>
      <c r="U443" s="106"/>
      <c r="V443" s="71" t="str">
        <f>IF(registreGarantie[[#This Row],[Pièces 
Demandés]]="","",registreGarantie[[#This Row],[Date]])</f>
        <v/>
      </c>
      <c r="W443" s="103" t="str">
        <f>IF(registreGarantie[[#This Row],[Pièces 
Demandés]]="","",IF(registreGarantie[[#This Row],[date paiement]]="","",registreGarantie[[#This Row],[date paiement]]+91))</f>
        <v/>
      </c>
      <c r="X4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3" s="74" t="str">
        <f ca="1">IF(registreGarantie[[#This Row],[Colonne1]]=0,"",IF(TODAY()&gt;registreGarantie[[#This Row],[Date rebus]],0,1))</f>
        <v/>
      </c>
      <c r="Z443" s="66"/>
      <c r="AA443" s="73" t="str">
        <f>IF(AND(registreGarantie[[#This Row],[Montant non remboursé]]&gt;1,registreGarantie[[#This Row],[Montant non remboursé]]&lt;&gt;""),1,"")</f>
        <v/>
      </c>
      <c r="AB443" s="66"/>
      <c r="AC443" s="66"/>
      <c r="AD443" s="87">
        <f t="shared" si="6"/>
        <v>443</v>
      </c>
      <c r="AE443" s="109"/>
    </row>
    <row r="444" spans="1:31" ht="18" customHeight="1" thickBot="1" x14ac:dyDescent="0.4">
      <c r="A444" s="64">
        <v>45108</v>
      </c>
      <c r="B444" s="64">
        <v>6107</v>
      </c>
      <c r="C444" s="106">
        <v>45743</v>
      </c>
      <c r="D444" s="66" t="s">
        <v>239</v>
      </c>
      <c r="E444" s="66" t="s">
        <v>546</v>
      </c>
      <c r="F444" s="68">
        <v>78410241</v>
      </c>
      <c r="G444" s="66" t="s">
        <v>2036</v>
      </c>
      <c r="H444" s="64">
        <v>1350</v>
      </c>
      <c r="I444" s="67" t="s">
        <v>3</v>
      </c>
      <c r="J444" s="97">
        <v>404604800</v>
      </c>
      <c r="K444" s="66"/>
      <c r="L444" s="68"/>
      <c r="M444" s="69"/>
      <c r="N444" s="69"/>
      <c r="O444" s="70">
        <f>IF(registreGarantie[[#This Row],[date paiement]]="","",registreGarantie[[#This Row],[Pièces 
Demandés]]-registreGarantie[[#This Row],[Pièces 
Remboursés]])</f>
        <v>0</v>
      </c>
      <c r="P444" s="69">
        <v>262</v>
      </c>
      <c r="Q444" s="69">
        <v>262</v>
      </c>
      <c r="R444" s="70">
        <f>IF(registreGarantie[[#This Row],[date paiement]]="","",registreGarantie[[#This Row],[MO
Demandé]]-registreGarantie[[#This Row],[MO
Remboursé]])</f>
        <v>0</v>
      </c>
      <c r="S444" s="69"/>
      <c r="T444" s="70">
        <f>IF(registreGarantie[[#This Row],[date paiement]]="","",registreGarantie[[#This Row],[MO
Refusé]]+registreGarantie[[#This Row],[Pièces
Refusés]])</f>
        <v>0</v>
      </c>
      <c r="U444" s="106">
        <v>45792</v>
      </c>
      <c r="V444" s="71" t="str">
        <f>IF(registreGarantie[[#This Row],[Pièces 
Demandés]]="","",registreGarantie[[#This Row],[Date]])</f>
        <v/>
      </c>
      <c r="W444" s="103" t="str">
        <f>IF(registreGarantie[[#This Row],[Pièces 
Demandés]]="","",IF(registreGarantie[[#This Row],[date paiement]]="","",registreGarantie[[#This Row],[date paiement]]+91))</f>
        <v/>
      </c>
      <c r="X4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4" s="74" t="str">
        <f ca="1">IF(registreGarantie[[#This Row],[Colonne1]]=0,"",IF(TODAY()&gt;registreGarantie[[#This Row],[Date rebus]],0,1))</f>
        <v/>
      </c>
      <c r="Z444" s="66"/>
      <c r="AA444" s="73" t="str">
        <f>IF(AND(registreGarantie[[#This Row],[Montant non remboursé]]&gt;1,registreGarantie[[#This Row],[Montant non remboursé]]&lt;&gt;""),1,"")</f>
        <v/>
      </c>
      <c r="AB444" s="66"/>
      <c r="AC444" s="66"/>
      <c r="AD444" s="87">
        <f t="shared" si="6"/>
        <v>444</v>
      </c>
      <c r="AE444" s="109"/>
    </row>
    <row r="445" spans="1:31" ht="18" customHeight="1" thickBot="1" x14ac:dyDescent="0.4">
      <c r="A445" s="64">
        <v>45109</v>
      </c>
      <c r="B445" s="64">
        <v>6111</v>
      </c>
      <c r="C445" s="106">
        <v>45756.647800925923</v>
      </c>
      <c r="D445" s="66" t="s">
        <v>239</v>
      </c>
      <c r="E445" s="66" t="s">
        <v>546</v>
      </c>
      <c r="F445" s="68">
        <v>78410241</v>
      </c>
      <c r="G445" s="66" t="s">
        <v>2035</v>
      </c>
      <c r="H445" s="64">
        <v>1360</v>
      </c>
      <c r="I445" s="67" t="s">
        <v>20</v>
      </c>
      <c r="J445" s="97">
        <v>404604779</v>
      </c>
      <c r="K445" s="66"/>
      <c r="L445" s="68"/>
      <c r="M445" s="69">
        <v>1220.1199999999999</v>
      </c>
      <c r="N445" s="69">
        <v>1220.1199999999999</v>
      </c>
      <c r="O445" s="70">
        <f>IF(registreGarantie[[#This Row],[date paiement]]="","",registreGarantie[[#This Row],[Pièces 
Demandés]]-registreGarantie[[#This Row],[Pièces 
Remboursés]])</f>
        <v>0</v>
      </c>
      <c r="P445" s="69">
        <v>442.13</v>
      </c>
      <c r="Q445" s="69">
        <v>442.13</v>
      </c>
      <c r="R445" s="70">
        <f>IF(registreGarantie[[#This Row],[date paiement]]="","",registreGarantie[[#This Row],[MO
Demandé]]-registreGarantie[[#This Row],[MO
Remboursé]])</f>
        <v>0</v>
      </c>
      <c r="S445" s="69"/>
      <c r="T445" s="70">
        <f>IF(registreGarantie[[#This Row],[date paiement]]="","",registreGarantie[[#This Row],[MO
Refusé]]+registreGarantie[[#This Row],[Pièces
Refusés]])</f>
        <v>0</v>
      </c>
      <c r="U445" s="106">
        <v>45783</v>
      </c>
      <c r="V445" s="71">
        <f>IF(registreGarantie[[#This Row],[Pièces 
Demandés]]="","",registreGarantie[[#This Row],[Date]])</f>
        <v>45756.647800925923</v>
      </c>
      <c r="W445" s="103">
        <f>IF(registreGarantie[[#This Row],[Pièces 
Demandés]]="","",IF(registreGarantie[[#This Row],[date paiement]]="","",registreGarantie[[#This Row],[date paiement]]+91))</f>
        <v>45874</v>
      </c>
      <c r="X4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5" s="74" t="str">
        <f ca="1">IF(registreGarantie[[#This Row],[Colonne1]]=0,"",IF(TODAY()&gt;registreGarantie[[#This Row],[Date rebus]],0,1))</f>
        <v/>
      </c>
      <c r="Z445" s="66"/>
      <c r="AA445" s="73" t="str">
        <f>IF(AND(registreGarantie[[#This Row],[Montant non remboursé]]&gt;1,registreGarantie[[#This Row],[Montant non remboursé]]&lt;&gt;""),1,"")</f>
        <v/>
      </c>
      <c r="AB445" s="66"/>
      <c r="AC445" s="66"/>
      <c r="AD445" s="87">
        <f t="shared" si="6"/>
        <v>445</v>
      </c>
      <c r="AE445" s="109"/>
    </row>
    <row r="446" spans="1:31" ht="18" customHeight="1" thickBot="1" x14ac:dyDescent="0.4">
      <c r="A446" s="64">
        <v>45109</v>
      </c>
      <c r="B446" s="64">
        <v>6111</v>
      </c>
      <c r="C446" s="106">
        <v>45756.647800925923</v>
      </c>
      <c r="D446" s="66" t="s">
        <v>239</v>
      </c>
      <c r="E446" s="66" t="s">
        <v>546</v>
      </c>
      <c r="F446" s="68">
        <v>78410241</v>
      </c>
      <c r="G446" s="66" t="s">
        <v>2035</v>
      </c>
      <c r="H446" s="64">
        <v>1360</v>
      </c>
      <c r="I446" s="67" t="s">
        <v>3</v>
      </c>
      <c r="J446" s="97">
        <v>404604779</v>
      </c>
      <c r="K446" s="66"/>
      <c r="L446" s="68"/>
      <c r="M446" s="69"/>
      <c r="N446" s="69"/>
      <c r="O446" s="70" t="str">
        <f>IF(registreGarantie[[#This Row],[date paiement]]="","",registreGarantie[[#This Row],[Pièces 
Demandés]]-registreGarantie[[#This Row],[Pièces 
Remboursés]])</f>
        <v/>
      </c>
      <c r="P446" s="69"/>
      <c r="Q446" s="69"/>
      <c r="R446" s="70" t="str">
        <f>IF(registreGarantie[[#This Row],[date paiement]]="","",registreGarantie[[#This Row],[MO
Demandé]]-registreGarantie[[#This Row],[MO
Remboursé]])</f>
        <v/>
      </c>
      <c r="S446" s="69"/>
      <c r="T446" s="70" t="str">
        <f>IF(registreGarantie[[#This Row],[date paiement]]="","",registreGarantie[[#This Row],[MO
Refusé]]+registreGarantie[[#This Row],[Pièces
Refusés]])</f>
        <v/>
      </c>
      <c r="U446" s="106"/>
      <c r="V446" s="71" t="str">
        <f>IF(registreGarantie[[#This Row],[Pièces 
Demandés]]="","",registreGarantie[[#This Row],[Date]])</f>
        <v/>
      </c>
      <c r="W446" s="103" t="str">
        <f>IF(registreGarantie[[#This Row],[Pièces 
Demandés]]="","",IF(registreGarantie[[#This Row],[date paiement]]="","",registreGarantie[[#This Row],[date paiement]]+91))</f>
        <v/>
      </c>
      <c r="X4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6" s="74" t="str">
        <f ca="1">IF(registreGarantie[[#This Row],[Colonne1]]=0,"",IF(TODAY()&gt;registreGarantie[[#This Row],[Date rebus]],0,1))</f>
        <v/>
      </c>
      <c r="Z446" s="66"/>
      <c r="AA446" s="73" t="str">
        <f>IF(AND(registreGarantie[[#This Row],[Montant non remboursé]]&gt;1,registreGarantie[[#This Row],[Montant non remboursé]]&lt;&gt;""),1,"")</f>
        <v/>
      </c>
      <c r="AB446" s="66"/>
      <c r="AC446" s="66"/>
      <c r="AD446" s="87">
        <f t="shared" si="6"/>
        <v>446</v>
      </c>
      <c r="AE446" s="109"/>
    </row>
    <row r="447" spans="1:31" ht="18" customHeight="1" thickBot="1" x14ac:dyDescent="0.4">
      <c r="A447" s="64">
        <v>45110</v>
      </c>
      <c r="B447" s="64">
        <v>44049</v>
      </c>
      <c r="C447" s="106">
        <v>45740</v>
      </c>
      <c r="D447" s="66" t="s">
        <v>622</v>
      </c>
      <c r="E447" s="66" t="s">
        <v>133</v>
      </c>
      <c r="F447" s="68"/>
      <c r="G447" s="66" t="s">
        <v>801</v>
      </c>
      <c r="H447" s="64">
        <v>4127</v>
      </c>
      <c r="I447" s="67" t="s">
        <v>3</v>
      </c>
      <c r="J447" s="97">
        <v>404605688</v>
      </c>
      <c r="K447" s="66"/>
      <c r="L447" s="68"/>
      <c r="M447" s="69">
        <v>23.81</v>
      </c>
      <c r="N447" s="69">
        <v>23.81</v>
      </c>
      <c r="O447" s="70">
        <f>IF(registreGarantie[[#This Row],[date paiement]]="","",registreGarantie[[#This Row],[Pièces 
Demandés]]-registreGarantie[[#This Row],[Pièces 
Remboursés]])</f>
        <v>0</v>
      </c>
      <c r="P447" s="69">
        <v>327.5</v>
      </c>
      <c r="Q447" s="69">
        <v>229.25</v>
      </c>
      <c r="R447" s="70">
        <f>IF(registreGarantie[[#This Row],[date paiement]]="","",registreGarantie[[#This Row],[MO
Demandé]]-registreGarantie[[#This Row],[MO
Remboursé]])</f>
        <v>98.25</v>
      </c>
      <c r="S447" s="69">
        <v>150</v>
      </c>
      <c r="T447" s="70">
        <f>IF(registreGarantie[[#This Row],[date paiement]]="","",registreGarantie[[#This Row],[MO
Refusé]]+registreGarantie[[#This Row],[Pièces
Refusés]])</f>
        <v>98.25</v>
      </c>
      <c r="U447" s="106">
        <v>45750</v>
      </c>
      <c r="V447" s="71">
        <f>IF(registreGarantie[[#This Row],[Pièces 
Demandés]]="","",registreGarantie[[#This Row],[Date]])</f>
        <v>45740</v>
      </c>
      <c r="W447" s="103">
        <f>IF(registreGarantie[[#This Row],[Pièces 
Demandés]]="","",IF(registreGarantie[[#This Row],[date paiement]]="","",registreGarantie[[#This Row],[date paiement]]+91))</f>
        <v>45841</v>
      </c>
      <c r="X4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47" s="74">
        <f ca="1">IF(registreGarantie[[#This Row],[Colonne1]]=0,"",IF(TODAY()&gt;registreGarantie[[#This Row],[Date rebus]],0,1))</f>
        <v>0</v>
      </c>
      <c r="Z447" s="66" t="s">
        <v>2061</v>
      </c>
      <c r="AA447" s="73">
        <f>IF(AND(registreGarantie[[#This Row],[Montant non remboursé]]&gt;1,registreGarantie[[#This Row],[Montant non remboursé]]&lt;&gt;""),1,"")</f>
        <v>1</v>
      </c>
      <c r="AB447" s="66"/>
      <c r="AC447" s="66"/>
      <c r="AD447" s="87">
        <f t="shared" si="6"/>
        <v>447</v>
      </c>
      <c r="AE447" s="109"/>
    </row>
    <row r="448" spans="1:31" ht="18" customHeight="1" thickBot="1" x14ac:dyDescent="0.4">
      <c r="A448" s="64">
        <v>45111</v>
      </c>
      <c r="B448" s="64">
        <v>43946</v>
      </c>
      <c r="C448" s="106">
        <v>45741</v>
      </c>
      <c r="D448" s="66" t="s">
        <v>108</v>
      </c>
      <c r="E448" s="66" t="s">
        <v>1123</v>
      </c>
      <c r="F448" s="68"/>
      <c r="G448" s="66" t="s">
        <v>2049</v>
      </c>
      <c r="H448" s="64">
        <v>0</v>
      </c>
      <c r="I448" s="67" t="s">
        <v>21</v>
      </c>
      <c r="J448" s="97" t="s">
        <v>2050</v>
      </c>
      <c r="K448" s="66"/>
      <c r="L448" s="68"/>
      <c r="M448" s="69">
        <v>1652.03</v>
      </c>
      <c r="N448" s="69">
        <v>1652.03</v>
      </c>
      <c r="O448" s="70">
        <f>IF(registreGarantie[[#This Row],[date paiement]]="","",registreGarantie[[#This Row],[Pièces 
Demandés]]-registreGarantie[[#This Row],[Pièces 
Remboursés]])</f>
        <v>0</v>
      </c>
      <c r="P448" s="69">
        <v>53</v>
      </c>
      <c r="Q448" s="69">
        <v>53</v>
      </c>
      <c r="R448" s="70">
        <f>IF(registreGarantie[[#This Row],[date paiement]]="","",registreGarantie[[#This Row],[MO
Demandé]]-registreGarantie[[#This Row],[MO
Remboursé]])</f>
        <v>0</v>
      </c>
      <c r="S448" s="69"/>
      <c r="T448" s="70">
        <f>IF(registreGarantie[[#This Row],[date paiement]]="","",registreGarantie[[#This Row],[MO
Refusé]]+registreGarantie[[#This Row],[Pièces
Refusés]])</f>
        <v>0</v>
      </c>
      <c r="U448" s="106">
        <v>45847</v>
      </c>
      <c r="V448" s="71">
        <f>IF(registreGarantie[[#This Row],[Pièces 
Demandés]]="","",registreGarantie[[#This Row],[Date]])</f>
        <v>45741</v>
      </c>
      <c r="W448" s="103">
        <f>IF(registreGarantie[[#This Row],[Pièces 
Demandés]]="","",IF(registreGarantie[[#This Row],[date paiement]]="","",registreGarantie[[#This Row],[date paiement]]+91))</f>
        <v>45938</v>
      </c>
      <c r="X4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48" s="74" t="str">
        <f ca="1">IF(registreGarantie[[#This Row],[Colonne1]]=0,"",IF(TODAY()&gt;registreGarantie[[#This Row],[Date rebus]],0,1))</f>
        <v/>
      </c>
      <c r="Z448" s="66"/>
      <c r="AA448" s="73" t="str">
        <f>IF(AND(registreGarantie[[#This Row],[Montant non remboursé]]&gt;1,registreGarantie[[#This Row],[Montant non remboursé]]&lt;&gt;""),1,"")</f>
        <v/>
      </c>
      <c r="AB448" s="66"/>
      <c r="AC448" s="66"/>
      <c r="AD448" s="87">
        <f t="shared" si="6"/>
        <v>448</v>
      </c>
      <c r="AE448" s="109"/>
    </row>
    <row r="449" spans="1:31" ht="18" customHeight="1" thickBot="1" x14ac:dyDescent="0.4">
      <c r="A449" s="64">
        <v>45112</v>
      </c>
      <c r="B449" s="64">
        <v>44051</v>
      </c>
      <c r="C449" s="106">
        <v>45741</v>
      </c>
      <c r="D449" s="66" t="s">
        <v>1097</v>
      </c>
      <c r="E449" s="66" t="s">
        <v>106</v>
      </c>
      <c r="F449" s="68" t="s">
        <v>2313</v>
      </c>
      <c r="G449" s="66" t="s">
        <v>922</v>
      </c>
      <c r="H449" s="64">
        <v>1167</v>
      </c>
      <c r="I449" s="67" t="s">
        <v>2</v>
      </c>
      <c r="J449" s="97">
        <v>404606391</v>
      </c>
      <c r="K449" s="66"/>
      <c r="L449" s="68"/>
      <c r="M449" s="69">
        <v>347.88</v>
      </c>
      <c r="N449" s="69">
        <v>347.88</v>
      </c>
      <c r="O449" s="70">
        <f>IF(registreGarantie[[#This Row],[date paiement]]="","",registreGarantie[[#This Row],[Pièces 
Demandés]]-registreGarantie[[#This Row],[Pièces 
Remboursés]])</f>
        <v>0</v>
      </c>
      <c r="P449" s="69">
        <v>327.5</v>
      </c>
      <c r="Q449" s="69">
        <v>131</v>
      </c>
      <c r="R449" s="70">
        <f>IF(registreGarantie[[#This Row],[date paiement]]="","",registreGarantie[[#This Row],[MO
Demandé]]-registreGarantie[[#This Row],[MO
Remboursé]])</f>
        <v>196.5</v>
      </c>
      <c r="S449" s="69"/>
      <c r="T449" s="70">
        <f>IF(registreGarantie[[#This Row],[date paiement]]="","",registreGarantie[[#This Row],[MO
Refusé]]+registreGarantie[[#This Row],[Pièces
Refusés]])</f>
        <v>196.5</v>
      </c>
      <c r="U449" s="106">
        <v>45750</v>
      </c>
      <c r="V449" s="71">
        <f>IF(registreGarantie[[#This Row],[Pièces 
Demandés]]="","",registreGarantie[[#This Row],[Date]])</f>
        <v>45741</v>
      </c>
      <c r="W449" s="103">
        <f>IF(registreGarantie[[#This Row],[Pièces 
Demandés]]="","",IF(registreGarantie[[#This Row],[date paiement]]="","",registreGarantie[[#This Row],[date paiement]]+91))</f>
        <v>45841</v>
      </c>
      <c r="X4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49" s="74">
        <f ca="1">IF(registreGarantie[[#This Row],[Colonne1]]=0,"",IF(TODAY()&gt;registreGarantie[[#This Row],[Date rebus]],0,1))</f>
        <v>0</v>
      </c>
      <c r="Z449" s="66" t="s">
        <v>2060</v>
      </c>
      <c r="AA449" s="73">
        <f>IF(AND(registreGarantie[[#This Row],[Montant non remboursé]]&gt;1,registreGarantie[[#This Row],[Montant non remboursé]]&lt;&gt;""),1,"")</f>
        <v>1</v>
      </c>
      <c r="AB449" s="66"/>
      <c r="AC449" s="66"/>
      <c r="AD449" s="87">
        <f t="shared" si="6"/>
        <v>449</v>
      </c>
      <c r="AE449" s="109"/>
    </row>
    <row r="450" spans="1:31" ht="18" customHeight="1" thickBot="1" x14ac:dyDescent="0.4">
      <c r="A450" s="64">
        <v>45113</v>
      </c>
      <c r="B450" s="64">
        <v>44060</v>
      </c>
      <c r="C450" s="106">
        <v>45741</v>
      </c>
      <c r="D450" s="66" t="s">
        <v>1097</v>
      </c>
      <c r="E450" s="66" t="s">
        <v>106</v>
      </c>
      <c r="F450" s="68" t="s">
        <v>2315</v>
      </c>
      <c r="G450" s="66" t="s">
        <v>2054</v>
      </c>
      <c r="H450" s="64">
        <v>10997</v>
      </c>
      <c r="I450" s="67" t="s">
        <v>18</v>
      </c>
      <c r="J450" s="97">
        <v>404606799</v>
      </c>
      <c r="K450" s="66"/>
      <c r="L450" s="68"/>
      <c r="M450" s="69"/>
      <c r="N450" s="69"/>
      <c r="O450" s="70" t="str">
        <f>IF(registreGarantie[[#This Row],[date paiement]]="","",registreGarantie[[#This Row],[Pièces 
Demandés]]-registreGarantie[[#This Row],[Pièces 
Remboursés]])</f>
        <v/>
      </c>
      <c r="P450" s="69"/>
      <c r="Q450" s="69"/>
      <c r="R450" s="70" t="str">
        <f>IF(registreGarantie[[#This Row],[date paiement]]="","",registreGarantie[[#This Row],[MO
Demandé]]-registreGarantie[[#This Row],[MO
Remboursé]])</f>
        <v/>
      </c>
      <c r="S450" s="69"/>
      <c r="T450" s="70" t="str">
        <f>IF(registreGarantie[[#This Row],[date paiement]]="","",registreGarantie[[#This Row],[MO
Refusé]]+registreGarantie[[#This Row],[Pièces
Refusés]])</f>
        <v/>
      </c>
      <c r="U450" s="106"/>
      <c r="V450" s="71" t="str">
        <f>IF(registreGarantie[[#This Row],[Pièces 
Demandés]]="","",registreGarantie[[#This Row],[Date]])</f>
        <v/>
      </c>
      <c r="W450" s="103" t="str">
        <f>IF(registreGarantie[[#This Row],[Pièces 
Demandés]]="","",IF(registreGarantie[[#This Row],[date paiement]]="","",registreGarantie[[#This Row],[date paiement]]+91))</f>
        <v/>
      </c>
      <c r="X4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0" s="74" t="str">
        <f ca="1">IF(registreGarantie[[#This Row],[Colonne1]]=0,"",IF(TODAY()&gt;registreGarantie[[#This Row],[Date rebus]],0,1))</f>
        <v/>
      </c>
      <c r="Z450" s="66"/>
      <c r="AA450" s="73" t="str">
        <f>IF(AND(registreGarantie[[#This Row],[Montant non remboursé]]&gt;1,registreGarantie[[#This Row],[Montant non remboursé]]&lt;&gt;""),1,"")</f>
        <v/>
      </c>
      <c r="AB450" s="66"/>
      <c r="AC450" s="66"/>
      <c r="AD450" s="87">
        <f t="shared" ref="AD450:AD513" si="7">ROW(AD450)</f>
        <v>450</v>
      </c>
      <c r="AE450" s="109"/>
    </row>
    <row r="451" spans="1:31" s="94" customFormat="1" ht="18" customHeight="1" thickBot="1" x14ac:dyDescent="0.4">
      <c r="A451" s="75">
        <v>45114</v>
      </c>
      <c r="B451" s="75">
        <v>43052</v>
      </c>
      <c r="C451" s="107">
        <v>45741</v>
      </c>
      <c r="D451" s="76" t="s">
        <v>375</v>
      </c>
      <c r="E451" s="76" t="s">
        <v>75</v>
      </c>
      <c r="F451" s="78" t="s">
        <v>2284</v>
      </c>
      <c r="G451" s="76" t="s">
        <v>525</v>
      </c>
      <c r="H451" s="75">
        <v>2066</v>
      </c>
      <c r="I451" s="77" t="s">
        <v>2456</v>
      </c>
      <c r="J451" s="105">
        <v>404606834</v>
      </c>
      <c r="K451" s="76"/>
      <c r="L451" s="78"/>
      <c r="M451" s="79">
        <v>2274</v>
      </c>
      <c r="N451" s="79"/>
      <c r="O451" s="80" t="str">
        <f>IF(registreGarantie[[#This Row],[date paiement]]="","",registreGarantie[[#This Row],[Pièces 
Demandés]]-registreGarantie[[#This Row],[Pièces 
Remboursés]])</f>
        <v/>
      </c>
      <c r="P451" s="79">
        <v>2227</v>
      </c>
      <c r="Q451" s="79"/>
      <c r="R451" s="80" t="str">
        <f>IF(registreGarantie[[#This Row],[date paiement]]="","",registreGarantie[[#This Row],[MO
Demandé]]-registreGarantie[[#This Row],[MO
Remboursé]])</f>
        <v/>
      </c>
      <c r="S451" s="79"/>
      <c r="T451" s="80" t="str">
        <f>IF(registreGarantie[[#This Row],[date paiement]]="","",registreGarantie[[#This Row],[MO
Refusé]]+registreGarantie[[#This Row],[Pièces
Refusés]])</f>
        <v/>
      </c>
      <c r="U451" s="107"/>
      <c r="V451" s="81">
        <f>IF(registreGarantie[[#This Row],[Pièces 
Demandés]]="","",registreGarantie[[#This Row],[Date]])</f>
        <v>45741</v>
      </c>
      <c r="W451" s="104" t="str">
        <f>IF(registreGarantie[[#This Row],[Pièces 
Demandés]]="","",IF(registreGarantie[[#This Row],[date paiement]]="","",registreGarantie[[#This Row],[date paiement]]+91))</f>
        <v/>
      </c>
      <c r="X451" s="8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1" s="82" t="str">
        <f ca="1">IF(registreGarantie[[#This Row],[Colonne1]]=0,"",IF(TODAY()&gt;registreGarantie[[#This Row],[Date rebus]],0,1))</f>
        <v/>
      </c>
      <c r="Z451" s="76"/>
      <c r="AA451" s="83" t="str">
        <f>IF(AND(registreGarantie[[#This Row],[Montant non remboursé]]&gt;1,registreGarantie[[#This Row],[Montant non remboursé]]&lt;&gt;""),1,"")</f>
        <v/>
      </c>
      <c r="AB451" s="76"/>
      <c r="AC451" s="76"/>
      <c r="AD451" s="93">
        <f t="shared" si="7"/>
        <v>451</v>
      </c>
      <c r="AE451" s="110"/>
    </row>
    <row r="452" spans="1:31" ht="18" customHeight="1" thickBot="1" x14ac:dyDescent="0.4">
      <c r="A452" s="64">
        <v>45115</v>
      </c>
      <c r="B452" s="64">
        <v>6100</v>
      </c>
      <c r="C452" s="106">
        <v>45743</v>
      </c>
      <c r="D452" s="66" t="s">
        <v>74</v>
      </c>
      <c r="E452" s="66" t="s">
        <v>367</v>
      </c>
      <c r="F452" s="68" t="s">
        <v>2254</v>
      </c>
      <c r="G452" s="66" t="s">
        <v>58</v>
      </c>
      <c r="H452" s="64">
        <v>177</v>
      </c>
      <c r="I452" s="67" t="s">
        <v>18</v>
      </c>
      <c r="J452" s="97">
        <v>404609774</v>
      </c>
      <c r="K452" s="66"/>
      <c r="L452" s="68"/>
      <c r="M452" s="69"/>
      <c r="N452" s="69"/>
      <c r="O452" s="70" t="str">
        <f>IF(registreGarantie[[#This Row],[date paiement]]="","",registreGarantie[[#This Row],[Pièces 
Demandés]]-registreGarantie[[#This Row],[Pièces 
Remboursés]])</f>
        <v/>
      </c>
      <c r="P452" s="69"/>
      <c r="Q452" s="69"/>
      <c r="R452" s="70" t="str">
        <f>IF(registreGarantie[[#This Row],[date paiement]]="","",registreGarantie[[#This Row],[MO
Demandé]]-registreGarantie[[#This Row],[MO
Remboursé]])</f>
        <v/>
      </c>
      <c r="S452" s="69"/>
      <c r="T452" s="70" t="str">
        <f>IF(registreGarantie[[#This Row],[date paiement]]="","",registreGarantie[[#This Row],[MO
Refusé]]+registreGarantie[[#This Row],[Pièces
Refusés]])</f>
        <v/>
      </c>
      <c r="U452" s="106"/>
      <c r="V452" s="71" t="str">
        <f>IF(registreGarantie[[#This Row],[Pièces 
Demandés]]="","",registreGarantie[[#This Row],[Date]])</f>
        <v/>
      </c>
      <c r="W452" s="103" t="str">
        <f>IF(registreGarantie[[#This Row],[Pièces 
Demandés]]="","",IF(registreGarantie[[#This Row],[date paiement]]="","",registreGarantie[[#This Row],[date paiement]]+91))</f>
        <v/>
      </c>
      <c r="X4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2" s="74" t="str">
        <f ca="1">IF(registreGarantie[[#This Row],[Colonne1]]=0,"",IF(TODAY()&gt;registreGarantie[[#This Row],[Date rebus]],0,1))</f>
        <v/>
      </c>
      <c r="Z452" s="66"/>
      <c r="AA452" s="73" t="str">
        <f>IF(AND(registreGarantie[[#This Row],[Montant non remboursé]]&gt;1,registreGarantie[[#This Row],[Montant non remboursé]]&lt;&gt;""),1,"")</f>
        <v/>
      </c>
      <c r="AB452" s="66"/>
      <c r="AC452" s="66"/>
      <c r="AD452" s="87">
        <f t="shared" si="7"/>
        <v>452</v>
      </c>
      <c r="AE452" s="109"/>
    </row>
    <row r="453" spans="1:31" ht="18" customHeight="1" thickBot="1" x14ac:dyDescent="0.4">
      <c r="A453" s="64">
        <v>45116</v>
      </c>
      <c r="B453" s="64">
        <v>42313</v>
      </c>
      <c r="C453" s="106">
        <v>45743</v>
      </c>
      <c r="D453" s="66" t="s">
        <v>1081</v>
      </c>
      <c r="E453" s="66" t="s">
        <v>254</v>
      </c>
      <c r="F453" s="68" t="s">
        <v>2310</v>
      </c>
      <c r="G453" s="66" t="s">
        <v>1012</v>
      </c>
      <c r="H453" s="64" t="s">
        <v>2055</v>
      </c>
      <c r="I453" s="67" t="s">
        <v>18</v>
      </c>
      <c r="J453" s="97">
        <v>404609874</v>
      </c>
      <c r="K453" s="66"/>
      <c r="L453" s="68"/>
      <c r="M453" s="69"/>
      <c r="N453" s="69"/>
      <c r="O453" s="70" t="str">
        <f>IF(registreGarantie[[#This Row],[date paiement]]="","",registreGarantie[[#This Row],[Pièces 
Demandés]]-registreGarantie[[#This Row],[Pièces 
Remboursés]])</f>
        <v/>
      </c>
      <c r="P453" s="69"/>
      <c r="Q453" s="69"/>
      <c r="R453" s="70" t="str">
        <f>IF(registreGarantie[[#This Row],[date paiement]]="","",registreGarantie[[#This Row],[MO
Demandé]]-registreGarantie[[#This Row],[MO
Remboursé]])</f>
        <v/>
      </c>
      <c r="S453" s="69"/>
      <c r="T453" s="70" t="str">
        <f>IF(registreGarantie[[#This Row],[date paiement]]="","",registreGarantie[[#This Row],[MO
Refusé]]+registreGarantie[[#This Row],[Pièces
Refusés]])</f>
        <v/>
      </c>
      <c r="U453" s="106"/>
      <c r="V453" s="71" t="str">
        <f>IF(registreGarantie[[#This Row],[Pièces 
Demandés]]="","",registreGarantie[[#This Row],[Date]])</f>
        <v/>
      </c>
      <c r="W453" s="103" t="str">
        <f>IF(registreGarantie[[#This Row],[Pièces 
Demandés]]="","",IF(registreGarantie[[#This Row],[date paiement]]="","",registreGarantie[[#This Row],[date paiement]]+91))</f>
        <v/>
      </c>
      <c r="X4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3" s="74" t="str">
        <f ca="1">IF(registreGarantie[[#This Row],[Colonne1]]=0,"",IF(TODAY()&gt;registreGarantie[[#This Row],[Date rebus]],0,1))</f>
        <v/>
      </c>
      <c r="Z453" s="66"/>
      <c r="AA453" s="73" t="str">
        <f>IF(AND(registreGarantie[[#This Row],[Montant non remboursé]]&gt;1,registreGarantie[[#This Row],[Montant non remboursé]]&lt;&gt;""),1,"")</f>
        <v/>
      </c>
      <c r="AB453" s="66"/>
      <c r="AC453" s="66"/>
      <c r="AD453" s="87">
        <f t="shared" si="7"/>
        <v>453</v>
      </c>
      <c r="AE453" s="109"/>
    </row>
    <row r="454" spans="1:31" ht="18" customHeight="1" thickBot="1" x14ac:dyDescent="0.4">
      <c r="A454" s="64">
        <v>45116</v>
      </c>
      <c r="B454" s="64">
        <v>42313</v>
      </c>
      <c r="C454" s="106">
        <v>45743</v>
      </c>
      <c r="D454" s="66" t="s">
        <v>1081</v>
      </c>
      <c r="E454" s="66" t="s">
        <v>254</v>
      </c>
      <c r="F454" s="68" t="s">
        <v>2310</v>
      </c>
      <c r="G454" s="66" t="s">
        <v>1012</v>
      </c>
      <c r="H454" s="64" t="s">
        <v>2055</v>
      </c>
      <c r="I454" s="67" t="s">
        <v>19</v>
      </c>
      <c r="J454" s="97">
        <v>404609876</v>
      </c>
      <c r="K454" s="66"/>
      <c r="L454" s="68"/>
      <c r="M454" s="69"/>
      <c r="N454" s="69"/>
      <c r="O454" s="70" t="str">
        <f>IF(registreGarantie[[#This Row],[date paiement]]="","",registreGarantie[[#This Row],[Pièces 
Demandés]]-registreGarantie[[#This Row],[Pièces 
Remboursés]])</f>
        <v/>
      </c>
      <c r="P454" s="69"/>
      <c r="Q454" s="69"/>
      <c r="R454" s="70" t="str">
        <f>IF(registreGarantie[[#This Row],[date paiement]]="","",registreGarantie[[#This Row],[MO
Demandé]]-registreGarantie[[#This Row],[MO
Remboursé]])</f>
        <v/>
      </c>
      <c r="S454" s="69"/>
      <c r="T454" s="70" t="str">
        <f>IF(registreGarantie[[#This Row],[date paiement]]="","",registreGarantie[[#This Row],[MO
Refusé]]+registreGarantie[[#This Row],[Pièces
Refusés]])</f>
        <v/>
      </c>
      <c r="U454" s="106"/>
      <c r="V454" s="71" t="str">
        <f>IF(registreGarantie[[#This Row],[Pièces 
Demandés]]="","",registreGarantie[[#This Row],[Date]])</f>
        <v/>
      </c>
      <c r="W454" s="103" t="str">
        <f>IF(registreGarantie[[#This Row],[Pièces 
Demandés]]="","",IF(registreGarantie[[#This Row],[date paiement]]="","",registreGarantie[[#This Row],[date paiement]]+91))</f>
        <v/>
      </c>
      <c r="X4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4" s="74" t="str">
        <f ca="1">IF(registreGarantie[[#This Row],[Colonne1]]=0,"",IF(TODAY()&gt;registreGarantie[[#This Row],[Date rebus]],0,1))</f>
        <v/>
      </c>
      <c r="Z454" s="66"/>
      <c r="AA454" s="73" t="str">
        <f>IF(AND(registreGarantie[[#This Row],[Montant non remboursé]]&gt;1,registreGarantie[[#This Row],[Montant non remboursé]]&lt;&gt;""),1,"")</f>
        <v/>
      </c>
      <c r="AB454" s="66"/>
      <c r="AC454" s="66"/>
      <c r="AD454" s="87">
        <f t="shared" si="7"/>
        <v>454</v>
      </c>
      <c r="AE454" s="109"/>
    </row>
    <row r="455" spans="1:31" s="55" customFormat="1" ht="18" customHeight="1" thickBot="1" x14ac:dyDescent="0.4">
      <c r="A455" s="64">
        <v>45117</v>
      </c>
      <c r="B455" s="64">
        <v>44037</v>
      </c>
      <c r="C455" s="106">
        <v>45743</v>
      </c>
      <c r="D455" s="66" t="s">
        <v>325</v>
      </c>
      <c r="E455" s="66" t="s">
        <v>367</v>
      </c>
      <c r="F455" s="68" t="s">
        <v>2311</v>
      </c>
      <c r="G455" s="66" t="s">
        <v>218</v>
      </c>
      <c r="H455" s="64">
        <v>985</v>
      </c>
      <c r="I455" s="67" t="s">
        <v>3</v>
      </c>
      <c r="J455" s="97">
        <v>404610404</v>
      </c>
      <c r="K455" s="66"/>
      <c r="L455" s="68" t="s">
        <v>2649</v>
      </c>
      <c r="M455" s="69">
        <v>149.91</v>
      </c>
      <c r="N455" s="69">
        <v>149.91</v>
      </c>
      <c r="O455" s="70"/>
      <c r="P455" s="69">
        <v>19.649999999999999</v>
      </c>
      <c r="Q455" s="69">
        <v>19.649999999999999</v>
      </c>
      <c r="R455" s="70"/>
      <c r="S455" s="69"/>
      <c r="T455" s="70"/>
      <c r="U455" s="106">
        <v>45783</v>
      </c>
      <c r="V455" s="71">
        <f>IF(registreGarantie[[#This Row],[Pièces 
Demandés]]="","",registreGarantie[[#This Row],[Date]])</f>
        <v>45743</v>
      </c>
      <c r="W455" s="103">
        <f>IF(registreGarantie[[#This Row],[Pièces 
Demandés]]="","",IF(registreGarantie[[#This Row],[date paiement]]="","",registreGarantie[[#This Row],[date paiement]]+91))</f>
        <v>45874</v>
      </c>
      <c r="X455" s="73"/>
      <c r="Y455" s="74"/>
      <c r="Z455" s="66"/>
      <c r="AA455" s="73"/>
      <c r="AB455" s="66"/>
      <c r="AC455" s="66"/>
      <c r="AD455" s="87">
        <f t="shared" si="7"/>
        <v>455</v>
      </c>
      <c r="AE455" s="109"/>
    </row>
    <row r="456" spans="1:31" ht="18" customHeight="1" thickBot="1" x14ac:dyDescent="0.4">
      <c r="A456" s="64">
        <v>45118</v>
      </c>
      <c r="B456" s="64">
        <v>44035</v>
      </c>
      <c r="C456" s="106">
        <v>45744</v>
      </c>
      <c r="D456" s="66" t="s">
        <v>325</v>
      </c>
      <c r="E456" s="66" t="s">
        <v>367</v>
      </c>
      <c r="F456" s="68" t="s">
        <v>2311</v>
      </c>
      <c r="G456" s="66" t="s">
        <v>163</v>
      </c>
      <c r="H456" s="64">
        <v>985</v>
      </c>
      <c r="I456" s="67" t="s">
        <v>3</v>
      </c>
      <c r="J456" s="97">
        <v>404610495</v>
      </c>
      <c r="K456" s="66"/>
      <c r="L456" s="68"/>
      <c r="M456" s="69">
        <v>219.28</v>
      </c>
      <c r="N456" s="69">
        <v>219.28</v>
      </c>
      <c r="O456" s="70">
        <f>IF(registreGarantie[[#This Row],[date paiement]]="","",registreGarantie[[#This Row],[Pièces 
Demandés]]-registreGarantie[[#This Row],[Pièces 
Remboursés]])</f>
        <v>0</v>
      </c>
      <c r="P456" s="69">
        <v>98.25</v>
      </c>
      <c r="Q456" s="69">
        <v>98.25</v>
      </c>
      <c r="R456" s="70">
        <f>IF(registreGarantie[[#This Row],[date paiement]]="","",registreGarantie[[#This Row],[MO
Demandé]]-registreGarantie[[#This Row],[MO
Remboursé]])</f>
        <v>0</v>
      </c>
      <c r="S456" s="69"/>
      <c r="T456" s="70">
        <f>IF(registreGarantie[[#This Row],[date paiement]]="","",registreGarantie[[#This Row],[MO
Refusé]]+registreGarantie[[#This Row],[Pièces
Refusés]])</f>
        <v>0</v>
      </c>
      <c r="U456" s="106">
        <v>45750</v>
      </c>
      <c r="V456" s="71">
        <f>IF(registreGarantie[[#This Row],[Pièces 
Demandés]]="","",registreGarantie[[#This Row],[Date]])</f>
        <v>45744</v>
      </c>
      <c r="W456" s="103">
        <f>IF(registreGarantie[[#This Row],[Pièces 
Demandés]]="","",IF(registreGarantie[[#This Row],[date paiement]]="","",registreGarantie[[#This Row],[date paiement]]+91))</f>
        <v>45841</v>
      </c>
      <c r="X4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56" s="74">
        <f ca="1">IF(registreGarantie[[#This Row],[Colonne1]]=0,"",IF(TODAY()&gt;registreGarantie[[#This Row],[Date rebus]],0,1))</f>
        <v>0</v>
      </c>
      <c r="Z456" s="66"/>
      <c r="AA456" s="73" t="str">
        <f>IF(AND(registreGarantie[[#This Row],[Montant non remboursé]]&gt;1,registreGarantie[[#This Row],[Montant non remboursé]]&lt;&gt;""),1,"")</f>
        <v/>
      </c>
      <c r="AB456" s="66"/>
      <c r="AC456" s="66"/>
      <c r="AD456" s="87">
        <f t="shared" si="7"/>
        <v>456</v>
      </c>
      <c r="AE456" s="109"/>
    </row>
    <row r="457" spans="1:31" ht="18" customHeight="1" thickBot="1" x14ac:dyDescent="0.4">
      <c r="A457" s="64">
        <v>45119</v>
      </c>
      <c r="B457" s="64">
        <v>44063</v>
      </c>
      <c r="C457" s="106">
        <v>45744</v>
      </c>
      <c r="D457" s="66" t="s">
        <v>325</v>
      </c>
      <c r="E457" s="66" t="s">
        <v>367</v>
      </c>
      <c r="F457" s="68" t="s">
        <v>2311</v>
      </c>
      <c r="G457" s="66" t="s">
        <v>172</v>
      </c>
      <c r="H457" s="64">
        <v>985</v>
      </c>
      <c r="I457" s="67" t="s">
        <v>3</v>
      </c>
      <c r="J457" s="97">
        <v>404610577</v>
      </c>
      <c r="K457" s="66"/>
      <c r="L457" s="68"/>
      <c r="M457" s="69">
        <v>202.55</v>
      </c>
      <c r="N457" s="69">
        <v>202.55</v>
      </c>
      <c r="O457" s="70">
        <f>IF(registreGarantie[[#This Row],[date paiement]]="","",registreGarantie[[#This Row],[Pièces 
Demandés]]-registreGarantie[[#This Row],[Pièces 
Remboursés]])</f>
        <v>0</v>
      </c>
      <c r="P457" s="69">
        <v>65.5</v>
      </c>
      <c r="Q457" s="69">
        <v>65.5</v>
      </c>
      <c r="R457" s="70">
        <f>IF(registreGarantie[[#This Row],[date paiement]]="","",registreGarantie[[#This Row],[MO
Demandé]]-registreGarantie[[#This Row],[MO
Remboursé]])</f>
        <v>0</v>
      </c>
      <c r="S457" s="69"/>
      <c r="T457" s="70">
        <f>IF(registreGarantie[[#This Row],[date paiement]]="","",registreGarantie[[#This Row],[MO
Refusé]]+registreGarantie[[#This Row],[Pièces
Refusés]])</f>
        <v>0</v>
      </c>
      <c r="U457" s="106">
        <v>45750</v>
      </c>
      <c r="V457" s="71">
        <f>IF(registreGarantie[[#This Row],[Pièces 
Demandés]]="","",registreGarantie[[#This Row],[Date]])</f>
        <v>45744</v>
      </c>
      <c r="W457" s="103">
        <f>IF(registreGarantie[[#This Row],[Pièces 
Demandés]]="","",IF(registreGarantie[[#This Row],[date paiement]]="","",registreGarantie[[#This Row],[date paiement]]+91))</f>
        <v>45841</v>
      </c>
      <c r="X4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57" s="74">
        <f ca="1">IF(registreGarantie[[#This Row],[Colonne1]]=0,"",IF(TODAY()&gt;registreGarantie[[#This Row],[Date rebus]],0,1))</f>
        <v>0</v>
      </c>
      <c r="Z457" s="66"/>
      <c r="AA457" s="73" t="str">
        <f>IF(AND(registreGarantie[[#This Row],[Montant non remboursé]]&gt;1,registreGarantie[[#This Row],[Montant non remboursé]]&lt;&gt;""),1,"")</f>
        <v/>
      </c>
      <c r="AB457" s="66"/>
      <c r="AC457" s="66"/>
      <c r="AD457" s="87">
        <f t="shared" si="7"/>
        <v>457</v>
      </c>
      <c r="AE457" s="109"/>
    </row>
    <row r="458" spans="1:31" ht="18" customHeight="1" thickBot="1" x14ac:dyDescent="0.4">
      <c r="A458" s="64">
        <v>45120</v>
      </c>
      <c r="B458" s="64">
        <v>44078</v>
      </c>
      <c r="C458" s="106">
        <v>45744</v>
      </c>
      <c r="D458" s="66" t="s">
        <v>325</v>
      </c>
      <c r="E458" s="66" t="s">
        <v>367</v>
      </c>
      <c r="F458" s="68" t="s">
        <v>2311</v>
      </c>
      <c r="G458" s="66" t="s">
        <v>186</v>
      </c>
      <c r="H458" s="64">
        <v>985</v>
      </c>
      <c r="I458" s="67" t="s">
        <v>3</v>
      </c>
      <c r="J458" s="97">
        <v>404610662</v>
      </c>
      <c r="K458" s="66"/>
      <c r="L458" s="68"/>
      <c r="M458" s="69">
        <v>87.09</v>
      </c>
      <c r="N458" s="69">
        <v>87.09</v>
      </c>
      <c r="O458" s="70">
        <f>IF(registreGarantie[[#This Row],[date paiement]]="","",registreGarantie[[#This Row],[Pièces 
Demandés]]-registreGarantie[[#This Row],[Pièces 
Remboursés]])</f>
        <v>0</v>
      </c>
      <c r="P458" s="69">
        <v>65.5</v>
      </c>
      <c r="Q458" s="69">
        <v>65.5</v>
      </c>
      <c r="R458" s="70">
        <f>IF(registreGarantie[[#This Row],[date paiement]]="","",registreGarantie[[#This Row],[MO
Demandé]]-registreGarantie[[#This Row],[MO
Remboursé]])</f>
        <v>0</v>
      </c>
      <c r="S458" s="69"/>
      <c r="T458" s="70">
        <f>IF(registreGarantie[[#This Row],[date paiement]]="","",registreGarantie[[#This Row],[MO
Refusé]]+registreGarantie[[#This Row],[Pièces
Refusés]])</f>
        <v>0</v>
      </c>
      <c r="U458" s="106">
        <v>45750</v>
      </c>
      <c r="V458" s="71">
        <f>IF(registreGarantie[[#This Row],[Pièces 
Demandés]]="","",registreGarantie[[#This Row],[Date]])</f>
        <v>45744</v>
      </c>
      <c r="W458" s="103">
        <f>IF(registreGarantie[[#This Row],[Pièces 
Demandés]]="","",IF(registreGarantie[[#This Row],[date paiement]]="","",registreGarantie[[#This Row],[date paiement]]+91))</f>
        <v>45841</v>
      </c>
      <c r="X4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58" s="74">
        <f ca="1">IF(registreGarantie[[#This Row],[Colonne1]]=0,"",IF(TODAY()&gt;registreGarantie[[#This Row],[Date rebus]],0,1))</f>
        <v>0</v>
      </c>
      <c r="Z458" s="66"/>
      <c r="AA458" s="73" t="str">
        <f>IF(AND(registreGarantie[[#This Row],[Montant non remboursé]]&gt;1,registreGarantie[[#This Row],[Montant non remboursé]]&lt;&gt;""),1,"")</f>
        <v/>
      </c>
      <c r="AB458" s="66"/>
      <c r="AC458" s="66"/>
      <c r="AD458" s="87">
        <f t="shared" si="7"/>
        <v>458</v>
      </c>
      <c r="AE458" s="109"/>
    </row>
    <row r="459" spans="1:31" ht="18" customHeight="1" thickBot="1" x14ac:dyDescent="0.4">
      <c r="A459" s="64">
        <v>45121</v>
      </c>
      <c r="B459" s="64">
        <v>6046</v>
      </c>
      <c r="C459" s="106">
        <v>45744</v>
      </c>
      <c r="D459" s="66" t="s">
        <v>333</v>
      </c>
      <c r="E459" s="66" t="s">
        <v>334</v>
      </c>
      <c r="F459" s="68" t="s">
        <v>2282</v>
      </c>
      <c r="G459" s="66" t="s">
        <v>424</v>
      </c>
      <c r="H459" s="64">
        <v>624</v>
      </c>
      <c r="I459" s="67" t="s">
        <v>18</v>
      </c>
      <c r="J459" s="97">
        <v>404611043</v>
      </c>
      <c r="K459" s="66"/>
      <c r="L459" s="68"/>
      <c r="M459" s="69"/>
      <c r="N459" s="69"/>
      <c r="O459" s="70" t="str">
        <f>IF(registreGarantie[[#This Row],[date paiement]]="","",registreGarantie[[#This Row],[Pièces 
Demandés]]-registreGarantie[[#This Row],[Pièces 
Remboursés]])</f>
        <v/>
      </c>
      <c r="P459" s="69"/>
      <c r="Q459" s="69"/>
      <c r="R459" s="70" t="str">
        <f>IF(registreGarantie[[#This Row],[date paiement]]="","",registreGarantie[[#This Row],[MO
Demandé]]-registreGarantie[[#This Row],[MO
Remboursé]])</f>
        <v/>
      </c>
      <c r="S459" s="69"/>
      <c r="T459" s="70" t="str">
        <f>IF(registreGarantie[[#This Row],[date paiement]]="","",registreGarantie[[#This Row],[MO
Refusé]]+registreGarantie[[#This Row],[Pièces
Refusés]])</f>
        <v/>
      </c>
      <c r="U459" s="106"/>
      <c r="V459" s="71" t="str">
        <f>IF(registreGarantie[[#This Row],[Pièces 
Demandés]]="","",registreGarantie[[#This Row],[Date]])</f>
        <v/>
      </c>
      <c r="W459" s="103" t="str">
        <f>IF(registreGarantie[[#This Row],[Pièces 
Demandés]]="","",IF(registreGarantie[[#This Row],[date paiement]]="","",registreGarantie[[#This Row],[date paiement]]+91))</f>
        <v/>
      </c>
      <c r="X4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59" s="74" t="str">
        <f ca="1">IF(registreGarantie[[#This Row],[Colonne1]]=0,"",IF(TODAY()&gt;registreGarantie[[#This Row],[Date rebus]],0,1))</f>
        <v/>
      </c>
      <c r="Z459" s="66"/>
      <c r="AA459" s="73" t="str">
        <f>IF(AND(registreGarantie[[#This Row],[Montant non remboursé]]&gt;1,registreGarantie[[#This Row],[Montant non remboursé]]&lt;&gt;""),1,"")</f>
        <v/>
      </c>
      <c r="AB459" s="66"/>
      <c r="AC459" s="66"/>
      <c r="AD459" s="87">
        <f t="shared" si="7"/>
        <v>459</v>
      </c>
      <c r="AE459" s="109"/>
    </row>
    <row r="460" spans="1:31" ht="18" customHeight="1" thickBot="1" x14ac:dyDescent="0.4">
      <c r="A460" s="64">
        <v>45121</v>
      </c>
      <c r="B460" s="64">
        <v>6046</v>
      </c>
      <c r="C460" s="106">
        <v>45744</v>
      </c>
      <c r="D460" s="66" t="s">
        <v>333</v>
      </c>
      <c r="E460" s="66" t="s">
        <v>334</v>
      </c>
      <c r="F460" s="68" t="s">
        <v>2282</v>
      </c>
      <c r="G460" s="66" t="s">
        <v>424</v>
      </c>
      <c r="H460" s="64">
        <v>624</v>
      </c>
      <c r="I460" s="67" t="s">
        <v>19</v>
      </c>
      <c r="J460" s="97">
        <v>404611044</v>
      </c>
      <c r="K460" s="66"/>
      <c r="L460" s="68"/>
      <c r="M460" s="69"/>
      <c r="N460" s="69"/>
      <c r="O460" s="70" t="str">
        <f>IF(registreGarantie[[#This Row],[date paiement]]="","",registreGarantie[[#This Row],[Pièces 
Demandés]]-registreGarantie[[#This Row],[Pièces 
Remboursés]])</f>
        <v/>
      </c>
      <c r="P460" s="69"/>
      <c r="Q460" s="69"/>
      <c r="R460" s="70" t="str">
        <f>IF(registreGarantie[[#This Row],[date paiement]]="","",registreGarantie[[#This Row],[MO
Demandé]]-registreGarantie[[#This Row],[MO
Remboursé]])</f>
        <v/>
      </c>
      <c r="S460" s="69"/>
      <c r="T460" s="70" t="str">
        <f>IF(registreGarantie[[#This Row],[date paiement]]="","",registreGarantie[[#This Row],[MO
Refusé]]+registreGarantie[[#This Row],[Pièces
Refusés]])</f>
        <v/>
      </c>
      <c r="U460" s="106"/>
      <c r="V460" s="71" t="str">
        <f>IF(registreGarantie[[#This Row],[Pièces 
Demandés]]="","",registreGarantie[[#This Row],[Date]])</f>
        <v/>
      </c>
      <c r="W460" s="103" t="str">
        <f>IF(registreGarantie[[#This Row],[Pièces 
Demandés]]="","",IF(registreGarantie[[#This Row],[date paiement]]="","",registreGarantie[[#This Row],[date paiement]]+91))</f>
        <v/>
      </c>
      <c r="X4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0" s="74" t="str">
        <f ca="1">IF(registreGarantie[[#This Row],[Colonne1]]=0,"",IF(TODAY()&gt;registreGarantie[[#This Row],[Date rebus]],0,1))</f>
        <v/>
      </c>
      <c r="Z460" s="66"/>
      <c r="AA460" s="73" t="str">
        <f>IF(AND(registreGarantie[[#This Row],[Montant non remboursé]]&gt;1,registreGarantie[[#This Row],[Montant non remboursé]]&lt;&gt;""),1,"")</f>
        <v/>
      </c>
      <c r="AB460" s="66"/>
      <c r="AC460" s="66"/>
      <c r="AD460" s="87">
        <f t="shared" si="7"/>
        <v>460</v>
      </c>
      <c r="AE460" s="109"/>
    </row>
    <row r="461" spans="1:31" ht="18" customHeight="1" thickBot="1" x14ac:dyDescent="0.4">
      <c r="A461" s="64">
        <v>45122</v>
      </c>
      <c r="B461" s="64">
        <v>42796</v>
      </c>
      <c r="C461" s="106">
        <v>45750</v>
      </c>
      <c r="D461" s="66" t="s">
        <v>1696</v>
      </c>
      <c r="E461" s="66" t="s">
        <v>2064</v>
      </c>
      <c r="F461" s="68"/>
      <c r="G461" s="66" t="s">
        <v>2065</v>
      </c>
      <c r="H461" s="64">
        <v>270</v>
      </c>
      <c r="I461" s="67" t="s">
        <v>21</v>
      </c>
      <c r="J461" s="97" t="s">
        <v>2180</v>
      </c>
      <c r="K461" s="66"/>
      <c r="L461" s="68"/>
      <c r="M461" s="69">
        <v>2566.6</v>
      </c>
      <c r="N461" s="69">
        <v>1283.26</v>
      </c>
      <c r="O461" s="70">
        <f>IF(registreGarantie[[#This Row],[date paiement]]="","",registreGarantie[[#This Row],[Pièces 
Demandés]]-registreGarantie[[#This Row],[Pièces 
Remboursés]])</f>
        <v>1283.3399999999999</v>
      </c>
      <c r="P461" s="69"/>
      <c r="Q461" s="69"/>
      <c r="R461" s="70">
        <f>IF(registreGarantie[[#This Row],[date paiement]]="","",registreGarantie[[#This Row],[MO
Demandé]]-registreGarantie[[#This Row],[MO
Remboursé]])</f>
        <v>0</v>
      </c>
      <c r="S461" s="69"/>
      <c r="T461" s="70">
        <f>IF(registreGarantie[[#This Row],[date paiement]]="","",registreGarantie[[#This Row],[MO
Refusé]]+registreGarantie[[#This Row],[Pièces
Refusés]])</f>
        <v>1283.3399999999999</v>
      </c>
      <c r="U461" s="106">
        <v>45847</v>
      </c>
      <c r="V461" s="71">
        <f>IF(registreGarantie[[#This Row],[Pièces 
Demandés]]="","",registreGarantie[[#This Row],[Date]])</f>
        <v>45750</v>
      </c>
      <c r="W461" s="103">
        <f>IF(registreGarantie[[#This Row],[Pièces 
Demandés]]="","",IF(registreGarantie[[#This Row],[date paiement]]="","",registreGarantie[[#This Row],[date paiement]]+91))</f>
        <v>45938</v>
      </c>
      <c r="X4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1" s="74" t="str">
        <f ca="1">IF(registreGarantie[[#This Row],[Colonne1]]=0,"",IF(TODAY()&gt;registreGarantie[[#This Row],[Date rebus]],0,1))</f>
        <v/>
      </c>
      <c r="Z461" s="66" t="s">
        <v>2379</v>
      </c>
      <c r="AA461" s="73">
        <f>IF(AND(registreGarantie[[#This Row],[Montant non remboursé]]&gt;1,registreGarantie[[#This Row],[Montant non remboursé]]&lt;&gt;""),1,"")</f>
        <v>1</v>
      </c>
      <c r="AB461" s="66"/>
      <c r="AC461" s="66"/>
      <c r="AD461" s="87">
        <f t="shared" si="7"/>
        <v>461</v>
      </c>
      <c r="AE461" s="109"/>
    </row>
    <row r="462" spans="1:31" ht="18" customHeight="1" thickBot="1" x14ac:dyDescent="0.4">
      <c r="A462" s="64">
        <v>45123</v>
      </c>
      <c r="B462" s="64">
        <v>44125</v>
      </c>
      <c r="C462" s="106">
        <v>45755</v>
      </c>
      <c r="D462" s="66" t="s">
        <v>1097</v>
      </c>
      <c r="E462" s="66" t="s">
        <v>106</v>
      </c>
      <c r="F462" s="68" t="s">
        <v>2313</v>
      </c>
      <c r="G462" s="66" t="s">
        <v>1074</v>
      </c>
      <c r="H462" s="64">
        <v>1169</v>
      </c>
      <c r="I462" s="67" t="s">
        <v>3</v>
      </c>
      <c r="J462" s="97">
        <v>404622675</v>
      </c>
      <c r="K462" s="66"/>
      <c r="L462" s="68"/>
      <c r="M462" s="69">
        <v>153.35</v>
      </c>
      <c r="N462" s="69">
        <v>153.35</v>
      </c>
      <c r="O462" s="70">
        <f>IF(registreGarantie[[#This Row],[date paiement]]="","",registreGarantie[[#This Row],[Pièces 
Demandés]]-registreGarantie[[#This Row],[Pièces 
Remboursés]])</f>
        <v>0</v>
      </c>
      <c r="P462" s="69">
        <v>163.75</v>
      </c>
      <c r="Q462" s="69">
        <v>163.75</v>
      </c>
      <c r="R462" s="70">
        <f>IF(registreGarantie[[#This Row],[date paiement]]="","",registreGarantie[[#This Row],[MO
Demandé]]-registreGarantie[[#This Row],[MO
Remboursé]])</f>
        <v>0</v>
      </c>
      <c r="S462" s="69"/>
      <c r="T462" s="70">
        <f>IF(registreGarantie[[#This Row],[date paiement]]="","",registreGarantie[[#This Row],[MO
Refusé]]+registreGarantie[[#This Row],[Pièces
Refusés]])</f>
        <v>0</v>
      </c>
      <c r="U462" s="106">
        <v>45792</v>
      </c>
      <c r="V462" s="71">
        <f>IF(registreGarantie[[#This Row],[Pièces 
Demandés]]="","",registreGarantie[[#This Row],[Date]])</f>
        <v>45755</v>
      </c>
      <c r="W462" s="103">
        <f>IF(registreGarantie[[#This Row],[Pièces 
Demandés]]="","",IF(registreGarantie[[#This Row],[date paiement]]="","",registreGarantie[[#This Row],[date paiement]]+91))</f>
        <v>45883</v>
      </c>
      <c r="X4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62" s="74">
        <f ca="1">IF(registreGarantie[[#This Row],[Colonne1]]=0,"",IF(TODAY()&gt;registreGarantie[[#This Row],[Date rebus]],0,1))</f>
        <v>0</v>
      </c>
      <c r="Z462" s="66"/>
      <c r="AA462" s="73" t="str">
        <f>IF(AND(registreGarantie[[#This Row],[Montant non remboursé]]&gt;1,registreGarantie[[#This Row],[Montant non remboursé]]&lt;&gt;""),1,"")</f>
        <v/>
      </c>
      <c r="AB462" s="66"/>
      <c r="AC462" s="66"/>
      <c r="AD462" s="87">
        <f t="shared" si="7"/>
        <v>462</v>
      </c>
      <c r="AE462" s="109"/>
    </row>
    <row r="463" spans="1:31" ht="18" customHeight="1" thickBot="1" x14ac:dyDescent="0.4">
      <c r="A463" s="64">
        <v>45124</v>
      </c>
      <c r="B463" s="64">
        <v>43948</v>
      </c>
      <c r="C463" s="106">
        <v>45756</v>
      </c>
      <c r="D463" s="66" t="s">
        <v>187</v>
      </c>
      <c r="E463" s="66" t="s">
        <v>106</v>
      </c>
      <c r="F463" s="68" t="s">
        <v>2343</v>
      </c>
      <c r="G463" s="66" t="s">
        <v>2067</v>
      </c>
      <c r="H463" s="64">
        <v>7509</v>
      </c>
      <c r="I463" s="67" t="s">
        <v>18</v>
      </c>
      <c r="J463" s="97">
        <v>404625273</v>
      </c>
      <c r="K463" s="66"/>
      <c r="L463" s="68"/>
      <c r="M463" s="69"/>
      <c r="N463" s="69"/>
      <c r="O463" s="70" t="str">
        <f>IF(registreGarantie[[#This Row],[date paiement]]="","",registreGarantie[[#This Row],[Pièces 
Demandés]]-registreGarantie[[#This Row],[Pièces 
Remboursés]])</f>
        <v/>
      </c>
      <c r="P463" s="69"/>
      <c r="Q463" s="69"/>
      <c r="R463" s="70" t="str">
        <f>IF(registreGarantie[[#This Row],[date paiement]]="","",registreGarantie[[#This Row],[MO
Demandé]]-registreGarantie[[#This Row],[MO
Remboursé]])</f>
        <v/>
      </c>
      <c r="S463" s="69"/>
      <c r="T463" s="70" t="str">
        <f>IF(registreGarantie[[#This Row],[date paiement]]="","",registreGarantie[[#This Row],[MO
Refusé]]+registreGarantie[[#This Row],[Pièces
Refusés]])</f>
        <v/>
      </c>
      <c r="U463" s="106"/>
      <c r="V463" s="71" t="str">
        <f>IF(registreGarantie[[#This Row],[Pièces 
Demandés]]="","",registreGarantie[[#This Row],[Date]])</f>
        <v/>
      </c>
      <c r="W463" s="103" t="str">
        <f>IF(registreGarantie[[#This Row],[Pièces 
Demandés]]="","",IF(registreGarantie[[#This Row],[date paiement]]="","",registreGarantie[[#This Row],[date paiement]]+91))</f>
        <v/>
      </c>
      <c r="X4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3" s="74" t="str">
        <f ca="1">IF(registreGarantie[[#This Row],[Colonne1]]=0,"",IF(TODAY()&gt;registreGarantie[[#This Row],[Date rebus]],0,1))</f>
        <v/>
      </c>
      <c r="Z463" s="66"/>
      <c r="AA463" s="73" t="str">
        <f>IF(AND(registreGarantie[[#This Row],[Montant non remboursé]]&gt;1,registreGarantie[[#This Row],[Montant non remboursé]]&lt;&gt;""),1,"")</f>
        <v/>
      </c>
      <c r="AB463" s="66"/>
      <c r="AC463" s="66"/>
      <c r="AD463" s="87">
        <f t="shared" si="7"/>
        <v>463</v>
      </c>
      <c r="AE463" s="109"/>
    </row>
    <row r="464" spans="1:31" ht="18" customHeight="1" thickBot="1" x14ac:dyDescent="0.4">
      <c r="A464" s="64">
        <v>45125</v>
      </c>
      <c r="B464" s="64">
        <v>6138</v>
      </c>
      <c r="C464" s="106">
        <v>45765</v>
      </c>
      <c r="D464" s="66" t="s">
        <v>36</v>
      </c>
      <c r="E464" s="66" t="s">
        <v>930</v>
      </c>
      <c r="F464" s="68" t="s">
        <v>2252</v>
      </c>
      <c r="G464" s="66" t="s">
        <v>186</v>
      </c>
      <c r="H464" s="64">
        <v>1163</v>
      </c>
      <c r="I464" s="67" t="s">
        <v>3</v>
      </c>
      <c r="J464" s="97">
        <v>404636279</v>
      </c>
      <c r="K464" s="66"/>
      <c r="L464" s="68"/>
      <c r="M464" s="69">
        <v>81.38</v>
      </c>
      <c r="N464" s="69">
        <v>81.38</v>
      </c>
      <c r="O464" s="70">
        <f>IF(registreGarantie[[#This Row],[date paiement]]="","",registreGarantie[[#This Row],[Pièces 
Demandés]]-registreGarantie[[#This Row],[Pièces 
Remboursés]])</f>
        <v>0</v>
      </c>
      <c r="P464" s="69">
        <v>229.25</v>
      </c>
      <c r="Q464" s="69">
        <v>229.25</v>
      </c>
      <c r="R464" s="70">
        <f>IF(registreGarantie[[#This Row],[date paiement]]="","",registreGarantie[[#This Row],[MO
Demandé]]-registreGarantie[[#This Row],[MO
Remboursé]])</f>
        <v>0</v>
      </c>
      <c r="S464" s="69"/>
      <c r="T464" s="70">
        <f>IF(registreGarantie[[#This Row],[date paiement]]="","",registreGarantie[[#This Row],[MO
Refusé]]+registreGarantie[[#This Row],[Pièces
Refusés]])</f>
        <v>0</v>
      </c>
      <c r="U464" s="106">
        <v>45792</v>
      </c>
      <c r="V464" s="71">
        <f>IF(registreGarantie[[#This Row],[Pièces 
Demandés]]="","",registreGarantie[[#This Row],[Date]])</f>
        <v>45765</v>
      </c>
      <c r="W464" s="103">
        <f>IF(registreGarantie[[#This Row],[Pièces 
Demandés]]="","",IF(registreGarantie[[#This Row],[date paiement]]="","",registreGarantie[[#This Row],[date paiement]]+91))</f>
        <v>45883</v>
      </c>
      <c r="X4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64" s="74">
        <f ca="1">IF(registreGarantie[[#This Row],[Colonne1]]=0,"",IF(TODAY()&gt;registreGarantie[[#This Row],[Date rebus]],0,1))</f>
        <v>0</v>
      </c>
      <c r="Z464" s="66"/>
      <c r="AA464" s="73" t="str">
        <f>IF(AND(registreGarantie[[#This Row],[Montant non remboursé]]&gt;1,registreGarantie[[#This Row],[Montant non remboursé]]&lt;&gt;""),1,"")</f>
        <v/>
      </c>
      <c r="AB464" s="66"/>
      <c r="AC464" s="66"/>
      <c r="AD464" s="87">
        <f t="shared" si="7"/>
        <v>464</v>
      </c>
      <c r="AE464" s="109"/>
    </row>
    <row r="465" spans="1:31" ht="18" customHeight="1" thickBot="1" x14ac:dyDescent="0.4">
      <c r="A465" s="64">
        <v>45126</v>
      </c>
      <c r="B465" s="64">
        <v>44097</v>
      </c>
      <c r="C465" s="106">
        <v>45769</v>
      </c>
      <c r="D465" s="66" t="s">
        <v>1247</v>
      </c>
      <c r="E465" s="66" t="s">
        <v>227</v>
      </c>
      <c r="F465" s="68"/>
      <c r="G465" s="66" t="s">
        <v>2092</v>
      </c>
      <c r="H465" s="64">
        <v>3842</v>
      </c>
      <c r="I465" s="67" t="s">
        <v>18</v>
      </c>
      <c r="J465" s="97">
        <v>404637513</v>
      </c>
      <c r="K465" s="66"/>
      <c r="L465" s="68"/>
      <c r="M465" s="69"/>
      <c r="N465" s="69"/>
      <c r="O465" s="70" t="str">
        <f>IF(registreGarantie[[#This Row],[date paiement]]="","",registreGarantie[[#This Row],[Pièces 
Demandés]]-registreGarantie[[#This Row],[Pièces 
Remboursés]])</f>
        <v/>
      </c>
      <c r="P465" s="69"/>
      <c r="Q465" s="69"/>
      <c r="R465" s="70" t="str">
        <f>IF(registreGarantie[[#This Row],[date paiement]]="","",registreGarantie[[#This Row],[MO
Demandé]]-registreGarantie[[#This Row],[MO
Remboursé]])</f>
        <v/>
      </c>
      <c r="S465" s="69"/>
      <c r="T465" s="70" t="str">
        <f>IF(registreGarantie[[#This Row],[date paiement]]="","",registreGarantie[[#This Row],[MO
Refusé]]+registreGarantie[[#This Row],[Pièces
Refusés]])</f>
        <v/>
      </c>
      <c r="U465" s="106"/>
      <c r="V465" s="71" t="str">
        <f>IF(registreGarantie[[#This Row],[Pièces 
Demandés]]="","",registreGarantie[[#This Row],[Date]])</f>
        <v/>
      </c>
      <c r="W465" s="103" t="str">
        <f>IF(registreGarantie[[#This Row],[Pièces 
Demandés]]="","",IF(registreGarantie[[#This Row],[date paiement]]="","",registreGarantie[[#This Row],[date paiement]]+91))</f>
        <v/>
      </c>
      <c r="X4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5" s="74" t="str">
        <f ca="1">IF(registreGarantie[[#This Row],[Colonne1]]=0,"",IF(TODAY()&gt;registreGarantie[[#This Row],[Date rebus]],0,1))</f>
        <v/>
      </c>
      <c r="Z465" s="66"/>
      <c r="AA465" s="73" t="str">
        <f>IF(AND(registreGarantie[[#This Row],[Montant non remboursé]]&gt;1,registreGarantie[[#This Row],[Montant non remboursé]]&lt;&gt;""),1,"")</f>
        <v/>
      </c>
      <c r="AB465" s="66"/>
      <c r="AC465" s="66"/>
      <c r="AD465" s="87">
        <f t="shared" si="7"/>
        <v>465</v>
      </c>
      <c r="AE465" s="109"/>
    </row>
    <row r="466" spans="1:31" ht="18" customHeight="1" thickBot="1" x14ac:dyDescent="0.4">
      <c r="A466" s="64">
        <v>45127</v>
      </c>
      <c r="B466" s="64">
        <v>44124</v>
      </c>
      <c r="C466" s="106">
        <v>45769</v>
      </c>
      <c r="D466" s="66" t="s">
        <v>325</v>
      </c>
      <c r="E466" s="66" t="s">
        <v>367</v>
      </c>
      <c r="F466" s="68" t="s">
        <v>2312</v>
      </c>
      <c r="G466" s="66" t="s">
        <v>2094</v>
      </c>
      <c r="H466" s="64" t="s">
        <v>2095</v>
      </c>
      <c r="I466" s="67" t="s">
        <v>3</v>
      </c>
      <c r="J466" s="97">
        <v>404631026</v>
      </c>
      <c r="K466" s="66"/>
      <c r="L466" s="68" t="s">
        <v>2096</v>
      </c>
      <c r="M466" s="69">
        <v>8625.35</v>
      </c>
      <c r="N466" s="69">
        <v>8625.35</v>
      </c>
      <c r="O466" s="70" t="str">
        <f>IF(registreGarantie[[#This Row],[date paiement]]="","",registreGarantie[[#This Row],[Pièces 
Demandés]]-registreGarantie[[#This Row],[Pièces 
Remboursés]])</f>
        <v/>
      </c>
      <c r="P466" s="69">
        <v>393</v>
      </c>
      <c r="Q466" s="69">
        <v>393</v>
      </c>
      <c r="R466" s="70" t="str">
        <f>IF(registreGarantie[[#This Row],[date paiement]]="","",registreGarantie[[#This Row],[MO
Demandé]]-registreGarantie[[#This Row],[MO
Remboursé]])</f>
        <v/>
      </c>
      <c r="S466" s="69"/>
      <c r="T466" s="70" t="str">
        <f>IF(registreGarantie[[#This Row],[date paiement]]="","",registreGarantie[[#This Row],[MO
Refusé]]+registreGarantie[[#This Row],[Pièces
Refusés]])</f>
        <v/>
      </c>
      <c r="U466" s="106"/>
      <c r="V466" s="71">
        <f>IF(registreGarantie[[#This Row],[Pièces 
Demandés]]="","",registreGarantie[[#This Row],[Date]])</f>
        <v>45769</v>
      </c>
      <c r="W466" s="103" t="str">
        <f>IF(registreGarantie[[#This Row],[Pièces 
Demandés]]="","",IF(registreGarantie[[#This Row],[date paiement]]="","",registreGarantie[[#This Row],[date paiement]]+91))</f>
        <v/>
      </c>
      <c r="X4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6" s="74" t="str">
        <f ca="1">IF(registreGarantie[[#This Row],[Colonne1]]=0,"",IF(TODAY()&gt;registreGarantie[[#This Row],[Date rebus]],0,1))</f>
        <v/>
      </c>
      <c r="Z466" s="66"/>
      <c r="AA466" s="73" t="str">
        <f>IF(AND(registreGarantie[[#This Row],[Montant non remboursé]]&gt;1,registreGarantie[[#This Row],[Montant non remboursé]]&lt;&gt;""),1,"")</f>
        <v/>
      </c>
      <c r="AB466" s="66"/>
      <c r="AC466" s="66"/>
      <c r="AD466" s="87">
        <f t="shared" si="7"/>
        <v>466</v>
      </c>
      <c r="AE466" s="109"/>
    </row>
    <row r="467" spans="1:31" ht="18" customHeight="1" thickBot="1" x14ac:dyDescent="0.4">
      <c r="A467" s="64">
        <v>45128</v>
      </c>
      <c r="B467" s="64">
        <v>6143</v>
      </c>
      <c r="C467" s="106">
        <v>45770</v>
      </c>
      <c r="D467" s="66" t="s">
        <v>2097</v>
      </c>
      <c r="E467" s="66" t="s">
        <v>912</v>
      </c>
      <c r="F467" s="68" t="s">
        <v>2350</v>
      </c>
      <c r="G467" s="66" t="s">
        <v>1144</v>
      </c>
      <c r="H467" s="64">
        <v>1395</v>
      </c>
      <c r="I467" s="67" t="s">
        <v>18</v>
      </c>
      <c r="J467" s="97">
        <v>404638366</v>
      </c>
      <c r="K467" s="66"/>
      <c r="L467" s="68"/>
      <c r="M467" s="69"/>
      <c r="N467" s="69"/>
      <c r="O467" s="70" t="str">
        <f>IF(registreGarantie[[#This Row],[date paiement]]="","",registreGarantie[[#This Row],[Pièces 
Demandés]]-registreGarantie[[#This Row],[Pièces 
Remboursés]])</f>
        <v/>
      </c>
      <c r="P467" s="69"/>
      <c r="Q467" s="69"/>
      <c r="R467" s="70" t="str">
        <f>IF(registreGarantie[[#This Row],[date paiement]]="","",registreGarantie[[#This Row],[MO
Demandé]]-registreGarantie[[#This Row],[MO
Remboursé]])</f>
        <v/>
      </c>
      <c r="S467" s="69"/>
      <c r="T467" s="70" t="str">
        <f>IF(registreGarantie[[#This Row],[date paiement]]="","",registreGarantie[[#This Row],[MO
Refusé]]+registreGarantie[[#This Row],[Pièces
Refusés]])</f>
        <v/>
      </c>
      <c r="U467" s="106"/>
      <c r="V467" s="71" t="str">
        <f>IF(registreGarantie[[#This Row],[Pièces 
Demandés]]="","",registreGarantie[[#This Row],[Date]])</f>
        <v/>
      </c>
      <c r="W467" s="103" t="str">
        <f>IF(registreGarantie[[#This Row],[Pièces 
Demandés]]="","",IF(registreGarantie[[#This Row],[date paiement]]="","",registreGarantie[[#This Row],[date paiement]]+91))</f>
        <v/>
      </c>
      <c r="X4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7" s="74" t="str">
        <f ca="1">IF(registreGarantie[[#This Row],[Colonne1]]=0,"",IF(TODAY()&gt;registreGarantie[[#This Row],[Date rebus]],0,1))</f>
        <v/>
      </c>
      <c r="Z467" s="66"/>
      <c r="AA467" s="73" t="str">
        <f>IF(AND(registreGarantie[[#This Row],[Montant non remboursé]]&gt;1,registreGarantie[[#This Row],[Montant non remboursé]]&lt;&gt;""),1,"")</f>
        <v/>
      </c>
      <c r="AB467" s="66"/>
      <c r="AC467" s="66"/>
      <c r="AD467" s="87">
        <f t="shared" si="7"/>
        <v>467</v>
      </c>
      <c r="AE467" s="109"/>
    </row>
    <row r="468" spans="1:31" ht="18" customHeight="1" thickBot="1" x14ac:dyDescent="0.4">
      <c r="A468" s="64">
        <v>45129</v>
      </c>
      <c r="B468" s="64">
        <v>43606</v>
      </c>
      <c r="C468" s="106">
        <v>45771</v>
      </c>
      <c r="D468" s="66" t="s">
        <v>591</v>
      </c>
      <c r="E468" s="66" t="s">
        <v>32</v>
      </c>
      <c r="F468" s="68"/>
      <c r="G468" s="66" t="s">
        <v>2101</v>
      </c>
      <c r="H468" s="64">
        <v>1739</v>
      </c>
      <c r="I468" s="67" t="s">
        <v>18</v>
      </c>
      <c r="J468" s="97">
        <v>404639642</v>
      </c>
      <c r="K468" s="66"/>
      <c r="L468" s="68"/>
      <c r="M468" s="69"/>
      <c r="N468" s="69"/>
      <c r="O468" s="70" t="str">
        <f>IF(registreGarantie[[#This Row],[date paiement]]="","",registreGarantie[[#This Row],[Pièces 
Demandés]]-registreGarantie[[#This Row],[Pièces 
Remboursés]])</f>
        <v/>
      </c>
      <c r="P468" s="69"/>
      <c r="Q468" s="69"/>
      <c r="R468" s="70" t="str">
        <f>IF(registreGarantie[[#This Row],[date paiement]]="","",registreGarantie[[#This Row],[MO
Demandé]]-registreGarantie[[#This Row],[MO
Remboursé]])</f>
        <v/>
      </c>
      <c r="S468" s="69"/>
      <c r="T468" s="70" t="str">
        <f>IF(registreGarantie[[#This Row],[date paiement]]="","",registreGarantie[[#This Row],[MO
Refusé]]+registreGarantie[[#This Row],[Pièces
Refusés]])</f>
        <v/>
      </c>
      <c r="U468" s="106"/>
      <c r="V468" s="71" t="str">
        <f>IF(registreGarantie[[#This Row],[Pièces 
Demandés]]="","",registreGarantie[[#This Row],[Date]])</f>
        <v/>
      </c>
      <c r="W468" s="103" t="str">
        <f>IF(registreGarantie[[#This Row],[Pièces 
Demandés]]="","",IF(registreGarantie[[#This Row],[date paiement]]="","",registreGarantie[[#This Row],[date paiement]]+91))</f>
        <v/>
      </c>
      <c r="X4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8" s="74" t="str">
        <f ca="1">IF(registreGarantie[[#This Row],[Colonne1]]=0,"",IF(TODAY()&gt;registreGarantie[[#This Row],[Date rebus]],0,1))</f>
        <v/>
      </c>
      <c r="Z468" s="66"/>
      <c r="AA468" s="73" t="str">
        <f>IF(AND(registreGarantie[[#This Row],[Montant non remboursé]]&gt;1,registreGarantie[[#This Row],[Montant non remboursé]]&lt;&gt;""),1,"")</f>
        <v/>
      </c>
      <c r="AB468" s="66"/>
      <c r="AC468" s="66"/>
      <c r="AD468" s="87">
        <f t="shared" si="7"/>
        <v>468</v>
      </c>
      <c r="AE468" s="109"/>
    </row>
    <row r="469" spans="1:31" ht="18" customHeight="1" thickBot="1" x14ac:dyDescent="0.4">
      <c r="A469" s="64">
        <v>45130</v>
      </c>
      <c r="B469" s="64">
        <v>44081</v>
      </c>
      <c r="C469" s="106">
        <v>45772</v>
      </c>
      <c r="D469" s="66" t="s">
        <v>259</v>
      </c>
      <c r="E469" s="66" t="s">
        <v>63</v>
      </c>
      <c r="F469" s="68"/>
      <c r="G469" s="66" t="s">
        <v>671</v>
      </c>
      <c r="H469" s="64">
        <v>1004</v>
      </c>
      <c r="I469" s="67" t="s">
        <v>18</v>
      </c>
      <c r="J469" s="97">
        <v>404641154</v>
      </c>
      <c r="K469" s="66"/>
      <c r="L469" s="68"/>
      <c r="M469" s="69"/>
      <c r="N469" s="69"/>
      <c r="O469" s="69" t="str">
        <f>IF(registreGarantie[[#This Row],[date paiement]]="","",registreGarantie[[#This Row],[Pièces 
Demandés]]-registreGarantie[[#This Row],[Pièces 
Remboursés]])</f>
        <v/>
      </c>
      <c r="P469" s="69"/>
      <c r="Q469" s="69"/>
      <c r="R469" s="70" t="str">
        <f>IF(registreGarantie[[#This Row],[date paiement]]="","",registreGarantie[[#This Row],[MO
Demandé]]-registreGarantie[[#This Row],[MO
Remboursé]])</f>
        <v/>
      </c>
      <c r="S469" s="69"/>
      <c r="T469" s="70" t="str">
        <f>IF(registreGarantie[[#This Row],[date paiement]]="","",registreGarantie[[#This Row],[MO
Refusé]]+registreGarantie[[#This Row],[Pièces
Refusés]])</f>
        <v/>
      </c>
      <c r="U469" s="106"/>
      <c r="V469" s="71" t="str">
        <f>IF(registreGarantie[[#This Row],[Pièces 
Demandés]]="","",registreGarantie[[#This Row],[Date]])</f>
        <v/>
      </c>
      <c r="W469" s="103" t="str">
        <f>IF(registreGarantie[[#This Row],[Pièces 
Demandés]]="","",IF(registreGarantie[[#This Row],[date paiement]]="","",registreGarantie[[#This Row],[date paiement]]+91))</f>
        <v/>
      </c>
      <c r="X4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69" s="74" t="str">
        <f ca="1">IF(registreGarantie[[#This Row],[Colonne1]]=0,"",IF(TODAY()&gt;registreGarantie[[#This Row],[Date rebus]],0,1))</f>
        <v/>
      </c>
      <c r="Z469" s="66"/>
      <c r="AA469" s="73" t="str">
        <f>IF(AND(registreGarantie[[#This Row],[Montant non remboursé]]&gt;1,registreGarantie[[#This Row],[Montant non remboursé]]&lt;&gt;""),1,"")</f>
        <v/>
      </c>
      <c r="AB469" s="66"/>
      <c r="AC469" s="66"/>
      <c r="AD469" s="87">
        <f t="shared" si="7"/>
        <v>469</v>
      </c>
      <c r="AE469" s="109"/>
    </row>
    <row r="470" spans="1:31" ht="18" customHeight="1" thickBot="1" x14ac:dyDescent="0.4">
      <c r="A470" s="64">
        <v>45130</v>
      </c>
      <c r="B470" s="64">
        <v>44081</v>
      </c>
      <c r="C470" s="106">
        <v>45772</v>
      </c>
      <c r="D470" s="66" t="s">
        <v>259</v>
      </c>
      <c r="E470" s="66" t="s">
        <v>63</v>
      </c>
      <c r="F470" s="68"/>
      <c r="G470" s="66" t="s">
        <v>671</v>
      </c>
      <c r="H470" s="64">
        <v>1004</v>
      </c>
      <c r="I470" s="67" t="s">
        <v>19</v>
      </c>
      <c r="J470" s="97">
        <v>404641155</v>
      </c>
      <c r="K470" s="66"/>
      <c r="L470" s="68"/>
      <c r="M470" s="69"/>
      <c r="N470" s="69"/>
      <c r="O470" s="70" t="str">
        <f>IF(registreGarantie[[#This Row],[date paiement]]="","",registreGarantie[[#This Row],[Pièces 
Demandés]]-registreGarantie[[#This Row],[Pièces 
Remboursés]])</f>
        <v/>
      </c>
      <c r="P470" s="69"/>
      <c r="Q470" s="69"/>
      <c r="R470" s="70" t="str">
        <f>IF(registreGarantie[[#This Row],[date paiement]]="","",registreGarantie[[#This Row],[MO
Demandé]]-registreGarantie[[#This Row],[MO
Remboursé]])</f>
        <v/>
      </c>
      <c r="S470" s="69"/>
      <c r="T470" s="70" t="str">
        <f>IF(registreGarantie[[#This Row],[date paiement]]="","",registreGarantie[[#This Row],[MO
Refusé]]+registreGarantie[[#This Row],[Pièces
Refusés]])</f>
        <v/>
      </c>
      <c r="U470" s="106"/>
      <c r="V470" s="71" t="str">
        <f>IF(registreGarantie[[#This Row],[Pièces 
Demandés]]="","",registreGarantie[[#This Row],[Date]])</f>
        <v/>
      </c>
      <c r="W470" s="103" t="str">
        <f>IF(registreGarantie[[#This Row],[Pièces 
Demandés]]="","",IF(registreGarantie[[#This Row],[date paiement]]="","",registreGarantie[[#This Row],[date paiement]]+91))</f>
        <v/>
      </c>
      <c r="X4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70" s="74" t="str">
        <f ca="1">IF(registreGarantie[[#This Row],[Colonne1]]=0,"",IF(TODAY()&gt;registreGarantie[[#This Row],[Date rebus]],0,1))</f>
        <v/>
      </c>
      <c r="Z470" s="66"/>
      <c r="AA470" s="73" t="str">
        <f>IF(AND(registreGarantie[[#This Row],[Montant non remboursé]]&gt;1,registreGarantie[[#This Row],[Montant non remboursé]]&lt;&gt;""),1,"")</f>
        <v/>
      </c>
      <c r="AB470" s="66"/>
      <c r="AC470" s="66"/>
      <c r="AD470" s="87">
        <f t="shared" si="7"/>
        <v>470</v>
      </c>
      <c r="AE470" s="109"/>
    </row>
    <row r="471" spans="1:31" ht="18" customHeight="1" thickBot="1" x14ac:dyDescent="0.4">
      <c r="A471" s="64">
        <v>45131</v>
      </c>
      <c r="B471" s="64">
        <v>44153</v>
      </c>
      <c r="C471" s="106">
        <v>45776</v>
      </c>
      <c r="D471" s="66" t="s">
        <v>292</v>
      </c>
      <c r="E471" s="66" t="s">
        <v>75</v>
      </c>
      <c r="F471" s="68" t="s">
        <v>2244</v>
      </c>
      <c r="G471" s="66" t="s">
        <v>2116</v>
      </c>
      <c r="H471" s="64">
        <v>1025</v>
      </c>
      <c r="I471" s="67" t="s">
        <v>3</v>
      </c>
      <c r="J471" s="97">
        <v>404644323</v>
      </c>
      <c r="K471" s="66"/>
      <c r="L471" s="68"/>
      <c r="M471" s="69">
        <v>3</v>
      </c>
      <c r="N471" s="69">
        <v>3</v>
      </c>
      <c r="O471" s="70">
        <f>IF(registreGarantie[[#This Row],[date paiement]]="","",registreGarantie[[#This Row],[Pièces 
Demandés]]-registreGarantie[[#This Row],[Pièces 
Remboursés]])</f>
        <v>0</v>
      </c>
      <c r="P471" s="69">
        <v>65.5</v>
      </c>
      <c r="Q471" s="69">
        <v>65.5</v>
      </c>
      <c r="R471" s="70">
        <f>IF(registreGarantie[[#This Row],[date paiement]]="","",registreGarantie[[#This Row],[MO
Demandé]]-registreGarantie[[#This Row],[MO
Remboursé]])</f>
        <v>0</v>
      </c>
      <c r="S471" s="69">
        <v>150</v>
      </c>
      <c r="T471" s="70">
        <f>IF(registreGarantie[[#This Row],[date paiement]]="","",registreGarantie[[#This Row],[MO
Refusé]]+registreGarantie[[#This Row],[Pièces
Refusés]])</f>
        <v>0</v>
      </c>
      <c r="U471" s="106">
        <v>45783</v>
      </c>
      <c r="V471" s="71">
        <f>IF(registreGarantie[[#This Row],[Pièces 
Demandés]]="","",registreGarantie[[#This Row],[Date]])</f>
        <v>45776</v>
      </c>
      <c r="W471" s="103">
        <f>IF(registreGarantie[[#This Row],[Pièces 
Demandés]]="","",IF(registreGarantie[[#This Row],[date paiement]]="","",registreGarantie[[#This Row],[date paiement]]+91))</f>
        <v>45874</v>
      </c>
      <c r="X4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1" s="74">
        <f ca="1">IF(registreGarantie[[#This Row],[Colonne1]]=0,"",IF(TODAY()&gt;registreGarantie[[#This Row],[Date rebus]],0,1))</f>
        <v>0</v>
      </c>
      <c r="Z471" s="66"/>
      <c r="AA471" s="73" t="str">
        <f>IF(AND(registreGarantie[[#This Row],[Montant non remboursé]]&gt;1,registreGarantie[[#This Row],[Montant non remboursé]]&lt;&gt;""),1,"")</f>
        <v/>
      </c>
      <c r="AB471" s="66"/>
      <c r="AC471" s="66"/>
      <c r="AD471" s="87">
        <f t="shared" si="7"/>
        <v>471</v>
      </c>
      <c r="AE471" s="109"/>
    </row>
    <row r="472" spans="1:31" ht="18" customHeight="1" thickBot="1" x14ac:dyDescent="0.4">
      <c r="A472" s="64">
        <v>45132</v>
      </c>
      <c r="B472" s="64">
        <v>44154</v>
      </c>
      <c r="C472" s="106">
        <v>45776</v>
      </c>
      <c r="D472" s="66" t="s">
        <v>292</v>
      </c>
      <c r="E472" s="66" t="s">
        <v>75</v>
      </c>
      <c r="F472" s="68" t="s">
        <v>2244</v>
      </c>
      <c r="G472" s="66" t="s">
        <v>590</v>
      </c>
      <c r="H472" s="64">
        <v>1025</v>
      </c>
      <c r="I472" s="67" t="s">
        <v>3</v>
      </c>
      <c r="J472" s="97">
        <v>404644738</v>
      </c>
      <c r="K472" s="66"/>
      <c r="L472" s="68"/>
      <c r="M472" s="69">
        <v>237.53</v>
      </c>
      <c r="N472" s="69">
        <v>237.53</v>
      </c>
      <c r="O472" s="70">
        <f>IF(registreGarantie[[#This Row],[date paiement]]="","",registreGarantie[[#This Row],[Pièces 
Demandés]]-registreGarantie[[#This Row],[Pièces 
Remboursés]])</f>
        <v>0</v>
      </c>
      <c r="P472" s="69">
        <v>65.5</v>
      </c>
      <c r="Q472" s="69">
        <v>65.5</v>
      </c>
      <c r="R472" s="70">
        <f>IF(registreGarantie[[#This Row],[date paiement]]="","",registreGarantie[[#This Row],[MO
Demandé]]-registreGarantie[[#This Row],[MO
Remboursé]])</f>
        <v>0</v>
      </c>
      <c r="S472" s="69">
        <v>150</v>
      </c>
      <c r="T472" s="70">
        <f>IF(registreGarantie[[#This Row],[date paiement]]="","",registreGarantie[[#This Row],[MO
Refusé]]+registreGarantie[[#This Row],[Pièces
Refusés]])</f>
        <v>0</v>
      </c>
      <c r="U472" s="106">
        <v>45783</v>
      </c>
      <c r="V472" s="71">
        <f>IF(registreGarantie[[#This Row],[Pièces 
Demandés]]="","",registreGarantie[[#This Row],[Date]])</f>
        <v>45776</v>
      </c>
      <c r="W472" s="103">
        <f>IF(registreGarantie[[#This Row],[Pièces 
Demandés]]="","",IF(registreGarantie[[#This Row],[date paiement]]="","",registreGarantie[[#This Row],[date paiement]]+91))</f>
        <v>45874</v>
      </c>
      <c r="X4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2" s="74">
        <f ca="1">IF(registreGarantie[[#This Row],[Colonne1]]=0,"",IF(TODAY()&gt;registreGarantie[[#This Row],[Date rebus]],0,1))</f>
        <v>0</v>
      </c>
      <c r="Z472" s="66"/>
      <c r="AA472" s="73" t="str">
        <f>IF(AND(registreGarantie[[#This Row],[Montant non remboursé]]&gt;1,registreGarantie[[#This Row],[Montant non remboursé]]&lt;&gt;""),1,"")</f>
        <v/>
      </c>
      <c r="AB472" s="66"/>
      <c r="AC472" s="66"/>
      <c r="AD472" s="87">
        <f t="shared" si="7"/>
        <v>472</v>
      </c>
      <c r="AE472" s="109"/>
    </row>
    <row r="473" spans="1:31" ht="18" customHeight="1" thickBot="1" x14ac:dyDescent="0.4">
      <c r="A473" s="64">
        <v>45133</v>
      </c>
      <c r="B473" s="64">
        <v>44140</v>
      </c>
      <c r="C473" s="106">
        <v>45776</v>
      </c>
      <c r="D473" s="66" t="s">
        <v>74</v>
      </c>
      <c r="E473" s="66" t="s">
        <v>367</v>
      </c>
      <c r="F473" s="68" t="s">
        <v>2254</v>
      </c>
      <c r="G473" s="66" t="s">
        <v>1406</v>
      </c>
      <c r="H473" s="64">
        <v>177</v>
      </c>
      <c r="I473" s="67" t="s">
        <v>2</v>
      </c>
      <c r="J473" s="97">
        <v>404645059</v>
      </c>
      <c r="K473" s="66"/>
      <c r="L473" s="68"/>
      <c r="M473" s="69">
        <v>19.809999999999999</v>
      </c>
      <c r="N473" s="69">
        <v>19.809999999999999</v>
      </c>
      <c r="O473" s="70">
        <f>IF(registreGarantie[[#This Row],[date paiement]]="","",registreGarantie[[#This Row],[Pièces 
Demandés]]-registreGarantie[[#This Row],[Pièces 
Remboursés]])</f>
        <v>0</v>
      </c>
      <c r="P473" s="69">
        <v>32.75</v>
      </c>
      <c r="Q473" s="69">
        <v>32.75</v>
      </c>
      <c r="R473" s="70">
        <f>IF(registreGarantie[[#This Row],[date paiement]]="","",registreGarantie[[#This Row],[MO
Demandé]]-registreGarantie[[#This Row],[MO
Remboursé]])</f>
        <v>0</v>
      </c>
      <c r="S473" s="69"/>
      <c r="T473" s="70">
        <f>IF(registreGarantie[[#This Row],[date paiement]]="","",registreGarantie[[#This Row],[MO
Refusé]]+registreGarantie[[#This Row],[Pièces
Refusés]])</f>
        <v>0</v>
      </c>
      <c r="U473" s="106">
        <v>45783</v>
      </c>
      <c r="V473" s="71">
        <f>IF(registreGarantie[[#This Row],[Pièces 
Demandés]]="","",registreGarantie[[#This Row],[Date]])</f>
        <v>45776</v>
      </c>
      <c r="W473" s="103">
        <f>IF(registreGarantie[[#This Row],[Pièces 
Demandés]]="","",IF(registreGarantie[[#This Row],[date paiement]]="","",registreGarantie[[#This Row],[date paiement]]+91))</f>
        <v>45874</v>
      </c>
      <c r="X4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3" s="74">
        <f ca="1">IF(registreGarantie[[#This Row],[Colonne1]]=0,"",IF(TODAY()&gt;registreGarantie[[#This Row],[Date rebus]],0,1))</f>
        <v>0</v>
      </c>
      <c r="Z473" s="66"/>
      <c r="AA473" s="73" t="str">
        <f>IF(AND(registreGarantie[[#This Row],[Montant non remboursé]]&gt;1,registreGarantie[[#This Row],[Montant non remboursé]]&lt;&gt;""),1,"")</f>
        <v/>
      </c>
      <c r="AB473" s="66"/>
      <c r="AC473" s="66"/>
      <c r="AD473" s="87">
        <f t="shared" si="7"/>
        <v>473</v>
      </c>
      <c r="AE473" s="109"/>
    </row>
    <row r="474" spans="1:31" ht="18" customHeight="1" thickBot="1" x14ac:dyDescent="0.4">
      <c r="A474" s="64">
        <v>45134</v>
      </c>
      <c r="B474" s="64">
        <v>44199</v>
      </c>
      <c r="C474" s="106">
        <v>45776</v>
      </c>
      <c r="D474" s="66" t="s">
        <v>639</v>
      </c>
      <c r="E474" s="66" t="s">
        <v>32</v>
      </c>
      <c r="F474" s="68" t="s">
        <v>2296</v>
      </c>
      <c r="G474" s="66" t="s">
        <v>1045</v>
      </c>
      <c r="H474" s="64">
        <v>64</v>
      </c>
      <c r="I474" s="67" t="s">
        <v>2</v>
      </c>
      <c r="J474" s="97">
        <v>404645196</v>
      </c>
      <c r="K474" s="66"/>
      <c r="L474" s="68" t="s">
        <v>2648</v>
      </c>
      <c r="M474" s="69">
        <v>109.81</v>
      </c>
      <c r="N474" s="69">
        <v>109.81</v>
      </c>
      <c r="O474" s="70">
        <f>IF(registreGarantie[[#This Row],[date paiement]]="","",registreGarantie[[#This Row],[Pièces 
Demandés]]-registreGarantie[[#This Row],[Pièces 
Remboursés]])</f>
        <v>0</v>
      </c>
      <c r="P474" s="69">
        <v>393</v>
      </c>
      <c r="Q474" s="69">
        <v>262</v>
      </c>
      <c r="R474" s="70">
        <f>IF(registreGarantie[[#This Row],[date paiement]]="","",registreGarantie[[#This Row],[MO
Demandé]]-registreGarantie[[#This Row],[MO
Remboursé]])</f>
        <v>131</v>
      </c>
      <c r="S474" s="69"/>
      <c r="T474" s="70">
        <f>IF(registreGarantie[[#This Row],[date paiement]]="","",registreGarantie[[#This Row],[MO
Refusé]]+registreGarantie[[#This Row],[Pièces
Refusés]])</f>
        <v>131</v>
      </c>
      <c r="U474" s="106">
        <v>45792</v>
      </c>
      <c r="V474" s="71">
        <f>IF(registreGarantie[[#This Row],[Pièces 
Demandés]]="","",registreGarantie[[#This Row],[Date]])</f>
        <v>45776</v>
      </c>
      <c r="W474" s="103">
        <f>IF(registreGarantie[[#This Row],[Pièces 
Demandés]]="","",IF(registreGarantie[[#This Row],[date paiement]]="","",registreGarantie[[#This Row],[date paiement]]+91))</f>
        <v>45883</v>
      </c>
      <c r="X4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4" s="74">
        <f ca="1">IF(registreGarantie[[#This Row],[Colonne1]]=0,"",IF(TODAY()&gt;registreGarantie[[#This Row],[Date rebus]],0,1))</f>
        <v>0</v>
      </c>
      <c r="Z474" s="66"/>
      <c r="AA474" s="73">
        <f>IF(AND(registreGarantie[[#This Row],[Montant non remboursé]]&gt;1,registreGarantie[[#This Row],[Montant non remboursé]]&lt;&gt;""),1,"")</f>
        <v>1</v>
      </c>
      <c r="AB474" s="66"/>
      <c r="AC474" s="66"/>
      <c r="AD474" s="87">
        <f t="shared" si="7"/>
        <v>474</v>
      </c>
      <c r="AE474" s="109"/>
    </row>
    <row r="475" spans="1:31" ht="18" customHeight="1" thickBot="1" x14ac:dyDescent="0.4">
      <c r="A475" s="64">
        <v>45135</v>
      </c>
      <c r="B475" s="64">
        <v>44210</v>
      </c>
      <c r="C475" s="106">
        <v>45776</v>
      </c>
      <c r="D475" s="66" t="s">
        <v>639</v>
      </c>
      <c r="E475" s="66" t="s">
        <v>32</v>
      </c>
      <c r="F475" s="68" t="s">
        <v>2296</v>
      </c>
      <c r="G475" s="66" t="s">
        <v>1088</v>
      </c>
      <c r="H475" s="64">
        <v>64</v>
      </c>
      <c r="I475" s="67" t="s">
        <v>2</v>
      </c>
      <c r="J475" s="97">
        <v>404645239</v>
      </c>
      <c r="K475" s="66"/>
      <c r="L475" s="68"/>
      <c r="M475" s="69">
        <v>61.37</v>
      </c>
      <c r="N475" s="69">
        <v>61.37</v>
      </c>
      <c r="O475" s="70">
        <f>IF(registreGarantie[[#This Row],[date paiement]]="","",registreGarantie[[#This Row],[Pièces 
Demandés]]-registreGarantie[[#This Row],[Pièces 
Remboursés]])</f>
        <v>0</v>
      </c>
      <c r="P475" s="69">
        <v>131</v>
      </c>
      <c r="Q475" s="69">
        <v>131</v>
      </c>
      <c r="R475" s="70">
        <f>IF(registreGarantie[[#This Row],[date paiement]]="","",registreGarantie[[#This Row],[MO
Demandé]]-registreGarantie[[#This Row],[MO
Remboursé]])</f>
        <v>0</v>
      </c>
      <c r="S475" s="69"/>
      <c r="T475" s="70">
        <f>IF(registreGarantie[[#This Row],[date paiement]]="","",registreGarantie[[#This Row],[MO
Refusé]]+registreGarantie[[#This Row],[Pièces
Refusés]])</f>
        <v>0</v>
      </c>
      <c r="U475" s="106">
        <v>45792</v>
      </c>
      <c r="V475" s="71">
        <f>IF(registreGarantie[[#This Row],[Pièces 
Demandés]]="","",registreGarantie[[#This Row],[Date]])</f>
        <v>45776</v>
      </c>
      <c r="W475" s="103">
        <f>IF(registreGarantie[[#This Row],[Pièces 
Demandés]]="","",IF(registreGarantie[[#This Row],[date paiement]]="","",registreGarantie[[#This Row],[date paiement]]+91))</f>
        <v>45883</v>
      </c>
      <c r="X4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5" s="74">
        <f ca="1">IF(registreGarantie[[#This Row],[Colonne1]]=0,"",IF(TODAY()&gt;registreGarantie[[#This Row],[Date rebus]],0,1))</f>
        <v>0</v>
      </c>
      <c r="Z475" s="66"/>
      <c r="AA475" s="73" t="str">
        <f>IF(AND(registreGarantie[[#This Row],[Montant non remboursé]]&gt;1,registreGarantie[[#This Row],[Montant non remboursé]]&lt;&gt;""),1,"")</f>
        <v/>
      </c>
      <c r="AB475" s="66"/>
      <c r="AC475" s="66"/>
      <c r="AD475" s="87">
        <f t="shared" si="7"/>
        <v>475</v>
      </c>
      <c r="AE475" s="109"/>
    </row>
    <row r="476" spans="1:31" ht="18" customHeight="1" thickBot="1" x14ac:dyDescent="0.4">
      <c r="A476" s="64">
        <v>45136</v>
      </c>
      <c r="B476" s="64">
        <v>44204</v>
      </c>
      <c r="C476" s="106">
        <v>45776</v>
      </c>
      <c r="D476" s="66" t="s">
        <v>1793</v>
      </c>
      <c r="E476" s="66" t="s">
        <v>106</v>
      </c>
      <c r="F476" s="68" t="s">
        <v>2333</v>
      </c>
      <c r="G476" s="66" t="s">
        <v>2117</v>
      </c>
      <c r="H476" s="64">
        <v>230</v>
      </c>
      <c r="I476" s="67" t="s">
        <v>2</v>
      </c>
      <c r="J476" s="97">
        <v>404645312</v>
      </c>
      <c r="K476" s="66"/>
      <c r="L476" s="68"/>
      <c r="M476" s="69">
        <v>38.92</v>
      </c>
      <c r="N476" s="69">
        <v>38.92</v>
      </c>
      <c r="O476" s="70">
        <f>IF(registreGarantie[[#This Row],[date paiement]]="","",registreGarantie[[#This Row],[Pièces 
Demandés]]-registreGarantie[[#This Row],[Pièces 
Remboursés]])</f>
        <v>0</v>
      </c>
      <c r="P476" s="69">
        <v>131</v>
      </c>
      <c r="Q476" s="69">
        <v>131</v>
      </c>
      <c r="R476" s="70">
        <f>IF(registreGarantie[[#This Row],[date paiement]]="","",registreGarantie[[#This Row],[MO
Demandé]]-registreGarantie[[#This Row],[MO
Remboursé]])</f>
        <v>0</v>
      </c>
      <c r="S476" s="69"/>
      <c r="T476" s="70">
        <f>IF(registreGarantie[[#This Row],[date paiement]]="","",registreGarantie[[#This Row],[MO
Refusé]]+registreGarantie[[#This Row],[Pièces
Refusés]])</f>
        <v>0</v>
      </c>
      <c r="U476" s="106">
        <v>45783</v>
      </c>
      <c r="V476" s="71">
        <f>IF(registreGarantie[[#This Row],[Pièces 
Demandés]]="","",registreGarantie[[#This Row],[Date]])</f>
        <v>45776</v>
      </c>
      <c r="W476" s="103">
        <f>IF(registreGarantie[[#This Row],[Pièces 
Demandés]]="","",IF(registreGarantie[[#This Row],[date paiement]]="","",registreGarantie[[#This Row],[date paiement]]+91))</f>
        <v>45874</v>
      </c>
      <c r="X4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76" s="74">
        <f ca="1">IF(registreGarantie[[#This Row],[Colonne1]]=0,"",IF(TODAY()&gt;registreGarantie[[#This Row],[Date rebus]],0,1))</f>
        <v>0</v>
      </c>
      <c r="Z476" s="66"/>
      <c r="AA476" s="73" t="str">
        <f>IF(AND(registreGarantie[[#This Row],[Montant non remboursé]]&gt;1,registreGarantie[[#This Row],[Montant non remboursé]]&lt;&gt;""),1,"")</f>
        <v/>
      </c>
      <c r="AB476" s="66"/>
      <c r="AC476" s="66"/>
      <c r="AD476" s="87">
        <f t="shared" si="7"/>
        <v>476</v>
      </c>
      <c r="AE476" s="109"/>
    </row>
    <row r="477" spans="1:31" ht="18" customHeight="1" thickBot="1" x14ac:dyDescent="0.4">
      <c r="A477" s="64">
        <v>45137</v>
      </c>
      <c r="B477" s="64">
        <v>43894</v>
      </c>
      <c r="C477" s="106">
        <v>45777</v>
      </c>
      <c r="D477" s="66" t="s">
        <v>486</v>
      </c>
      <c r="E477" s="66" t="s">
        <v>487</v>
      </c>
      <c r="F477" s="68" t="s">
        <v>2262</v>
      </c>
      <c r="G477" s="66" t="s">
        <v>2120</v>
      </c>
      <c r="H477" s="64">
        <v>2379</v>
      </c>
      <c r="I477" s="67" t="s">
        <v>5</v>
      </c>
      <c r="J477" s="97">
        <v>404521930</v>
      </c>
      <c r="K477" s="66"/>
      <c r="L477" s="68"/>
      <c r="M477" s="69">
        <v>96.89</v>
      </c>
      <c r="N477" s="69">
        <v>96.89</v>
      </c>
      <c r="O477" s="70">
        <f>IF(registreGarantie[[#This Row],[date paiement]]="","",registreGarantie[[#This Row],[Pièces 
Demandés]]-registreGarantie[[#This Row],[Pièces 
Remboursés]])</f>
        <v>0</v>
      </c>
      <c r="P477" s="69">
        <v>114.63</v>
      </c>
      <c r="Q477" s="69">
        <v>114.63</v>
      </c>
      <c r="R477" s="70">
        <f>IF(registreGarantie[[#This Row],[date paiement]]="","",registreGarantie[[#This Row],[MO
Demandé]]-registreGarantie[[#This Row],[MO
Remboursé]])</f>
        <v>0</v>
      </c>
      <c r="S477" s="69"/>
      <c r="T477" s="70">
        <f>IF(registreGarantie[[#This Row],[date paiement]]="","",registreGarantie[[#This Row],[MO
Refusé]]+registreGarantie[[#This Row],[Pièces
Refusés]])</f>
        <v>0</v>
      </c>
      <c r="U477" s="106">
        <v>45783</v>
      </c>
      <c r="V477" s="71">
        <f>IF(registreGarantie[[#This Row],[Pièces 
Demandés]]="","",registreGarantie[[#This Row],[Date]])</f>
        <v>45777</v>
      </c>
      <c r="W477" s="103">
        <f>IF(registreGarantie[[#This Row],[Pièces 
Demandés]]="","",IF(registreGarantie[[#This Row],[date paiement]]="","",registreGarantie[[#This Row],[date paiement]]+91))</f>
        <v>45874</v>
      </c>
      <c r="X4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77" s="74" t="str">
        <f ca="1">IF(registreGarantie[[#This Row],[Colonne1]]=0,"",IF(TODAY()&gt;registreGarantie[[#This Row],[Date rebus]],0,1))</f>
        <v/>
      </c>
      <c r="Z477" s="66"/>
      <c r="AA477" s="73" t="str">
        <f>IF(AND(registreGarantie[[#This Row],[Montant non remboursé]]&gt;1,registreGarantie[[#This Row],[Montant non remboursé]]&lt;&gt;""),1,"")</f>
        <v/>
      </c>
      <c r="AB477" s="66"/>
      <c r="AC477" s="66"/>
      <c r="AD477" s="87">
        <f t="shared" si="7"/>
        <v>477</v>
      </c>
      <c r="AE477" s="109"/>
    </row>
    <row r="478" spans="1:31" ht="18" customHeight="1" thickBot="1" x14ac:dyDescent="0.4">
      <c r="A478" s="64">
        <v>45138</v>
      </c>
      <c r="B478" s="64">
        <v>44137</v>
      </c>
      <c r="C478" s="106">
        <v>45779</v>
      </c>
      <c r="D478" s="66" t="s">
        <v>523</v>
      </c>
      <c r="E478" s="66" t="s">
        <v>75</v>
      </c>
      <c r="F478" s="68"/>
      <c r="G478" s="66" t="s">
        <v>2128</v>
      </c>
      <c r="H478" s="64">
        <v>2437</v>
      </c>
      <c r="I478" s="67" t="s">
        <v>18</v>
      </c>
      <c r="J478" s="97">
        <v>404648029</v>
      </c>
      <c r="K478" s="66"/>
      <c r="L478" s="68"/>
      <c r="M478" s="69"/>
      <c r="N478" s="69"/>
      <c r="O478" s="70" t="str">
        <f>IF(registreGarantie[[#This Row],[date paiement]]="","",registreGarantie[[#This Row],[Pièces 
Demandés]]-registreGarantie[[#This Row],[Pièces 
Remboursés]])</f>
        <v/>
      </c>
      <c r="P478" s="69"/>
      <c r="Q478" s="69"/>
      <c r="R478" s="70" t="str">
        <f>IF(registreGarantie[[#This Row],[date paiement]]="","",registreGarantie[[#This Row],[MO
Demandé]]-registreGarantie[[#This Row],[MO
Remboursé]])</f>
        <v/>
      </c>
      <c r="S478" s="69"/>
      <c r="T478" s="70" t="str">
        <f>IF(registreGarantie[[#This Row],[date paiement]]="","",registreGarantie[[#This Row],[MO
Refusé]]+registreGarantie[[#This Row],[Pièces
Refusés]])</f>
        <v/>
      </c>
      <c r="U478" s="106"/>
      <c r="V478" s="71" t="str">
        <f>IF(registreGarantie[[#This Row],[Pièces 
Demandés]]="","",registreGarantie[[#This Row],[Date]])</f>
        <v/>
      </c>
      <c r="W478" s="103" t="str">
        <f>IF(registreGarantie[[#This Row],[Pièces 
Demandés]]="","",IF(registreGarantie[[#This Row],[date paiement]]="","",registreGarantie[[#This Row],[date paiement]]+91))</f>
        <v/>
      </c>
      <c r="X4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78" s="74" t="str">
        <f ca="1">IF(registreGarantie[[#This Row],[Colonne1]]=0,"",IF(TODAY()&gt;registreGarantie[[#This Row],[Date rebus]],0,1))</f>
        <v/>
      </c>
      <c r="Z478" s="66"/>
      <c r="AA478" s="73" t="str">
        <f>IF(AND(registreGarantie[[#This Row],[Montant non remboursé]]&gt;1,registreGarantie[[#This Row],[Montant non remboursé]]&lt;&gt;""),1,"")</f>
        <v/>
      </c>
      <c r="AB478" s="66"/>
      <c r="AC478" s="66"/>
      <c r="AD478" s="87">
        <f t="shared" si="7"/>
        <v>478</v>
      </c>
      <c r="AE478" s="109"/>
    </row>
    <row r="479" spans="1:31" ht="18" customHeight="1" thickBot="1" x14ac:dyDescent="0.4">
      <c r="A479" s="64">
        <v>45139</v>
      </c>
      <c r="B479" s="64">
        <v>44187</v>
      </c>
      <c r="C479" s="106">
        <v>45779</v>
      </c>
      <c r="D479" s="66" t="s">
        <v>2134</v>
      </c>
      <c r="E479" s="66" t="s">
        <v>718</v>
      </c>
      <c r="F479" s="68" t="s">
        <v>2380</v>
      </c>
      <c r="G479" s="66" t="s">
        <v>58</v>
      </c>
      <c r="H479" s="64">
        <v>140</v>
      </c>
      <c r="I479" s="67" t="s">
        <v>23</v>
      </c>
      <c r="J479" s="97">
        <v>404648205</v>
      </c>
      <c r="K479" s="66"/>
      <c r="L479" s="68"/>
      <c r="M479" s="69">
        <v>332.88</v>
      </c>
      <c r="N479" s="69">
        <v>414.14</v>
      </c>
      <c r="O479" s="70" t="str">
        <f>IF(registreGarantie[[#This Row],[date paiement]]="","",registreGarantie[[#This Row],[Pièces 
Demandés]]-registreGarantie[[#This Row],[Pièces 
Remboursés]])</f>
        <v/>
      </c>
      <c r="P479" s="69">
        <v>315</v>
      </c>
      <c r="Q479" s="69">
        <v>315.08</v>
      </c>
      <c r="R479" s="70" t="str">
        <f>IF(registreGarantie[[#This Row],[date paiement]]="","",registreGarantie[[#This Row],[MO
Demandé]]-registreGarantie[[#This Row],[MO
Remboursé]])</f>
        <v/>
      </c>
      <c r="S479" s="69"/>
      <c r="T479" s="70" t="str">
        <f>IF(registreGarantie[[#This Row],[date paiement]]="","",registreGarantie[[#This Row],[MO
Refusé]]+registreGarantie[[#This Row],[Pièces
Refusés]])</f>
        <v/>
      </c>
      <c r="U479" s="106"/>
      <c r="V479" s="71">
        <f>IF(registreGarantie[[#This Row],[Pièces 
Demandés]]="","",registreGarantie[[#This Row],[Date]])</f>
        <v>45779</v>
      </c>
      <c r="W479" s="103" t="str">
        <f>IF(registreGarantie[[#This Row],[Pièces 
Demandés]]="","",IF(registreGarantie[[#This Row],[date paiement]]="","",registreGarantie[[#This Row],[date paiement]]+91))</f>
        <v/>
      </c>
      <c r="X4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79" s="74" t="str">
        <f ca="1">IF(registreGarantie[[#This Row],[Colonne1]]=0,"",IF(TODAY()&gt;registreGarantie[[#This Row],[Date rebus]],0,1))</f>
        <v/>
      </c>
      <c r="Z479" s="66"/>
      <c r="AA479" s="73" t="str">
        <f>IF(AND(registreGarantie[[#This Row],[Montant non remboursé]]&gt;1,registreGarantie[[#This Row],[Montant non remboursé]]&lt;&gt;""),1,"")</f>
        <v/>
      </c>
      <c r="AB479" s="66"/>
      <c r="AC479" s="66"/>
      <c r="AD479" s="87">
        <f t="shared" si="7"/>
        <v>479</v>
      </c>
      <c r="AE479" s="109"/>
    </row>
    <row r="480" spans="1:31" ht="18" customHeight="1" thickBot="1" x14ac:dyDescent="0.4">
      <c r="A480" s="64">
        <v>45139</v>
      </c>
      <c r="B480" s="64">
        <v>44187</v>
      </c>
      <c r="C480" s="106">
        <v>45779</v>
      </c>
      <c r="D480" s="66" t="s">
        <v>2134</v>
      </c>
      <c r="E480" s="66" t="s">
        <v>718</v>
      </c>
      <c r="F480" s="68"/>
      <c r="G480" s="66" t="s">
        <v>58</v>
      </c>
      <c r="H480" s="64">
        <v>140</v>
      </c>
      <c r="I480" s="67" t="s">
        <v>24</v>
      </c>
      <c r="J480" s="97">
        <v>404648241</v>
      </c>
      <c r="K480" s="66"/>
      <c r="L480" s="68"/>
      <c r="M480" s="69">
        <v>332.88</v>
      </c>
      <c r="N480" s="69">
        <v>332.88</v>
      </c>
      <c r="O480" s="70" t="str">
        <f>IF(registreGarantie[[#This Row],[date paiement]]="","",registreGarantie[[#This Row],[Pièces 
Demandés]]-registreGarantie[[#This Row],[Pièces 
Remboursés]])</f>
        <v/>
      </c>
      <c r="P480" s="69">
        <v>327.5</v>
      </c>
      <c r="Q480" s="69">
        <v>327.5</v>
      </c>
      <c r="R480" s="70" t="str">
        <f>IF(registreGarantie[[#This Row],[date paiement]]="","",registreGarantie[[#This Row],[MO
Demandé]]-registreGarantie[[#This Row],[MO
Remboursé]])</f>
        <v/>
      </c>
      <c r="S480" s="69"/>
      <c r="T480" s="70" t="str">
        <f>IF(registreGarantie[[#This Row],[date paiement]]="","",registreGarantie[[#This Row],[MO
Refusé]]+registreGarantie[[#This Row],[Pièces
Refusés]])</f>
        <v/>
      </c>
      <c r="U480" s="106"/>
      <c r="V480" s="71">
        <f>IF(registreGarantie[[#This Row],[Pièces 
Demandés]]="","",registreGarantie[[#This Row],[Date]])</f>
        <v>45779</v>
      </c>
      <c r="W480" s="103" t="str">
        <f>IF(registreGarantie[[#This Row],[Pièces 
Demandés]]="","",IF(registreGarantie[[#This Row],[date paiement]]="","",registreGarantie[[#This Row],[date paiement]]+91))</f>
        <v/>
      </c>
      <c r="X4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0" s="74" t="str">
        <f ca="1">IF(registreGarantie[[#This Row],[Colonne1]]=0,"",IF(TODAY()&gt;registreGarantie[[#This Row],[Date rebus]],0,1))</f>
        <v/>
      </c>
      <c r="Z480" s="66"/>
      <c r="AA480" s="73" t="str">
        <f>IF(AND(registreGarantie[[#This Row],[Montant non remboursé]]&gt;1,registreGarantie[[#This Row],[Montant non remboursé]]&lt;&gt;""),1,"")</f>
        <v/>
      </c>
      <c r="AB480" s="66"/>
      <c r="AC480" s="66"/>
      <c r="AD480" s="87">
        <f t="shared" si="7"/>
        <v>480</v>
      </c>
      <c r="AE480" s="109"/>
    </row>
    <row r="481" spans="1:31" ht="18" customHeight="1" thickBot="1" x14ac:dyDescent="0.4">
      <c r="A481" s="64">
        <v>45140</v>
      </c>
      <c r="B481" s="64">
        <v>44142</v>
      </c>
      <c r="C481" s="106">
        <v>45782</v>
      </c>
      <c r="D481" s="66" t="s">
        <v>1536</v>
      </c>
      <c r="E481" s="66" t="s">
        <v>75</v>
      </c>
      <c r="F481" s="68" t="s">
        <v>2280</v>
      </c>
      <c r="G481" s="66" t="s">
        <v>424</v>
      </c>
      <c r="H481" s="64">
        <v>601</v>
      </c>
      <c r="I481" s="67" t="s">
        <v>18</v>
      </c>
      <c r="J481" s="97">
        <v>404649942</v>
      </c>
      <c r="K481" s="66">
        <v>51251497</v>
      </c>
      <c r="L481" s="68"/>
      <c r="M481" s="69">
        <v>476.04</v>
      </c>
      <c r="N481" s="69">
        <v>233.92</v>
      </c>
      <c r="O481" s="70" t="str">
        <f>IF(registreGarantie[[#This Row],[date paiement]]="","",registreGarantie[[#This Row],[Pièces 
Demandés]]-registreGarantie[[#This Row],[Pièces 
Remboursés]])</f>
        <v/>
      </c>
      <c r="P481" s="69">
        <v>262</v>
      </c>
      <c r="Q481" s="69">
        <v>262</v>
      </c>
      <c r="R481" s="70" t="str">
        <f>IF(registreGarantie[[#This Row],[date paiement]]="","",registreGarantie[[#This Row],[MO
Demandé]]-registreGarantie[[#This Row],[MO
Remboursé]])</f>
        <v/>
      </c>
      <c r="S481" s="69"/>
      <c r="T481" s="70" t="str">
        <f>IF(registreGarantie[[#This Row],[date paiement]]="","",registreGarantie[[#This Row],[MO
Refusé]]+registreGarantie[[#This Row],[Pièces
Refusés]])</f>
        <v/>
      </c>
      <c r="U481" s="106"/>
      <c r="V481" s="71">
        <f>IF(registreGarantie[[#This Row],[Pièces 
Demandés]]="","",registreGarantie[[#This Row],[Date]])</f>
        <v>45782</v>
      </c>
      <c r="W481" s="103" t="str">
        <f>IF(registreGarantie[[#This Row],[Pièces 
Demandés]]="","",IF(registreGarantie[[#This Row],[date paiement]]="","",registreGarantie[[#This Row],[date paiement]]+91))</f>
        <v/>
      </c>
      <c r="X4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1" s="74" t="str">
        <f ca="1">IF(registreGarantie[[#This Row],[Colonne1]]=0,"",IF(TODAY()&gt;registreGarantie[[#This Row],[Date rebus]],0,1))</f>
        <v/>
      </c>
      <c r="Z481" s="66"/>
      <c r="AA481" s="73" t="str">
        <f>IF(AND(registreGarantie[[#This Row],[Montant non remboursé]]&gt;1,registreGarantie[[#This Row],[Montant non remboursé]]&lt;&gt;""),1,"")</f>
        <v/>
      </c>
      <c r="AB481" s="66"/>
      <c r="AC481" s="66"/>
      <c r="AD481" s="87">
        <f t="shared" si="7"/>
        <v>481</v>
      </c>
      <c r="AE481" s="109"/>
    </row>
    <row r="482" spans="1:31" ht="18" customHeight="1" thickBot="1" x14ac:dyDescent="0.4">
      <c r="A482" s="64">
        <v>45140</v>
      </c>
      <c r="B482" s="64">
        <v>44142</v>
      </c>
      <c r="C482" s="106">
        <v>45782</v>
      </c>
      <c r="D482" s="66" t="s">
        <v>1536</v>
      </c>
      <c r="E482" s="66" t="s">
        <v>75</v>
      </c>
      <c r="F482" s="68" t="s">
        <v>2280</v>
      </c>
      <c r="G482" s="66" t="s">
        <v>424</v>
      </c>
      <c r="H482" s="64">
        <v>601</v>
      </c>
      <c r="I482" s="67" t="s">
        <v>19</v>
      </c>
      <c r="J482" s="97">
        <v>404649943</v>
      </c>
      <c r="K482" s="66"/>
      <c r="L482" s="68"/>
      <c r="M482" s="69"/>
      <c r="N482" s="69"/>
      <c r="O482" s="70" t="str">
        <f>IF(registreGarantie[[#This Row],[date paiement]]="","",registreGarantie[[#This Row],[Pièces 
Demandés]]-registreGarantie[[#This Row],[Pièces 
Remboursés]])</f>
        <v/>
      </c>
      <c r="P482" s="69"/>
      <c r="Q482" s="69"/>
      <c r="R482" s="70" t="str">
        <f>IF(registreGarantie[[#This Row],[date paiement]]="","",registreGarantie[[#This Row],[MO
Demandé]]-registreGarantie[[#This Row],[MO
Remboursé]])</f>
        <v/>
      </c>
      <c r="S482" s="69"/>
      <c r="T482" s="70" t="str">
        <f>IF(registreGarantie[[#This Row],[date paiement]]="","",registreGarantie[[#This Row],[MO
Refusé]]+registreGarantie[[#This Row],[Pièces
Refusés]])</f>
        <v/>
      </c>
      <c r="U482" s="106"/>
      <c r="V482" s="71" t="str">
        <f>IF(registreGarantie[[#This Row],[Pièces 
Demandés]]="","",registreGarantie[[#This Row],[Date]])</f>
        <v/>
      </c>
      <c r="W482" s="103" t="str">
        <f>IF(registreGarantie[[#This Row],[Pièces 
Demandés]]="","",IF(registreGarantie[[#This Row],[date paiement]]="","",registreGarantie[[#This Row],[date paiement]]+91))</f>
        <v/>
      </c>
      <c r="X4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2" s="74" t="str">
        <f ca="1">IF(registreGarantie[[#This Row],[Colonne1]]=0,"",IF(TODAY()&gt;registreGarantie[[#This Row],[Date rebus]],0,1))</f>
        <v/>
      </c>
      <c r="Z482" s="66"/>
      <c r="AA482" s="73" t="str">
        <f>IF(AND(registreGarantie[[#This Row],[Montant non remboursé]]&gt;1,registreGarantie[[#This Row],[Montant non remboursé]]&lt;&gt;""),1,"")</f>
        <v/>
      </c>
      <c r="AB482" s="66"/>
      <c r="AC482" s="66"/>
      <c r="AD482" s="87">
        <f t="shared" si="7"/>
        <v>482</v>
      </c>
      <c r="AE482" s="109"/>
    </row>
    <row r="483" spans="1:31" ht="18" customHeight="1" thickBot="1" x14ac:dyDescent="0.4">
      <c r="A483" s="64">
        <v>45141</v>
      </c>
      <c r="B483" s="64">
        <v>6145</v>
      </c>
      <c r="C483" s="106">
        <v>45782</v>
      </c>
      <c r="D483" s="66" t="s">
        <v>239</v>
      </c>
      <c r="E483" s="66" t="s">
        <v>546</v>
      </c>
      <c r="F483" s="68">
        <v>78410241</v>
      </c>
      <c r="G483" s="66" t="s">
        <v>1467</v>
      </c>
      <c r="H483" s="64">
        <v>1390</v>
      </c>
      <c r="I483" s="67" t="s">
        <v>3</v>
      </c>
      <c r="J483" s="97">
        <v>404650424</v>
      </c>
      <c r="K483" s="66"/>
      <c r="L483" s="68"/>
      <c r="M483" s="69">
        <v>436.25</v>
      </c>
      <c r="N483" s="69">
        <v>436.25</v>
      </c>
      <c r="O483" s="70">
        <f>IF(registreGarantie[[#This Row],[date paiement]]="","",registreGarantie[[#This Row],[Pièces 
Demandés]]-registreGarantie[[#This Row],[Pièces 
Remboursés]])</f>
        <v>0</v>
      </c>
      <c r="P483" s="69">
        <v>1048</v>
      </c>
      <c r="Q483" s="69">
        <v>655</v>
      </c>
      <c r="R483" s="70">
        <f>IF(registreGarantie[[#This Row],[date paiement]]="","",registreGarantie[[#This Row],[MO
Demandé]]-registreGarantie[[#This Row],[MO
Remboursé]])</f>
        <v>393</v>
      </c>
      <c r="S483" s="69"/>
      <c r="T483" s="70">
        <f>IF(registreGarantie[[#This Row],[date paiement]]="","",registreGarantie[[#This Row],[MO
Refusé]]+registreGarantie[[#This Row],[Pièces
Refusés]])</f>
        <v>393</v>
      </c>
      <c r="U483" s="106">
        <v>45792</v>
      </c>
      <c r="V483" s="71">
        <f>IF(registreGarantie[[#This Row],[Pièces 
Demandés]]="","",registreGarantie[[#This Row],[Date]])</f>
        <v>45782</v>
      </c>
      <c r="W483" s="103">
        <f>IF(registreGarantie[[#This Row],[Pièces 
Demandés]]="","",IF(registreGarantie[[#This Row],[date paiement]]="","",registreGarantie[[#This Row],[date paiement]]+91))</f>
        <v>45883</v>
      </c>
      <c r="X4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83" s="74">
        <f ca="1">IF(registreGarantie[[#This Row],[Colonne1]]=0,"",IF(TODAY()&gt;registreGarantie[[#This Row],[Date rebus]],0,1))</f>
        <v>0</v>
      </c>
      <c r="Z483" s="66"/>
      <c r="AA483" s="73">
        <f>IF(AND(registreGarantie[[#This Row],[Montant non remboursé]]&gt;1,registreGarantie[[#This Row],[Montant non remboursé]]&lt;&gt;""),1,"")</f>
        <v>1</v>
      </c>
      <c r="AB483" s="66"/>
      <c r="AC483" s="66"/>
      <c r="AD483" s="87">
        <f t="shared" si="7"/>
        <v>483</v>
      </c>
      <c r="AE483" s="109"/>
    </row>
    <row r="484" spans="1:31" ht="18" customHeight="1" thickBot="1" x14ac:dyDescent="0.4">
      <c r="A484" s="64">
        <v>45142</v>
      </c>
      <c r="B484" s="64">
        <v>6094</v>
      </c>
      <c r="C484" s="106">
        <v>45782</v>
      </c>
      <c r="D484" s="66" t="s">
        <v>1099</v>
      </c>
      <c r="E484" s="66" t="s">
        <v>272</v>
      </c>
      <c r="F484" s="68"/>
      <c r="G484" s="66" t="s">
        <v>2140</v>
      </c>
      <c r="H484" s="64"/>
      <c r="I484" s="67" t="s">
        <v>1915</v>
      </c>
      <c r="J484" s="97"/>
      <c r="K484" s="66"/>
      <c r="L484" s="68"/>
      <c r="M484" s="69">
        <v>15</v>
      </c>
      <c r="N484" s="69">
        <v>15</v>
      </c>
      <c r="O484" s="70">
        <f>IF(registreGarantie[[#This Row],[date paiement]]="","",registreGarantie[[#This Row],[Pièces 
Demandés]]-registreGarantie[[#This Row],[Pièces 
Remboursés]])</f>
        <v>0</v>
      </c>
      <c r="P484" s="69">
        <v>50</v>
      </c>
      <c r="Q484" s="69">
        <v>50</v>
      </c>
      <c r="R484" s="70">
        <f>IF(registreGarantie[[#This Row],[date paiement]]="","",registreGarantie[[#This Row],[MO
Demandé]]-registreGarantie[[#This Row],[MO
Remboursé]])</f>
        <v>0</v>
      </c>
      <c r="S484" s="69"/>
      <c r="T484" s="70">
        <f>IF(registreGarantie[[#This Row],[date paiement]]="","",registreGarantie[[#This Row],[MO
Refusé]]+registreGarantie[[#This Row],[Pièces
Refusés]])</f>
        <v>0</v>
      </c>
      <c r="U484" s="106">
        <v>45831</v>
      </c>
      <c r="V484" s="71">
        <f>IF(registreGarantie[[#This Row],[Pièces 
Demandés]]="","",registreGarantie[[#This Row],[Date]])</f>
        <v>45782</v>
      </c>
      <c r="W484" s="103">
        <f>IF(registreGarantie[[#This Row],[Pièces 
Demandés]]="","",IF(registreGarantie[[#This Row],[date paiement]]="","",registreGarantie[[#This Row],[date paiement]]+91))</f>
        <v>45922</v>
      </c>
      <c r="X4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84" s="74">
        <f ca="1">IF(registreGarantie[[#This Row],[Colonne1]]=0,"",IF(TODAY()&gt;registreGarantie[[#This Row],[Date rebus]],0,1))</f>
        <v>0</v>
      </c>
      <c r="Z484" s="66"/>
      <c r="AA484" s="73" t="str">
        <f>IF(AND(registreGarantie[[#This Row],[Montant non remboursé]]&gt;1,registreGarantie[[#This Row],[Montant non remboursé]]&lt;&gt;""),1,"")</f>
        <v/>
      </c>
      <c r="AB484" s="66"/>
      <c r="AC484" s="66"/>
      <c r="AD484" s="87">
        <f t="shared" si="7"/>
        <v>484</v>
      </c>
      <c r="AE484" s="109"/>
    </row>
    <row r="485" spans="1:31" ht="18" customHeight="1" thickBot="1" x14ac:dyDescent="0.4">
      <c r="A485" s="64">
        <v>45143</v>
      </c>
      <c r="B485" s="64">
        <v>44106</v>
      </c>
      <c r="C485" s="106">
        <v>45783</v>
      </c>
      <c r="D485" s="66" t="s">
        <v>225</v>
      </c>
      <c r="E485" s="66" t="s">
        <v>472</v>
      </c>
      <c r="F485" s="68" t="s">
        <v>2366</v>
      </c>
      <c r="G485" s="66" t="s">
        <v>374</v>
      </c>
      <c r="H485" s="64">
        <v>108</v>
      </c>
      <c r="I485" s="67" t="s">
        <v>21</v>
      </c>
      <c r="J485" s="97" t="s">
        <v>2141</v>
      </c>
      <c r="K485" s="66"/>
      <c r="L485" s="68"/>
      <c r="M485" s="69">
        <v>668</v>
      </c>
      <c r="N485" s="69">
        <v>334</v>
      </c>
      <c r="O485" s="70">
        <f>IF(registreGarantie[[#This Row],[date paiement]]="","",registreGarantie[[#This Row],[Pièces 
Demandés]]-registreGarantie[[#This Row],[Pièces 
Remboursés]])</f>
        <v>334</v>
      </c>
      <c r="P485" s="69"/>
      <c r="Q485" s="69"/>
      <c r="R485" s="70">
        <f>IF(registreGarantie[[#This Row],[date paiement]]="","",registreGarantie[[#This Row],[MO
Demandé]]-registreGarantie[[#This Row],[MO
Remboursé]])</f>
        <v>0</v>
      </c>
      <c r="S485" s="69"/>
      <c r="T485" s="70">
        <f>IF(registreGarantie[[#This Row],[date paiement]]="","",registreGarantie[[#This Row],[MO
Refusé]]+registreGarantie[[#This Row],[Pièces
Refusés]])</f>
        <v>334</v>
      </c>
      <c r="U485" s="106">
        <v>45791</v>
      </c>
      <c r="V485" s="71">
        <f>IF(registreGarantie[[#This Row],[Pièces 
Demandés]]="","",registreGarantie[[#This Row],[Date]])</f>
        <v>45783</v>
      </c>
      <c r="W485" s="103">
        <f>IF(registreGarantie[[#This Row],[Pièces 
Demandés]]="","",IF(registreGarantie[[#This Row],[date paiement]]="","",registreGarantie[[#This Row],[date paiement]]+91))</f>
        <v>45882</v>
      </c>
      <c r="X4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5" s="74" t="str">
        <f ca="1">IF(registreGarantie[[#This Row],[Colonne1]]=0,"",IF(TODAY()&gt;registreGarantie[[#This Row],[Date rebus]],0,1))</f>
        <v/>
      </c>
      <c r="Z485" s="66"/>
      <c r="AA485" s="73">
        <f>IF(AND(registreGarantie[[#This Row],[Montant non remboursé]]&gt;1,registreGarantie[[#This Row],[Montant non remboursé]]&lt;&gt;""),1,"")</f>
        <v>1</v>
      </c>
      <c r="AB485" s="66"/>
      <c r="AC485" s="66"/>
      <c r="AD485" s="87">
        <f t="shared" si="7"/>
        <v>485</v>
      </c>
      <c r="AE485" s="109"/>
    </row>
    <row r="486" spans="1:31" ht="18" customHeight="1" thickBot="1" x14ac:dyDescent="0.4">
      <c r="A486" s="64">
        <v>45144</v>
      </c>
      <c r="B486" s="64">
        <v>44061</v>
      </c>
      <c r="C486" s="106">
        <v>45784</v>
      </c>
      <c r="D486" s="66" t="s">
        <v>86</v>
      </c>
      <c r="E486" s="66" t="s">
        <v>45</v>
      </c>
      <c r="F486" s="68" t="s">
        <v>2239</v>
      </c>
      <c r="G486" s="66" t="s">
        <v>1645</v>
      </c>
      <c r="H486" s="64">
        <v>3530</v>
      </c>
      <c r="I486" s="67" t="s">
        <v>18</v>
      </c>
      <c r="J486" s="97">
        <v>404652457</v>
      </c>
      <c r="K486" s="66"/>
      <c r="L486" s="68"/>
      <c r="M486" s="69"/>
      <c r="N486" s="69"/>
      <c r="O486" s="70" t="str">
        <f>IF(registreGarantie[[#This Row],[date paiement]]="","",registreGarantie[[#This Row],[Pièces 
Demandés]]-registreGarantie[[#This Row],[Pièces 
Remboursés]])</f>
        <v/>
      </c>
      <c r="P486" s="69"/>
      <c r="Q486" s="69"/>
      <c r="R486" s="70" t="str">
        <f>IF(registreGarantie[[#This Row],[date paiement]]="","",registreGarantie[[#This Row],[MO
Demandé]]-registreGarantie[[#This Row],[MO
Remboursé]])</f>
        <v/>
      </c>
      <c r="S486" s="69"/>
      <c r="T486" s="70" t="str">
        <f>IF(registreGarantie[[#This Row],[date paiement]]="","",registreGarantie[[#This Row],[MO
Refusé]]+registreGarantie[[#This Row],[Pièces
Refusés]])</f>
        <v/>
      </c>
      <c r="U486" s="106"/>
      <c r="V486" s="71" t="str">
        <f>IF(registreGarantie[[#This Row],[Pièces 
Demandés]]="","",registreGarantie[[#This Row],[Date]])</f>
        <v/>
      </c>
      <c r="W486" s="103" t="str">
        <f>IF(registreGarantie[[#This Row],[Pièces 
Demandés]]="","",IF(registreGarantie[[#This Row],[date paiement]]="","",registreGarantie[[#This Row],[date paiement]]+91))</f>
        <v/>
      </c>
      <c r="X4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6" s="74" t="str">
        <f ca="1">IF(registreGarantie[[#This Row],[Colonne1]]=0,"",IF(TODAY()&gt;registreGarantie[[#This Row],[Date rebus]],0,1))</f>
        <v/>
      </c>
      <c r="Z486" s="66"/>
      <c r="AA486" s="73" t="str">
        <f>IF(AND(registreGarantie[[#This Row],[Montant non remboursé]]&gt;1,registreGarantie[[#This Row],[Montant non remboursé]]&lt;&gt;""),1,"")</f>
        <v/>
      </c>
      <c r="AB486" s="66"/>
      <c r="AC486" s="66"/>
      <c r="AD486" s="87">
        <f t="shared" si="7"/>
        <v>486</v>
      </c>
      <c r="AE486" s="109"/>
    </row>
    <row r="487" spans="1:31" ht="18" customHeight="1" thickBot="1" x14ac:dyDescent="0.4">
      <c r="A487" s="64">
        <v>45144</v>
      </c>
      <c r="B487" s="64">
        <v>44061</v>
      </c>
      <c r="C487" s="106">
        <v>45784</v>
      </c>
      <c r="D487" s="66" t="s">
        <v>86</v>
      </c>
      <c r="E487" s="66" t="s">
        <v>45</v>
      </c>
      <c r="F487" s="68" t="s">
        <v>2239</v>
      </c>
      <c r="G487" s="66" t="s">
        <v>1645</v>
      </c>
      <c r="H487" s="64">
        <v>3530</v>
      </c>
      <c r="I487" s="67" t="s">
        <v>19</v>
      </c>
      <c r="J487" s="97">
        <v>404652480</v>
      </c>
      <c r="K487" s="66"/>
      <c r="L487" s="68"/>
      <c r="M487" s="69"/>
      <c r="N487" s="69"/>
      <c r="O487" s="70" t="str">
        <f>IF(registreGarantie[[#This Row],[date paiement]]="","",registreGarantie[[#This Row],[Pièces 
Demandés]]-registreGarantie[[#This Row],[Pièces 
Remboursés]])</f>
        <v/>
      </c>
      <c r="P487" s="69"/>
      <c r="Q487" s="69"/>
      <c r="R487" s="70" t="str">
        <f>IF(registreGarantie[[#This Row],[date paiement]]="","",registreGarantie[[#This Row],[MO
Demandé]]-registreGarantie[[#This Row],[MO
Remboursé]])</f>
        <v/>
      </c>
      <c r="S487" s="69"/>
      <c r="T487" s="70" t="str">
        <f>IF(registreGarantie[[#This Row],[date paiement]]="","",registreGarantie[[#This Row],[MO
Refusé]]+registreGarantie[[#This Row],[Pièces
Refusés]])</f>
        <v/>
      </c>
      <c r="U487" s="106"/>
      <c r="V487" s="71" t="str">
        <f>IF(registreGarantie[[#This Row],[Pièces 
Demandés]]="","",registreGarantie[[#This Row],[Date]])</f>
        <v/>
      </c>
      <c r="W487" s="103" t="str">
        <f>IF(registreGarantie[[#This Row],[Pièces 
Demandés]]="","",IF(registreGarantie[[#This Row],[date paiement]]="","",registreGarantie[[#This Row],[date paiement]]+91))</f>
        <v/>
      </c>
      <c r="X4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7" s="74" t="str">
        <f ca="1">IF(registreGarantie[[#This Row],[Colonne1]]=0,"",IF(TODAY()&gt;registreGarantie[[#This Row],[Date rebus]],0,1))</f>
        <v/>
      </c>
      <c r="Z487" s="66"/>
      <c r="AA487" s="73" t="str">
        <f>IF(AND(registreGarantie[[#This Row],[Montant non remboursé]]&gt;1,registreGarantie[[#This Row],[Montant non remboursé]]&lt;&gt;""),1,"")</f>
        <v/>
      </c>
      <c r="AB487" s="66"/>
      <c r="AC487" s="66"/>
      <c r="AD487" s="87">
        <f t="shared" si="7"/>
        <v>487</v>
      </c>
      <c r="AE487" s="109"/>
    </row>
    <row r="488" spans="1:31" ht="18" customHeight="1" thickBot="1" x14ac:dyDescent="0.4">
      <c r="A488" s="64">
        <v>45145</v>
      </c>
      <c r="B488" s="64">
        <v>44095</v>
      </c>
      <c r="C488" s="106">
        <v>45786</v>
      </c>
      <c r="D488" s="66" t="s">
        <v>1081</v>
      </c>
      <c r="E488" s="66" t="s">
        <v>254</v>
      </c>
      <c r="F488" s="68" t="s">
        <v>2310</v>
      </c>
      <c r="G488" s="66" t="s">
        <v>1737</v>
      </c>
      <c r="H488" s="64">
        <v>2451</v>
      </c>
      <c r="I488" s="67" t="s">
        <v>23</v>
      </c>
      <c r="J488" s="97">
        <v>404656363</v>
      </c>
      <c r="K488" s="66"/>
      <c r="L488" s="68"/>
      <c r="M488" s="69">
        <v>696.26</v>
      </c>
      <c r="N488" s="69">
        <v>696.26</v>
      </c>
      <c r="O488" s="70" t="str">
        <f>IF(registreGarantie[[#This Row],[date paiement]]="","",registreGarantie[[#This Row],[Pièces 
Demandés]]-registreGarantie[[#This Row],[Pièces 
Remboursés]])</f>
        <v/>
      </c>
      <c r="P488" s="69">
        <v>655</v>
      </c>
      <c r="Q488" s="69">
        <v>655</v>
      </c>
      <c r="R488" s="70" t="str">
        <f>IF(registreGarantie[[#This Row],[date paiement]]="","",registreGarantie[[#This Row],[MO
Demandé]]-registreGarantie[[#This Row],[MO
Remboursé]])</f>
        <v/>
      </c>
      <c r="S488" s="69"/>
      <c r="T488" s="70" t="str">
        <f>IF(registreGarantie[[#This Row],[date paiement]]="","",registreGarantie[[#This Row],[MO
Refusé]]+registreGarantie[[#This Row],[Pièces
Refusés]])</f>
        <v/>
      </c>
      <c r="U488" s="106"/>
      <c r="V488" s="71">
        <f>IF(registreGarantie[[#This Row],[Pièces 
Demandés]]="","",registreGarantie[[#This Row],[Date]])</f>
        <v>45786</v>
      </c>
      <c r="W488" s="103" t="str">
        <f>IF(registreGarantie[[#This Row],[Pièces 
Demandés]]="","",IF(registreGarantie[[#This Row],[date paiement]]="","",registreGarantie[[#This Row],[date paiement]]+91))</f>
        <v/>
      </c>
      <c r="X4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8" s="74" t="str">
        <f ca="1">IF(registreGarantie[[#This Row],[Colonne1]]=0,"",IF(TODAY()&gt;registreGarantie[[#This Row],[Date rebus]],0,1))</f>
        <v/>
      </c>
      <c r="Z488" s="66"/>
      <c r="AA488" s="73" t="str">
        <f>IF(AND(registreGarantie[[#This Row],[Montant non remboursé]]&gt;1,registreGarantie[[#This Row],[Montant non remboursé]]&lt;&gt;""),1,"")</f>
        <v/>
      </c>
      <c r="AB488" s="66"/>
      <c r="AC488" s="66"/>
      <c r="AD488" s="87">
        <f t="shared" si="7"/>
        <v>488</v>
      </c>
      <c r="AE488" s="109"/>
    </row>
    <row r="489" spans="1:31" ht="18" customHeight="1" thickBot="1" x14ac:dyDescent="0.4">
      <c r="A489" s="64">
        <v>45145</v>
      </c>
      <c r="B489" s="64">
        <v>44095</v>
      </c>
      <c r="C489" s="106">
        <v>45786</v>
      </c>
      <c r="D489" s="66" t="s">
        <v>1081</v>
      </c>
      <c r="E489" s="66" t="s">
        <v>254</v>
      </c>
      <c r="F489" s="68" t="s">
        <v>2310</v>
      </c>
      <c r="G489" s="66" t="s">
        <v>1737</v>
      </c>
      <c r="H489" s="64">
        <v>2451</v>
      </c>
      <c r="I489" s="67" t="s">
        <v>24</v>
      </c>
      <c r="J489" s="97">
        <v>404656364</v>
      </c>
      <c r="K489" s="66"/>
      <c r="L489" s="68"/>
      <c r="M489" s="69">
        <v>504.37</v>
      </c>
      <c r="N489" s="69">
        <v>504.37</v>
      </c>
      <c r="O489" s="69" t="str">
        <f>IF(registreGarantie[[#This Row],[date paiement]]="","",registreGarantie[[#This Row],[Pièces 
Demandés]]-registreGarantie[[#This Row],[Pièces 
Remboursés]])</f>
        <v/>
      </c>
      <c r="P489" s="69">
        <v>655</v>
      </c>
      <c r="Q489" s="69">
        <v>655</v>
      </c>
      <c r="R489" s="70" t="str">
        <f>IF(registreGarantie[[#This Row],[date paiement]]="","",registreGarantie[[#This Row],[MO
Demandé]]-registreGarantie[[#This Row],[MO
Remboursé]])</f>
        <v/>
      </c>
      <c r="S489" s="69"/>
      <c r="T489" s="70" t="str">
        <f>IF(registreGarantie[[#This Row],[date paiement]]="","",registreGarantie[[#This Row],[MO
Refusé]]+registreGarantie[[#This Row],[Pièces
Refusés]])</f>
        <v/>
      </c>
      <c r="U489" s="106"/>
      <c r="V489" s="71">
        <f>IF(registreGarantie[[#This Row],[Pièces 
Demandés]]="","",registreGarantie[[#This Row],[Date]])</f>
        <v>45786</v>
      </c>
      <c r="W489" s="103" t="str">
        <f>IF(registreGarantie[[#This Row],[Pièces 
Demandés]]="","",IF(registreGarantie[[#This Row],[date paiement]]="","",registreGarantie[[#This Row],[date paiement]]+91))</f>
        <v/>
      </c>
      <c r="X4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89" s="74" t="str">
        <f ca="1">IF(registreGarantie[[#This Row],[Colonne1]]=0,"",IF(TODAY()&gt;registreGarantie[[#This Row],[Date rebus]],0,1))</f>
        <v/>
      </c>
      <c r="Z489" s="66"/>
      <c r="AA489" s="73" t="str">
        <f>IF(AND(registreGarantie[[#This Row],[Montant non remboursé]]&gt;1,registreGarantie[[#This Row],[Montant non remboursé]]&lt;&gt;""),1,"")</f>
        <v/>
      </c>
      <c r="AB489" s="66"/>
      <c r="AC489" s="66"/>
      <c r="AD489" s="87">
        <f t="shared" si="7"/>
        <v>489</v>
      </c>
      <c r="AE489" s="109"/>
    </row>
    <row r="490" spans="1:31" ht="18" customHeight="1" thickBot="1" x14ac:dyDescent="0.4">
      <c r="A490" s="64">
        <v>45146</v>
      </c>
      <c r="B490" s="64">
        <v>44203</v>
      </c>
      <c r="C490" s="106">
        <v>45789</v>
      </c>
      <c r="D490" s="66" t="s">
        <v>1535</v>
      </c>
      <c r="E490" s="66" t="s">
        <v>287</v>
      </c>
      <c r="F490" s="68" t="s">
        <v>2266</v>
      </c>
      <c r="G490" s="66" t="s">
        <v>1531</v>
      </c>
      <c r="H490" s="64" t="s">
        <v>2154</v>
      </c>
      <c r="I490" s="67" t="s">
        <v>15</v>
      </c>
      <c r="J490" s="97">
        <v>404657971</v>
      </c>
      <c r="K490" s="66"/>
      <c r="L490" s="68"/>
      <c r="M490" s="69">
        <v>125.68</v>
      </c>
      <c r="N490" s="69"/>
      <c r="O490" s="70" t="str">
        <f>IF(registreGarantie[[#This Row],[date paiement]]="","",registreGarantie[[#This Row],[Pièces 
Demandés]]-registreGarantie[[#This Row],[Pièces 
Remboursés]])</f>
        <v/>
      </c>
      <c r="P490" s="69">
        <v>65.5</v>
      </c>
      <c r="Q490" s="69"/>
      <c r="R490" s="70" t="str">
        <f>IF(registreGarantie[[#This Row],[date paiement]]="","",registreGarantie[[#This Row],[MO
Demandé]]-registreGarantie[[#This Row],[MO
Remboursé]])</f>
        <v/>
      </c>
      <c r="S490" s="69"/>
      <c r="T490" s="70" t="str">
        <f>IF(registreGarantie[[#This Row],[date paiement]]="","",registreGarantie[[#This Row],[MO
Refusé]]+registreGarantie[[#This Row],[Pièces
Refusés]])</f>
        <v/>
      </c>
      <c r="U490" s="106"/>
      <c r="V490" s="71">
        <f>IF(registreGarantie[[#This Row],[Pièces 
Demandés]]="","",registreGarantie[[#This Row],[Date]])</f>
        <v>45789</v>
      </c>
      <c r="W490" s="103" t="str">
        <f>IF(registreGarantie[[#This Row],[Pièces 
Demandés]]="","",IF(registreGarantie[[#This Row],[date paiement]]="","",registreGarantie[[#This Row],[date paiement]]+91))</f>
        <v/>
      </c>
      <c r="X4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90" s="74" t="str">
        <f ca="1">IF(registreGarantie[[#This Row],[Colonne1]]=0,"",IF(TODAY()&gt;registreGarantie[[#This Row],[Date rebus]],0,1))</f>
        <v/>
      </c>
      <c r="Z490" s="66"/>
      <c r="AA490" s="73" t="str">
        <f>IF(AND(registreGarantie[[#This Row],[Montant non remboursé]]&gt;1,registreGarantie[[#This Row],[Montant non remboursé]]&lt;&gt;""),1,"")</f>
        <v/>
      </c>
      <c r="AB490" s="66"/>
      <c r="AC490" s="66"/>
      <c r="AD490" s="87">
        <f t="shared" si="7"/>
        <v>490</v>
      </c>
      <c r="AE490" s="109"/>
    </row>
    <row r="491" spans="1:31" ht="18" customHeight="1" thickBot="1" x14ac:dyDescent="0.4">
      <c r="A491" s="64">
        <v>45147</v>
      </c>
      <c r="B491" s="64">
        <v>44255</v>
      </c>
      <c r="C491" s="106">
        <v>45789</v>
      </c>
      <c r="D491" s="66" t="s">
        <v>516</v>
      </c>
      <c r="E491" s="66" t="s">
        <v>63</v>
      </c>
      <c r="F491" s="68" t="s">
        <v>2322</v>
      </c>
      <c r="G491" s="66" t="s">
        <v>1049</v>
      </c>
      <c r="H491" s="64">
        <v>565</v>
      </c>
      <c r="I491" s="67" t="s">
        <v>2</v>
      </c>
      <c r="J491" s="97">
        <v>404458335</v>
      </c>
      <c r="K491" s="66"/>
      <c r="L491" s="68"/>
      <c r="M491" s="69">
        <v>31.2</v>
      </c>
      <c r="N491" s="69">
        <v>31.2</v>
      </c>
      <c r="O491" s="70">
        <f>IF(registreGarantie[[#This Row],[date paiement]]="","",registreGarantie[[#This Row],[Pièces 
Demandés]]-registreGarantie[[#This Row],[Pièces 
Remboursés]])</f>
        <v>0</v>
      </c>
      <c r="P491" s="69">
        <v>163.75</v>
      </c>
      <c r="Q491" s="69">
        <v>163.75</v>
      </c>
      <c r="R491" s="70">
        <f>IF(registreGarantie[[#This Row],[date paiement]]="","",registreGarantie[[#This Row],[MO
Demandé]]-registreGarantie[[#This Row],[MO
Remboursé]])</f>
        <v>0</v>
      </c>
      <c r="S491" s="69"/>
      <c r="T491" s="70">
        <f>IF(registreGarantie[[#This Row],[date paiement]]="","",registreGarantie[[#This Row],[MO
Refusé]]+registreGarantie[[#This Row],[Pièces
Refusés]])</f>
        <v>0</v>
      </c>
      <c r="U491" s="106">
        <v>45792</v>
      </c>
      <c r="V491" s="71">
        <f>IF(registreGarantie[[#This Row],[Pièces 
Demandés]]="","",registreGarantie[[#This Row],[Date]])</f>
        <v>45789</v>
      </c>
      <c r="W491" s="103">
        <f>IF(registreGarantie[[#This Row],[Pièces 
Demandés]]="","",IF(registreGarantie[[#This Row],[date paiement]]="","",registreGarantie[[#This Row],[date paiement]]+91))</f>
        <v>45883</v>
      </c>
      <c r="X4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1" s="74">
        <f ca="1">IF(registreGarantie[[#This Row],[Colonne1]]=0,"",IF(TODAY()&gt;registreGarantie[[#This Row],[Date rebus]],0,1))</f>
        <v>0</v>
      </c>
      <c r="Z491" s="66"/>
      <c r="AA491" s="73" t="str">
        <f>IF(AND(registreGarantie[[#This Row],[Montant non remboursé]]&gt;1,registreGarantie[[#This Row],[Montant non remboursé]]&lt;&gt;""),1,"")</f>
        <v/>
      </c>
      <c r="AB491" s="66"/>
      <c r="AC491" s="66"/>
      <c r="AD491" s="87">
        <f t="shared" si="7"/>
        <v>491</v>
      </c>
      <c r="AE491" s="109"/>
    </row>
    <row r="492" spans="1:31" ht="18" customHeight="1" thickBot="1" x14ac:dyDescent="0.4">
      <c r="A492" s="64">
        <v>45148</v>
      </c>
      <c r="B492" s="64">
        <v>6175</v>
      </c>
      <c r="C492" s="106">
        <v>45791</v>
      </c>
      <c r="D492" s="66" t="s">
        <v>509</v>
      </c>
      <c r="E492" s="66" t="s">
        <v>440</v>
      </c>
      <c r="F492" s="68" t="s">
        <v>2300</v>
      </c>
      <c r="G492" s="66" t="s">
        <v>2164</v>
      </c>
      <c r="H492" s="64">
        <v>2144</v>
      </c>
      <c r="I492" s="67" t="s">
        <v>20</v>
      </c>
      <c r="J492" s="97">
        <v>404661548</v>
      </c>
      <c r="K492" s="66"/>
      <c r="L492" s="68"/>
      <c r="M492" s="69"/>
      <c r="N492" s="69"/>
      <c r="O492" s="70" t="str">
        <f>IF(registreGarantie[[#This Row],[date paiement]]="","",registreGarantie[[#This Row],[Pièces 
Demandés]]-registreGarantie[[#This Row],[Pièces 
Remboursés]])</f>
        <v/>
      </c>
      <c r="P492" s="69"/>
      <c r="Q492" s="69"/>
      <c r="R492" s="70" t="str">
        <f>IF(registreGarantie[[#This Row],[date paiement]]="","",registreGarantie[[#This Row],[MO
Demandé]]-registreGarantie[[#This Row],[MO
Remboursé]])</f>
        <v/>
      </c>
      <c r="S492" s="69"/>
      <c r="T492" s="70" t="str">
        <f>IF(registreGarantie[[#This Row],[date paiement]]="","",registreGarantie[[#This Row],[MO
Refusé]]+registreGarantie[[#This Row],[Pièces
Refusés]])</f>
        <v/>
      </c>
      <c r="U492" s="106"/>
      <c r="V492" s="71" t="str">
        <f>IF(registreGarantie[[#This Row],[Pièces 
Demandés]]="","",registreGarantie[[#This Row],[Date]])</f>
        <v/>
      </c>
      <c r="W492" s="103" t="str">
        <f>IF(registreGarantie[[#This Row],[Pièces 
Demandés]]="","",IF(registreGarantie[[#This Row],[date paiement]]="","",registreGarantie[[#This Row],[date paiement]]+91))</f>
        <v/>
      </c>
      <c r="X4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92" s="74" t="str">
        <f ca="1">IF(registreGarantie[[#This Row],[Colonne1]]=0,"",IF(TODAY()&gt;registreGarantie[[#This Row],[Date rebus]],0,1))</f>
        <v/>
      </c>
      <c r="Z492" s="66"/>
      <c r="AA492" s="73" t="str">
        <f>IF(AND(registreGarantie[[#This Row],[Montant non remboursé]]&gt;1,registreGarantie[[#This Row],[Montant non remboursé]]&lt;&gt;""),1,"")</f>
        <v/>
      </c>
      <c r="AB492" s="66"/>
      <c r="AC492" s="66"/>
      <c r="AD492" s="87">
        <f t="shared" si="7"/>
        <v>492</v>
      </c>
      <c r="AE492" s="109"/>
    </row>
    <row r="493" spans="1:31" ht="18" customHeight="1" thickBot="1" x14ac:dyDescent="0.4">
      <c r="A493" s="64">
        <v>45148</v>
      </c>
      <c r="B493" s="64">
        <v>6175</v>
      </c>
      <c r="C493" s="106">
        <v>45807</v>
      </c>
      <c r="D493" s="66" t="s">
        <v>509</v>
      </c>
      <c r="E493" s="66" t="s">
        <v>440</v>
      </c>
      <c r="F493" s="68" t="s">
        <v>2300</v>
      </c>
      <c r="G493" s="66" t="s">
        <v>2164</v>
      </c>
      <c r="H493" s="64">
        <v>2144</v>
      </c>
      <c r="I493" s="67" t="s">
        <v>3</v>
      </c>
      <c r="J493" s="97">
        <v>404661548</v>
      </c>
      <c r="K493" s="66"/>
      <c r="L493" s="68"/>
      <c r="M493" s="69">
        <v>608.52</v>
      </c>
      <c r="N493" s="69">
        <v>608.52</v>
      </c>
      <c r="O493" s="69">
        <f>IF(registreGarantie[[#This Row],[date paiement]]="","",registreGarantie[[#This Row],[Pièces 
Demandés]]-registreGarantie[[#This Row],[Pièces 
Remboursés]])</f>
        <v>0</v>
      </c>
      <c r="P493" s="69">
        <v>655</v>
      </c>
      <c r="Q493" s="69">
        <v>655</v>
      </c>
      <c r="R493" s="70">
        <f>IF(registreGarantie[[#This Row],[date paiement]]="","",registreGarantie[[#This Row],[MO
Demandé]]-registreGarantie[[#This Row],[MO
Remboursé]])</f>
        <v>0</v>
      </c>
      <c r="S493" s="69">
        <v>150</v>
      </c>
      <c r="T493" s="70">
        <f>IF(registreGarantie[[#This Row],[date paiement]]="","",registreGarantie[[#This Row],[MO
Refusé]]+registreGarantie[[#This Row],[Pièces
Refusés]])</f>
        <v>0</v>
      </c>
      <c r="U493" s="106">
        <v>45842</v>
      </c>
      <c r="V493" s="71">
        <f>IF(registreGarantie[[#This Row],[Pièces 
Demandés]]="","",registreGarantie[[#This Row],[Date]])</f>
        <v>45807</v>
      </c>
      <c r="W493" s="103">
        <f>IF(registreGarantie[[#This Row],[Pièces 
Demandés]]="","",IF(registreGarantie[[#This Row],[date paiement]]="","",registreGarantie[[#This Row],[date paiement]]+91))</f>
        <v>45933</v>
      </c>
      <c r="X4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3" s="74">
        <f ca="1">IF(registreGarantie[[#This Row],[Colonne1]]=0,"",IF(TODAY()&gt;registreGarantie[[#This Row],[Date rebus]],0,1))</f>
        <v>0</v>
      </c>
      <c r="Z493" s="66"/>
      <c r="AA493" s="73" t="str">
        <f>IF(AND(registreGarantie[[#This Row],[Montant non remboursé]]&gt;1,registreGarantie[[#This Row],[Montant non remboursé]]&lt;&gt;""),1,"")</f>
        <v/>
      </c>
      <c r="AB493" s="66"/>
      <c r="AC493" s="66"/>
      <c r="AD493" s="87">
        <f t="shared" si="7"/>
        <v>493</v>
      </c>
      <c r="AE493" s="109"/>
    </row>
    <row r="494" spans="1:31" ht="42.6" customHeight="1" thickBot="1" x14ac:dyDescent="0.4">
      <c r="A494" s="64">
        <v>45149</v>
      </c>
      <c r="B494" s="64">
        <v>6052</v>
      </c>
      <c r="C494" s="106">
        <v>45792</v>
      </c>
      <c r="D494" s="66" t="s">
        <v>509</v>
      </c>
      <c r="E494" s="66" t="s">
        <v>440</v>
      </c>
      <c r="F494" s="68" t="s">
        <v>2300</v>
      </c>
      <c r="G494" s="66" t="s">
        <v>1012</v>
      </c>
      <c r="H494" s="64">
        <v>1908</v>
      </c>
      <c r="I494" s="67" t="s">
        <v>18</v>
      </c>
      <c r="J494" s="97">
        <v>404663978</v>
      </c>
      <c r="K494" s="66" t="s">
        <v>2165</v>
      </c>
      <c r="L494" s="68"/>
      <c r="M494" s="69"/>
      <c r="N494" s="69"/>
      <c r="O494" s="70" t="str">
        <f>IF(registreGarantie[[#This Row],[date paiement]]="","",registreGarantie[[#This Row],[Pièces 
Demandés]]-registreGarantie[[#This Row],[Pièces 
Remboursés]])</f>
        <v/>
      </c>
      <c r="P494" s="69"/>
      <c r="Q494" s="69"/>
      <c r="R494" s="70" t="str">
        <f>IF(registreGarantie[[#This Row],[date paiement]]="","",registreGarantie[[#This Row],[MO
Demandé]]-registreGarantie[[#This Row],[MO
Remboursé]])</f>
        <v/>
      </c>
      <c r="S494" s="69"/>
      <c r="T494" s="70" t="str">
        <f>IF(registreGarantie[[#This Row],[date paiement]]="","",registreGarantie[[#This Row],[MO
Refusé]]+registreGarantie[[#This Row],[Pièces
Refusés]])</f>
        <v/>
      </c>
      <c r="U494" s="106"/>
      <c r="V494" s="71" t="str">
        <f>IF(registreGarantie[[#This Row],[Pièces 
Demandés]]="","",registreGarantie[[#This Row],[Date]])</f>
        <v/>
      </c>
      <c r="W494" s="103" t="str">
        <f>IF(registreGarantie[[#This Row],[Pièces 
Demandés]]="","",IF(registreGarantie[[#This Row],[date paiement]]="","",registreGarantie[[#This Row],[date paiement]]+91))</f>
        <v/>
      </c>
      <c r="X4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94" s="74" t="str">
        <f ca="1">IF(registreGarantie[[#This Row],[Colonne1]]=0,"",IF(TODAY()&gt;registreGarantie[[#This Row],[Date rebus]],0,1))</f>
        <v/>
      </c>
      <c r="Z494" s="66"/>
      <c r="AA494" s="73" t="str">
        <f>IF(AND(registreGarantie[[#This Row],[Montant non remboursé]]&gt;1,registreGarantie[[#This Row],[Montant non remboursé]]&lt;&gt;""),1,"")</f>
        <v/>
      </c>
      <c r="AB494" s="66"/>
      <c r="AC494" s="66"/>
      <c r="AD494" s="87">
        <f t="shared" si="7"/>
        <v>494</v>
      </c>
      <c r="AE494" s="109"/>
    </row>
    <row r="495" spans="1:31" ht="34.200000000000003" customHeight="1" thickBot="1" x14ac:dyDescent="0.4">
      <c r="A495" s="64">
        <v>45149</v>
      </c>
      <c r="B495" s="64">
        <v>6052</v>
      </c>
      <c r="C495" s="106">
        <v>45792</v>
      </c>
      <c r="D495" s="66" t="s">
        <v>509</v>
      </c>
      <c r="E495" s="66" t="s">
        <v>440</v>
      </c>
      <c r="F495" s="68" t="s">
        <v>2300</v>
      </c>
      <c r="G495" s="66" t="s">
        <v>1012</v>
      </c>
      <c r="H495" s="64">
        <v>1908</v>
      </c>
      <c r="I495" s="67" t="s">
        <v>19</v>
      </c>
      <c r="J495" s="97">
        <v>404663996</v>
      </c>
      <c r="K495" s="66" t="s">
        <v>2165</v>
      </c>
      <c r="L495" s="68"/>
      <c r="M495" s="69"/>
      <c r="N495" s="69"/>
      <c r="O495" s="69" t="str">
        <f>IF(registreGarantie[[#This Row],[date paiement]]="","",registreGarantie[[#This Row],[Pièces 
Demandés]]-registreGarantie[[#This Row],[Pièces 
Remboursés]])</f>
        <v/>
      </c>
      <c r="P495" s="69"/>
      <c r="Q495" s="69"/>
      <c r="R495" s="70" t="str">
        <f>IF(registreGarantie[[#This Row],[date paiement]]="","",registreGarantie[[#This Row],[MO
Demandé]]-registreGarantie[[#This Row],[MO
Remboursé]])</f>
        <v/>
      </c>
      <c r="S495" s="69"/>
      <c r="T495" s="70" t="str">
        <f>IF(registreGarantie[[#This Row],[date paiement]]="","",registreGarantie[[#This Row],[MO
Refusé]]+registreGarantie[[#This Row],[Pièces
Refusés]])</f>
        <v/>
      </c>
      <c r="U495" s="106"/>
      <c r="V495" s="71" t="str">
        <f>IF(registreGarantie[[#This Row],[Pièces 
Demandés]]="","",registreGarantie[[#This Row],[Date]])</f>
        <v/>
      </c>
      <c r="W495" s="103" t="str">
        <f>IF(registreGarantie[[#This Row],[Pièces 
Demandés]]="","",IF(registreGarantie[[#This Row],[date paiement]]="","",registreGarantie[[#This Row],[date paiement]]+91))</f>
        <v/>
      </c>
      <c r="X4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95" s="74" t="str">
        <f ca="1">IF(registreGarantie[[#This Row],[Colonne1]]=0,"",IF(TODAY()&gt;registreGarantie[[#This Row],[Date rebus]],0,1))</f>
        <v/>
      </c>
      <c r="Z495" s="66"/>
      <c r="AA495" s="73" t="str">
        <f>IF(AND(registreGarantie[[#This Row],[Montant non remboursé]]&gt;1,registreGarantie[[#This Row],[Montant non remboursé]]&lt;&gt;""),1,"")</f>
        <v/>
      </c>
      <c r="AB495" s="66"/>
      <c r="AC495" s="66"/>
      <c r="AD495" s="87">
        <f t="shared" si="7"/>
        <v>495</v>
      </c>
      <c r="AE495" s="109"/>
    </row>
    <row r="496" spans="1:31" ht="18" customHeight="1" thickBot="1" x14ac:dyDescent="0.4">
      <c r="A496" s="64">
        <v>45150</v>
      </c>
      <c r="B496" s="64">
        <v>44301</v>
      </c>
      <c r="C496" s="106">
        <v>45792</v>
      </c>
      <c r="D496" s="66" t="s">
        <v>746</v>
      </c>
      <c r="E496" s="66" t="s">
        <v>718</v>
      </c>
      <c r="F496" s="68"/>
      <c r="G496" s="66" t="s">
        <v>2166</v>
      </c>
      <c r="H496" s="64">
        <v>209</v>
      </c>
      <c r="I496" s="67" t="s">
        <v>20</v>
      </c>
      <c r="J496" s="97">
        <v>404664191</v>
      </c>
      <c r="K496" s="66"/>
      <c r="L496" s="68"/>
      <c r="M496" s="69"/>
      <c r="N496" s="69"/>
      <c r="O496" s="70" t="str">
        <f>IF(registreGarantie[[#This Row],[date paiement]]="","",registreGarantie[[#This Row],[Pièces 
Demandés]]-registreGarantie[[#This Row],[Pièces 
Remboursés]])</f>
        <v/>
      </c>
      <c r="P496" s="69"/>
      <c r="Q496" s="69"/>
      <c r="R496" s="70" t="str">
        <f>IF(registreGarantie[[#This Row],[date paiement]]="","",registreGarantie[[#This Row],[MO
Demandé]]-registreGarantie[[#This Row],[MO
Remboursé]])</f>
        <v/>
      </c>
      <c r="S496" s="69"/>
      <c r="T496" s="70" t="str">
        <f>IF(registreGarantie[[#This Row],[date paiement]]="","",registreGarantie[[#This Row],[MO
Refusé]]+registreGarantie[[#This Row],[Pièces
Refusés]])</f>
        <v/>
      </c>
      <c r="U496" s="106"/>
      <c r="V496" s="71" t="str">
        <f>IF(registreGarantie[[#This Row],[Pièces 
Demandés]]="","",registreGarantie[[#This Row],[Date]])</f>
        <v/>
      </c>
      <c r="W496" s="103" t="str">
        <f>IF(registreGarantie[[#This Row],[Pièces 
Demandés]]="","",IF(registreGarantie[[#This Row],[date paiement]]="","",registreGarantie[[#This Row],[date paiement]]+91))</f>
        <v/>
      </c>
      <c r="X4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496" s="74" t="str">
        <f ca="1">IF(registreGarantie[[#This Row],[Colonne1]]=0,"",IF(TODAY()&gt;registreGarantie[[#This Row],[Date rebus]],0,1))</f>
        <v/>
      </c>
      <c r="Z496" s="66"/>
      <c r="AA496" s="73" t="str">
        <f>IF(AND(registreGarantie[[#This Row],[Montant non remboursé]]&gt;1,registreGarantie[[#This Row],[Montant non remboursé]]&lt;&gt;""),1,"")</f>
        <v/>
      </c>
      <c r="AB496" s="66"/>
      <c r="AC496" s="66"/>
      <c r="AD496" s="87">
        <f t="shared" si="7"/>
        <v>496</v>
      </c>
      <c r="AE496" s="109"/>
    </row>
    <row r="497" spans="1:31" ht="18" customHeight="1" thickBot="1" x14ac:dyDescent="0.4">
      <c r="A497" s="64">
        <v>45150</v>
      </c>
      <c r="B497" s="64">
        <v>44301</v>
      </c>
      <c r="C497" s="106">
        <v>45792</v>
      </c>
      <c r="D497" s="66" t="s">
        <v>746</v>
      </c>
      <c r="E497" s="66" t="s">
        <v>718</v>
      </c>
      <c r="F497" s="68"/>
      <c r="G497" s="66" t="s">
        <v>2166</v>
      </c>
      <c r="H497" s="64">
        <v>209</v>
      </c>
      <c r="I497" s="67" t="s">
        <v>2</v>
      </c>
      <c r="J497" s="97">
        <v>404664191</v>
      </c>
      <c r="K497" s="66"/>
      <c r="L497" s="68"/>
      <c r="M497" s="69">
        <v>5.21</v>
      </c>
      <c r="N497" s="69">
        <v>5.21</v>
      </c>
      <c r="O497" s="69">
        <f>IF(registreGarantie[[#This Row],[date paiement]]="","",registreGarantie[[#This Row],[Pièces 
Demandés]]-registreGarantie[[#This Row],[Pièces 
Remboursés]])</f>
        <v>0</v>
      </c>
      <c r="P497" s="69">
        <v>26.2</v>
      </c>
      <c r="Q497" s="69">
        <v>26.2</v>
      </c>
      <c r="R497" s="70">
        <f>IF(registreGarantie[[#This Row],[date paiement]]="","",registreGarantie[[#This Row],[MO
Demandé]]-registreGarantie[[#This Row],[MO
Remboursé]])</f>
        <v>0</v>
      </c>
      <c r="S497" s="69"/>
      <c r="T497" s="70">
        <f>IF(registreGarantie[[#This Row],[date paiement]]="","",registreGarantie[[#This Row],[MO
Refusé]]+registreGarantie[[#This Row],[Pièces
Refusés]])</f>
        <v>0</v>
      </c>
      <c r="U497" s="106">
        <v>45810</v>
      </c>
      <c r="V497" s="71">
        <f>IF(registreGarantie[[#This Row],[Pièces 
Demandés]]="","",registreGarantie[[#This Row],[Date]])</f>
        <v>45792</v>
      </c>
      <c r="W497" s="103">
        <f>IF(registreGarantie[[#This Row],[Pièces 
Demandés]]="","",IF(registreGarantie[[#This Row],[date paiement]]="","",registreGarantie[[#This Row],[date paiement]]+91))</f>
        <v>45901</v>
      </c>
      <c r="X4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7" s="74">
        <f ca="1">IF(registreGarantie[[#This Row],[Colonne1]]=0,"",IF(TODAY()&gt;registreGarantie[[#This Row],[Date rebus]],0,1))</f>
        <v>0</v>
      </c>
      <c r="Z497" s="66"/>
      <c r="AA497" s="73" t="str">
        <f>IF(AND(registreGarantie[[#This Row],[Montant non remboursé]]&gt;1,registreGarantie[[#This Row],[Montant non remboursé]]&lt;&gt;""),1,"")</f>
        <v/>
      </c>
      <c r="AB497" s="66"/>
      <c r="AC497" s="66"/>
      <c r="AD497" s="87">
        <f t="shared" si="7"/>
        <v>497</v>
      </c>
      <c r="AE497" s="109"/>
    </row>
    <row r="498" spans="1:31" ht="18" customHeight="1" thickBot="1" x14ac:dyDescent="0.4">
      <c r="A498" s="64">
        <v>45151</v>
      </c>
      <c r="B498" s="64">
        <v>6156</v>
      </c>
      <c r="C498" s="106">
        <v>45792</v>
      </c>
      <c r="D498" s="66" t="s">
        <v>239</v>
      </c>
      <c r="E498" s="66" t="s">
        <v>546</v>
      </c>
      <c r="F498" s="68">
        <v>78410241</v>
      </c>
      <c r="G498" s="66" t="s">
        <v>146</v>
      </c>
      <c r="H498" s="64">
        <v>1581</v>
      </c>
      <c r="I498" s="67" t="s">
        <v>3</v>
      </c>
      <c r="J498" s="97">
        <v>404664273</v>
      </c>
      <c r="K498" s="66"/>
      <c r="L498" s="68"/>
      <c r="M498" s="69">
        <v>173.92</v>
      </c>
      <c r="N498" s="69">
        <v>173.62</v>
      </c>
      <c r="O498" s="70">
        <f>IF(registreGarantie[[#This Row],[date paiement]]="","",registreGarantie[[#This Row],[Pièces 
Demandés]]-registreGarantie[[#This Row],[Pièces 
Remboursés]])</f>
        <v>0.29999999999998295</v>
      </c>
      <c r="P498" s="69">
        <v>327.5</v>
      </c>
      <c r="Q498" s="69">
        <v>327.5</v>
      </c>
      <c r="R498" s="70">
        <f>IF(registreGarantie[[#This Row],[date paiement]]="","",registreGarantie[[#This Row],[MO
Demandé]]-registreGarantie[[#This Row],[MO
Remboursé]])</f>
        <v>0</v>
      </c>
      <c r="S498" s="69"/>
      <c r="T498" s="70">
        <f>IF(registreGarantie[[#This Row],[date paiement]]="","",registreGarantie[[#This Row],[MO
Refusé]]+registreGarantie[[#This Row],[Pièces
Refusés]])</f>
        <v>0.29999999999998295</v>
      </c>
      <c r="U498" s="106">
        <v>45810</v>
      </c>
      <c r="V498" s="71">
        <f>IF(registreGarantie[[#This Row],[Pièces 
Demandés]]="","",registreGarantie[[#This Row],[Date]])</f>
        <v>45792</v>
      </c>
      <c r="W498" s="103">
        <f>IF(registreGarantie[[#This Row],[Pièces 
Demandés]]="","",IF(registreGarantie[[#This Row],[date paiement]]="","",registreGarantie[[#This Row],[date paiement]]+91))</f>
        <v>45901</v>
      </c>
      <c r="X4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8" s="74">
        <f ca="1">IF(registreGarantie[[#This Row],[Colonne1]]=0,"",IF(TODAY()&gt;registreGarantie[[#This Row],[Date rebus]],0,1))</f>
        <v>0</v>
      </c>
      <c r="Z498" s="66"/>
      <c r="AA498" s="73" t="str">
        <f>IF(AND(registreGarantie[[#This Row],[Montant non remboursé]]&gt;1,registreGarantie[[#This Row],[Montant non remboursé]]&lt;&gt;""),1,"")</f>
        <v/>
      </c>
      <c r="AB498" s="66"/>
      <c r="AC498" s="66"/>
      <c r="AD498" s="87">
        <f t="shared" si="7"/>
        <v>498</v>
      </c>
      <c r="AE498" s="109"/>
    </row>
    <row r="499" spans="1:31" ht="18" customHeight="1" thickBot="1" x14ac:dyDescent="0.4">
      <c r="A499" s="64">
        <v>45152</v>
      </c>
      <c r="B499" s="64">
        <v>44202</v>
      </c>
      <c r="C499" s="106">
        <v>45793</v>
      </c>
      <c r="D499" s="66" t="s">
        <v>62</v>
      </c>
      <c r="E499" s="66" t="s">
        <v>2167</v>
      </c>
      <c r="F499" s="68"/>
      <c r="G499" s="66" t="s">
        <v>403</v>
      </c>
      <c r="H499" s="64">
        <v>50</v>
      </c>
      <c r="I499" s="67" t="s">
        <v>2</v>
      </c>
      <c r="J499" s="97" t="s">
        <v>2168</v>
      </c>
      <c r="K499" s="66"/>
      <c r="L499" s="68"/>
      <c r="M499" s="69">
        <v>1441.75</v>
      </c>
      <c r="N499" s="69">
        <v>1441.75</v>
      </c>
      <c r="O499" s="70">
        <f>IF(registreGarantie[[#This Row],[date paiement]]="","",registreGarantie[[#This Row],[Pièces 
Demandés]]-registreGarantie[[#This Row],[Pièces 
Remboursés]])</f>
        <v>0</v>
      </c>
      <c r="P499" s="69">
        <v>280</v>
      </c>
      <c r="Q499" s="69">
        <v>280</v>
      </c>
      <c r="R499" s="70">
        <f>IF(registreGarantie[[#This Row],[date paiement]]="","",registreGarantie[[#This Row],[MO
Demandé]]-registreGarantie[[#This Row],[MO
Remboursé]])</f>
        <v>0</v>
      </c>
      <c r="S499" s="69"/>
      <c r="T499" s="70">
        <f>IF(registreGarantie[[#This Row],[date paiement]]="","",registreGarantie[[#This Row],[MO
Refusé]]+registreGarantie[[#This Row],[Pièces
Refusés]])</f>
        <v>0</v>
      </c>
      <c r="U499" s="106">
        <v>45831</v>
      </c>
      <c r="V499" s="71">
        <f>IF(registreGarantie[[#This Row],[Pièces 
Demandés]]="","",registreGarantie[[#This Row],[Date]])</f>
        <v>45793</v>
      </c>
      <c r="W499" s="103">
        <f>IF(registreGarantie[[#This Row],[Pièces 
Demandés]]="","",IF(registreGarantie[[#This Row],[date paiement]]="","",registreGarantie[[#This Row],[date paiement]]+91))</f>
        <v>45922</v>
      </c>
      <c r="X4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499" s="74">
        <f ca="1">IF(registreGarantie[[#This Row],[Colonne1]]=0,"",IF(TODAY()&gt;registreGarantie[[#This Row],[Date rebus]],0,1))</f>
        <v>0</v>
      </c>
      <c r="Z499" s="66"/>
      <c r="AA499" s="73" t="str">
        <f>IF(AND(registreGarantie[[#This Row],[Montant non remboursé]]&gt;1,registreGarantie[[#This Row],[Montant non remboursé]]&lt;&gt;""),1,"")</f>
        <v/>
      </c>
      <c r="AB499" s="66"/>
      <c r="AC499" s="66"/>
      <c r="AD499" s="87">
        <f t="shared" si="7"/>
        <v>499</v>
      </c>
      <c r="AE499" s="109"/>
    </row>
    <row r="500" spans="1:31" ht="18" customHeight="1" thickBot="1" x14ac:dyDescent="0.4">
      <c r="A500" s="64">
        <v>45153</v>
      </c>
      <c r="B500" s="64">
        <v>44041</v>
      </c>
      <c r="C500" s="106">
        <v>45796</v>
      </c>
      <c r="D500" s="66" t="s">
        <v>225</v>
      </c>
      <c r="E500" s="66" t="s">
        <v>120</v>
      </c>
      <c r="F500" s="68"/>
      <c r="G500" s="66" t="s">
        <v>2176</v>
      </c>
      <c r="H500" s="64">
        <v>50</v>
      </c>
      <c r="I500" s="67" t="s">
        <v>22</v>
      </c>
      <c r="J500" s="97" t="s">
        <v>2177</v>
      </c>
      <c r="K500" s="66"/>
      <c r="L500" s="68"/>
      <c r="M500" s="69">
        <v>665</v>
      </c>
      <c r="N500" s="69">
        <v>665</v>
      </c>
      <c r="O500" s="70">
        <f>IF(registreGarantie[[#This Row],[date paiement]]="","",registreGarantie[[#This Row],[Pièces 
Demandés]]-registreGarantie[[#This Row],[Pièces 
Remboursés]])</f>
        <v>0</v>
      </c>
      <c r="P500" s="69">
        <v>360</v>
      </c>
      <c r="Q500" s="69"/>
      <c r="R500" s="70">
        <f>IF(registreGarantie[[#This Row],[date paiement]]="","",registreGarantie[[#This Row],[MO
Demandé]]-registreGarantie[[#This Row],[MO
Remboursé]])</f>
        <v>360</v>
      </c>
      <c r="S500" s="69"/>
      <c r="T500" s="70">
        <f>IF(registreGarantie[[#This Row],[date paiement]]="","",registreGarantie[[#This Row],[MO
Refusé]]+registreGarantie[[#This Row],[Pièces
Refusés]])</f>
        <v>360</v>
      </c>
      <c r="U500" s="106">
        <v>45841</v>
      </c>
      <c r="V500" s="71">
        <f>IF(registreGarantie[[#This Row],[Pièces 
Demandés]]="","",registreGarantie[[#This Row],[Date]])</f>
        <v>45796</v>
      </c>
      <c r="W500" s="103">
        <f>IF(registreGarantie[[#This Row],[Pièces 
Demandés]]="","",IF(registreGarantie[[#This Row],[date paiement]]="","",registreGarantie[[#This Row],[date paiement]]+91))</f>
        <v>45932</v>
      </c>
      <c r="X5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0" s="74" t="str">
        <f ca="1">IF(registreGarantie[[#This Row],[Colonne1]]=0,"",IF(TODAY()&gt;registreGarantie[[#This Row],[Date rebus]],0,1))</f>
        <v/>
      </c>
      <c r="Z500" s="66" t="s">
        <v>2576</v>
      </c>
      <c r="AA500" s="73">
        <f>IF(AND(registreGarantie[[#This Row],[Montant non remboursé]]&gt;1,registreGarantie[[#This Row],[Montant non remboursé]]&lt;&gt;""),1,"")</f>
        <v>1</v>
      </c>
      <c r="AB500" s="66"/>
      <c r="AC500" s="66"/>
      <c r="AD500" s="87">
        <f t="shared" si="7"/>
        <v>500</v>
      </c>
      <c r="AE500" s="109">
        <v>45730</v>
      </c>
    </row>
    <row r="501" spans="1:31" ht="18" customHeight="1" thickBot="1" x14ac:dyDescent="0.4">
      <c r="A501" s="64">
        <v>45154</v>
      </c>
      <c r="B501" s="64">
        <v>43933</v>
      </c>
      <c r="C501" s="106">
        <v>45796</v>
      </c>
      <c r="D501" s="66" t="s">
        <v>746</v>
      </c>
      <c r="E501" s="66" t="s">
        <v>718</v>
      </c>
      <c r="F501" s="68"/>
      <c r="G501" s="66" t="s">
        <v>2179</v>
      </c>
      <c r="H501" s="64">
        <v>207</v>
      </c>
      <c r="I501" s="67" t="s">
        <v>5</v>
      </c>
      <c r="J501" s="97">
        <v>404570136</v>
      </c>
      <c r="K501" s="66"/>
      <c r="L501" s="68"/>
      <c r="M501" s="69">
        <v>2.2799999999999998</v>
      </c>
      <c r="N501" s="69">
        <v>2.2799999999999998</v>
      </c>
      <c r="O501" s="70">
        <f>IF(registreGarantie[[#This Row],[date paiement]]="","",registreGarantie[[#This Row],[Pièces 
Demandés]]-registreGarantie[[#This Row],[Pièces 
Remboursés]])</f>
        <v>0</v>
      </c>
      <c r="P501" s="69">
        <v>65.5</v>
      </c>
      <c r="Q501" s="69">
        <v>65.5</v>
      </c>
      <c r="R501" s="70">
        <f>IF(registreGarantie[[#This Row],[date paiement]]="","",registreGarantie[[#This Row],[MO
Demandé]]-registreGarantie[[#This Row],[MO
Remboursé]])</f>
        <v>0</v>
      </c>
      <c r="S501" s="69"/>
      <c r="T501" s="70">
        <f>IF(registreGarantie[[#This Row],[date paiement]]="","",registreGarantie[[#This Row],[MO
Refusé]]+registreGarantie[[#This Row],[Pièces
Refusés]])</f>
        <v>0</v>
      </c>
      <c r="U501" s="106">
        <v>45810</v>
      </c>
      <c r="V501" s="71">
        <f>IF(registreGarantie[[#This Row],[Pièces 
Demandés]]="","",registreGarantie[[#This Row],[Date]])</f>
        <v>45796</v>
      </c>
      <c r="W501" s="103">
        <f>IF(registreGarantie[[#This Row],[Pièces 
Demandés]]="","",IF(registreGarantie[[#This Row],[date paiement]]="","",registreGarantie[[#This Row],[date paiement]]+91))</f>
        <v>45901</v>
      </c>
      <c r="X5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1" s="74" t="str">
        <f ca="1">IF(registreGarantie[[#This Row],[Colonne1]]=0,"",IF(TODAY()&gt;registreGarantie[[#This Row],[Date rebus]],0,1))</f>
        <v/>
      </c>
      <c r="Z501" s="66"/>
      <c r="AA501" s="73" t="str">
        <f>IF(AND(registreGarantie[[#This Row],[Montant non remboursé]]&gt;1,registreGarantie[[#This Row],[Montant non remboursé]]&lt;&gt;""),1,"")</f>
        <v/>
      </c>
      <c r="AB501" s="66"/>
      <c r="AC501" s="66"/>
      <c r="AD501" s="87">
        <f t="shared" si="7"/>
        <v>501</v>
      </c>
      <c r="AE501" s="109"/>
    </row>
    <row r="502" spans="1:31" ht="18" customHeight="1" thickBot="1" x14ac:dyDescent="0.4">
      <c r="A502" s="64">
        <v>45155</v>
      </c>
      <c r="B502" s="64">
        <v>44307</v>
      </c>
      <c r="C502" s="106">
        <v>45796</v>
      </c>
      <c r="D502" s="66" t="s">
        <v>74</v>
      </c>
      <c r="E502" s="66" t="s">
        <v>367</v>
      </c>
      <c r="F502" s="68" t="s">
        <v>2254</v>
      </c>
      <c r="G502" s="66" t="s">
        <v>1706</v>
      </c>
      <c r="H502" s="64">
        <v>385</v>
      </c>
      <c r="I502" s="67" t="s">
        <v>2</v>
      </c>
      <c r="J502" s="97">
        <v>404666890</v>
      </c>
      <c r="K502" s="66"/>
      <c r="L502" s="68" t="s">
        <v>2210</v>
      </c>
      <c r="M502" s="69">
        <v>362.07</v>
      </c>
      <c r="N502" s="69">
        <v>362.07</v>
      </c>
      <c r="O502" s="70">
        <f>IF(registreGarantie[[#This Row],[date paiement]]="","",registreGarantie[[#This Row],[Pièces 
Demandés]]-registreGarantie[[#This Row],[Pièces 
Remboursés]])</f>
        <v>0</v>
      </c>
      <c r="P502" s="69">
        <v>65.5</v>
      </c>
      <c r="Q502" s="69">
        <v>65.5</v>
      </c>
      <c r="R502" s="70">
        <f>IF(registreGarantie[[#This Row],[date paiement]]="","",registreGarantie[[#This Row],[MO
Demandé]]-registreGarantie[[#This Row],[MO
Remboursé]])</f>
        <v>0</v>
      </c>
      <c r="S502" s="69"/>
      <c r="T502" s="70">
        <f>IF(registreGarantie[[#This Row],[date paiement]]="","",registreGarantie[[#This Row],[MO
Refusé]]+registreGarantie[[#This Row],[Pièces
Refusés]])</f>
        <v>0</v>
      </c>
      <c r="U502" s="106">
        <v>45825</v>
      </c>
      <c r="V502" s="71">
        <f>IF(registreGarantie[[#This Row],[Pièces 
Demandés]]="","",registreGarantie[[#This Row],[Date]])</f>
        <v>45796</v>
      </c>
      <c r="W502" s="103">
        <f>IF(registreGarantie[[#This Row],[Pièces 
Demandés]]="","",IF(registreGarantie[[#This Row],[date paiement]]="","",registreGarantie[[#This Row],[date paiement]]+91))</f>
        <v>45916</v>
      </c>
      <c r="X5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02" s="74">
        <f ca="1">IF(registreGarantie[[#This Row],[Colonne1]]=0,"",IF(TODAY()&gt;registreGarantie[[#This Row],[Date rebus]],0,1))</f>
        <v>0</v>
      </c>
      <c r="Z502" s="66"/>
      <c r="AA502" s="73" t="str">
        <f>IF(AND(registreGarantie[[#This Row],[Montant non remboursé]]&gt;1,registreGarantie[[#This Row],[Montant non remboursé]]&lt;&gt;""),1,"")</f>
        <v/>
      </c>
      <c r="AB502" s="66"/>
      <c r="AC502" s="66"/>
      <c r="AD502" s="87">
        <f t="shared" si="7"/>
        <v>502</v>
      </c>
      <c r="AE502" s="109"/>
    </row>
    <row r="503" spans="1:31" ht="18" customHeight="1" thickBot="1" x14ac:dyDescent="0.4">
      <c r="A503" s="64">
        <v>45156</v>
      </c>
      <c r="B503" s="64">
        <v>6152</v>
      </c>
      <c r="C503" s="106">
        <v>45797</v>
      </c>
      <c r="D503" s="66" t="s">
        <v>1283</v>
      </c>
      <c r="E503" s="66" t="s">
        <v>32</v>
      </c>
      <c r="F503" s="68"/>
      <c r="G503" s="66" t="s">
        <v>2184</v>
      </c>
      <c r="H503" s="64">
        <v>4402</v>
      </c>
      <c r="I503" s="67" t="s">
        <v>18</v>
      </c>
      <c r="J503" s="97">
        <v>404667430</v>
      </c>
      <c r="K503" s="66"/>
      <c r="L503" s="68"/>
      <c r="M503" s="69"/>
      <c r="N503" s="69"/>
      <c r="O503" s="70" t="str">
        <f>IF(registreGarantie[[#This Row],[date paiement]]="","",registreGarantie[[#This Row],[Pièces 
Demandés]]-registreGarantie[[#This Row],[Pièces 
Remboursés]])</f>
        <v/>
      </c>
      <c r="P503" s="69"/>
      <c r="Q503" s="69"/>
      <c r="R503" s="70" t="str">
        <f>IF(registreGarantie[[#This Row],[date paiement]]="","",registreGarantie[[#This Row],[MO
Demandé]]-registreGarantie[[#This Row],[MO
Remboursé]])</f>
        <v/>
      </c>
      <c r="S503" s="69"/>
      <c r="T503" s="70" t="str">
        <f>IF(registreGarantie[[#This Row],[date paiement]]="","",registreGarantie[[#This Row],[MO
Refusé]]+registreGarantie[[#This Row],[Pièces
Refusés]])</f>
        <v/>
      </c>
      <c r="U503" s="106"/>
      <c r="V503" s="71" t="str">
        <f>IF(registreGarantie[[#This Row],[Pièces 
Demandés]]="","",registreGarantie[[#This Row],[Date]])</f>
        <v/>
      </c>
      <c r="W503" s="103" t="str">
        <f>IF(registreGarantie[[#This Row],[Pièces 
Demandés]]="","",IF(registreGarantie[[#This Row],[date paiement]]="","",registreGarantie[[#This Row],[date paiement]]+91))</f>
        <v/>
      </c>
      <c r="X5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3" s="74" t="str">
        <f ca="1">IF(registreGarantie[[#This Row],[Colonne1]]=0,"",IF(TODAY()&gt;registreGarantie[[#This Row],[Date rebus]],0,1))</f>
        <v/>
      </c>
      <c r="Z503" s="66"/>
      <c r="AA503" s="73" t="str">
        <f>IF(AND(registreGarantie[[#This Row],[Montant non remboursé]]&gt;1,registreGarantie[[#This Row],[Montant non remboursé]]&lt;&gt;""),1,"")</f>
        <v/>
      </c>
      <c r="AB503" s="66"/>
      <c r="AC503" s="66"/>
      <c r="AD503" s="87">
        <f t="shared" si="7"/>
        <v>503</v>
      </c>
      <c r="AE503" s="109"/>
    </row>
    <row r="504" spans="1:31" ht="18" customHeight="1" thickBot="1" x14ac:dyDescent="0.4">
      <c r="A504" s="64">
        <v>45157</v>
      </c>
      <c r="B504" s="64">
        <v>43929</v>
      </c>
      <c r="C504" s="106">
        <v>45798</v>
      </c>
      <c r="D504" s="66" t="s">
        <v>262</v>
      </c>
      <c r="E504" s="66" t="s">
        <v>596</v>
      </c>
      <c r="F504" s="68"/>
      <c r="G504" s="66" t="s">
        <v>2190</v>
      </c>
      <c r="H504" s="64" t="s">
        <v>2191</v>
      </c>
      <c r="I504" s="67" t="s">
        <v>21</v>
      </c>
      <c r="J504" s="97" t="s">
        <v>2192</v>
      </c>
      <c r="K504" s="66"/>
      <c r="L504" s="68" t="s">
        <v>2096</v>
      </c>
      <c r="M504" s="69"/>
      <c r="N504" s="69"/>
      <c r="O504" s="70">
        <f>IF(registreGarantie[[#This Row],[date paiement]]="","",registreGarantie[[#This Row],[Pièces 
Demandés]]-registreGarantie[[#This Row],[Pièces 
Remboursés]])</f>
        <v>0</v>
      </c>
      <c r="P504" s="69">
        <v>24.5</v>
      </c>
      <c r="Q504" s="69">
        <v>24.5</v>
      </c>
      <c r="R504" s="70">
        <f>IF(registreGarantie[[#This Row],[date paiement]]="","",registreGarantie[[#This Row],[MO
Demandé]]-registreGarantie[[#This Row],[MO
Remboursé]])</f>
        <v>0</v>
      </c>
      <c r="S504" s="69"/>
      <c r="T504" s="70">
        <f>IF(registreGarantie[[#This Row],[date paiement]]="","",registreGarantie[[#This Row],[MO
Refusé]]+registreGarantie[[#This Row],[Pièces
Refusés]])</f>
        <v>0</v>
      </c>
      <c r="U504" s="106">
        <v>45812</v>
      </c>
      <c r="V504" s="71" t="str">
        <f>IF(registreGarantie[[#This Row],[Pièces 
Demandés]]="","",registreGarantie[[#This Row],[Date]])</f>
        <v/>
      </c>
      <c r="W504" s="103" t="str">
        <f>IF(registreGarantie[[#This Row],[Pièces 
Demandés]]="","",IF(registreGarantie[[#This Row],[date paiement]]="","",registreGarantie[[#This Row],[date paiement]]+91))</f>
        <v/>
      </c>
      <c r="X5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4" s="74" t="str">
        <f ca="1">IF(registreGarantie[[#This Row],[Colonne1]]=0,"",IF(TODAY()&gt;registreGarantie[[#This Row],[Date rebus]],0,1))</f>
        <v/>
      </c>
      <c r="Z504" s="66"/>
      <c r="AA504" s="73" t="str">
        <f>IF(AND(registreGarantie[[#This Row],[Montant non remboursé]]&gt;1,registreGarantie[[#This Row],[Montant non remboursé]]&lt;&gt;""),1,"")</f>
        <v/>
      </c>
      <c r="AB504" s="66"/>
      <c r="AC504" s="66"/>
      <c r="AD504" s="87">
        <f t="shared" si="7"/>
        <v>504</v>
      </c>
      <c r="AE504" s="109"/>
    </row>
    <row r="505" spans="1:31" ht="18" customHeight="1" thickBot="1" x14ac:dyDescent="0.4">
      <c r="A505" s="64">
        <v>45158</v>
      </c>
      <c r="B505" s="64">
        <v>43131</v>
      </c>
      <c r="C505" s="106">
        <v>45798</v>
      </c>
      <c r="D505" s="66" t="s">
        <v>262</v>
      </c>
      <c r="E505" s="66" t="s">
        <v>263</v>
      </c>
      <c r="F505" s="68" t="s">
        <v>2358</v>
      </c>
      <c r="G505" s="66" t="s">
        <v>2193</v>
      </c>
      <c r="H505" s="64" t="s">
        <v>2194</v>
      </c>
      <c r="I505" s="67" t="s">
        <v>21</v>
      </c>
      <c r="J505" s="97" t="s">
        <v>2195</v>
      </c>
      <c r="K505" s="66"/>
      <c r="L505" s="68"/>
      <c r="M505" s="69">
        <v>46.8</v>
      </c>
      <c r="N505" s="69">
        <v>46.8</v>
      </c>
      <c r="O505" s="70">
        <f>IF(registreGarantie[[#This Row],[date paiement]]="","",registreGarantie[[#This Row],[Pièces 
Demandés]]-registreGarantie[[#This Row],[Pièces 
Remboursés]])</f>
        <v>0</v>
      </c>
      <c r="P505" s="69">
        <v>106</v>
      </c>
      <c r="Q505" s="69">
        <v>106</v>
      </c>
      <c r="R505" s="70">
        <f>IF(registreGarantie[[#This Row],[date paiement]]="","",registreGarantie[[#This Row],[MO
Demandé]]-registreGarantie[[#This Row],[MO
Remboursé]])</f>
        <v>0</v>
      </c>
      <c r="S505" s="69"/>
      <c r="T505" s="70">
        <f>IF(registreGarantie[[#This Row],[date paiement]]="","",registreGarantie[[#This Row],[MO
Refusé]]+registreGarantie[[#This Row],[Pièces
Refusés]])</f>
        <v>0</v>
      </c>
      <c r="U505" s="106">
        <v>45805</v>
      </c>
      <c r="V505" s="71">
        <f>IF(registreGarantie[[#This Row],[Pièces 
Demandés]]="","",registreGarantie[[#This Row],[Date]])</f>
        <v>45798</v>
      </c>
      <c r="W505" s="103">
        <f>IF(registreGarantie[[#This Row],[Pièces 
Demandés]]="","",IF(registreGarantie[[#This Row],[date paiement]]="","",registreGarantie[[#This Row],[date paiement]]+91))</f>
        <v>45896</v>
      </c>
      <c r="X5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5" s="74" t="str">
        <f ca="1">IF(registreGarantie[[#This Row],[Colonne1]]=0,"",IF(TODAY()&gt;registreGarantie[[#This Row],[Date rebus]],0,1))</f>
        <v/>
      </c>
      <c r="Z505" s="66"/>
      <c r="AA505" s="73" t="str">
        <f>IF(AND(registreGarantie[[#This Row],[Montant non remboursé]]&gt;1,registreGarantie[[#This Row],[Montant non remboursé]]&lt;&gt;""),1,"")</f>
        <v/>
      </c>
      <c r="AB505" s="66"/>
      <c r="AC505" s="66"/>
      <c r="AD505" s="87">
        <f t="shared" si="7"/>
        <v>505</v>
      </c>
      <c r="AE505" s="109"/>
    </row>
    <row r="506" spans="1:31" ht="18" customHeight="1" thickBot="1" x14ac:dyDescent="0.4">
      <c r="A506" s="64">
        <v>45159</v>
      </c>
      <c r="B506" s="64">
        <v>44053</v>
      </c>
      <c r="C506" s="106">
        <v>45798</v>
      </c>
      <c r="D506" s="66" t="s">
        <v>262</v>
      </c>
      <c r="E506" s="66" t="s">
        <v>263</v>
      </c>
      <c r="F506" s="68"/>
      <c r="G506" s="66" t="s">
        <v>2196</v>
      </c>
      <c r="H506" s="64" t="s">
        <v>2201</v>
      </c>
      <c r="I506" s="67" t="s">
        <v>21</v>
      </c>
      <c r="J506" s="97" t="s">
        <v>2197</v>
      </c>
      <c r="K506" s="66"/>
      <c r="L506" s="68"/>
      <c r="M506" s="69">
        <v>2345.36</v>
      </c>
      <c r="N506" s="69">
        <v>2345.36</v>
      </c>
      <c r="O506" s="70">
        <f>IF(registreGarantie[[#This Row],[date paiement]]="","",registreGarantie[[#This Row],[Pièces 
Demandés]]-registreGarantie[[#This Row],[Pièces 
Remboursés]])</f>
        <v>0</v>
      </c>
      <c r="P506" s="69">
        <v>424</v>
      </c>
      <c r="Q506" s="69">
        <v>424</v>
      </c>
      <c r="R506" s="70">
        <f>IF(registreGarantie[[#This Row],[date paiement]]="","",registreGarantie[[#This Row],[MO
Demandé]]-registreGarantie[[#This Row],[MO
Remboursé]])</f>
        <v>0</v>
      </c>
      <c r="S506" s="69"/>
      <c r="T506" s="70">
        <f>IF(registreGarantie[[#This Row],[date paiement]]="","",registreGarantie[[#This Row],[MO
Refusé]]+registreGarantie[[#This Row],[Pièces
Refusés]])</f>
        <v>0</v>
      </c>
      <c r="U506" s="106">
        <v>45812</v>
      </c>
      <c r="V506" s="71">
        <f>IF(registreGarantie[[#This Row],[Pièces 
Demandés]]="","",registreGarantie[[#This Row],[Date]])</f>
        <v>45798</v>
      </c>
      <c r="W506" s="103">
        <f>IF(registreGarantie[[#This Row],[Pièces 
Demandés]]="","",IF(registreGarantie[[#This Row],[date paiement]]="","",registreGarantie[[#This Row],[date paiement]]+91))</f>
        <v>45903</v>
      </c>
      <c r="X5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6" s="74" t="str">
        <f ca="1">IF(registreGarantie[[#This Row],[Colonne1]]=0,"",IF(TODAY()&gt;registreGarantie[[#This Row],[Date rebus]],0,1))</f>
        <v/>
      </c>
      <c r="Z506" s="66"/>
      <c r="AA506" s="73" t="str">
        <f>IF(AND(registreGarantie[[#This Row],[Montant non remboursé]]&gt;1,registreGarantie[[#This Row],[Montant non remboursé]]&lt;&gt;""),1,"")</f>
        <v/>
      </c>
      <c r="AB506" s="66"/>
      <c r="AC506" s="66"/>
      <c r="AD506" s="87">
        <f t="shared" si="7"/>
        <v>506</v>
      </c>
      <c r="AE506" s="109"/>
    </row>
    <row r="507" spans="1:31" ht="18" customHeight="1" thickBot="1" x14ac:dyDescent="0.4">
      <c r="A507" s="64">
        <v>45160</v>
      </c>
      <c r="B507" s="64">
        <v>44175</v>
      </c>
      <c r="C507" s="106">
        <v>45798</v>
      </c>
      <c r="D507" s="66" t="s">
        <v>262</v>
      </c>
      <c r="E507" s="66" t="s">
        <v>466</v>
      </c>
      <c r="F507" s="68" t="s">
        <v>2358</v>
      </c>
      <c r="G507" s="66" t="s">
        <v>1757</v>
      </c>
      <c r="H507" s="64" t="s">
        <v>2200</v>
      </c>
      <c r="I507" s="67" t="s">
        <v>21</v>
      </c>
      <c r="J507" s="97" t="s">
        <v>2202</v>
      </c>
      <c r="K507" s="66"/>
      <c r="L507" s="68"/>
      <c r="M507" s="69"/>
      <c r="N507" s="69"/>
      <c r="O507" s="70">
        <f>IF(registreGarantie[[#This Row],[date paiement]]="","",registreGarantie[[#This Row],[Pièces 
Demandés]]-registreGarantie[[#This Row],[Pièces 
Remboursés]])</f>
        <v>0</v>
      </c>
      <c r="P507" s="69">
        <v>291.5</v>
      </c>
      <c r="Q507" s="69">
        <v>291.5</v>
      </c>
      <c r="R507" s="70">
        <f>IF(registreGarantie[[#This Row],[date paiement]]="","",registreGarantie[[#This Row],[MO
Demandé]]-registreGarantie[[#This Row],[MO
Remboursé]])</f>
        <v>0</v>
      </c>
      <c r="S507" s="69"/>
      <c r="T507" s="70">
        <f>IF(registreGarantie[[#This Row],[date paiement]]="","",registreGarantie[[#This Row],[MO
Refusé]]+registreGarantie[[#This Row],[Pièces
Refusés]])</f>
        <v>0</v>
      </c>
      <c r="U507" s="106">
        <v>45805</v>
      </c>
      <c r="V507" s="71" t="str">
        <f>IF(registreGarantie[[#This Row],[Pièces 
Demandés]]="","",registreGarantie[[#This Row],[Date]])</f>
        <v/>
      </c>
      <c r="W507" s="103" t="str">
        <f>IF(registreGarantie[[#This Row],[Pièces 
Demandés]]="","",IF(registreGarantie[[#This Row],[date paiement]]="","",registreGarantie[[#This Row],[date paiement]]+91))</f>
        <v/>
      </c>
      <c r="X5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7" s="74" t="str">
        <f ca="1">IF(registreGarantie[[#This Row],[Colonne1]]=0,"",IF(TODAY()&gt;registreGarantie[[#This Row],[Date rebus]],0,1))</f>
        <v/>
      </c>
      <c r="Z507" s="66"/>
      <c r="AA507" s="73" t="str">
        <f>IF(AND(registreGarantie[[#This Row],[Montant non remboursé]]&gt;1,registreGarantie[[#This Row],[Montant non remboursé]]&lt;&gt;""),1,"")</f>
        <v/>
      </c>
      <c r="AB507" s="66"/>
      <c r="AC507" s="66"/>
      <c r="AD507" s="87">
        <f t="shared" si="7"/>
        <v>507</v>
      </c>
      <c r="AE507" s="109"/>
    </row>
    <row r="508" spans="1:31" ht="18" customHeight="1" thickBot="1" x14ac:dyDescent="0.4">
      <c r="A508" s="64">
        <v>45161</v>
      </c>
      <c r="B508" s="64">
        <v>44220</v>
      </c>
      <c r="C508" s="106">
        <v>45798</v>
      </c>
      <c r="D508" s="66" t="s">
        <v>262</v>
      </c>
      <c r="E508" s="66" t="s">
        <v>263</v>
      </c>
      <c r="F508" s="68" t="s">
        <v>2358</v>
      </c>
      <c r="G508" s="66" t="s">
        <v>1741</v>
      </c>
      <c r="H508" s="64" t="s">
        <v>2200</v>
      </c>
      <c r="I508" s="67" t="s">
        <v>21</v>
      </c>
      <c r="J508" s="97" t="s">
        <v>2203</v>
      </c>
      <c r="K508" s="66"/>
      <c r="L508" s="68"/>
      <c r="M508" s="69">
        <v>664.3</v>
      </c>
      <c r="N508" s="69">
        <v>664.3</v>
      </c>
      <c r="O508" s="70">
        <f>IF(registreGarantie[[#This Row],[date paiement]]="","",registreGarantie[[#This Row],[Pièces 
Demandés]]-registreGarantie[[#This Row],[Pièces 
Remboursés]])</f>
        <v>0</v>
      </c>
      <c r="P508" s="69"/>
      <c r="Q508" s="69"/>
      <c r="R508" s="70">
        <f>IF(registreGarantie[[#This Row],[date paiement]]="","",registreGarantie[[#This Row],[MO
Demandé]]-registreGarantie[[#This Row],[MO
Remboursé]])</f>
        <v>0</v>
      </c>
      <c r="S508" s="69"/>
      <c r="T508" s="70">
        <f>IF(registreGarantie[[#This Row],[date paiement]]="","",registreGarantie[[#This Row],[MO
Refusé]]+registreGarantie[[#This Row],[Pièces
Refusés]])</f>
        <v>0</v>
      </c>
      <c r="U508" s="106">
        <v>45805</v>
      </c>
      <c r="V508" s="71">
        <f>IF(registreGarantie[[#This Row],[Pièces 
Demandés]]="","",registreGarantie[[#This Row],[Date]])</f>
        <v>45798</v>
      </c>
      <c r="W508" s="103">
        <f>IF(registreGarantie[[#This Row],[Pièces 
Demandés]]="","",IF(registreGarantie[[#This Row],[date paiement]]="","",registreGarantie[[#This Row],[date paiement]]+91))</f>
        <v>45896</v>
      </c>
      <c r="X5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8" s="74" t="str">
        <f ca="1">IF(registreGarantie[[#This Row],[Colonne1]]=0,"",IF(TODAY()&gt;registreGarantie[[#This Row],[Date rebus]],0,1))</f>
        <v/>
      </c>
      <c r="Z508" s="66"/>
      <c r="AA508" s="73" t="str">
        <f>IF(AND(registreGarantie[[#This Row],[Montant non remboursé]]&gt;1,registreGarantie[[#This Row],[Montant non remboursé]]&lt;&gt;""),1,"")</f>
        <v/>
      </c>
      <c r="AB508" s="66"/>
      <c r="AC508" s="66"/>
      <c r="AD508" s="87">
        <f t="shared" si="7"/>
        <v>508</v>
      </c>
      <c r="AE508" s="109"/>
    </row>
    <row r="509" spans="1:31" ht="18" customHeight="1" thickBot="1" x14ac:dyDescent="0.4">
      <c r="A509" s="64">
        <v>45162</v>
      </c>
      <c r="B509" s="64">
        <v>44237</v>
      </c>
      <c r="C509" s="106">
        <v>45798</v>
      </c>
      <c r="D509" s="66" t="s">
        <v>262</v>
      </c>
      <c r="E509" s="66" t="s">
        <v>263</v>
      </c>
      <c r="F509" s="68" t="s">
        <v>2358</v>
      </c>
      <c r="G509" s="66" t="s">
        <v>1741</v>
      </c>
      <c r="H509" s="64" t="s">
        <v>2200</v>
      </c>
      <c r="I509" s="67" t="s">
        <v>21</v>
      </c>
      <c r="J509" s="97" t="s">
        <v>2204</v>
      </c>
      <c r="K509" s="66"/>
      <c r="L509" s="68"/>
      <c r="M509" s="69">
        <v>705.18</v>
      </c>
      <c r="N509" s="69">
        <v>705.18</v>
      </c>
      <c r="O509" s="70">
        <f>IF(registreGarantie[[#This Row],[date paiement]]="","",registreGarantie[[#This Row],[Pièces 
Demandés]]-registreGarantie[[#This Row],[Pièces 
Remboursés]])</f>
        <v>0</v>
      </c>
      <c r="P509" s="69"/>
      <c r="Q509" s="69"/>
      <c r="R509" s="70">
        <f>IF(registreGarantie[[#This Row],[date paiement]]="","",registreGarantie[[#This Row],[MO
Demandé]]-registreGarantie[[#This Row],[MO
Remboursé]])</f>
        <v>0</v>
      </c>
      <c r="S509" s="69"/>
      <c r="T509" s="70">
        <f>IF(registreGarantie[[#This Row],[date paiement]]="","",registreGarantie[[#This Row],[MO
Refusé]]+registreGarantie[[#This Row],[Pièces
Refusés]])</f>
        <v>0</v>
      </c>
      <c r="U509" s="106">
        <v>45805</v>
      </c>
      <c r="V509" s="71">
        <f>IF(registreGarantie[[#This Row],[Pièces 
Demandés]]="","",registreGarantie[[#This Row],[Date]])</f>
        <v>45798</v>
      </c>
      <c r="W509" s="103">
        <f>IF(registreGarantie[[#This Row],[Pièces 
Demandés]]="","",IF(registreGarantie[[#This Row],[date paiement]]="","",registreGarantie[[#This Row],[date paiement]]+91))</f>
        <v>45896</v>
      </c>
      <c r="X5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09" s="74" t="str">
        <f ca="1">IF(registreGarantie[[#This Row],[Colonne1]]=0,"",IF(TODAY()&gt;registreGarantie[[#This Row],[Date rebus]],0,1))</f>
        <v/>
      </c>
      <c r="Z509" s="66"/>
      <c r="AA509" s="73" t="str">
        <f>IF(AND(registreGarantie[[#This Row],[Montant non remboursé]]&gt;1,registreGarantie[[#This Row],[Montant non remboursé]]&lt;&gt;""),1,"")</f>
        <v/>
      </c>
      <c r="AB509" s="66"/>
      <c r="AC509" s="66"/>
      <c r="AD509" s="87">
        <f t="shared" si="7"/>
        <v>509</v>
      </c>
      <c r="AE509" s="109"/>
    </row>
    <row r="510" spans="1:31" ht="18" customHeight="1" thickBot="1" x14ac:dyDescent="0.4">
      <c r="A510" s="64">
        <v>45163</v>
      </c>
      <c r="B510" s="64">
        <v>44112</v>
      </c>
      <c r="C510" s="106">
        <v>45798</v>
      </c>
      <c r="D510" s="66" t="s">
        <v>434</v>
      </c>
      <c r="E510" s="66" t="s">
        <v>232</v>
      </c>
      <c r="F510" s="68" t="s">
        <v>2364</v>
      </c>
      <c r="G510" s="66" t="s">
        <v>2206</v>
      </c>
      <c r="H510" s="64">
        <v>0</v>
      </c>
      <c r="I510" s="67" t="s">
        <v>21</v>
      </c>
      <c r="J510" s="97" t="s">
        <v>2207</v>
      </c>
      <c r="K510" s="66"/>
      <c r="L510" s="68"/>
      <c r="M510" s="69">
        <v>9.1</v>
      </c>
      <c r="N510" s="69">
        <v>9.1</v>
      </c>
      <c r="O510" s="70">
        <f>IF(registreGarantie[[#This Row],[date paiement]]="","",registreGarantie[[#This Row],[Pièces 
Demandés]]-registreGarantie[[#This Row],[Pièces 
Remboursés]])</f>
        <v>0</v>
      </c>
      <c r="P510" s="69">
        <v>53</v>
      </c>
      <c r="Q510" s="69">
        <v>53</v>
      </c>
      <c r="R510" s="70">
        <f>IF(registreGarantie[[#This Row],[date paiement]]="","",registreGarantie[[#This Row],[MO
Demandé]]-registreGarantie[[#This Row],[MO
Remboursé]])</f>
        <v>0</v>
      </c>
      <c r="S510" s="69"/>
      <c r="T510" s="70">
        <f>IF(registreGarantie[[#This Row],[date paiement]]="","",registreGarantie[[#This Row],[MO
Refusé]]+registreGarantie[[#This Row],[Pièces
Refusés]])</f>
        <v>0</v>
      </c>
      <c r="U510" s="106">
        <v>45805</v>
      </c>
      <c r="V510" s="71">
        <f>IF(registreGarantie[[#This Row],[Pièces 
Demandés]]="","",registreGarantie[[#This Row],[Date]])</f>
        <v>45798</v>
      </c>
      <c r="W510" s="103">
        <f>IF(registreGarantie[[#This Row],[Pièces 
Demandés]]="","",IF(registreGarantie[[#This Row],[date paiement]]="","",registreGarantie[[#This Row],[date paiement]]+91))</f>
        <v>45896</v>
      </c>
      <c r="X5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0" s="74" t="str">
        <f ca="1">IF(registreGarantie[[#This Row],[Colonne1]]=0,"",IF(TODAY()&gt;registreGarantie[[#This Row],[Date rebus]],0,1))</f>
        <v/>
      </c>
      <c r="Z510" s="66"/>
      <c r="AA510" s="73" t="str">
        <f>IF(AND(registreGarantie[[#This Row],[Montant non remboursé]]&gt;1,registreGarantie[[#This Row],[Montant non remboursé]]&lt;&gt;""),1,"")</f>
        <v/>
      </c>
      <c r="AB510" s="66"/>
      <c r="AC510" s="66"/>
      <c r="AD510" s="87">
        <f t="shared" si="7"/>
        <v>510</v>
      </c>
      <c r="AE510" s="109"/>
    </row>
    <row r="511" spans="1:31" ht="18" customHeight="1" thickBot="1" x14ac:dyDescent="0.4">
      <c r="A511" s="64">
        <v>45164</v>
      </c>
      <c r="B511" s="64">
        <v>44241</v>
      </c>
      <c r="C511" s="106">
        <v>45798</v>
      </c>
      <c r="D511" s="66" t="s">
        <v>681</v>
      </c>
      <c r="E511" s="66" t="s">
        <v>232</v>
      </c>
      <c r="F511" s="68" t="s">
        <v>2363</v>
      </c>
      <c r="G511" s="66" t="s">
        <v>2208</v>
      </c>
      <c r="H511" s="64">
        <v>22</v>
      </c>
      <c r="I511" s="67" t="s">
        <v>21</v>
      </c>
      <c r="J511" s="97" t="s">
        <v>2209</v>
      </c>
      <c r="K511" s="66"/>
      <c r="L511" s="68"/>
      <c r="M511" s="69">
        <v>648</v>
      </c>
      <c r="N511" s="69">
        <v>648</v>
      </c>
      <c r="O511" s="70">
        <f>IF(registreGarantie[[#This Row],[date paiement]]="","",registreGarantie[[#This Row],[Pièces 
Demandés]]-registreGarantie[[#This Row],[Pièces 
Remboursés]])</f>
        <v>0</v>
      </c>
      <c r="P511" s="69">
        <v>212</v>
      </c>
      <c r="Q511" s="69">
        <v>212</v>
      </c>
      <c r="R511" s="70">
        <f>IF(registreGarantie[[#This Row],[date paiement]]="","",registreGarantie[[#This Row],[MO
Demandé]]-registreGarantie[[#This Row],[MO
Remboursé]])</f>
        <v>0</v>
      </c>
      <c r="S511" s="69"/>
      <c r="T511" s="70">
        <f>IF(registreGarantie[[#This Row],[date paiement]]="","",registreGarantie[[#This Row],[MO
Refusé]]+registreGarantie[[#This Row],[Pièces
Refusés]])</f>
        <v>0</v>
      </c>
      <c r="U511" s="106">
        <v>45805</v>
      </c>
      <c r="V511" s="71">
        <f>IF(registreGarantie[[#This Row],[Pièces 
Demandés]]="","",registreGarantie[[#This Row],[Date]])</f>
        <v>45798</v>
      </c>
      <c r="W511" s="103">
        <f>IF(registreGarantie[[#This Row],[Pièces 
Demandés]]="","",IF(registreGarantie[[#This Row],[date paiement]]="","",registreGarantie[[#This Row],[date paiement]]+91))</f>
        <v>45896</v>
      </c>
      <c r="X5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1" s="74" t="str">
        <f ca="1">IF(registreGarantie[[#This Row],[Colonne1]]=0,"",IF(TODAY()&gt;registreGarantie[[#This Row],[Date rebus]],0,1))</f>
        <v/>
      </c>
      <c r="Z511" s="66"/>
      <c r="AA511" s="73" t="str">
        <f>IF(AND(registreGarantie[[#This Row],[Montant non remboursé]]&gt;1,registreGarantie[[#This Row],[Montant non remboursé]]&lt;&gt;""),1,"")</f>
        <v/>
      </c>
      <c r="AB511" s="66"/>
      <c r="AC511" s="66"/>
      <c r="AD511" s="87">
        <f t="shared" si="7"/>
        <v>511</v>
      </c>
      <c r="AE511" s="109"/>
    </row>
    <row r="512" spans="1:31" ht="18" customHeight="1" thickBot="1" x14ac:dyDescent="0.4">
      <c r="A512" s="64">
        <v>45165</v>
      </c>
      <c r="B512" s="64">
        <v>44246</v>
      </c>
      <c r="C512" s="106">
        <v>45798</v>
      </c>
      <c r="D512" s="66" t="s">
        <v>86</v>
      </c>
      <c r="E512" s="66" t="s">
        <v>45</v>
      </c>
      <c r="F512" s="68" t="s">
        <v>2239</v>
      </c>
      <c r="G512" s="66" t="s">
        <v>1547</v>
      </c>
      <c r="H512" s="64">
        <v>1089</v>
      </c>
      <c r="I512" s="67" t="s">
        <v>3</v>
      </c>
      <c r="J512" s="97">
        <v>404669598</v>
      </c>
      <c r="K512" s="66"/>
      <c r="L512" s="68"/>
      <c r="M512" s="69">
        <v>131</v>
      </c>
      <c r="N512" s="69">
        <v>8.93</v>
      </c>
      <c r="O512" s="70">
        <f>IF(registreGarantie[[#This Row],[date paiement]]="","",registreGarantie[[#This Row],[Pièces 
Demandés]]-registreGarantie[[#This Row],[Pièces 
Remboursés]])</f>
        <v>122.07</v>
      </c>
      <c r="P512" s="69">
        <v>71.63</v>
      </c>
      <c r="Q512" s="69">
        <v>65.5</v>
      </c>
      <c r="R512" s="70">
        <f>IF(registreGarantie[[#This Row],[date paiement]]="","",registreGarantie[[#This Row],[MO
Demandé]]-registreGarantie[[#This Row],[MO
Remboursé]])</f>
        <v>6.1299999999999955</v>
      </c>
      <c r="S512" s="69">
        <v>150</v>
      </c>
      <c r="T512" s="70">
        <f>IF(registreGarantie[[#This Row],[date paiement]]="","",registreGarantie[[#This Row],[MO
Refusé]]+registreGarantie[[#This Row],[Pièces
Refusés]])</f>
        <v>128.19999999999999</v>
      </c>
      <c r="U512" s="106">
        <v>45810</v>
      </c>
      <c r="V512" s="71">
        <f>IF(registreGarantie[[#This Row],[Pièces 
Demandés]]="","",registreGarantie[[#This Row],[Date]])</f>
        <v>45798</v>
      </c>
      <c r="W512" s="103">
        <f>IF(registreGarantie[[#This Row],[Pièces 
Demandés]]="","",IF(registreGarantie[[#This Row],[date paiement]]="","",registreGarantie[[#This Row],[date paiement]]+91))</f>
        <v>45901</v>
      </c>
      <c r="X5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12" s="74">
        <f ca="1">IF(registreGarantie[[#This Row],[Colonne1]]=0,"",IF(TODAY()&gt;registreGarantie[[#This Row],[Date rebus]],0,1))</f>
        <v>0</v>
      </c>
      <c r="Z512" s="66"/>
      <c r="AA512" s="73">
        <f>IF(AND(registreGarantie[[#This Row],[Montant non remboursé]]&gt;1,registreGarantie[[#This Row],[Montant non remboursé]]&lt;&gt;""),1,"")</f>
        <v>1</v>
      </c>
      <c r="AB512" s="66"/>
      <c r="AC512" s="66"/>
      <c r="AD512" s="87">
        <f t="shared" si="7"/>
        <v>512</v>
      </c>
      <c r="AE512" s="109"/>
    </row>
    <row r="513" spans="1:31" ht="18" customHeight="1" thickBot="1" x14ac:dyDescent="0.4">
      <c r="A513" s="64">
        <v>45166</v>
      </c>
      <c r="B513" s="64">
        <v>44257</v>
      </c>
      <c r="C513" s="106">
        <v>45798</v>
      </c>
      <c r="D513" s="66" t="s">
        <v>231</v>
      </c>
      <c r="E513" s="66" t="s">
        <v>232</v>
      </c>
      <c r="F513" s="68" t="s">
        <v>2365</v>
      </c>
      <c r="G513" s="66" t="s">
        <v>2212</v>
      </c>
      <c r="H513" s="64">
        <v>177</v>
      </c>
      <c r="I513" s="67" t="s">
        <v>21</v>
      </c>
      <c r="J513" s="97" t="s">
        <v>2213</v>
      </c>
      <c r="K513" s="66"/>
      <c r="L513" s="68"/>
      <c r="M513" s="69">
        <v>236.99</v>
      </c>
      <c r="N513" s="69">
        <v>236.99</v>
      </c>
      <c r="O513" s="70">
        <f>IF(registreGarantie[[#This Row],[date paiement]]="","",registreGarantie[[#This Row],[Pièces 
Demandés]]-registreGarantie[[#This Row],[Pièces 
Remboursés]])</f>
        <v>0</v>
      </c>
      <c r="P513" s="69"/>
      <c r="Q513" s="69"/>
      <c r="R513" s="70">
        <f>IF(registreGarantie[[#This Row],[date paiement]]="","",registreGarantie[[#This Row],[MO
Demandé]]-registreGarantie[[#This Row],[MO
Remboursé]])</f>
        <v>0</v>
      </c>
      <c r="S513" s="69"/>
      <c r="T513" s="70">
        <f>IF(registreGarantie[[#This Row],[date paiement]]="","",registreGarantie[[#This Row],[MO
Refusé]]+registreGarantie[[#This Row],[Pièces
Refusés]])</f>
        <v>0</v>
      </c>
      <c r="U513" s="106">
        <v>45805</v>
      </c>
      <c r="V513" s="71">
        <f>IF(registreGarantie[[#This Row],[Pièces 
Demandés]]="","",registreGarantie[[#This Row],[Date]])</f>
        <v>45798</v>
      </c>
      <c r="W513" s="103">
        <f>IF(registreGarantie[[#This Row],[Pièces 
Demandés]]="","",IF(registreGarantie[[#This Row],[date paiement]]="","",registreGarantie[[#This Row],[date paiement]]+91))</f>
        <v>45896</v>
      </c>
      <c r="X5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3" s="74" t="str">
        <f ca="1">IF(registreGarantie[[#This Row],[Colonne1]]=0,"",IF(TODAY()&gt;registreGarantie[[#This Row],[Date rebus]],0,1))</f>
        <v/>
      </c>
      <c r="Z513" s="66"/>
      <c r="AA513" s="73" t="str">
        <f>IF(AND(registreGarantie[[#This Row],[Montant non remboursé]]&gt;1,registreGarantie[[#This Row],[Montant non remboursé]]&lt;&gt;""),1,"")</f>
        <v/>
      </c>
      <c r="AB513" s="66"/>
      <c r="AC513" s="66"/>
      <c r="AD513" s="87">
        <f t="shared" si="7"/>
        <v>513</v>
      </c>
      <c r="AE513" s="109"/>
    </row>
    <row r="514" spans="1:31" ht="18" customHeight="1" thickBot="1" x14ac:dyDescent="0.4">
      <c r="A514" s="64">
        <v>45167</v>
      </c>
      <c r="B514" s="64">
        <v>44281</v>
      </c>
      <c r="C514" s="106">
        <v>45798</v>
      </c>
      <c r="D514" s="66" t="s">
        <v>36</v>
      </c>
      <c r="E514" s="66" t="s">
        <v>1717</v>
      </c>
      <c r="F514" s="68" t="s">
        <v>2357</v>
      </c>
      <c r="G514" s="66" t="s">
        <v>2214</v>
      </c>
      <c r="H514" s="64">
        <v>1239</v>
      </c>
      <c r="I514" s="67" t="s">
        <v>21</v>
      </c>
      <c r="J514" s="97" t="s">
        <v>2218</v>
      </c>
      <c r="K514" s="66"/>
      <c r="L514" s="68"/>
      <c r="M514" s="69">
        <v>76.44</v>
      </c>
      <c r="N514" s="69">
        <v>76.44</v>
      </c>
      <c r="O514" s="70">
        <f>IF(registreGarantie[[#This Row],[date paiement]]="","",registreGarantie[[#This Row],[Pièces 
Demandés]]-registreGarantie[[#This Row],[Pièces 
Remboursés]])</f>
        <v>0</v>
      </c>
      <c r="P514" s="69">
        <v>53</v>
      </c>
      <c r="Q514" s="69">
        <v>53</v>
      </c>
      <c r="R514" s="70">
        <f>IF(registreGarantie[[#This Row],[date paiement]]="","",registreGarantie[[#This Row],[MO
Demandé]]-registreGarantie[[#This Row],[MO
Remboursé]])</f>
        <v>0</v>
      </c>
      <c r="S514" s="69"/>
      <c r="T514" s="70">
        <f>IF(registreGarantie[[#This Row],[date paiement]]="","",registreGarantie[[#This Row],[MO
Refusé]]+registreGarantie[[#This Row],[Pièces
Refusés]])</f>
        <v>0</v>
      </c>
      <c r="U514" s="106">
        <v>45805</v>
      </c>
      <c r="V514" s="71">
        <f>IF(registreGarantie[[#This Row],[Pièces 
Demandés]]="","",registreGarantie[[#This Row],[Date]])</f>
        <v>45798</v>
      </c>
      <c r="W514" s="103">
        <f>IF(registreGarantie[[#This Row],[Pièces 
Demandés]]="","",IF(registreGarantie[[#This Row],[date paiement]]="","",registreGarantie[[#This Row],[date paiement]]+91))</f>
        <v>45896</v>
      </c>
      <c r="X5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4" s="74" t="str">
        <f ca="1">IF(registreGarantie[[#This Row],[Colonne1]]=0,"",IF(TODAY()&gt;registreGarantie[[#This Row],[Date rebus]],0,1))</f>
        <v/>
      </c>
      <c r="Z514" s="66"/>
      <c r="AA514" s="73" t="str">
        <f>IF(AND(registreGarantie[[#This Row],[Montant non remboursé]]&gt;1,registreGarantie[[#This Row],[Montant non remboursé]]&lt;&gt;""),1,"")</f>
        <v/>
      </c>
      <c r="AB514" s="66"/>
      <c r="AC514" s="66"/>
      <c r="AD514" s="87">
        <f t="shared" ref="AD514:AD577" si="8">ROW(AD514)</f>
        <v>514</v>
      </c>
      <c r="AE514" s="109"/>
    </row>
    <row r="515" spans="1:31" ht="18" customHeight="1" thickBot="1" x14ac:dyDescent="0.4">
      <c r="A515" s="64">
        <v>45168</v>
      </c>
      <c r="B515" s="64">
        <v>44289</v>
      </c>
      <c r="C515" s="106">
        <v>45798</v>
      </c>
      <c r="D515" s="66" t="s">
        <v>36</v>
      </c>
      <c r="E515" s="66" t="s">
        <v>37</v>
      </c>
      <c r="F515" s="68" t="s">
        <v>2362</v>
      </c>
      <c r="G515" s="66" t="s">
        <v>2215</v>
      </c>
      <c r="H515" s="64" t="s">
        <v>2216</v>
      </c>
      <c r="I515" s="67" t="s">
        <v>21</v>
      </c>
      <c r="J515" s="97" t="s">
        <v>2217</v>
      </c>
      <c r="K515" s="66"/>
      <c r="L515" s="68"/>
      <c r="M515" s="69">
        <v>2.6</v>
      </c>
      <c r="N515" s="69">
        <v>2.6</v>
      </c>
      <c r="O515" s="70">
        <f>IF(registreGarantie[[#This Row],[date paiement]]="","",registreGarantie[[#This Row],[Pièces 
Demandés]]-registreGarantie[[#This Row],[Pièces 
Remboursés]])</f>
        <v>0</v>
      </c>
      <c r="P515" s="69">
        <v>424</v>
      </c>
      <c r="Q515" s="69">
        <v>424</v>
      </c>
      <c r="R515" s="70">
        <f>IF(registreGarantie[[#This Row],[date paiement]]="","",registreGarantie[[#This Row],[MO
Demandé]]-registreGarantie[[#This Row],[MO
Remboursé]])</f>
        <v>0</v>
      </c>
      <c r="S515" s="69"/>
      <c r="T515" s="70">
        <f>IF(registreGarantie[[#This Row],[date paiement]]="","",registreGarantie[[#This Row],[MO
Refusé]]+registreGarantie[[#This Row],[Pièces
Refusés]])</f>
        <v>0</v>
      </c>
      <c r="U515" s="106">
        <v>45805</v>
      </c>
      <c r="V515" s="71">
        <f>IF(registreGarantie[[#This Row],[Pièces 
Demandés]]="","",registreGarantie[[#This Row],[Date]])</f>
        <v>45798</v>
      </c>
      <c r="W515" s="103">
        <f>IF(registreGarantie[[#This Row],[Pièces 
Demandés]]="","",IF(registreGarantie[[#This Row],[date paiement]]="","",registreGarantie[[#This Row],[date paiement]]+91))</f>
        <v>45896</v>
      </c>
      <c r="X5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5" s="74" t="str">
        <f ca="1">IF(registreGarantie[[#This Row],[Colonne1]]=0,"",IF(TODAY()&gt;registreGarantie[[#This Row],[Date rebus]],0,1))</f>
        <v/>
      </c>
      <c r="Z515" s="66"/>
      <c r="AA515" s="73" t="str">
        <f>IF(AND(registreGarantie[[#This Row],[Montant non remboursé]]&gt;1,registreGarantie[[#This Row],[Montant non remboursé]]&lt;&gt;""),1,"")</f>
        <v/>
      </c>
      <c r="AB515" s="66"/>
      <c r="AC515" s="66"/>
      <c r="AD515" s="87">
        <f t="shared" si="8"/>
        <v>515</v>
      </c>
      <c r="AE515" s="109"/>
    </row>
    <row r="516" spans="1:31" ht="18" customHeight="1" thickBot="1" x14ac:dyDescent="0.4">
      <c r="A516" s="64">
        <v>45169</v>
      </c>
      <c r="B516" s="64">
        <v>44303</v>
      </c>
      <c r="C516" s="106">
        <v>45799</v>
      </c>
      <c r="D516" s="66" t="s">
        <v>36</v>
      </c>
      <c r="E516" s="66" t="s">
        <v>37</v>
      </c>
      <c r="F516" s="68" t="s">
        <v>2362</v>
      </c>
      <c r="G516" s="66" t="s">
        <v>2219</v>
      </c>
      <c r="H516" s="64" t="s">
        <v>2220</v>
      </c>
      <c r="I516" s="67" t="s">
        <v>21</v>
      </c>
      <c r="J516" s="97" t="s">
        <v>2221</v>
      </c>
      <c r="K516" s="66"/>
      <c r="L516" s="68"/>
      <c r="M516" s="69">
        <v>41.65</v>
      </c>
      <c r="N516" s="69">
        <v>41.65</v>
      </c>
      <c r="O516" s="70">
        <f>IF(registreGarantie[[#This Row],[date paiement]]="","",registreGarantie[[#This Row],[Pièces 
Demandés]]-registreGarantie[[#This Row],[Pièces 
Remboursés]])</f>
        <v>0</v>
      </c>
      <c r="P516" s="69">
        <v>477</v>
      </c>
      <c r="Q516" s="69">
        <v>477</v>
      </c>
      <c r="R516" s="70">
        <f>IF(registreGarantie[[#This Row],[date paiement]]="","",registreGarantie[[#This Row],[MO
Demandé]]-registreGarantie[[#This Row],[MO
Remboursé]])</f>
        <v>0</v>
      </c>
      <c r="S516" s="69"/>
      <c r="T516" s="70">
        <f>IF(registreGarantie[[#This Row],[date paiement]]="","",registreGarantie[[#This Row],[MO
Refusé]]+registreGarantie[[#This Row],[Pièces
Refusés]])</f>
        <v>0</v>
      </c>
      <c r="U516" s="106">
        <v>45805</v>
      </c>
      <c r="V516" s="71">
        <f>IF(registreGarantie[[#This Row],[Pièces 
Demandés]]="","",registreGarantie[[#This Row],[Date]])</f>
        <v>45799</v>
      </c>
      <c r="W516" s="103">
        <f>IF(registreGarantie[[#This Row],[Pièces 
Demandés]]="","",IF(registreGarantie[[#This Row],[date paiement]]="","",registreGarantie[[#This Row],[date paiement]]+91))</f>
        <v>45896</v>
      </c>
      <c r="X5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6" s="74" t="str">
        <f ca="1">IF(registreGarantie[[#This Row],[Colonne1]]=0,"",IF(TODAY()&gt;registreGarantie[[#This Row],[Date rebus]],0,1))</f>
        <v/>
      </c>
      <c r="Z516" s="66"/>
      <c r="AA516" s="73" t="str">
        <f>IF(AND(registreGarantie[[#This Row],[Montant non remboursé]]&gt;1,registreGarantie[[#This Row],[Montant non remboursé]]&lt;&gt;""),1,"")</f>
        <v/>
      </c>
      <c r="AB516" s="66"/>
      <c r="AC516" s="66"/>
      <c r="AD516" s="87">
        <f t="shared" si="8"/>
        <v>516</v>
      </c>
      <c r="AE516" s="109"/>
    </row>
    <row r="517" spans="1:31" ht="18" customHeight="1" thickBot="1" x14ac:dyDescent="0.4">
      <c r="A517" s="64">
        <v>45170</v>
      </c>
      <c r="B517" s="64">
        <v>44146</v>
      </c>
      <c r="C517" s="106">
        <v>45799</v>
      </c>
      <c r="D517" s="66" t="s">
        <v>36</v>
      </c>
      <c r="E517" s="66" t="s">
        <v>263</v>
      </c>
      <c r="F517" s="68" t="s">
        <v>2361</v>
      </c>
      <c r="G517" s="66" t="s">
        <v>2222</v>
      </c>
      <c r="H517" s="64">
        <v>371</v>
      </c>
      <c r="I517" s="67" t="s">
        <v>21</v>
      </c>
      <c r="J517" s="97" t="s">
        <v>2223</v>
      </c>
      <c r="K517" s="66"/>
      <c r="L517" s="68"/>
      <c r="M517" s="69">
        <v>756</v>
      </c>
      <c r="N517" s="69">
        <v>756</v>
      </c>
      <c r="O517" s="70">
        <f>IF(registreGarantie[[#This Row],[date paiement]]="","",registreGarantie[[#This Row],[Pièces 
Demandés]]-registreGarantie[[#This Row],[Pièces 
Remboursés]])</f>
        <v>0</v>
      </c>
      <c r="P517" s="69"/>
      <c r="Q517" s="69"/>
      <c r="R517" s="70">
        <f>IF(registreGarantie[[#This Row],[date paiement]]="","",registreGarantie[[#This Row],[MO
Demandé]]-registreGarantie[[#This Row],[MO
Remboursé]])</f>
        <v>0</v>
      </c>
      <c r="S517" s="69"/>
      <c r="T517" s="70">
        <f>IF(registreGarantie[[#This Row],[date paiement]]="","",registreGarantie[[#This Row],[MO
Refusé]]+registreGarantie[[#This Row],[Pièces
Refusés]])</f>
        <v>0</v>
      </c>
      <c r="U517" s="106">
        <v>45805</v>
      </c>
      <c r="V517" s="71">
        <f>IF(registreGarantie[[#This Row],[Pièces 
Demandés]]="","",registreGarantie[[#This Row],[Date]])</f>
        <v>45799</v>
      </c>
      <c r="W517" s="103">
        <f>IF(registreGarantie[[#This Row],[Pièces 
Demandés]]="","",IF(registreGarantie[[#This Row],[date paiement]]="","",registreGarantie[[#This Row],[date paiement]]+91))</f>
        <v>45896</v>
      </c>
      <c r="X5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7" s="74" t="str">
        <f ca="1">IF(registreGarantie[[#This Row],[Colonne1]]=0,"",IF(TODAY()&gt;registreGarantie[[#This Row],[Date rebus]],0,1))</f>
        <v/>
      </c>
      <c r="Z517" s="66"/>
      <c r="AA517" s="73" t="str">
        <f>IF(AND(registreGarantie[[#This Row],[Montant non remboursé]]&gt;1,registreGarantie[[#This Row],[Montant non remboursé]]&lt;&gt;""),1,"")</f>
        <v/>
      </c>
      <c r="AB517" s="66"/>
      <c r="AC517" s="66"/>
      <c r="AD517" s="87">
        <f t="shared" si="8"/>
        <v>517</v>
      </c>
      <c r="AE517" s="109"/>
    </row>
    <row r="518" spans="1:31" ht="18" customHeight="1" thickBot="1" x14ac:dyDescent="0.4">
      <c r="A518" s="64">
        <v>45171</v>
      </c>
      <c r="B518" s="64">
        <v>44211</v>
      </c>
      <c r="C518" s="106">
        <v>45799</v>
      </c>
      <c r="D518" s="66" t="s">
        <v>672</v>
      </c>
      <c r="E518" s="66" t="s">
        <v>1203</v>
      </c>
      <c r="F518" s="68" t="s">
        <v>2368</v>
      </c>
      <c r="G518" s="66" t="s">
        <v>922</v>
      </c>
      <c r="H518" s="64">
        <v>4967</v>
      </c>
      <c r="I518" s="67" t="s">
        <v>15</v>
      </c>
      <c r="J518" s="97">
        <v>404671386</v>
      </c>
      <c r="K518" s="66"/>
      <c r="L518" s="68" t="s">
        <v>2224</v>
      </c>
      <c r="M518" s="69">
        <v>740.39</v>
      </c>
      <c r="N518" s="69"/>
      <c r="O518" s="70" t="str">
        <f>IF(registreGarantie[[#This Row],[date paiement]]="","",registreGarantie[[#This Row],[Pièces 
Demandés]]-registreGarantie[[#This Row],[Pièces 
Remboursés]])</f>
        <v/>
      </c>
      <c r="P518" s="69">
        <v>131</v>
      </c>
      <c r="Q518" s="69"/>
      <c r="R518" s="70" t="str">
        <f>IF(registreGarantie[[#This Row],[date paiement]]="","",registreGarantie[[#This Row],[MO
Demandé]]-registreGarantie[[#This Row],[MO
Remboursé]])</f>
        <v/>
      </c>
      <c r="S518" s="69"/>
      <c r="T518" s="70" t="str">
        <f>IF(registreGarantie[[#This Row],[date paiement]]="","",registreGarantie[[#This Row],[MO
Refusé]]+registreGarantie[[#This Row],[Pièces
Refusés]])</f>
        <v/>
      </c>
      <c r="U518" s="106"/>
      <c r="V518" s="71">
        <f>IF(registreGarantie[[#This Row],[Pièces 
Demandés]]="","",registreGarantie[[#This Row],[Date]])</f>
        <v>45799</v>
      </c>
      <c r="W518" s="103" t="str">
        <f>IF(registreGarantie[[#This Row],[Pièces 
Demandés]]="","",IF(registreGarantie[[#This Row],[date paiement]]="","",registreGarantie[[#This Row],[date paiement]]+91))</f>
        <v/>
      </c>
      <c r="X5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8" s="74" t="str">
        <f ca="1">IF(registreGarantie[[#This Row],[Colonne1]]=0,"",IF(TODAY()&gt;registreGarantie[[#This Row],[Date rebus]],0,1))</f>
        <v/>
      </c>
      <c r="Z518" s="66"/>
      <c r="AA518" s="73" t="str">
        <f>IF(AND(registreGarantie[[#This Row],[Montant non remboursé]]&gt;1,registreGarantie[[#This Row],[Montant non remboursé]]&lt;&gt;""),1,"")</f>
        <v/>
      </c>
      <c r="AB518" s="66"/>
      <c r="AC518" s="66"/>
      <c r="AD518" s="87">
        <f t="shared" si="8"/>
        <v>518</v>
      </c>
      <c r="AE518" s="109"/>
    </row>
    <row r="519" spans="1:31" ht="18" customHeight="1" thickBot="1" x14ac:dyDescent="0.4">
      <c r="A519" s="64">
        <v>45172</v>
      </c>
      <c r="B519" s="64">
        <v>44612</v>
      </c>
      <c r="C519" s="106">
        <v>45869</v>
      </c>
      <c r="D519" s="66" t="s">
        <v>41</v>
      </c>
      <c r="E519" s="66" t="s">
        <v>2351</v>
      </c>
      <c r="F519" s="68" t="s">
        <v>2310</v>
      </c>
      <c r="G519" s="66" t="s">
        <v>2352</v>
      </c>
      <c r="H519" s="64">
        <v>2782</v>
      </c>
      <c r="I519" s="67" t="s">
        <v>5</v>
      </c>
      <c r="J519" s="97">
        <v>404700719</v>
      </c>
      <c r="K519" s="66"/>
      <c r="L519" s="68"/>
      <c r="M519" s="69"/>
      <c r="N519" s="69"/>
      <c r="O519" s="70">
        <f>IF(registreGarantie[[#This Row],[date paiement]]="","",registreGarantie[[#This Row],[Pièces 
Demandés]]-registreGarantie[[#This Row],[Pièces 
Remboursés]])</f>
        <v>0</v>
      </c>
      <c r="P519" s="69">
        <v>65.5</v>
      </c>
      <c r="Q519" s="69">
        <v>65.5</v>
      </c>
      <c r="R519" s="70">
        <f>IF(registreGarantie[[#This Row],[date paiement]]="","",registreGarantie[[#This Row],[MO
Demandé]]-registreGarantie[[#This Row],[MO
Remboursé]])</f>
        <v>0</v>
      </c>
      <c r="S519" s="69"/>
      <c r="T519" s="70">
        <f>IF(registreGarantie[[#This Row],[date paiement]]="","",registreGarantie[[#This Row],[MO
Refusé]]+registreGarantie[[#This Row],[Pièces
Refusés]])</f>
        <v>0</v>
      </c>
      <c r="U519" s="106">
        <v>45870</v>
      </c>
      <c r="V519" s="71" t="str">
        <f>IF(registreGarantie[[#This Row],[Pièces 
Demandés]]="","",registreGarantie[[#This Row],[Date]])</f>
        <v/>
      </c>
      <c r="W519" s="103" t="str">
        <f>IF(registreGarantie[[#This Row],[Pièces 
Demandés]]="","",IF(registreGarantie[[#This Row],[date paiement]]="","",registreGarantie[[#This Row],[date paiement]]+91))</f>
        <v/>
      </c>
      <c r="X5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19" s="74" t="str">
        <f ca="1">IF(registreGarantie[[#This Row],[Colonne1]]=0,"",IF(TODAY()&gt;registreGarantie[[#This Row],[Date rebus]],0,1))</f>
        <v/>
      </c>
      <c r="Z519" s="66"/>
      <c r="AA519" s="73" t="str">
        <f>IF(AND(registreGarantie[[#This Row],[Montant non remboursé]]&gt;1,registreGarantie[[#This Row],[Montant non remboursé]]&lt;&gt;""),1,"")</f>
        <v/>
      </c>
      <c r="AB519" s="66"/>
      <c r="AC519" s="66"/>
      <c r="AD519" s="87">
        <f t="shared" si="8"/>
        <v>519</v>
      </c>
      <c r="AE519" s="109">
        <v>45855</v>
      </c>
    </row>
    <row r="520" spans="1:31" ht="18" customHeight="1" thickBot="1" x14ac:dyDescent="0.4">
      <c r="A520" s="64">
        <v>45173</v>
      </c>
      <c r="B520" s="64">
        <v>44363</v>
      </c>
      <c r="C520" s="106">
        <v>45825</v>
      </c>
      <c r="D520" s="66" t="s">
        <v>482</v>
      </c>
      <c r="E520" s="66" t="s">
        <v>181</v>
      </c>
      <c r="F520" s="68" t="s">
        <v>2304</v>
      </c>
      <c r="G520" s="66" t="s">
        <v>2352</v>
      </c>
      <c r="H520" s="64">
        <v>784</v>
      </c>
      <c r="I520" s="67" t="s">
        <v>5</v>
      </c>
      <c r="J520" s="97">
        <v>404704067</v>
      </c>
      <c r="K520" s="66"/>
      <c r="L520" s="68"/>
      <c r="M520" s="69"/>
      <c r="N520" s="69"/>
      <c r="O520" s="70">
        <f>IF(registreGarantie[[#This Row],[date paiement]]="","",registreGarantie[[#This Row],[Pièces 
Demandés]]-registreGarantie[[#This Row],[Pièces 
Remboursés]])</f>
        <v>0</v>
      </c>
      <c r="P520" s="69">
        <v>81.88</v>
      </c>
      <c r="Q520" s="69">
        <v>81.88</v>
      </c>
      <c r="R520" s="70">
        <f>IF(registreGarantie[[#This Row],[date paiement]]="","",registreGarantie[[#This Row],[MO
Demandé]]-registreGarantie[[#This Row],[MO
Remboursé]])</f>
        <v>0</v>
      </c>
      <c r="S520" s="69"/>
      <c r="T520" s="70">
        <f>IF(registreGarantie[[#This Row],[date paiement]]="","",registreGarantie[[#This Row],[MO
Refusé]]+registreGarantie[[#This Row],[Pièces
Refusés]])</f>
        <v>0</v>
      </c>
      <c r="U520" s="106">
        <v>45842</v>
      </c>
      <c r="V520" s="71" t="str">
        <f>IF(registreGarantie[[#This Row],[Pièces 
Demandés]]="","",registreGarantie[[#This Row],[Date]])</f>
        <v/>
      </c>
      <c r="W520" s="103" t="str">
        <f>IF(registreGarantie[[#This Row],[Pièces 
Demandés]]="","",IF(registreGarantie[[#This Row],[date paiement]]="","",registreGarantie[[#This Row],[date paiement]]+91))</f>
        <v/>
      </c>
      <c r="X5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0" s="74" t="str">
        <f ca="1">IF(registreGarantie[[#This Row],[Colonne1]]=0,"",IF(TODAY()&gt;registreGarantie[[#This Row],[Date rebus]],0,1))</f>
        <v/>
      </c>
      <c r="Z520" s="66"/>
      <c r="AA520" s="73" t="str">
        <f>IF(AND(registreGarantie[[#This Row],[Montant non remboursé]]&gt;1,registreGarantie[[#This Row],[Montant non remboursé]]&lt;&gt;""),1,"")</f>
        <v/>
      </c>
      <c r="AB520" s="66"/>
      <c r="AC520" s="66"/>
      <c r="AD520" s="87">
        <f t="shared" si="8"/>
        <v>520</v>
      </c>
      <c r="AE520" s="109"/>
    </row>
    <row r="521" spans="1:31" ht="18" customHeight="1" thickBot="1" x14ac:dyDescent="0.4">
      <c r="A521" s="64">
        <v>45174</v>
      </c>
      <c r="B521" s="64">
        <v>44575</v>
      </c>
      <c r="C521" s="106">
        <v>45869</v>
      </c>
      <c r="D521" s="66" t="s">
        <v>41</v>
      </c>
      <c r="E521" s="66" t="s">
        <v>45</v>
      </c>
      <c r="F521" s="68" t="s">
        <v>2273</v>
      </c>
      <c r="G521" s="66" t="s">
        <v>2352</v>
      </c>
      <c r="H521" s="64">
        <v>249</v>
      </c>
      <c r="I521" s="67" t="s">
        <v>5</v>
      </c>
      <c r="J521" s="97">
        <v>404702751</v>
      </c>
      <c r="K521" s="66"/>
      <c r="L521" s="68"/>
      <c r="M521" s="69"/>
      <c r="N521" s="69"/>
      <c r="O521" s="70">
        <f>IF(registreGarantie[[#This Row],[date paiement]]="","",registreGarantie[[#This Row],[Pièces 
Demandés]]-registreGarantie[[#This Row],[Pièces 
Remboursés]])</f>
        <v>0</v>
      </c>
      <c r="P521" s="69">
        <v>81.88</v>
      </c>
      <c r="Q521" s="69">
        <v>81.88</v>
      </c>
      <c r="R521" s="70">
        <f>IF(registreGarantie[[#This Row],[date paiement]]="","",registreGarantie[[#This Row],[MO
Demandé]]-registreGarantie[[#This Row],[MO
Remboursé]])</f>
        <v>0</v>
      </c>
      <c r="S521" s="69"/>
      <c r="T521" s="70">
        <f>IF(registreGarantie[[#This Row],[date paiement]]="","",registreGarantie[[#This Row],[MO
Refusé]]+registreGarantie[[#This Row],[Pièces
Refusés]])</f>
        <v>0</v>
      </c>
      <c r="U521" s="106">
        <v>45870</v>
      </c>
      <c r="V521" s="71" t="str">
        <f>IF(registreGarantie[[#This Row],[Pièces 
Demandés]]="","",registreGarantie[[#This Row],[Date]])</f>
        <v/>
      </c>
      <c r="W521" s="103" t="str">
        <f>IF(registreGarantie[[#This Row],[Pièces 
Demandés]]="","",IF(registreGarantie[[#This Row],[date paiement]]="","",registreGarantie[[#This Row],[date paiement]]+91))</f>
        <v/>
      </c>
      <c r="X5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1" s="74" t="str">
        <f ca="1">IF(registreGarantie[[#This Row],[Colonne1]]=0,"",IF(TODAY()&gt;registreGarantie[[#This Row],[Date rebus]],0,1))</f>
        <v/>
      </c>
      <c r="Z521" s="66"/>
      <c r="AA521" s="73" t="str">
        <f>IF(AND(registreGarantie[[#This Row],[Montant non remboursé]]&gt;1,registreGarantie[[#This Row],[Montant non remboursé]]&lt;&gt;""),1,"")</f>
        <v/>
      </c>
      <c r="AB521" s="66"/>
      <c r="AC521" s="66"/>
      <c r="AD521" s="87">
        <f t="shared" si="8"/>
        <v>521</v>
      </c>
      <c r="AE521" s="109">
        <v>45845</v>
      </c>
    </row>
    <row r="522" spans="1:31" ht="18" customHeight="1" thickBot="1" x14ac:dyDescent="0.4">
      <c r="A522" s="64">
        <v>45175</v>
      </c>
      <c r="B522" s="64">
        <v>44422</v>
      </c>
      <c r="C522" s="106">
        <v>45825</v>
      </c>
      <c r="D522" s="66" t="s">
        <v>482</v>
      </c>
      <c r="E522" s="66" t="s">
        <v>63</v>
      </c>
      <c r="F522" s="68" t="s">
        <v>2344</v>
      </c>
      <c r="G522" s="66" t="s">
        <v>2352</v>
      </c>
      <c r="H522" s="64">
        <v>1086</v>
      </c>
      <c r="I522" s="67" t="s">
        <v>5</v>
      </c>
      <c r="J522" s="97">
        <v>404702794</v>
      </c>
      <c r="K522" s="66"/>
      <c r="L522" s="68"/>
      <c r="M522" s="69"/>
      <c r="N522" s="69"/>
      <c r="O522" s="70">
        <f>IF(registreGarantie[[#This Row],[date paiement]]="","",registreGarantie[[#This Row],[Pièces 
Demandés]]-registreGarantie[[#This Row],[Pièces 
Remboursés]])</f>
        <v>0</v>
      </c>
      <c r="P522" s="69">
        <v>49.13</v>
      </c>
      <c r="Q522" s="69">
        <v>49.13</v>
      </c>
      <c r="R522" s="70">
        <f>IF(registreGarantie[[#This Row],[date paiement]]="","",registreGarantie[[#This Row],[MO
Demandé]]-registreGarantie[[#This Row],[MO
Remboursé]])</f>
        <v>0</v>
      </c>
      <c r="S522" s="69"/>
      <c r="T522" s="70">
        <f>IF(registreGarantie[[#This Row],[date paiement]]="","",registreGarantie[[#This Row],[MO
Refusé]]+registreGarantie[[#This Row],[Pièces
Refusés]])</f>
        <v>0</v>
      </c>
      <c r="U522" s="106">
        <v>45842</v>
      </c>
      <c r="V522" s="71" t="str">
        <f>IF(registreGarantie[[#This Row],[Pièces 
Demandés]]="","",registreGarantie[[#This Row],[Date]])</f>
        <v/>
      </c>
      <c r="W522" s="103" t="str">
        <f>IF(registreGarantie[[#This Row],[Pièces 
Demandés]]="","",IF(registreGarantie[[#This Row],[date paiement]]="","",registreGarantie[[#This Row],[date paiement]]+91))</f>
        <v/>
      </c>
      <c r="X5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2" s="74" t="str">
        <f ca="1">IF(registreGarantie[[#This Row],[Colonne1]]=0,"",IF(TODAY()&gt;registreGarantie[[#This Row],[Date rebus]],0,1))</f>
        <v/>
      </c>
      <c r="Z522" s="66"/>
      <c r="AA522" s="73" t="str">
        <f>IF(AND(registreGarantie[[#This Row],[Montant non remboursé]]&gt;1,registreGarantie[[#This Row],[Montant non remboursé]]&lt;&gt;""),1,"")</f>
        <v/>
      </c>
      <c r="AB522" s="66"/>
      <c r="AC522" s="66"/>
      <c r="AD522" s="87">
        <f t="shared" si="8"/>
        <v>522</v>
      </c>
      <c r="AE522" s="109"/>
    </row>
    <row r="523" spans="1:31" ht="18" customHeight="1" thickBot="1" x14ac:dyDescent="0.4">
      <c r="A523" s="64">
        <v>45176</v>
      </c>
      <c r="B523" s="64">
        <v>44611</v>
      </c>
      <c r="C523" s="106">
        <v>45873</v>
      </c>
      <c r="D523" s="66" t="s">
        <v>1097</v>
      </c>
      <c r="E523" s="66" t="s">
        <v>533</v>
      </c>
      <c r="F523" s="68" t="s">
        <v>2313</v>
      </c>
      <c r="G523" s="66" t="s">
        <v>2352</v>
      </c>
      <c r="H523" s="64"/>
      <c r="I523" s="67" t="s">
        <v>5</v>
      </c>
      <c r="J523" s="97">
        <v>404703005</v>
      </c>
      <c r="K523" s="66"/>
      <c r="L523" s="68"/>
      <c r="M523" s="69"/>
      <c r="N523" s="69"/>
      <c r="O523" s="70" t="str">
        <f>IF(registreGarantie[[#This Row],[date paiement]]="","",registreGarantie[[#This Row],[Pièces 
Demandés]]-registreGarantie[[#This Row],[Pièces 
Remboursés]])</f>
        <v/>
      </c>
      <c r="P523" s="69"/>
      <c r="Q523" s="69"/>
      <c r="R523" s="70" t="str">
        <f>IF(registreGarantie[[#This Row],[date paiement]]="","",registreGarantie[[#This Row],[MO
Demandé]]-registreGarantie[[#This Row],[MO
Remboursé]])</f>
        <v/>
      </c>
      <c r="S523" s="69"/>
      <c r="T523" s="70" t="str">
        <f>IF(registreGarantie[[#This Row],[date paiement]]="","",registreGarantie[[#This Row],[MO
Refusé]]+registreGarantie[[#This Row],[Pièces
Refusés]])</f>
        <v/>
      </c>
      <c r="U523" s="106"/>
      <c r="V523" s="71" t="str">
        <f>IF(registreGarantie[[#This Row],[Pièces 
Demandés]]="","",registreGarantie[[#This Row],[Date]])</f>
        <v/>
      </c>
      <c r="W523" s="103" t="str">
        <f>IF(registreGarantie[[#This Row],[Pièces 
Demandés]]="","",IF(registreGarantie[[#This Row],[date paiement]]="","",registreGarantie[[#This Row],[date paiement]]+91))</f>
        <v/>
      </c>
      <c r="X5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3" s="74" t="str">
        <f ca="1">IF(registreGarantie[[#This Row],[Colonne1]]=0,"",IF(TODAY()&gt;registreGarantie[[#This Row],[Date rebus]],0,1))</f>
        <v/>
      </c>
      <c r="Z523" s="66"/>
      <c r="AA523" s="73" t="str">
        <f>IF(AND(registreGarantie[[#This Row],[Montant non remboursé]]&gt;1,registreGarantie[[#This Row],[Montant non remboursé]]&lt;&gt;""),1,"")</f>
        <v/>
      </c>
      <c r="AB523" s="66"/>
      <c r="AC523" s="66"/>
      <c r="AD523" s="87">
        <f t="shared" si="8"/>
        <v>523</v>
      </c>
      <c r="AE523" s="109">
        <v>45855</v>
      </c>
    </row>
    <row r="524" spans="1:31" ht="18" customHeight="1" thickBot="1" x14ac:dyDescent="0.4">
      <c r="A524" s="64">
        <v>45177</v>
      </c>
      <c r="B524" s="64">
        <v>44574</v>
      </c>
      <c r="C524" s="106">
        <v>45926</v>
      </c>
      <c r="D524" s="66" t="s">
        <v>353</v>
      </c>
      <c r="E524" s="66" t="s">
        <v>32</v>
      </c>
      <c r="F524" s="68" t="s">
        <v>2335</v>
      </c>
      <c r="G524" s="66" t="s">
        <v>2352</v>
      </c>
      <c r="H524" s="64">
        <v>1781</v>
      </c>
      <c r="I524" s="67" t="s">
        <v>5</v>
      </c>
      <c r="J524" s="97">
        <v>404703400</v>
      </c>
      <c r="K524" s="66"/>
      <c r="L524" s="68"/>
      <c r="M524" s="69"/>
      <c r="N524" s="69"/>
      <c r="O524" s="70" t="str">
        <f>IF(registreGarantie[[#This Row],[date paiement]]="","",registreGarantie[[#This Row],[Pièces 
Demandés]]-registreGarantie[[#This Row],[Pièces 
Remboursés]])</f>
        <v/>
      </c>
      <c r="P524" s="69">
        <v>49.13</v>
      </c>
      <c r="Q524" s="69">
        <v>49.13</v>
      </c>
      <c r="R524" s="70" t="str">
        <f>IF(registreGarantie[[#This Row],[date paiement]]="","",registreGarantie[[#This Row],[MO
Demandé]]-registreGarantie[[#This Row],[MO
Remboursé]])</f>
        <v/>
      </c>
      <c r="S524" s="69"/>
      <c r="T524" s="70" t="str">
        <f>IF(registreGarantie[[#This Row],[date paiement]]="","",registreGarantie[[#This Row],[MO
Refusé]]+registreGarantie[[#This Row],[Pièces
Refusés]])</f>
        <v/>
      </c>
      <c r="U524" s="106"/>
      <c r="V524" s="71"/>
      <c r="W524" s="103" t="str">
        <f>IF(registreGarantie[[#This Row],[Pièces 
Demandés]]="","",IF(registreGarantie[[#This Row],[date paiement]]="","",registreGarantie[[#This Row],[date paiement]]+91))</f>
        <v/>
      </c>
      <c r="X5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4" s="74" t="str">
        <f ca="1">IF(registreGarantie[[#This Row],[Colonne1]]=0,"",IF(TODAY()&gt;registreGarantie[[#This Row],[Date rebus]],0,1))</f>
        <v/>
      </c>
      <c r="Z524" s="66"/>
      <c r="AA524" s="73" t="str">
        <f>IF(AND(registreGarantie[[#This Row],[Montant non remboursé]]&gt;1,registreGarantie[[#This Row],[Montant non remboursé]]&lt;&gt;""),1,"")</f>
        <v/>
      </c>
      <c r="AB524" s="66"/>
      <c r="AC524" s="66"/>
      <c r="AD524" s="87">
        <f t="shared" si="8"/>
        <v>524</v>
      </c>
      <c r="AE524" s="109">
        <v>45845</v>
      </c>
    </row>
    <row r="525" spans="1:31" ht="18" customHeight="1" thickBot="1" x14ac:dyDescent="0.4">
      <c r="A525" s="64">
        <v>45178</v>
      </c>
      <c r="B525" s="64">
        <v>44500</v>
      </c>
      <c r="C525" s="106">
        <v>45847</v>
      </c>
      <c r="D525" s="66" t="s">
        <v>56</v>
      </c>
      <c r="E525" s="66" t="s">
        <v>106</v>
      </c>
      <c r="F525" s="68" t="s">
        <v>2328</v>
      </c>
      <c r="G525" s="66" t="s">
        <v>2352</v>
      </c>
      <c r="H525" s="64" t="s">
        <v>2602</v>
      </c>
      <c r="I525" s="67" t="s">
        <v>5</v>
      </c>
      <c r="J525" s="97">
        <v>404704347</v>
      </c>
      <c r="K525" s="66"/>
      <c r="L525" s="68"/>
      <c r="M525" s="69"/>
      <c r="N525" s="69"/>
      <c r="O525" s="70">
        <f>IF(registreGarantie[[#This Row],[date paiement]]="","",registreGarantie[[#This Row],[Pièces 
Demandés]]-registreGarantie[[#This Row],[Pièces 
Remboursés]])</f>
        <v>0</v>
      </c>
      <c r="P525" s="69">
        <v>49.13</v>
      </c>
      <c r="Q525" s="69">
        <v>49.13</v>
      </c>
      <c r="R525" s="70">
        <f>IF(registreGarantie[[#This Row],[date paiement]]="","",registreGarantie[[#This Row],[MO
Demandé]]-registreGarantie[[#This Row],[MO
Remboursé]])</f>
        <v>0</v>
      </c>
      <c r="S525" s="69"/>
      <c r="T525" s="70">
        <f>IF(registreGarantie[[#This Row],[date paiement]]="","",registreGarantie[[#This Row],[MO
Refusé]]+registreGarantie[[#This Row],[Pièces
Refusés]])</f>
        <v>0</v>
      </c>
      <c r="U525" s="106">
        <v>45855</v>
      </c>
      <c r="V525" s="71" t="str">
        <f>IF(registreGarantie[[#This Row],[Pièces 
Demandés]]="","",registreGarantie[[#This Row],[Date]])</f>
        <v/>
      </c>
      <c r="W525" s="103" t="str">
        <f>IF(registreGarantie[[#This Row],[Pièces 
Demandés]]="","",IF(registreGarantie[[#This Row],[date paiement]]="","",registreGarantie[[#This Row],[date paiement]]+91))</f>
        <v/>
      </c>
      <c r="X5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5" s="74" t="str">
        <f ca="1">IF(registreGarantie[[#This Row],[Colonne1]]=0,"",IF(TODAY()&gt;registreGarantie[[#This Row],[Date rebus]],0,1))</f>
        <v/>
      </c>
      <c r="Z525" s="66"/>
      <c r="AA525" s="73" t="str">
        <f>IF(AND(registreGarantie[[#This Row],[Montant non remboursé]]&gt;1,registreGarantie[[#This Row],[Montant non remboursé]]&lt;&gt;""),1,"")</f>
        <v/>
      </c>
      <c r="AB525" s="66"/>
      <c r="AC525" s="66"/>
      <c r="AD525" s="87">
        <f t="shared" si="8"/>
        <v>525</v>
      </c>
      <c r="AE525" s="109">
        <v>45827</v>
      </c>
    </row>
    <row r="526" spans="1:31" ht="18" customHeight="1" thickBot="1" x14ac:dyDescent="0.4">
      <c r="A526" s="64">
        <v>45179</v>
      </c>
      <c r="B526" s="64">
        <v>44575</v>
      </c>
      <c r="C526" s="106">
        <v>45845</v>
      </c>
      <c r="D526" s="66" t="s">
        <v>309</v>
      </c>
      <c r="E526" s="66" t="s">
        <v>63</v>
      </c>
      <c r="F526" s="68" t="s">
        <v>2353</v>
      </c>
      <c r="G526" s="66" t="s">
        <v>2352</v>
      </c>
      <c r="H526" s="64"/>
      <c r="I526" s="67" t="s">
        <v>5</v>
      </c>
      <c r="J526" s="97">
        <v>404700900</v>
      </c>
      <c r="K526" s="66"/>
      <c r="L526" s="68"/>
      <c r="M526" s="69"/>
      <c r="N526" s="69"/>
      <c r="O526" s="70" t="str">
        <f>IF(registreGarantie[[#This Row],[date paiement]]="","",registreGarantie[[#This Row],[Pièces 
Demandés]]-registreGarantie[[#This Row],[Pièces 
Remboursés]])</f>
        <v/>
      </c>
      <c r="P526" s="69"/>
      <c r="Q526" s="69"/>
      <c r="R526" s="70" t="str">
        <f>IF(registreGarantie[[#This Row],[date paiement]]="","",registreGarantie[[#This Row],[MO
Demandé]]-registreGarantie[[#This Row],[MO
Remboursé]])</f>
        <v/>
      </c>
      <c r="S526" s="69"/>
      <c r="T526" s="70" t="str">
        <f>IF(registreGarantie[[#This Row],[date paiement]]="","",registreGarantie[[#This Row],[MO
Refusé]]+registreGarantie[[#This Row],[Pièces
Refusés]])</f>
        <v/>
      </c>
      <c r="U526" s="106"/>
      <c r="V526" s="71" t="str">
        <f>IF(registreGarantie[[#This Row],[Pièces 
Demandés]]="","",registreGarantie[[#This Row],[Date]])</f>
        <v/>
      </c>
      <c r="W526" s="103" t="str">
        <f>IF(registreGarantie[[#This Row],[Pièces 
Demandés]]="","",IF(registreGarantie[[#This Row],[date paiement]]="","",registreGarantie[[#This Row],[date paiement]]+91))</f>
        <v/>
      </c>
      <c r="X5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6" s="74" t="str">
        <f ca="1">IF(registreGarantie[[#This Row],[Colonne1]]=0,"",IF(TODAY()&gt;registreGarantie[[#This Row],[Date rebus]],0,1))</f>
        <v/>
      </c>
      <c r="Z526" s="66"/>
      <c r="AA526" s="73" t="str">
        <f>IF(AND(registreGarantie[[#This Row],[Montant non remboursé]]&gt;1,registreGarantie[[#This Row],[Montant non remboursé]]&lt;&gt;""),1,"")</f>
        <v/>
      </c>
      <c r="AB526" s="66"/>
      <c r="AC526" s="66"/>
      <c r="AD526" s="87">
        <f t="shared" si="8"/>
        <v>526</v>
      </c>
      <c r="AE526" s="109"/>
    </row>
    <row r="527" spans="1:31" ht="18" customHeight="1" thickBot="1" x14ac:dyDescent="0.4">
      <c r="A527" s="64">
        <v>45180</v>
      </c>
      <c r="B527" s="64">
        <v>44530</v>
      </c>
      <c r="C527" s="106">
        <v>45847</v>
      </c>
      <c r="D527" s="66" t="s">
        <v>86</v>
      </c>
      <c r="E527" s="66" t="s">
        <v>45</v>
      </c>
      <c r="F527" s="68" t="s">
        <v>2281</v>
      </c>
      <c r="G527" s="66" t="s">
        <v>2352</v>
      </c>
      <c r="H527" s="64">
        <v>1337</v>
      </c>
      <c r="I527" s="67" t="s">
        <v>5</v>
      </c>
      <c r="J527" s="97">
        <v>404704427</v>
      </c>
      <c r="K527" s="66"/>
      <c r="L527" s="68"/>
      <c r="M527" s="69"/>
      <c r="N527" s="69"/>
      <c r="O527" s="70">
        <f>IF(registreGarantie[[#This Row],[date paiement]]="","",registreGarantie[[#This Row],[Pièces 
Demandés]]-registreGarantie[[#This Row],[Pièces 
Remboursés]])</f>
        <v>0</v>
      </c>
      <c r="P527" s="69">
        <v>65.5</v>
      </c>
      <c r="Q527" s="69">
        <v>65.5</v>
      </c>
      <c r="R527" s="70">
        <f>IF(registreGarantie[[#This Row],[date paiement]]="","",registreGarantie[[#This Row],[MO
Demandé]]-registreGarantie[[#This Row],[MO
Remboursé]])</f>
        <v>0</v>
      </c>
      <c r="S527" s="69"/>
      <c r="T527" s="70">
        <f>IF(registreGarantie[[#This Row],[date paiement]]="","",registreGarantie[[#This Row],[MO
Refusé]]+registreGarantie[[#This Row],[Pièces
Refusés]])</f>
        <v>0</v>
      </c>
      <c r="U527" s="106">
        <v>45855</v>
      </c>
      <c r="V527" s="71" t="str">
        <f>IF(registreGarantie[[#This Row],[Pièces 
Demandés]]="","",registreGarantie[[#This Row],[Date]])</f>
        <v/>
      </c>
      <c r="W527" s="103" t="str">
        <f>IF(registreGarantie[[#This Row],[Pièces 
Demandés]]="","",IF(registreGarantie[[#This Row],[date paiement]]="","",registreGarantie[[#This Row],[date paiement]]+91))</f>
        <v/>
      </c>
      <c r="X5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7" s="74" t="str">
        <f ca="1">IF(registreGarantie[[#This Row],[Colonne1]]=0,"",IF(TODAY()&gt;registreGarantie[[#This Row],[Date rebus]],0,1))</f>
        <v/>
      </c>
      <c r="Z527" s="66"/>
      <c r="AA527" s="73" t="str">
        <f>IF(AND(registreGarantie[[#This Row],[Montant non remboursé]]&gt;1,registreGarantie[[#This Row],[Montant non remboursé]]&lt;&gt;""),1,"")</f>
        <v/>
      </c>
      <c r="AB527" s="66"/>
      <c r="AC527" s="66"/>
      <c r="AD527" s="87">
        <f t="shared" si="8"/>
        <v>527</v>
      </c>
      <c r="AE527" s="109">
        <v>45835</v>
      </c>
    </row>
    <row r="528" spans="1:31" ht="18" customHeight="1" thickBot="1" x14ac:dyDescent="0.4">
      <c r="A528" s="64">
        <v>45181</v>
      </c>
      <c r="B528" s="64">
        <v>44791</v>
      </c>
      <c r="C528" s="106">
        <v>45925</v>
      </c>
      <c r="D528" s="66" t="s">
        <v>79</v>
      </c>
      <c r="E528" s="66" t="s">
        <v>75</v>
      </c>
      <c r="F528" s="68" t="s">
        <v>2338</v>
      </c>
      <c r="G528" s="66" t="s">
        <v>2352</v>
      </c>
      <c r="H528" s="64">
        <v>827</v>
      </c>
      <c r="I528" s="67" t="s">
        <v>5</v>
      </c>
      <c r="J528" s="97">
        <v>404701093</v>
      </c>
      <c r="K528" s="66"/>
      <c r="L528" s="68"/>
      <c r="M528" s="69"/>
      <c r="N528" s="69"/>
      <c r="O528" s="70" t="str">
        <f>IF(registreGarantie[[#This Row],[date paiement]]="","",registreGarantie[[#This Row],[Pièces 
Demandés]]-registreGarantie[[#This Row],[Pièces 
Remboursés]])</f>
        <v/>
      </c>
      <c r="P528" s="69">
        <v>81.88</v>
      </c>
      <c r="Q528" s="69">
        <v>81.88</v>
      </c>
      <c r="R528" s="70" t="str">
        <f>IF(registreGarantie[[#This Row],[date paiement]]="","",registreGarantie[[#This Row],[MO
Demandé]]-registreGarantie[[#This Row],[MO
Remboursé]])</f>
        <v/>
      </c>
      <c r="S528" s="69"/>
      <c r="T528" s="70" t="str">
        <f>IF(registreGarantie[[#This Row],[date paiement]]="","",registreGarantie[[#This Row],[MO
Refusé]]+registreGarantie[[#This Row],[Pièces
Refusés]])</f>
        <v/>
      </c>
      <c r="U528" s="106"/>
      <c r="V528" s="71"/>
      <c r="W528" s="103" t="str">
        <f>IF(registreGarantie[[#This Row],[Pièces 
Demandés]]="","",IF(registreGarantie[[#This Row],[date paiement]]="","",registreGarantie[[#This Row],[date paiement]]+91))</f>
        <v/>
      </c>
      <c r="X5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8" s="74" t="str">
        <f ca="1">IF(registreGarantie[[#This Row],[Colonne1]]=0,"",IF(TODAY()&gt;registreGarantie[[#This Row],[Date rebus]],0,1))</f>
        <v/>
      </c>
      <c r="Z528" s="66"/>
      <c r="AA528" s="73" t="str">
        <f>IF(AND(registreGarantie[[#This Row],[Montant non remboursé]]&gt;1,registreGarantie[[#This Row],[Montant non remboursé]]&lt;&gt;""),1,"")</f>
        <v/>
      </c>
      <c r="AB528" s="66"/>
      <c r="AC528" s="66"/>
      <c r="AD528" s="87">
        <f t="shared" si="8"/>
        <v>528</v>
      </c>
      <c r="AE528" s="109">
        <v>45917</v>
      </c>
    </row>
    <row r="529" spans="1:31" ht="18" customHeight="1" thickBot="1" x14ac:dyDescent="0.4">
      <c r="A529" s="64">
        <v>45182</v>
      </c>
      <c r="B529" s="64">
        <v>44610</v>
      </c>
      <c r="C529" s="106">
        <v>45867</v>
      </c>
      <c r="D529" s="66" t="s">
        <v>486</v>
      </c>
      <c r="E529" s="66" t="s">
        <v>487</v>
      </c>
      <c r="F529" s="68" t="s">
        <v>2262</v>
      </c>
      <c r="G529" s="66" t="s">
        <v>2352</v>
      </c>
      <c r="H529" s="64">
        <v>2655</v>
      </c>
      <c r="I529" s="67" t="s">
        <v>5</v>
      </c>
      <c r="J529" s="97">
        <v>404701671</v>
      </c>
      <c r="K529" s="66"/>
      <c r="L529" s="68"/>
      <c r="M529" s="69"/>
      <c r="N529" s="69"/>
      <c r="O529" s="70">
        <f>IF(registreGarantie[[#This Row],[date paiement]]="","",registreGarantie[[#This Row],[Pièces 
Demandés]]-registreGarantie[[#This Row],[Pièces 
Remboursés]])</f>
        <v>0</v>
      </c>
      <c r="P529" s="69">
        <v>81.88</v>
      </c>
      <c r="Q529" s="69">
        <v>81.88</v>
      </c>
      <c r="R529" s="70">
        <f>IF(registreGarantie[[#This Row],[date paiement]]="","",registreGarantie[[#This Row],[MO
Demandé]]-registreGarantie[[#This Row],[MO
Remboursé]])</f>
        <v>0</v>
      </c>
      <c r="S529" s="69"/>
      <c r="T529" s="70">
        <f>IF(registreGarantie[[#This Row],[date paiement]]="","",registreGarantie[[#This Row],[MO
Refusé]]+registreGarantie[[#This Row],[Pièces
Refusés]])</f>
        <v>0</v>
      </c>
      <c r="U529" s="106">
        <v>45870</v>
      </c>
      <c r="V529" s="71" t="str">
        <f>IF(registreGarantie[[#This Row],[Pièces 
Demandés]]="","",registreGarantie[[#This Row],[Date]])</f>
        <v/>
      </c>
      <c r="W529" s="103" t="str">
        <f>IF(registreGarantie[[#This Row],[Pièces 
Demandés]]="","",IF(registreGarantie[[#This Row],[date paiement]]="","",registreGarantie[[#This Row],[date paiement]]+91))</f>
        <v/>
      </c>
      <c r="X5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29" s="74" t="str">
        <f ca="1">IF(registreGarantie[[#This Row],[Colonne1]]=0,"",IF(TODAY()&gt;registreGarantie[[#This Row],[Date rebus]],0,1))</f>
        <v/>
      </c>
      <c r="Z529" s="66"/>
      <c r="AA529" s="73" t="str">
        <f>IF(AND(registreGarantie[[#This Row],[Montant non remboursé]]&gt;1,registreGarantie[[#This Row],[Montant non remboursé]]&lt;&gt;""),1,"")</f>
        <v/>
      </c>
      <c r="AB529" s="66"/>
      <c r="AC529" s="66"/>
      <c r="AD529" s="87">
        <f t="shared" si="8"/>
        <v>529</v>
      </c>
      <c r="AE529" s="109">
        <v>45855</v>
      </c>
    </row>
    <row r="530" spans="1:31" ht="18" customHeight="1" thickBot="1" x14ac:dyDescent="0.4">
      <c r="A530" s="64">
        <v>45183</v>
      </c>
      <c r="B530" s="64">
        <v>44501</v>
      </c>
      <c r="C530" s="106">
        <v>45847</v>
      </c>
      <c r="D530" s="66" t="s">
        <v>292</v>
      </c>
      <c r="E530" s="66" t="s">
        <v>75</v>
      </c>
      <c r="F530" s="68" t="s">
        <v>2244</v>
      </c>
      <c r="G530" s="66" t="s">
        <v>2352</v>
      </c>
      <c r="H530" s="64">
        <v>1270</v>
      </c>
      <c r="I530" s="67" t="s">
        <v>5</v>
      </c>
      <c r="J530" s="97">
        <v>404701706</v>
      </c>
      <c r="K530" s="66"/>
      <c r="L530" s="68"/>
      <c r="M530" s="69"/>
      <c r="N530" s="69"/>
      <c r="O530" s="70">
        <f>IF(registreGarantie[[#This Row],[date paiement]]="","",registreGarantie[[#This Row],[Pièces 
Demandés]]-registreGarantie[[#This Row],[Pièces 
Remboursés]])</f>
        <v>0</v>
      </c>
      <c r="P530" s="69">
        <v>65.5</v>
      </c>
      <c r="Q530" s="69">
        <v>65.5</v>
      </c>
      <c r="R530" s="70">
        <f>IF(registreGarantie[[#This Row],[date paiement]]="","",registreGarantie[[#This Row],[MO
Demandé]]-registreGarantie[[#This Row],[MO
Remboursé]])</f>
        <v>0</v>
      </c>
      <c r="S530" s="69"/>
      <c r="T530" s="70">
        <f>IF(registreGarantie[[#This Row],[date paiement]]="","",registreGarantie[[#This Row],[MO
Refusé]]+registreGarantie[[#This Row],[Pièces
Refusés]])</f>
        <v>0</v>
      </c>
      <c r="U530" s="106">
        <v>45855</v>
      </c>
      <c r="V530" s="71" t="str">
        <f>IF(registreGarantie[[#This Row],[Pièces 
Demandés]]="","",registreGarantie[[#This Row],[Date]])</f>
        <v/>
      </c>
      <c r="W530" s="103" t="str">
        <f>IF(registreGarantie[[#This Row],[Pièces 
Demandés]]="","",IF(registreGarantie[[#This Row],[date paiement]]="","",registreGarantie[[#This Row],[date paiement]]+91))</f>
        <v/>
      </c>
      <c r="X5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0" s="74" t="str">
        <f ca="1">IF(registreGarantie[[#This Row],[Colonne1]]=0,"",IF(TODAY()&gt;registreGarantie[[#This Row],[Date rebus]],0,1))</f>
        <v/>
      </c>
      <c r="Z530" s="66"/>
      <c r="AA530" s="73" t="str">
        <f>IF(AND(registreGarantie[[#This Row],[Montant non remboursé]]&gt;1,registreGarantie[[#This Row],[Montant non remboursé]]&lt;&gt;""),1,"")</f>
        <v/>
      </c>
      <c r="AB530" s="66"/>
      <c r="AC530" s="66"/>
      <c r="AD530" s="87">
        <f t="shared" si="8"/>
        <v>530</v>
      </c>
      <c r="AE530" s="109">
        <v>45827</v>
      </c>
    </row>
    <row r="531" spans="1:31" ht="18" customHeight="1" thickBot="1" x14ac:dyDescent="0.4">
      <c r="A531" s="64">
        <v>45184</v>
      </c>
      <c r="B531" s="64">
        <v>44607</v>
      </c>
      <c r="C531" s="106">
        <v>45867</v>
      </c>
      <c r="D531" s="66" t="s">
        <v>1535</v>
      </c>
      <c r="E531" s="66" t="s">
        <v>45</v>
      </c>
      <c r="F531" s="68" t="s">
        <v>2265</v>
      </c>
      <c r="G531" s="66" t="s">
        <v>2352</v>
      </c>
      <c r="H531" s="64">
        <v>1470</v>
      </c>
      <c r="I531" s="67" t="s">
        <v>5</v>
      </c>
      <c r="J531" s="97">
        <v>404701340</v>
      </c>
      <c r="K531" s="66"/>
      <c r="L531" s="68"/>
      <c r="M531" s="69"/>
      <c r="N531" s="69"/>
      <c r="O531" s="70">
        <f>IF(registreGarantie[[#This Row],[date paiement]]="","",registreGarantie[[#This Row],[Pièces 
Demandés]]-registreGarantie[[#This Row],[Pièces 
Remboursés]])</f>
        <v>0</v>
      </c>
      <c r="P531" s="69">
        <v>81.88</v>
      </c>
      <c r="Q531" s="69">
        <v>81.88</v>
      </c>
      <c r="R531" s="70">
        <f>IF(registreGarantie[[#This Row],[date paiement]]="","",registreGarantie[[#This Row],[MO
Demandé]]-registreGarantie[[#This Row],[MO
Remboursé]])</f>
        <v>0</v>
      </c>
      <c r="S531" s="69"/>
      <c r="T531" s="70">
        <f>IF(registreGarantie[[#This Row],[date paiement]]="","",registreGarantie[[#This Row],[MO
Refusé]]+registreGarantie[[#This Row],[Pièces
Refusés]])</f>
        <v>0</v>
      </c>
      <c r="U531" s="106">
        <v>45870</v>
      </c>
      <c r="V531" s="71" t="str">
        <f>IF(registreGarantie[[#This Row],[Pièces 
Demandés]]="","",registreGarantie[[#This Row],[Date]])</f>
        <v/>
      </c>
      <c r="W531" s="103" t="str">
        <f>IF(registreGarantie[[#This Row],[Pièces 
Demandés]]="","",IF(registreGarantie[[#This Row],[date paiement]]="","",registreGarantie[[#This Row],[date paiement]]+91))</f>
        <v/>
      </c>
      <c r="X5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1" s="74" t="str">
        <f ca="1">IF(registreGarantie[[#This Row],[Colonne1]]=0,"",IF(TODAY()&gt;registreGarantie[[#This Row],[Date rebus]],0,1))</f>
        <v/>
      </c>
      <c r="Z531" s="66"/>
      <c r="AA531" s="73" t="str">
        <f>IF(AND(registreGarantie[[#This Row],[Montant non remboursé]]&gt;1,registreGarantie[[#This Row],[Montant non remboursé]]&lt;&gt;""),1,"")</f>
        <v/>
      </c>
      <c r="AB531" s="66"/>
      <c r="AC531" s="66"/>
      <c r="AD531" s="87">
        <f t="shared" si="8"/>
        <v>531</v>
      </c>
      <c r="AE531" s="109">
        <v>45855</v>
      </c>
    </row>
    <row r="532" spans="1:31" ht="18" customHeight="1" thickBot="1" x14ac:dyDescent="0.4">
      <c r="A532" s="64">
        <v>45185</v>
      </c>
      <c r="B532" s="64">
        <v>44609</v>
      </c>
      <c r="C532" s="106">
        <v>45867</v>
      </c>
      <c r="D532" s="66" t="s">
        <v>325</v>
      </c>
      <c r="E532" s="66" t="s">
        <v>367</v>
      </c>
      <c r="F532" s="68" t="s">
        <v>2311</v>
      </c>
      <c r="G532" s="66" t="s">
        <v>2352</v>
      </c>
      <c r="H532" s="64">
        <v>1249</v>
      </c>
      <c r="I532" s="67" t="s">
        <v>5</v>
      </c>
      <c r="J532" s="97">
        <v>404702740</v>
      </c>
      <c r="K532" s="66"/>
      <c r="L532" s="68"/>
      <c r="M532" s="69"/>
      <c r="N532" s="69"/>
      <c r="O532" s="70">
        <f>IF(registreGarantie[[#This Row],[date paiement]]="","",registreGarantie[[#This Row],[Pièces 
Demandés]]-registreGarantie[[#This Row],[Pièces 
Remboursés]])</f>
        <v>0</v>
      </c>
      <c r="P532" s="69">
        <v>81.88</v>
      </c>
      <c r="Q532" s="69">
        <v>81.88</v>
      </c>
      <c r="R532" s="70">
        <f>IF(registreGarantie[[#This Row],[date paiement]]="","",registreGarantie[[#This Row],[MO
Demandé]]-registreGarantie[[#This Row],[MO
Remboursé]])</f>
        <v>0</v>
      </c>
      <c r="S532" s="69"/>
      <c r="T532" s="70">
        <f>IF(registreGarantie[[#This Row],[date paiement]]="","",registreGarantie[[#This Row],[MO
Refusé]]+registreGarantie[[#This Row],[Pièces
Refusés]])</f>
        <v>0</v>
      </c>
      <c r="U532" s="106">
        <v>45870</v>
      </c>
      <c r="V532" s="71" t="str">
        <f>IF(registreGarantie[[#This Row],[Pièces 
Demandés]]="","",registreGarantie[[#This Row],[Date]])</f>
        <v/>
      </c>
      <c r="W532" s="103" t="str">
        <f>IF(registreGarantie[[#This Row],[Pièces 
Demandés]]="","",IF(registreGarantie[[#This Row],[date paiement]]="","",registreGarantie[[#This Row],[date paiement]]+91))</f>
        <v/>
      </c>
      <c r="X5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2" s="74" t="str">
        <f ca="1">IF(registreGarantie[[#This Row],[Colonne1]]=0,"",IF(TODAY()&gt;registreGarantie[[#This Row],[Date rebus]],0,1))</f>
        <v/>
      </c>
      <c r="Z532" s="66"/>
      <c r="AA532" s="73" t="str">
        <f>IF(AND(registreGarantie[[#This Row],[Montant non remboursé]]&gt;1,registreGarantie[[#This Row],[Montant non remboursé]]&lt;&gt;""),1,"")</f>
        <v/>
      </c>
      <c r="AB532" s="66"/>
      <c r="AC532" s="66"/>
      <c r="AD532" s="87">
        <f t="shared" si="8"/>
        <v>532</v>
      </c>
      <c r="AE532" s="109">
        <v>45855</v>
      </c>
    </row>
    <row r="533" spans="1:31" ht="18" customHeight="1" thickBot="1" x14ac:dyDescent="0.4">
      <c r="A533" s="64">
        <v>45186</v>
      </c>
      <c r="B533" s="64">
        <v>44608</v>
      </c>
      <c r="C533" s="106">
        <v>45867</v>
      </c>
      <c r="D533" s="66" t="s">
        <v>328</v>
      </c>
      <c r="E533" s="66" t="s">
        <v>148</v>
      </c>
      <c r="F533" s="68" t="s">
        <v>2354</v>
      </c>
      <c r="G533" s="66" t="s">
        <v>2352</v>
      </c>
      <c r="H533" s="64">
        <v>1195</v>
      </c>
      <c r="I533" s="67" t="s">
        <v>5</v>
      </c>
      <c r="J533" s="97">
        <v>404703187</v>
      </c>
      <c r="K533" s="66"/>
      <c r="L533" s="68"/>
      <c r="M533" s="69"/>
      <c r="N533" s="69"/>
      <c r="O533" s="70">
        <f>IF(registreGarantie[[#This Row],[date paiement]]="","",registreGarantie[[#This Row],[Pièces 
Demandés]]-registreGarantie[[#This Row],[Pièces 
Remboursés]])</f>
        <v>0</v>
      </c>
      <c r="P533" s="69">
        <v>49.13</v>
      </c>
      <c r="Q533" s="69">
        <v>49.13</v>
      </c>
      <c r="R533" s="70">
        <f>IF(registreGarantie[[#This Row],[date paiement]]="","",registreGarantie[[#This Row],[MO
Demandé]]-registreGarantie[[#This Row],[MO
Remboursé]])</f>
        <v>0</v>
      </c>
      <c r="S533" s="69"/>
      <c r="T533" s="70">
        <f>IF(registreGarantie[[#This Row],[date paiement]]="","",registreGarantie[[#This Row],[MO
Refusé]]+registreGarantie[[#This Row],[Pièces
Refusés]])</f>
        <v>0</v>
      </c>
      <c r="U533" s="106">
        <v>45870</v>
      </c>
      <c r="V533" s="71" t="str">
        <f>IF(registreGarantie[[#This Row],[Pièces 
Demandés]]="","",registreGarantie[[#This Row],[Date]])</f>
        <v/>
      </c>
      <c r="W533" s="103" t="str">
        <f>IF(registreGarantie[[#This Row],[Pièces 
Demandés]]="","",IF(registreGarantie[[#This Row],[date paiement]]="","",registreGarantie[[#This Row],[date paiement]]+91))</f>
        <v/>
      </c>
      <c r="X5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3" s="74" t="str">
        <f ca="1">IF(registreGarantie[[#This Row],[Colonne1]]=0,"",IF(TODAY()&gt;registreGarantie[[#This Row],[Date rebus]],0,1))</f>
        <v/>
      </c>
      <c r="Z533" s="66"/>
      <c r="AA533" s="73" t="str">
        <f>IF(AND(registreGarantie[[#This Row],[Montant non remboursé]]&gt;1,registreGarantie[[#This Row],[Montant non remboursé]]&lt;&gt;""),1,"")</f>
        <v/>
      </c>
      <c r="AB533" s="66"/>
      <c r="AC533" s="66"/>
      <c r="AD533" s="87">
        <f t="shared" si="8"/>
        <v>533</v>
      </c>
      <c r="AE533" s="109">
        <v>45855</v>
      </c>
    </row>
    <row r="534" spans="1:31" ht="18" customHeight="1" thickBot="1" x14ac:dyDescent="0.4">
      <c r="A534" s="64">
        <v>45187</v>
      </c>
      <c r="B534" s="64">
        <v>44553</v>
      </c>
      <c r="C534" s="106">
        <v>45860</v>
      </c>
      <c r="D534" s="66" t="s">
        <v>141</v>
      </c>
      <c r="E534" s="66" t="s">
        <v>63</v>
      </c>
      <c r="F534" s="68" t="s">
        <v>2355</v>
      </c>
      <c r="G534" s="66" t="s">
        <v>2352</v>
      </c>
      <c r="H534" s="64">
        <v>1989</v>
      </c>
      <c r="I534" s="67" t="s">
        <v>5</v>
      </c>
      <c r="J534" s="97">
        <v>404701696</v>
      </c>
      <c r="K534" s="66"/>
      <c r="L534" s="68"/>
      <c r="M534" s="69"/>
      <c r="N534" s="69"/>
      <c r="O534" s="70">
        <f>IF(registreGarantie[[#This Row],[date paiement]]="","",registreGarantie[[#This Row],[Pièces 
Demandés]]-registreGarantie[[#This Row],[Pièces 
Remboursés]])</f>
        <v>0</v>
      </c>
      <c r="P534" s="69">
        <v>49.13</v>
      </c>
      <c r="Q534" s="69">
        <v>49.13</v>
      </c>
      <c r="R534" s="70">
        <f>IF(registreGarantie[[#This Row],[date paiement]]="","",registreGarantie[[#This Row],[MO
Demandé]]-registreGarantie[[#This Row],[MO
Remboursé]])</f>
        <v>0</v>
      </c>
      <c r="S534" s="69"/>
      <c r="T534" s="70">
        <f>IF(registreGarantie[[#This Row],[date paiement]]="","",registreGarantie[[#This Row],[MO
Refusé]]+registreGarantie[[#This Row],[Pièces
Refusés]])</f>
        <v>0</v>
      </c>
      <c r="U534" s="106">
        <v>45870</v>
      </c>
      <c r="V534" s="71" t="str">
        <f>IF(registreGarantie[[#This Row],[Pièces 
Demandés]]="","",registreGarantie[[#This Row],[Date]])</f>
        <v/>
      </c>
      <c r="W534" s="103" t="str">
        <f>IF(registreGarantie[[#This Row],[Pièces 
Demandés]]="","",IF(registreGarantie[[#This Row],[date paiement]]="","",registreGarantie[[#This Row],[date paiement]]+91))</f>
        <v/>
      </c>
      <c r="X5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4" s="74" t="str">
        <f ca="1">IF(registreGarantie[[#This Row],[Colonne1]]=0,"",IF(TODAY()&gt;registreGarantie[[#This Row],[Date rebus]],0,1))</f>
        <v/>
      </c>
      <c r="Z534" s="66"/>
      <c r="AA534" s="73" t="str">
        <f>IF(AND(registreGarantie[[#This Row],[Montant non remboursé]]&gt;1,registreGarantie[[#This Row],[Montant non remboursé]]&lt;&gt;""),1,"")</f>
        <v/>
      </c>
      <c r="AB534" s="66"/>
      <c r="AC534" s="66"/>
      <c r="AD534" s="87">
        <f t="shared" si="8"/>
        <v>534</v>
      </c>
      <c r="AE534" s="109">
        <v>45840</v>
      </c>
    </row>
    <row r="535" spans="1:31" ht="18" customHeight="1" thickBot="1" x14ac:dyDescent="0.4">
      <c r="A535" s="64">
        <v>45188</v>
      </c>
      <c r="B535" s="64">
        <v>44502</v>
      </c>
      <c r="C535" s="106">
        <v>45847</v>
      </c>
      <c r="D535" s="66" t="s">
        <v>105</v>
      </c>
      <c r="E535" s="66" t="s">
        <v>106</v>
      </c>
      <c r="F535" s="68" t="s">
        <v>2318</v>
      </c>
      <c r="G535" s="66" t="s">
        <v>2352</v>
      </c>
      <c r="H535" s="64">
        <v>413</v>
      </c>
      <c r="I535" s="67" t="s">
        <v>5</v>
      </c>
      <c r="J535" s="97">
        <v>404678482</v>
      </c>
      <c r="K535" s="66"/>
      <c r="L535" s="68"/>
      <c r="M535" s="69"/>
      <c r="N535" s="69"/>
      <c r="O535" s="70">
        <f>IF(registreGarantie[[#This Row],[date paiement]]="","",registreGarantie[[#This Row],[Pièces 
Demandés]]-registreGarantie[[#This Row],[Pièces 
Remboursés]])</f>
        <v>0</v>
      </c>
      <c r="P535" s="69">
        <v>49.13</v>
      </c>
      <c r="Q535" s="69">
        <v>49.13</v>
      </c>
      <c r="R535" s="70">
        <f>IF(registreGarantie[[#This Row],[date paiement]]="","",registreGarantie[[#This Row],[MO
Demandé]]-registreGarantie[[#This Row],[MO
Remboursé]])</f>
        <v>0</v>
      </c>
      <c r="S535" s="69"/>
      <c r="T535" s="70">
        <f>IF(registreGarantie[[#This Row],[date paiement]]="","",registreGarantie[[#This Row],[MO
Refusé]]+registreGarantie[[#This Row],[Pièces
Refusés]])</f>
        <v>0</v>
      </c>
      <c r="U535" s="106">
        <v>45855</v>
      </c>
      <c r="V535" s="71" t="str">
        <f>IF(registreGarantie[[#This Row],[Pièces 
Demandés]]="","",registreGarantie[[#This Row],[Date]])</f>
        <v/>
      </c>
      <c r="W535" s="103" t="str">
        <f>IF(registreGarantie[[#This Row],[Pièces 
Demandés]]="","",IF(registreGarantie[[#This Row],[date paiement]]="","",registreGarantie[[#This Row],[date paiement]]+91))</f>
        <v/>
      </c>
      <c r="X5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5" s="74" t="str">
        <f ca="1">IF(registreGarantie[[#This Row],[Colonne1]]=0,"",IF(TODAY()&gt;registreGarantie[[#This Row],[Date rebus]],0,1))</f>
        <v/>
      </c>
      <c r="Z535" s="66"/>
      <c r="AA535" s="73" t="str">
        <f>IF(AND(registreGarantie[[#This Row],[Montant non remboursé]]&gt;1,registreGarantie[[#This Row],[Montant non remboursé]]&lt;&gt;""),1,"")</f>
        <v/>
      </c>
      <c r="AB535" s="66"/>
      <c r="AC535" s="66"/>
      <c r="AD535" s="87">
        <f t="shared" si="8"/>
        <v>535</v>
      </c>
      <c r="AE535" s="109">
        <v>45827</v>
      </c>
    </row>
    <row r="536" spans="1:31" ht="18" customHeight="1" thickBot="1" x14ac:dyDescent="0.4">
      <c r="A536" s="64">
        <v>45189</v>
      </c>
      <c r="B536" s="64">
        <v>6270</v>
      </c>
      <c r="C536" s="106">
        <v>45916</v>
      </c>
      <c r="D536" s="66" t="s">
        <v>509</v>
      </c>
      <c r="E536" s="66" t="s">
        <v>440</v>
      </c>
      <c r="F536" s="68" t="s">
        <v>2300</v>
      </c>
      <c r="G536" s="66" t="s">
        <v>2352</v>
      </c>
      <c r="H536" s="64">
        <v>2457</v>
      </c>
      <c r="I536" s="67" t="s">
        <v>5</v>
      </c>
      <c r="J536" s="97">
        <v>404701673</v>
      </c>
      <c r="K536" s="66"/>
      <c r="L536" s="68"/>
      <c r="M536" s="69"/>
      <c r="N536" s="69"/>
      <c r="O536" s="70" t="str">
        <f>IF(registreGarantie[[#This Row],[date paiement]]="","",registreGarantie[[#This Row],[Pièces 
Demandés]]-registreGarantie[[#This Row],[Pièces 
Remboursés]])</f>
        <v/>
      </c>
      <c r="P536" s="69">
        <v>49.13</v>
      </c>
      <c r="Q536" s="69">
        <v>49.13</v>
      </c>
      <c r="R536" s="70" t="str">
        <f>IF(registreGarantie[[#This Row],[date paiement]]="","",registreGarantie[[#This Row],[MO
Demandé]]-registreGarantie[[#This Row],[MO
Remboursé]])</f>
        <v/>
      </c>
      <c r="S536" s="69"/>
      <c r="T536" s="70" t="str">
        <f>IF(registreGarantie[[#This Row],[date paiement]]="","",registreGarantie[[#This Row],[MO
Refusé]]+registreGarantie[[#This Row],[Pièces
Refusés]])</f>
        <v/>
      </c>
      <c r="U536" s="106"/>
      <c r="V536" s="71" t="str">
        <f>IF(registreGarantie[[#This Row],[Pièces 
Demandés]]="","",registreGarantie[[#This Row],[Date]])</f>
        <v/>
      </c>
      <c r="W536" s="103" t="str">
        <f>IF(registreGarantie[[#This Row],[Pièces 
Demandés]]="","",IF(registreGarantie[[#This Row],[date paiement]]="","",registreGarantie[[#This Row],[date paiement]]+91))</f>
        <v/>
      </c>
      <c r="X5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6" s="74" t="str">
        <f ca="1">IF(registreGarantie[[#This Row],[Colonne1]]=0,"",IF(TODAY()&gt;registreGarantie[[#This Row],[Date rebus]],0,1))</f>
        <v/>
      </c>
      <c r="Z536" s="66"/>
      <c r="AA536" s="73" t="str">
        <f>IF(AND(registreGarantie[[#This Row],[Montant non remboursé]]&gt;1,registreGarantie[[#This Row],[Montant non remboursé]]&lt;&gt;""),1,"")</f>
        <v/>
      </c>
      <c r="AB536" s="66"/>
      <c r="AC536" s="66"/>
      <c r="AD536" s="87">
        <f t="shared" si="8"/>
        <v>536</v>
      </c>
      <c r="AE536" s="109">
        <v>45841</v>
      </c>
    </row>
    <row r="537" spans="1:31" ht="18" customHeight="1" thickBot="1" x14ac:dyDescent="0.4">
      <c r="A537" s="64">
        <v>45190</v>
      </c>
      <c r="B537" s="64">
        <v>44584</v>
      </c>
      <c r="C537" s="106">
        <v>45909</v>
      </c>
      <c r="D537" s="66" t="s">
        <v>62</v>
      </c>
      <c r="E537" s="66" t="s">
        <v>63</v>
      </c>
      <c r="F537" s="68" t="s">
        <v>2250</v>
      </c>
      <c r="G537" s="66" t="s">
        <v>2352</v>
      </c>
      <c r="H537" s="64">
        <v>2584</v>
      </c>
      <c r="I537" s="67" t="s">
        <v>5</v>
      </c>
      <c r="J537" s="97">
        <v>404701667</v>
      </c>
      <c r="K537" s="66"/>
      <c r="L537" s="68"/>
      <c r="M537" s="69"/>
      <c r="N537" s="69"/>
      <c r="O537" s="70">
        <f>IF(registreGarantie[[#This Row],[date paiement]]="","",registreGarantie[[#This Row],[Pièces 
Demandés]]-registreGarantie[[#This Row],[Pièces 
Remboursés]])</f>
        <v>0</v>
      </c>
      <c r="P537" s="69">
        <v>49.13</v>
      </c>
      <c r="Q537" s="69">
        <v>49.13</v>
      </c>
      <c r="R537" s="70">
        <f>IF(registreGarantie[[#This Row],[date paiement]]="","",registreGarantie[[#This Row],[MO
Demandé]]-registreGarantie[[#This Row],[MO
Remboursé]])</f>
        <v>0</v>
      </c>
      <c r="S537" s="69"/>
      <c r="T537" s="70">
        <f>IF(registreGarantie[[#This Row],[date paiement]]="","",registreGarantie[[#This Row],[MO
Refusé]]+registreGarantie[[#This Row],[Pièces
Refusés]])</f>
        <v>0</v>
      </c>
      <c r="U537" s="106">
        <v>45911</v>
      </c>
      <c r="V537" s="71" t="str">
        <f>IF(registreGarantie[[#This Row],[Pièces 
Demandés]]="","",registreGarantie[[#This Row],[Date]])</f>
        <v/>
      </c>
      <c r="W537" s="103" t="str">
        <f>IF(registreGarantie[[#This Row],[Pièces 
Demandés]]="","",IF(registreGarantie[[#This Row],[date paiement]]="","",registreGarantie[[#This Row],[date paiement]]+91))</f>
        <v/>
      </c>
      <c r="X5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7" s="74" t="str">
        <f ca="1">IF(registreGarantie[[#This Row],[Colonne1]]=0,"",IF(TODAY()&gt;registreGarantie[[#This Row],[Date rebus]],0,1))</f>
        <v/>
      </c>
      <c r="Z537" s="66"/>
      <c r="AA537" s="73" t="str">
        <f>IF(AND(registreGarantie[[#This Row],[Montant non remboursé]]&gt;1,registreGarantie[[#This Row],[Montant non remboursé]]&lt;&gt;""),1,"")</f>
        <v/>
      </c>
      <c r="AB537" s="66"/>
      <c r="AC537" s="66"/>
      <c r="AD537" s="87">
        <f t="shared" si="8"/>
        <v>537</v>
      </c>
      <c r="AE537" s="109">
        <v>45847</v>
      </c>
    </row>
    <row r="538" spans="1:31" ht="18" customHeight="1" thickBot="1" x14ac:dyDescent="0.4">
      <c r="A538" s="64">
        <v>45191</v>
      </c>
      <c r="B538" s="64">
        <v>6269</v>
      </c>
      <c r="C538" s="106">
        <v>45916</v>
      </c>
      <c r="D538" s="66" t="s">
        <v>205</v>
      </c>
      <c r="E538" s="66" t="s">
        <v>106</v>
      </c>
      <c r="F538" s="68" t="s">
        <v>2356</v>
      </c>
      <c r="G538" s="66" t="s">
        <v>2352</v>
      </c>
      <c r="H538" s="64">
        <v>1128</v>
      </c>
      <c r="I538" s="67" t="s">
        <v>5</v>
      </c>
      <c r="J538" s="97">
        <v>404702797</v>
      </c>
      <c r="K538" s="66"/>
      <c r="L538" s="68"/>
      <c r="M538" s="69"/>
      <c r="N538" s="69"/>
      <c r="O538" s="70" t="str">
        <f>IF(registreGarantie[[#This Row],[date paiement]]="","",registreGarantie[[#This Row],[Pièces 
Demandés]]-registreGarantie[[#This Row],[Pièces 
Remboursés]])</f>
        <v/>
      </c>
      <c r="P538" s="69">
        <v>49.13</v>
      </c>
      <c r="Q538" s="69">
        <v>49.13</v>
      </c>
      <c r="R538" s="70" t="str">
        <f>IF(registreGarantie[[#This Row],[date paiement]]="","",registreGarantie[[#This Row],[MO
Demandé]]-registreGarantie[[#This Row],[MO
Remboursé]])</f>
        <v/>
      </c>
      <c r="S538" s="69"/>
      <c r="T538" s="70" t="str">
        <f>IF(registreGarantie[[#This Row],[date paiement]]="","",registreGarantie[[#This Row],[MO
Refusé]]+registreGarantie[[#This Row],[Pièces
Refusés]])</f>
        <v/>
      </c>
      <c r="U538" s="106"/>
      <c r="V538" s="71"/>
      <c r="W538" s="103" t="str">
        <f>IF(registreGarantie[[#This Row],[Pièces 
Demandés]]="","",IF(registreGarantie[[#This Row],[date paiement]]="","",registreGarantie[[#This Row],[date paiement]]+91))</f>
        <v/>
      </c>
      <c r="X5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8" s="74" t="str">
        <f ca="1">IF(registreGarantie[[#This Row],[Colonne1]]=0,"",IF(TODAY()&gt;registreGarantie[[#This Row],[Date rebus]],0,1))</f>
        <v/>
      </c>
      <c r="Z538" s="66"/>
      <c r="AA538" s="73" t="str">
        <f>IF(AND(registreGarantie[[#This Row],[Montant non remboursé]]&gt;1,registreGarantie[[#This Row],[Montant non remboursé]]&lt;&gt;""),1,"")</f>
        <v/>
      </c>
      <c r="AB538" s="66"/>
      <c r="AC538" s="66"/>
      <c r="AD538" s="87">
        <f t="shared" si="8"/>
        <v>538</v>
      </c>
      <c r="AE538" s="109">
        <v>45840</v>
      </c>
    </row>
    <row r="539" spans="1:31" ht="18" customHeight="1" thickBot="1" x14ac:dyDescent="0.4">
      <c r="A539" s="64">
        <v>45192</v>
      </c>
      <c r="B539" s="64">
        <v>44387</v>
      </c>
      <c r="C539" s="106">
        <v>45810</v>
      </c>
      <c r="D539" s="66" t="s">
        <v>41</v>
      </c>
      <c r="E539" s="66"/>
      <c r="F539" s="68"/>
      <c r="G539" s="66" t="s">
        <v>2377</v>
      </c>
      <c r="H539" s="64"/>
      <c r="I539" s="67" t="s">
        <v>21</v>
      </c>
      <c r="J539" s="97" t="s">
        <v>2378</v>
      </c>
      <c r="K539" s="66"/>
      <c r="L539" s="68" t="s">
        <v>2605</v>
      </c>
      <c r="M539" s="69">
        <v>337.65</v>
      </c>
      <c r="N539" s="69"/>
      <c r="O539" s="70" t="str">
        <f>IF(registreGarantie[[#This Row],[date paiement]]="","",registreGarantie[[#This Row],[Pièces 
Demandés]]-registreGarantie[[#This Row],[Pièces 
Remboursés]])</f>
        <v/>
      </c>
      <c r="P539" s="69"/>
      <c r="Q539" s="69"/>
      <c r="R539" s="70" t="str">
        <f>IF(registreGarantie[[#This Row],[date paiement]]="","",registreGarantie[[#This Row],[MO
Demandé]]-registreGarantie[[#This Row],[MO
Remboursé]])</f>
        <v/>
      </c>
      <c r="S539" s="69"/>
      <c r="T539" s="70" t="str">
        <f>IF(registreGarantie[[#This Row],[date paiement]]="","",registreGarantie[[#This Row],[MO
Refusé]]+registreGarantie[[#This Row],[Pièces
Refusés]])</f>
        <v/>
      </c>
      <c r="U539" s="106"/>
      <c r="V539" s="71">
        <f>IF(registreGarantie[[#This Row],[Pièces 
Demandés]]="","",registreGarantie[[#This Row],[Date]])</f>
        <v>45810</v>
      </c>
      <c r="W539" s="103" t="str">
        <f>IF(registreGarantie[[#This Row],[Pièces 
Demandés]]="","",IF(registreGarantie[[#This Row],[date paiement]]="","",registreGarantie[[#This Row],[date paiement]]+91))</f>
        <v/>
      </c>
      <c r="X5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39" s="74" t="str">
        <f ca="1">IF(registreGarantie[[#This Row],[Colonne1]]=0,"",IF(TODAY()&gt;registreGarantie[[#This Row],[Date rebus]],0,1))</f>
        <v/>
      </c>
      <c r="Z539" s="66"/>
      <c r="AA539" s="73" t="str">
        <f>IF(AND(registreGarantie[[#This Row],[Montant non remboursé]]&gt;1,registreGarantie[[#This Row],[Montant non remboursé]]&lt;&gt;""),1,"")</f>
        <v/>
      </c>
      <c r="AB539" s="66"/>
      <c r="AC539" s="66"/>
      <c r="AD539" s="87">
        <f t="shared" si="8"/>
        <v>539</v>
      </c>
      <c r="AE539" s="109"/>
    </row>
    <row r="540" spans="1:31" ht="18" customHeight="1" thickBot="1" x14ac:dyDescent="0.4">
      <c r="A540" s="64">
        <v>45193</v>
      </c>
      <c r="B540" s="64">
        <v>6217</v>
      </c>
      <c r="C540" s="106">
        <v>45811</v>
      </c>
      <c r="D540" s="66" t="s">
        <v>509</v>
      </c>
      <c r="E540" s="66" t="s">
        <v>440</v>
      </c>
      <c r="F540" s="68" t="s">
        <v>2300</v>
      </c>
      <c r="G540" s="66" t="s">
        <v>2383</v>
      </c>
      <c r="H540" s="64"/>
      <c r="I540" s="67" t="s">
        <v>20</v>
      </c>
      <c r="J540" s="97">
        <v>404697170</v>
      </c>
      <c r="K540" s="66"/>
      <c r="L540" s="68"/>
      <c r="M540" s="69"/>
      <c r="N540" s="69"/>
      <c r="O540" s="70" t="str">
        <f>IF(registreGarantie[[#This Row],[date paiement]]="","",registreGarantie[[#This Row],[Pièces 
Demandés]]-registreGarantie[[#This Row],[Pièces 
Remboursés]])</f>
        <v/>
      </c>
      <c r="P540" s="69"/>
      <c r="Q540" s="69"/>
      <c r="R540" s="70" t="str">
        <f>IF(registreGarantie[[#This Row],[date paiement]]="","",registreGarantie[[#This Row],[MO
Demandé]]-registreGarantie[[#This Row],[MO
Remboursé]])</f>
        <v/>
      </c>
      <c r="S540" s="69"/>
      <c r="T540" s="70" t="str">
        <f>IF(registreGarantie[[#This Row],[date paiement]]="","",registreGarantie[[#This Row],[MO
Refusé]]+registreGarantie[[#This Row],[Pièces
Refusés]])</f>
        <v/>
      </c>
      <c r="U540" s="106"/>
      <c r="V540" s="71" t="str">
        <f>IF(registreGarantie[[#This Row],[Pièces 
Demandés]]="","",registreGarantie[[#This Row],[Date]])</f>
        <v/>
      </c>
      <c r="W540" s="103" t="str">
        <f>IF(registreGarantie[[#This Row],[Pièces 
Demandés]]="","",IF(registreGarantie[[#This Row],[date paiement]]="","",registreGarantie[[#This Row],[date paiement]]+91))</f>
        <v/>
      </c>
      <c r="X5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0" s="74" t="str">
        <f ca="1">IF(registreGarantie[[#This Row],[Colonne1]]=0,"",IF(TODAY()&gt;registreGarantie[[#This Row],[Date rebus]],0,1))</f>
        <v/>
      </c>
      <c r="Z540" s="66"/>
      <c r="AA540" s="73" t="str">
        <f>IF(AND(registreGarantie[[#This Row],[Montant non remboursé]]&gt;1,registreGarantie[[#This Row],[Montant non remboursé]]&lt;&gt;""),1,"")</f>
        <v/>
      </c>
      <c r="AB540" s="66"/>
      <c r="AC540" s="66"/>
      <c r="AD540" s="87">
        <f t="shared" si="8"/>
        <v>540</v>
      </c>
      <c r="AE540" s="109"/>
    </row>
    <row r="541" spans="1:31" ht="18" customHeight="1" thickBot="1" x14ac:dyDescent="0.4">
      <c r="A541" s="64">
        <v>45194</v>
      </c>
      <c r="B541" s="64">
        <v>44336</v>
      </c>
      <c r="C541" s="106">
        <v>45811</v>
      </c>
      <c r="D541" s="66" t="s">
        <v>1654</v>
      </c>
      <c r="E541" s="66" t="s">
        <v>1712</v>
      </c>
      <c r="F541" s="68" t="s">
        <v>2367</v>
      </c>
      <c r="G541" s="66" t="s">
        <v>78</v>
      </c>
      <c r="H541" s="64" t="s">
        <v>2385</v>
      </c>
      <c r="I541" s="67" t="s">
        <v>21</v>
      </c>
      <c r="J541" s="97" t="s">
        <v>2386</v>
      </c>
      <c r="K541" s="66"/>
      <c r="L541" s="68"/>
      <c r="M541" s="69"/>
      <c r="N541" s="69"/>
      <c r="O541" s="70">
        <f>IF(registreGarantie[[#This Row],[date paiement]]="","",registreGarantie[[#This Row],[Pièces 
Demandés]]-registreGarantie[[#This Row],[Pièces 
Remboursés]])</f>
        <v>0</v>
      </c>
      <c r="P541" s="69">
        <v>159</v>
      </c>
      <c r="Q541" s="69">
        <v>159</v>
      </c>
      <c r="R541" s="70">
        <f>IF(registreGarantie[[#This Row],[date paiement]]="","",registreGarantie[[#This Row],[MO
Demandé]]-registreGarantie[[#This Row],[MO
Remboursé]])</f>
        <v>0</v>
      </c>
      <c r="S541" s="69"/>
      <c r="T541" s="70">
        <f>IF(registreGarantie[[#This Row],[date paiement]]="","",registreGarantie[[#This Row],[MO
Refusé]]+registreGarantie[[#This Row],[Pièces
Refusés]])</f>
        <v>0</v>
      </c>
      <c r="U541" s="106">
        <v>45825</v>
      </c>
      <c r="V541" s="71" t="str">
        <f>IF(registreGarantie[[#This Row],[Pièces 
Demandés]]="","",registreGarantie[[#This Row],[Date]])</f>
        <v/>
      </c>
      <c r="W541" s="103" t="str">
        <f>IF(registreGarantie[[#This Row],[Pièces 
Demandés]]="","",IF(registreGarantie[[#This Row],[date paiement]]="","",registreGarantie[[#This Row],[date paiement]]+91))</f>
        <v/>
      </c>
      <c r="X5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1" s="74" t="str">
        <f ca="1">IF(registreGarantie[[#This Row],[Colonne1]]=0,"",IF(TODAY()&gt;registreGarantie[[#This Row],[Date rebus]],0,1))</f>
        <v/>
      </c>
      <c r="Z541" s="66"/>
      <c r="AA541" s="73" t="str">
        <f>IF(AND(registreGarantie[[#This Row],[Montant non remboursé]]&gt;1,registreGarantie[[#This Row],[Montant non remboursé]]&lt;&gt;""),1,"")</f>
        <v/>
      </c>
      <c r="AB541" s="66"/>
      <c r="AC541" s="66"/>
      <c r="AD541" s="87">
        <f t="shared" si="8"/>
        <v>541</v>
      </c>
      <c r="AE541" s="109"/>
    </row>
    <row r="542" spans="1:31" ht="18" customHeight="1" thickBot="1" x14ac:dyDescent="0.4">
      <c r="A542" s="64">
        <v>45195</v>
      </c>
      <c r="B542" s="64">
        <v>44313</v>
      </c>
      <c r="C542" s="106">
        <v>45812</v>
      </c>
      <c r="D542" s="66" t="s">
        <v>41</v>
      </c>
      <c r="E542" s="66" t="s">
        <v>367</v>
      </c>
      <c r="F542" s="68" t="s">
        <v>2275</v>
      </c>
      <c r="G542" s="66" t="s">
        <v>784</v>
      </c>
      <c r="H542" s="64">
        <v>537</v>
      </c>
      <c r="I542" s="67" t="s">
        <v>19</v>
      </c>
      <c r="J542" s="97">
        <v>404704649</v>
      </c>
      <c r="K542" s="66" t="s">
        <v>2399</v>
      </c>
      <c r="L542" s="68"/>
      <c r="M542" s="69"/>
      <c r="N542" s="69"/>
      <c r="O542" s="69" t="str">
        <f>IF(registreGarantie[[#This Row],[date paiement]]="","",registreGarantie[[#This Row],[Pièces 
Demandés]]-registreGarantie[[#This Row],[Pièces 
Remboursés]])</f>
        <v/>
      </c>
      <c r="P542" s="69"/>
      <c r="Q542" s="69"/>
      <c r="R542" s="70" t="str">
        <f>IF(registreGarantie[[#This Row],[date paiement]]="","",registreGarantie[[#This Row],[MO
Demandé]]-registreGarantie[[#This Row],[MO
Remboursé]])</f>
        <v/>
      </c>
      <c r="S542" s="69"/>
      <c r="T542" s="70" t="str">
        <f>IF(registreGarantie[[#This Row],[date paiement]]="","",registreGarantie[[#This Row],[MO
Refusé]]+registreGarantie[[#This Row],[Pièces
Refusés]])</f>
        <v/>
      </c>
      <c r="U542" s="106"/>
      <c r="V542" s="71" t="str">
        <f>IF(registreGarantie[[#This Row],[Pièces 
Demandés]]="","",registreGarantie[[#This Row],[Date]])</f>
        <v/>
      </c>
      <c r="W542" s="103" t="str">
        <f>IF(registreGarantie[[#This Row],[Pièces 
Demandés]]="","",IF(registreGarantie[[#This Row],[date paiement]]="","",registreGarantie[[#This Row],[date paiement]]+91))</f>
        <v/>
      </c>
      <c r="X5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2" s="74" t="str">
        <f ca="1">IF(registreGarantie[[#This Row],[Colonne1]]=0,"",IF(TODAY()&gt;registreGarantie[[#This Row],[Date rebus]],0,1))</f>
        <v/>
      </c>
      <c r="Z542" s="66"/>
      <c r="AA542" s="73" t="str">
        <f>IF(AND(registreGarantie[[#This Row],[Montant non remboursé]]&gt;1,registreGarantie[[#This Row],[Montant non remboursé]]&lt;&gt;""),1,"")</f>
        <v/>
      </c>
      <c r="AB542" s="66"/>
      <c r="AC542" s="66"/>
      <c r="AD542" s="87">
        <f t="shared" si="8"/>
        <v>542</v>
      </c>
      <c r="AE542" s="109"/>
    </row>
    <row r="543" spans="1:31" ht="18.600000000000001" thickBot="1" x14ac:dyDescent="0.4">
      <c r="A543" s="64">
        <v>45196</v>
      </c>
      <c r="B543" s="64">
        <v>44312</v>
      </c>
      <c r="C543" s="106">
        <v>45812</v>
      </c>
      <c r="D543" s="66" t="s">
        <v>639</v>
      </c>
      <c r="E543" s="66" t="s">
        <v>440</v>
      </c>
      <c r="F543" s="68" t="s">
        <v>2296</v>
      </c>
      <c r="G543" s="66" t="s">
        <v>58</v>
      </c>
      <c r="H543" s="64">
        <v>136</v>
      </c>
      <c r="I543" s="67" t="s">
        <v>18</v>
      </c>
      <c r="J543" s="97">
        <v>404705809</v>
      </c>
      <c r="K543" s="66"/>
      <c r="L543" s="68"/>
      <c r="M543" s="69"/>
      <c r="N543" s="69"/>
      <c r="O543" s="70" t="str">
        <f>IF(registreGarantie[[#This Row],[date paiement]]="","",registreGarantie[[#This Row],[Pièces 
Demandés]]-registreGarantie[[#This Row],[Pièces 
Remboursés]])</f>
        <v/>
      </c>
      <c r="P543" s="69"/>
      <c r="Q543" s="69"/>
      <c r="R543" s="70" t="str">
        <f>IF(registreGarantie[[#This Row],[date paiement]]="","",registreGarantie[[#This Row],[MO
Demandé]]-registreGarantie[[#This Row],[MO
Remboursé]])</f>
        <v/>
      </c>
      <c r="S543" s="69"/>
      <c r="T543" s="70" t="str">
        <f>IF(registreGarantie[[#This Row],[date paiement]]="","",registreGarantie[[#This Row],[MO
Refusé]]+registreGarantie[[#This Row],[Pièces
Refusés]])</f>
        <v/>
      </c>
      <c r="U543" s="106"/>
      <c r="V543" s="71" t="str">
        <f>IF(registreGarantie[[#This Row],[Pièces 
Demandés]]="","",registreGarantie[[#This Row],[Date]])</f>
        <v/>
      </c>
      <c r="W543" s="103" t="str">
        <f>IF(registreGarantie[[#This Row],[Pièces 
Demandés]]="","",IF(registreGarantie[[#This Row],[date paiement]]="","",registreGarantie[[#This Row],[date paiement]]+91))</f>
        <v/>
      </c>
      <c r="X5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3" s="74" t="str">
        <f ca="1">IF(registreGarantie[[#This Row],[Colonne1]]=0,"",IF(TODAY()&gt;registreGarantie[[#This Row],[Date rebus]],0,1))</f>
        <v/>
      </c>
      <c r="Z543" s="66"/>
      <c r="AA543" s="73" t="str">
        <f>IF(AND(registreGarantie[[#This Row],[Montant non remboursé]]&gt;1,registreGarantie[[#This Row],[Montant non remboursé]]&lt;&gt;""),1,"")</f>
        <v/>
      </c>
      <c r="AB543" s="66"/>
      <c r="AC543" s="66"/>
      <c r="AD543" s="87">
        <f t="shared" si="8"/>
        <v>543</v>
      </c>
      <c r="AE543" s="109"/>
    </row>
    <row r="544" spans="1:31" ht="18" customHeight="1" thickBot="1" x14ac:dyDescent="0.4">
      <c r="A544" s="64">
        <v>45197</v>
      </c>
      <c r="B544" s="64">
        <v>44300</v>
      </c>
      <c r="C544" s="106">
        <v>45812</v>
      </c>
      <c r="D544" s="66" t="s">
        <v>868</v>
      </c>
      <c r="E544" s="66" t="s">
        <v>2229</v>
      </c>
      <c r="F544" s="68" t="s">
        <v>2401</v>
      </c>
      <c r="G544" s="66" t="s">
        <v>2400</v>
      </c>
      <c r="H544" s="64">
        <v>13316</v>
      </c>
      <c r="I544" s="67" t="s">
        <v>15</v>
      </c>
      <c r="J544" s="97">
        <v>404706068</v>
      </c>
      <c r="K544" s="66"/>
      <c r="L544" s="68"/>
      <c r="M544" s="69"/>
      <c r="N544" s="69"/>
      <c r="O544" s="70" t="str">
        <f>IF(registreGarantie[[#This Row],[date paiement]]="","",registreGarantie[[#This Row],[Pièces 
Demandés]]-registreGarantie[[#This Row],[Pièces 
Remboursés]])</f>
        <v/>
      </c>
      <c r="P544" s="69"/>
      <c r="Q544" s="69"/>
      <c r="R544" s="70" t="str">
        <f>IF(registreGarantie[[#This Row],[date paiement]]="","",registreGarantie[[#This Row],[MO
Demandé]]-registreGarantie[[#This Row],[MO
Remboursé]])</f>
        <v/>
      </c>
      <c r="S544" s="69"/>
      <c r="T544" s="70" t="str">
        <f>IF(registreGarantie[[#This Row],[date paiement]]="","",registreGarantie[[#This Row],[MO
Refusé]]+registreGarantie[[#This Row],[Pièces
Refusés]])</f>
        <v/>
      </c>
      <c r="U544" s="106"/>
      <c r="V544" s="71" t="str">
        <f>IF(registreGarantie[[#This Row],[Pièces 
Demandés]]="","",registreGarantie[[#This Row],[Date]])</f>
        <v/>
      </c>
      <c r="W544" s="103" t="str">
        <f>IF(registreGarantie[[#This Row],[Pièces 
Demandés]]="","",IF(registreGarantie[[#This Row],[date paiement]]="","",registreGarantie[[#This Row],[date paiement]]+91))</f>
        <v/>
      </c>
      <c r="X5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4" s="74" t="str">
        <f ca="1">IF(registreGarantie[[#This Row],[Colonne1]]=0,"",IF(TODAY()&gt;registreGarantie[[#This Row],[Date rebus]],0,1))</f>
        <v/>
      </c>
      <c r="Z544" s="66"/>
      <c r="AA544" s="73" t="str">
        <f>IF(AND(registreGarantie[[#This Row],[Montant non remboursé]]&gt;1,registreGarantie[[#This Row],[Montant non remboursé]]&lt;&gt;""),1,"")</f>
        <v/>
      </c>
      <c r="AB544" s="66"/>
      <c r="AC544" s="66"/>
      <c r="AD544" s="87">
        <f t="shared" si="8"/>
        <v>544</v>
      </c>
      <c r="AE544" s="109"/>
    </row>
    <row r="545" spans="1:31" ht="18" customHeight="1" thickBot="1" x14ac:dyDescent="0.4">
      <c r="A545" s="64">
        <v>45198</v>
      </c>
      <c r="B545" s="64">
        <v>44244</v>
      </c>
      <c r="C545" s="106">
        <v>45813</v>
      </c>
      <c r="D545" s="66" t="s">
        <v>439</v>
      </c>
      <c r="E545" s="66" t="s">
        <v>1646</v>
      </c>
      <c r="F545" s="68" t="s">
        <v>2292</v>
      </c>
      <c r="G545" s="66" t="s">
        <v>40</v>
      </c>
      <c r="H545" s="64">
        <v>182</v>
      </c>
      <c r="I545" s="67" t="s">
        <v>2</v>
      </c>
      <c r="J545" s="97">
        <v>404712528</v>
      </c>
      <c r="K545" s="66"/>
      <c r="L545" s="68"/>
      <c r="M545" s="69"/>
      <c r="N545" s="69"/>
      <c r="O545" s="70" t="str">
        <f>IF(registreGarantie[[#This Row],[date paiement]]="","",registreGarantie[[#This Row],[Pièces 
Demandés]]-registreGarantie[[#This Row],[Pièces 
Remboursés]])</f>
        <v/>
      </c>
      <c r="P545" s="69">
        <v>131</v>
      </c>
      <c r="Q545" s="69"/>
      <c r="R545" s="70" t="str">
        <f>IF(registreGarantie[[#This Row],[date paiement]]="","",registreGarantie[[#This Row],[MO
Demandé]]-registreGarantie[[#This Row],[MO
Remboursé]])</f>
        <v/>
      </c>
      <c r="S545" s="69"/>
      <c r="T545" s="70" t="str">
        <f>IF(registreGarantie[[#This Row],[date paiement]]="","",registreGarantie[[#This Row],[MO
Refusé]]+registreGarantie[[#This Row],[Pièces
Refusés]])</f>
        <v/>
      </c>
      <c r="U545" s="106"/>
      <c r="V545" s="71" t="str">
        <f>IF(registreGarantie[[#This Row],[Pièces 
Demandés]]="","",registreGarantie[[#This Row],[Date]])</f>
        <v/>
      </c>
      <c r="W545" s="103" t="str">
        <f>IF(registreGarantie[[#This Row],[Pièces 
Demandés]]="","",IF(registreGarantie[[#This Row],[date paiement]]="","",registreGarantie[[#This Row],[date paiement]]+91))</f>
        <v/>
      </c>
      <c r="X5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5" s="74" t="str">
        <f ca="1">IF(registreGarantie[[#This Row],[Colonne1]]=0,"",IF(TODAY()&gt;registreGarantie[[#This Row],[Date rebus]],0,1))</f>
        <v/>
      </c>
      <c r="Z545" s="66"/>
      <c r="AA545" s="73" t="str">
        <f>IF(AND(registreGarantie[[#This Row],[Montant non remboursé]]&gt;1,registreGarantie[[#This Row],[Montant non remboursé]]&lt;&gt;""),1,"")</f>
        <v/>
      </c>
      <c r="AB545" s="66"/>
      <c r="AC545" s="66"/>
      <c r="AD545" s="87">
        <f t="shared" si="8"/>
        <v>545</v>
      </c>
      <c r="AE545" s="109"/>
    </row>
    <row r="546" spans="1:31" ht="18" customHeight="1" thickBot="1" x14ac:dyDescent="0.4">
      <c r="A546" s="64">
        <v>45199</v>
      </c>
      <c r="B546" s="64">
        <v>44309</v>
      </c>
      <c r="C546" s="106">
        <v>45819</v>
      </c>
      <c r="D546" s="66" t="s">
        <v>1097</v>
      </c>
      <c r="E546" s="66" t="s">
        <v>106</v>
      </c>
      <c r="F546" s="68" t="s">
        <v>2316</v>
      </c>
      <c r="G546" s="66" t="s">
        <v>2413</v>
      </c>
      <c r="H546" s="64">
        <v>3567</v>
      </c>
      <c r="I546" s="67" t="s">
        <v>15</v>
      </c>
      <c r="J546" s="97" t="s">
        <v>2722</v>
      </c>
      <c r="K546" s="66"/>
      <c r="L546" s="68"/>
      <c r="M546" s="69">
        <v>131.57</v>
      </c>
      <c r="N546" s="69">
        <v>131.57</v>
      </c>
      <c r="O546" s="70">
        <f>IF(registreGarantie[[#This Row],[date paiement]]="","",registreGarantie[[#This Row],[Pièces 
Demandés]]-registreGarantie[[#This Row],[Pièces 
Remboursés]])</f>
        <v>0</v>
      </c>
      <c r="P546" s="69">
        <v>524</v>
      </c>
      <c r="Q546" s="69">
        <v>65.5</v>
      </c>
      <c r="R546" s="70">
        <f>IF(registreGarantie[[#This Row],[date paiement]]="","",registreGarantie[[#This Row],[MO
Demandé]]-registreGarantie[[#This Row],[MO
Remboursé]])</f>
        <v>458.5</v>
      </c>
      <c r="S546" s="69"/>
      <c r="T546" s="70">
        <f>IF(registreGarantie[[#This Row],[date paiement]]="","",registreGarantie[[#This Row],[MO
Refusé]]+registreGarantie[[#This Row],[Pièces
Refusés]])</f>
        <v>458.5</v>
      </c>
      <c r="U546" s="106">
        <v>45910</v>
      </c>
      <c r="V546" s="71">
        <f>IF(registreGarantie[[#This Row],[Pièces 
Demandés]]="","",registreGarantie[[#This Row],[Date]])</f>
        <v>45819</v>
      </c>
      <c r="W546" s="103">
        <f>IF(registreGarantie[[#This Row],[Pièces 
Demandés]]="","",IF(registreGarantie[[#This Row],[date paiement]]="","",registreGarantie[[#This Row],[date paiement]]+91))</f>
        <v>46001</v>
      </c>
      <c r="X5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46" s="74">
        <f ca="1">IF(registreGarantie[[#This Row],[Colonne1]]=0,"",IF(TODAY()&gt;registreGarantie[[#This Row],[Date rebus]],0,1))</f>
        <v>1</v>
      </c>
      <c r="Z546" s="66"/>
      <c r="AA546" s="73">
        <f>IF(AND(registreGarantie[[#This Row],[Montant non remboursé]]&gt;1,registreGarantie[[#This Row],[Montant non remboursé]]&lt;&gt;""),1,"")</f>
        <v>1</v>
      </c>
      <c r="AB546" s="66"/>
      <c r="AC546" s="66"/>
      <c r="AD546" s="87">
        <f t="shared" si="8"/>
        <v>546</v>
      </c>
      <c r="AE546" s="109"/>
    </row>
    <row r="547" spans="1:31" ht="18" customHeight="1" thickBot="1" x14ac:dyDescent="0.4">
      <c r="A547" s="64">
        <v>45200</v>
      </c>
      <c r="B547" s="64">
        <v>44197</v>
      </c>
      <c r="C547" s="106">
        <v>45819</v>
      </c>
      <c r="D547" s="66" t="s">
        <v>434</v>
      </c>
      <c r="E547" s="66" t="s">
        <v>232</v>
      </c>
      <c r="F547" s="68" t="s">
        <v>2364</v>
      </c>
      <c r="G547" s="66" t="s">
        <v>2206</v>
      </c>
      <c r="H547" s="64" t="s">
        <v>2414</v>
      </c>
      <c r="I547" s="67" t="s">
        <v>21</v>
      </c>
      <c r="J547" s="97" t="s">
        <v>2415</v>
      </c>
      <c r="K547" s="66"/>
      <c r="L547" s="68"/>
      <c r="M547" s="69">
        <v>1113</v>
      </c>
      <c r="N547" s="69">
        <v>1113</v>
      </c>
      <c r="O547" s="70">
        <f>IF(registreGarantie[[#This Row],[date paiement]]="","",registreGarantie[[#This Row],[Pièces 
Demandés]]-registreGarantie[[#This Row],[Pièces 
Remboursés]])</f>
        <v>0</v>
      </c>
      <c r="P547" s="69">
        <v>1822.81</v>
      </c>
      <c r="Q547" s="69">
        <v>1822.81</v>
      </c>
      <c r="R547" s="70">
        <f>IF(registreGarantie[[#This Row],[date paiement]]="","",registreGarantie[[#This Row],[MO
Demandé]]-registreGarantie[[#This Row],[MO
Remboursé]])</f>
        <v>0</v>
      </c>
      <c r="S547" s="69"/>
      <c r="T547" s="70">
        <f>IF(registreGarantie[[#This Row],[date paiement]]="","",registreGarantie[[#This Row],[MO
Refusé]]+registreGarantie[[#This Row],[Pièces
Refusés]])</f>
        <v>0</v>
      </c>
      <c r="U547" s="106">
        <v>45825</v>
      </c>
      <c r="V547" s="71">
        <f>IF(registreGarantie[[#This Row],[Pièces 
Demandés]]="","",registreGarantie[[#This Row],[Date]])</f>
        <v>45819</v>
      </c>
      <c r="W547" s="103">
        <f>IF(registreGarantie[[#This Row],[Pièces 
Demandés]]="","",IF(registreGarantie[[#This Row],[date paiement]]="","",registreGarantie[[#This Row],[date paiement]]+91))</f>
        <v>45916</v>
      </c>
      <c r="X5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7" s="74" t="str">
        <f ca="1">IF(registreGarantie[[#This Row],[Colonne1]]=0,"",IF(TODAY()&gt;registreGarantie[[#This Row],[Date rebus]],0,1))</f>
        <v/>
      </c>
      <c r="Z547" s="66"/>
      <c r="AA547" s="73" t="str">
        <f>IF(AND(registreGarantie[[#This Row],[Montant non remboursé]]&gt;1,registreGarantie[[#This Row],[Montant non remboursé]]&lt;&gt;""),1,"")</f>
        <v/>
      </c>
      <c r="AB547" s="66"/>
      <c r="AC547" s="66"/>
      <c r="AD547" s="87">
        <f t="shared" si="8"/>
        <v>547</v>
      </c>
      <c r="AE547" s="109"/>
    </row>
    <row r="548" spans="1:31" ht="18" customHeight="1" thickBot="1" x14ac:dyDescent="0.4">
      <c r="A548" s="64">
        <v>45201</v>
      </c>
      <c r="B548" s="64">
        <v>44353</v>
      </c>
      <c r="C548" s="106">
        <v>45819</v>
      </c>
      <c r="D548" s="66" t="s">
        <v>86</v>
      </c>
      <c r="E548" s="66" t="s">
        <v>45</v>
      </c>
      <c r="F548" s="68" t="s">
        <v>2239</v>
      </c>
      <c r="G548" s="66" t="s">
        <v>801</v>
      </c>
      <c r="H548" s="64">
        <v>1253</v>
      </c>
      <c r="I548" s="67" t="s">
        <v>3</v>
      </c>
      <c r="J548" s="97">
        <v>404717733</v>
      </c>
      <c r="K548" s="66"/>
      <c r="L548" s="68"/>
      <c r="M548" s="69">
        <v>261.16000000000003</v>
      </c>
      <c r="N548" s="69">
        <v>261.16000000000003</v>
      </c>
      <c r="O548" s="70">
        <f>IF(registreGarantie[[#This Row],[date paiement]]="","",registreGarantie[[#This Row],[Pièces 
Demandés]]-registreGarantie[[#This Row],[Pièces 
Remboursés]])</f>
        <v>0</v>
      </c>
      <c r="P548" s="69">
        <v>163.75</v>
      </c>
      <c r="Q548" s="69">
        <v>163.75</v>
      </c>
      <c r="R548" s="70">
        <f>IF(registreGarantie[[#This Row],[date paiement]]="","",registreGarantie[[#This Row],[MO
Demandé]]-registreGarantie[[#This Row],[MO
Remboursé]])</f>
        <v>0</v>
      </c>
      <c r="S548" s="69"/>
      <c r="T548" s="70">
        <f>IF(registreGarantie[[#This Row],[date paiement]]="","",registreGarantie[[#This Row],[MO
Refusé]]+registreGarantie[[#This Row],[Pièces
Refusés]])</f>
        <v>0</v>
      </c>
      <c r="U548" s="106">
        <v>45842</v>
      </c>
      <c r="V548" s="71">
        <f>IF(registreGarantie[[#This Row],[Pièces 
Demandés]]="","",registreGarantie[[#This Row],[Date]])</f>
        <v>45819</v>
      </c>
      <c r="W548" s="103">
        <f>IF(registreGarantie[[#This Row],[Pièces 
Demandés]]="","",IF(registreGarantie[[#This Row],[date paiement]]="","",registreGarantie[[#This Row],[date paiement]]+91))</f>
        <v>45933</v>
      </c>
      <c r="X5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48" s="74">
        <f ca="1">IF(registreGarantie[[#This Row],[Colonne1]]=0,"",IF(TODAY()&gt;registreGarantie[[#This Row],[Date rebus]],0,1))</f>
        <v>0</v>
      </c>
      <c r="Z548" s="66"/>
      <c r="AA548" s="73" t="str">
        <f>IF(AND(registreGarantie[[#This Row],[Montant non remboursé]]&gt;1,registreGarantie[[#This Row],[Montant non remboursé]]&lt;&gt;""),1,"")</f>
        <v/>
      </c>
      <c r="AB548" s="66"/>
      <c r="AC548" s="66"/>
      <c r="AD548" s="87">
        <f t="shared" si="8"/>
        <v>548</v>
      </c>
      <c r="AE548" s="109"/>
    </row>
    <row r="549" spans="1:31" ht="18" customHeight="1" thickBot="1" x14ac:dyDescent="0.4">
      <c r="A549" s="64">
        <v>45202</v>
      </c>
      <c r="B549" s="64">
        <v>44364</v>
      </c>
      <c r="C549" s="106">
        <v>45819</v>
      </c>
      <c r="D549" s="66" t="s">
        <v>2261</v>
      </c>
      <c r="E549" s="66" t="s">
        <v>1999</v>
      </c>
      <c r="F549" s="68" t="s">
        <v>2420</v>
      </c>
      <c r="G549" s="66" t="s">
        <v>1656</v>
      </c>
      <c r="H549" s="64" t="s">
        <v>2421</v>
      </c>
      <c r="I549" s="67" t="s">
        <v>21</v>
      </c>
      <c r="J549" s="97" t="s">
        <v>2422</v>
      </c>
      <c r="K549" s="66"/>
      <c r="L549" s="68"/>
      <c r="M549" s="69">
        <v>334.53</v>
      </c>
      <c r="N549" s="69">
        <v>334.53</v>
      </c>
      <c r="O549" s="70">
        <f>IF(registreGarantie[[#This Row],[date paiement]]="","",registreGarantie[[#This Row],[Pièces 
Demandés]]-registreGarantie[[#This Row],[Pièces 
Remboursés]])</f>
        <v>0</v>
      </c>
      <c r="P549" s="69">
        <v>106</v>
      </c>
      <c r="Q549" s="69">
        <v>106</v>
      </c>
      <c r="R549" s="70">
        <f>IF(registreGarantie[[#This Row],[date paiement]]="","",registreGarantie[[#This Row],[MO
Demandé]]-registreGarantie[[#This Row],[MO
Remboursé]])</f>
        <v>0</v>
      </c>
      <c r="S549" s="69"/>
      <c r="T549" s="70">
        <f>IF(registreGarantie[[#This Row],[date paiement]]="","",registreGarantie[[#This Row],[MO
Refusé]]+registreGarantie[[#This Row],[Pièces
Refusés]])</f>
        <v>0</v>
      </c>
      <c r="U549" s="106">
        <v>45825</v>
      </c>
      <c r="V549" s="71">
        <f>IF(registreGarantie[[#This Row],[Pièces 
Demandés]]="","",registreGarantie[[#This Row],[Date]])</f>
        <v>45819</v>
      </c>
      <c r="W549" s="103">
        <f>IF(registreGarantie[[#This Row],[Pièces 
Demandés]]="","",IF(registreGarantie[[#This Row],[date paiement]]="","",registreGarantie[[#This Row],[date paiement]]+91))</f>
        <v>45916</v>
      </c>
      <c r="X5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49" s="74" t="str">
        <f ca="1">IF(registreGarantie[[#This Row],[Colonne1]]=0,"",IF(TODAY()&gt;registreGarantie[[#This Row],[Date rebus]],0,1))</f>
        <v/>
      </c>
      <c r="Z549" s="66"/>
      <c r="AA549" s="73" t="str">
        <f>IF(AND(registreGarantie[[#This Row],[Montant non remboursé]]&gt;1,registreGarantie[[#This Row],[Montant non remboursé]]&lt;&gt;""),1,"")</f>
        <v/>
      </c>
      <c r="AB549" s="66"/>
      <c r="AC549" s="66"/>
      <c r="AD549" s="87">
        <f t="shared" si="8"/>
        <v>549</v>
      </c>
      <c r="AE549" s="109"/>
    </row>
    <row r="550" spans="1:31" ht="18" customHeight="1" thickBot="1" x14ac:dyDescent="0.4">
      <c r="A550" s="64">
        <v>45203</v>
      </c>
      <c r="B550" s="64">
        <v>44315</v>
      </c>
      <c r="C550" s="106">
        <v>45820</v>
      </c>
      <c r="D550" s="66" t="s">
        <v>482</v>
      </c>
      <c r="E550" s="66" t="s">
        <v>181</v>
      </c>
      <c r="F550" s="68" t="s">
        <v>2304</v>
      </c>
      <c r="G550" s="66" t="s">
        <v>2428</v>
      </c>
      <c r="H550" s="64">
        <v>782</v>
      </c>
      <c r="I550" s="67" t="s">
        <v>3</v>
      </c>
      <c r="J550" s="97">
        <v>404719787</v>
      </c>
      <c r="K550" s="66"/>
      <c r="L550" s="68"/>
      <c r="M550" s="69">
        <v>74.44</v>
      </c>
      <c r="N550" s="69">
        <v>74.44</v>
      </c>
      <c r="O550" s="70">
        <f>IF(registreGarantie[[#This Row],[date paiement]]="","",registreGarantie[[#This Row],[Pièces 
Demandés]]-registreGarantie[[#This Row],[Pièces 
Remboursés]])</f>
        <v>0</v>
      </c>
      <c r="P550" s="69">
        <v>98.25</v>
      </c>
      <c r="Q550" s="69">
        <v>98.25</v>
      </c>
      <c r="R550" s="70">
        <f>IF(registreGarantie[[#This Row],[date paiement]]="","",registreGarantie[[#This Row],[MO
Demandé]]-registreGarantie[[#This Row],[MO
Remboursé]])</f>
        <v>0</v>
      </c>
      <c r="S550" s="69">
        <v>150</v>
      </c>
      <c r="T550" s="70">
        <f>IF(registreGarantie[[#This Row],[date paiement]]="","",registreGarantie[[#This Row],[MO
Refusé]]+registreGarantie[[#This Row],[Pièces
Refusés]])</f>
        <v>0</v>
      </c>
      <c r="U550" s="106">
        <v>45870</v>
      </c>
      <c r="V550" s="71">
        <f>IF(registreGarantie[[#This Row],[Pièces 
Demandés]]="","",registreGarantie[[#This Row],[Date]])</f>
        <v>45820</v>
      </c>
      <c r="W550" s="103">
        <f>IF(registreGarantie[[#This Row],[Pièces 
Demandés]]="","",IF(registreGarantie[[#This Row],[date paiement]]="","",registreGarantie[[#This Row],[date paiement]]+91))</f>
        <v>45961</v>
      </c>
      <c r="X5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50" s="74">
        <f ca="1">IF(registreGarantie[[#This Row],[Colonne1]]=0,"",IF(TODAY()&gt;registreGarantie[[#This Row],[Date rebus]],0,1))</f>
        <v>1</v>
      </c>
      <c r="Z550" s="66"/>
      <c r="AA550" s="73" t="str">
        <f>IF(AND(registreGarantie[[#This Row],[Montant non remboursé]]&gt;1,registreGarantie[[#This Row],[Montant non remboursé]]&lt;&gt;""),1,"")</f>
        <v/>
      </c>
      <c r="AB550" s="66"/>
      <c r="AC550" s="66"/>
      <c r="AD550" s="87">
        <f t="shared" si="8"/>
        <v>550</v>
      </c>
      <c r="AE550" s="109"/>
    </row>
    <row r="551" spans="1:31" ht="18" customHeight="1" thickBot="1" x14ac:dyDescent="0.4">
      <c r="A551" s="64">
        <v>45204</v>
      </c>
      <c r="B551" s="64">
        <v>44382</v>
      </c>
      <c r="C551" s="106">
        <v>45820</v>
      </c>
      <c r="D551" s="66" t="s">
        <v>150</v>
      </c>
      <c r="E551" s="66" t="s">
        <v>263</v>
      </c>
      <c r="F551" s="68" t="s">
        <v>2431</v>
      </c>
      <c r="G551" s="66" t="s">
        <v>2430</v>
      </c>
      <c r="H551" s="64" t="s">
        <v>2432</v>
      </c>
      <c r="I551" s="67" t="s">
        <v>21</v>
      </c>
      <c r="J551" s="97" t="s">
        <v>2433</v>
      </c>
      <c r="K551" s="66"/>
      <c r="L551" s="68"/>
      <c r="M551" s="69">
        <v>664.41</v>
      </c>
      <c r="N551" s="69">
        <v>664.41</v>
      </c>
      <c r="O551" s="70">
        <f>IF(registreGarantie[[#This Row],[date paiement]]="","",registreGarantie[[#This Row],[Pièces 
Demandés]]-registreGarantie[[#This Row],[Pièces 
Remboursés]])</f>
        <v>0</v>
      </c>
      <c r="P551" s="69">
        <v>318</v>
      </c>
      <c r="Q551" s="69">
        <v>318</v>
      </c>
      <c r="R551" s="70">
        <f>IF(registreGarantie[[#This Row],[date paiement]]="","",registreGarantie[[#This Row],[MO
Demandé]]-registreGarantie[[#This Row],[MO
Remboursé]])</f>
        <v>0</v>
      </c>
      <c r="S551" s="69"/>
      <c r="T551" s="70">
        <f>IF(registreGarantie[[#This Row],[date paiement]]="","",registreGarantie[[#This Row],[MO
Refusé]]+registreGarantie[[#This Row],[Pièces
Refusés]])</f>
        <v>0</v>
      </c>
      <c r="U551" s="106">
        <v>45825</v>
      </c>
      <c r="V551" s="71">
        <f>IF(registreGarantie[[#This Row],[Pièces 
Demandés]]="","",registreGarantie[[#This Row],[Date]])</f>
        <v>45820</v>
      </c>
      <c r="W551" s="103">
        <f>IF(registreGarantie[[#This Row],[Pièces 
Demandés]]="","",IF(registreGarantie[[#This Row],[date paiement]]="","",registreGarantie[[#This Row],[date paiement]]+91))</f>
        <v>45916</v>
      </c>
      <c r="X5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1" s="74" t="str">
        <f ca="1">IF(registreGarantie[[#This Row],[Colonne1]]=0,"",IF(TODAY()&gt;registreGarantie[[#This Row],[Date rebus]],0,1))</f>
        <v/>
      </c>
      <c r="Z551" s="66"/>
      <c r="AA551" s="73" t="str">
        <f>IF(AND(registreGarantie[[#This Row],[Montant non remboursé]]&gt;1,registreGarantie[[#This Row],[Montant non remboursé]]&lt;&gt;""),1,"")</f>
        <v/>
      </c>
      <c r="AB551" s="66"/>
      <c r="AC551" s="66"/>
      <c r="AD551" s="87">
        <f t="shared" si="8"/>
        <v>551</v>
      </c>
      <c r="AE551" s="109"/>
    </row>
    <row r="552" spans="1:31" ht="18" customHeight="1" thickBot="1" x14ac:dyDescent="0.4">
      <c r="A552" s="64">
        <v>45205</v>
      </c>
      <c r="B552" s="64">
        <v>44384</v>
      </c>
      <c r="C552" s="106">
        <v>45833</v>
      </c>
      <c r="D552" s="66" t="s">
        <v>2435</v>
      </c>
      <c r="E552" s="66" t="s">
        <v>263</v>
      </c>
      <c r="F552" s="68" t="s">
        <v>2436</v>
      </c>
      <c r="G552" s="66" t="s">
        <v>2437</v>
      </c>
      <c r="H552" s="64" t="s">
        <v>2446</v>
      </c>
      <c r="I552" s="67" t="s">
        <v>21</v>
      </c>
      <c r="J552" s="97" t="s">
        <v>2505</v>
      </c>
      <c r="K552" s="66"/>
      <c r="L552" s="68"/>
      <c r="M552" s="69">
        <v>280.35000000000002</v>
      </c>
      <c r="N552" s="69">
        <v>280.35000000000002</v>
      </c>
      <c r="O552" s="70">
        <f>IF(registreGarantie[[#This Row],[date paiement]]="","",registreGarantie[[#This Row],[Pièces 
Demandés]]-registreGarantie[[#This Row],[Pièces 
Remboursés]])</f>
        <v>0</v>
      </c>
      <c r="P552" s="69">
        <v>212</v>
      </c>
      <c r="Q552" s="69">
        <v>212</v>
      </c>
      <c r="R552" s="70">
        <f>IF(registreGarantie[[#This Row],[date paiement]]="","",registreGarantie[[#This Row],[MO
Demandé]]-registreGarantie[[#This Row],[MO
Remboursé]])</f>
        <v>0</v>
      </c>
      <c r="S552" s="69"/>
      <c r="T552" s="70">
        <f>IF(registreGarantie[[#This Row],[date paiement]]="","",registreGarantie[[#This Row],[MO
Refusé]]+registreGarantie[[#This Row],[Pièces
Refusés]])</f>
        <v>0</v>
      </c>
      <c r="U552" s="106">
        <v>45838</v>
      </c>
      <c r="V552" s="71">
        <f>IF(registreGarantie[[#This Row],[Pièces 
Demandés]]="","",registreGarantie[[#This Row],[Date]])</f>
        <v>45833</v>
      </c>
      <c r="W552" s="103">
        <f>IF(registreGarantie[[#This Row],[Pièces 
Demandés]]="","",IF(registreGarantie[[#This Row],[date paiement]]="","",registreGarantie[[#This Row],[date paiement]]+91))</f>
        <v>45929</v>
      </c>
      <c r="X5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2" s="74" t="str">
        <f ca="1">IF(registreGarantie[[#This Row],[Colonne1]]=0,"",IF(TODAY()&gt;registreGarantie[[#This Row],[Date rebus]],0,1))</f>
        <v/>
      </c>
      <c r="Z552" s="66"/>
      <c r="AA552" s="73" t="str">
        <f>IF(AND(registreGarantie[[#This Row],[Montant non remboursé]]&gt;1,registreGarantie[[#This Row],[Montant non remboursé]]&lt;&gt;""),1,"")</f>
        <v/>
      </c>
      <c r="AB552" s="66"/>
      <c r="AC552" s="66"/>
      <c r="AD552" s="87">
        <f t="shared" si="8"/>
        <v>552</v>
      </c>
      <c r="AE552" s="109">
        <v>45807</v>
      </c>
    </row>
    <row r="553" spans="1:31" ht="18" customHeight="1" thickBot="1" x14ac:dyDescent="0.4">
      <c r="A553" s="64">
        <v>45206</v>
      </c>
      <c r="B553" s="64">
        <v>44385</v>
      </c>
      <c r="C553" s="106">
        <v>45821</v>
      </c>
      <c r="D553" s="66" t="s">
        <v>2435</v>
      </c>
      <c r="E553" s="66" t="s">
        <v>263</v>
      </c>
      <c r="F553" s="68" t="s">
        <v>2436</v>
      </c>
      <c r="G553" s="66" t="s">
        <v>2438</v>
      </c>
      <c r="H553" s="64">
        <v>656</v>
      </c>
      <c r="I553" s="67" t="s">
        <v>21</v>
      </c>
      <c r="J553" s="97" t="s">
        <v>2447</v>
      </c>
      <c r="K553" s="66"/>
      <c r="L553" s="68"/>
      <c r="M553" s="69">
        <v>682.5</v>
      </c>
      <c r="N553" s="69">
        <v>682.5</v>
      </c>
      <c r="O553" s="70">
        <f>IF(registreGarantie[[#This Row],[date paiement]]="","",registreGarantie[[#This Row],[Pièces 
Demandés]]-registreGarantie[[#This Row],[Pièces 
Remboursés]])</f>
        <v>0</v>
      </c>
      <c r="P553" s="69">
        <v>212</v>
      </c>
      <c r="Q553" s="69">
        <v>212</v>
      </c>
      <c r="R553" s="70">
        <f>IF(registreGarantie[[#This Row],[date paiement]]="","",registreGarantie[[#This Row],[MO
Demandé]]-registreGarantie[[#This Row],[MO
Remboursé]])</f>
        <v>0</v>
      </c>
      <c r="S553" s="69"/>
      <c r="T553" s="70">
        <f>IF(registreGarantie[[#This Row],[date paiement]]="","",registreGarantie[[#This Row],[MO
Refusé]]+registreGarantie[[#This Row],[Pièces
Refusés]])</f>
        <v>0</v>
      </c>
      <c r="U553" s="106">
        <v>45825</v>
      </c>
      <c r="V553" s="71">
        <f>IF(registreGarantie[[#This Row],[Pièces 
Demandés]]="","",registreGarantie[[#This Row],[Date]])</f>
        <v>45821</v>
      </c>
      <c r="W553" s="103">
        <f>IF(registreGarantie[[#This Row],[Pièces 
Demandés]]="","",IF(registreGarantie[[#This Row],[date paiement]]="","",registreGarantie[[#This Row],[date paiement]]+91))</f>
        <v>45916</v>
      </c>
      <c r="X5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3" s="74" t="str">
        <f ca="1">IF(registreGarantie[[#This Row],[Colonne1]]=0,"",IF(TODAY()&gt;registreGarantie[[#This Row],[Date rebus]],0,1))</f>
        <v/>
      </c>
      <c r="Z553" s="66"/>
      <c r="AA553" s="73" t="str">
        <f>IF(AND(registreGarantie[[#This Row],[Montant non remboursé]]&gt;1,registreGarantie[[#This Row],[Montant non remboursé]]&lt;&gt;""),1,"")</f>
        <v/>
      </c>
      <c r="AB553" s="66"/>
      <c r="AC553" s="66"/>
      <c r="AD553" s="87">
        <f t="shared" si="8"/>
        <v>553</v>
      </c>
      <c r="AE553" s="109"/>
    </row>
    <row r="554" spans="1:31" ht="18" customHeight="1" thickBot="1" x14ac:dyDescent="0.4">
      <c r="A554" s="64">
        <v>45207</v>
      </c>
      <c r="B554" s="64">
        <v>44386</v>
      </c>
      <c r="C554" s="106">
        <v>45821</v>
      </c>
      <c r="D554" s="66" t="s">
        <v>262</v>
      </c>
      <c r="E554" s="66" t="s">
        <v>263</v>
      </c>
      <c r="F554" s="68" t="s">
        <v>2358</v>
      </c>
      <c r="G554" s="66" t="s">
        <v>2439</v>
      </c>
      <c r="H554" s="64">
        <v>1124</v>
      </c>
      <c r="I554" s="67" t="s">
        <v>21</v>
      </c>
      <c r="J554" s="97" t="s">
        <v>2627</v>
      </c>
      <c r="K554" s="66"/>
      <c r="L554" s="68"/>
      <c r="M554" s="69">
        <v>280.35000000000002</v>
      </c>
      <c r="N554" s="69">
        <v>280.35000000000002</v>
      </c>
      <c r="O554" s="70">
        <f>IF(registreGarantie[[#This Row],[date paiement]]="","",registreGarantie[[#This Row],[Pièces 
Demandés]]-registreGarantie[[#This Row],[Pièces 
Remboursés]])</f>
        <v>0</v>
      </c>
      <c r="P554" s="69">
        <v>106</v>
      </c>
      <c r="Q554" s="69">
        <v>106</v>
      </c>
      <c r="R554" s="70">
        <f>IF(registreGarantie[[#This Row],[date paiement]]="","",registreGarantie[[#This Row],[MO
Demandé]]-registreGarantie[[#This Row],[MO
Remboursé]])</f>
        <v>0</v>
      </c>
      <c r="S554" s="69"/>
      <c r="T554" s="70">
        <f>IF(registreGarantie[[#This Row],[date paiement]]="","",registreGarantie[[#This Row],[MO
Refusé]]+registreGarantie[[#This Row],[Pièces
Refusés]])</f>
        <v>0</v>
      </c>
      <c r="U554" s="106">
        <v>45861</v>
      </c>
      <c r="V554" s="71">
        <f>IF(registreGarantie[[#This Row],[Pièces 
Demandés]]="","",registreGarantie[[#This Row],[Date]])</f>
        <v>45821</v>
      </c>
      <c r="W554" s="103">
        <f>IF(registreGarantie[[#This Row],[Pièces 
Demandés]]="","",IF(registreGarantie[[#This Row],[date paiement]]="","",registreGarantie[[#This Row],[date paiement]]+91))</f>
        <v>45952</v>
      </c>
      <c r="X5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4" s="74" t="str">
        <f ca="1">IF(registreGarantie[[#This Row],[Colonne1]]=0,"",IF(TODAY()&gt;registreGarantie[[#This Row],[Date rebus]],0,1))</f>
        <v/>
      </c>
      <c r="Z554" s="66"/>
      <c r="AA554" s="73" t="str">
        <f>IF(AND(registreGarantie[[#This Row],[Montant non remboursé]]&gt;1,registreGarantie[[#This Row],[Montant non remboursé]]&lt;&gt;""),1,"")</f>
        <v/>
      </c>
      <c r="AB554" s="66"/>
      <c r="AC554" s="66"/>
      <c r="AD554" s="87">
        <f t="shared" si="8"/>
        <v>554</v>
      </c>
      <c r="AE554" s="109">
        <v>45807</v>
      </c>
    </row>
    <row r="555" spans="1:31" ht="18" customHeight="1" thickBot="1" x14ac:dyDescent="0.4">
      <c r="A555" s="64">
        <v>45208</v>
      </c>
      <c r="B555" s="64">
        <v>44388</v>
      </c>
      <c r="C555" s="106">
        <v>45821</v>
      </c>
      <c r="D555" s="66" t="s">
        <v>681</v>
      </c>
      <c r="E555" s="66" t="s">
        <v>232</v>
      </c>
      <c r="F555" s="68" t="s">
        <v>2363</v>
      </c>
      <c r="G555" s="66" t="s">
        <v>2440</v>
      </c>
      <c r="H555" s="64">
        <v>117</v>
      </c>
      <c r="I555" s="67" t="s">
        <v>21</v>
      </c>
      <c r="J555" s="97" t="s">
        <v>2506</v>
      </c>
      <c r="K555" s="66"/>
      <c r="L555" s="68"/>
      <c r="M555" s="69">
        <v>76.44</v>
      </c>
      <c r="N555" s="69">
        <v>76.44</v>
      </c>
      <c r="O555" s="70">
        <f>IF(registreGarantie[[#This Row],[date paiement]]="","",registreGarantie[[#This Row],[Pièces 
Demandés]]-registreGarantie[[#This Row],[Pièces 
Remboursés]])</f>
        <v>0</v>
      </c>
      <c r="P555" s="69">
        <v>106</v>
      </c>
      <c r="Q555" s="69">
        <v>106</v>
      </c>
      <c r="R555" s="70">
        <f>IF(registreGarantie[[#This Row],[date paiement]]="","",registreGarantie[[#This Row],[MO
Demandé]]-registreGarantie[[#This Row],[MO
Remboursé]])</f>
        <v>0</v>
      </c>
      <c r="S555" s="69"/>
      <c r="T555" s="70">
        <f>IF(registreGarantie[[#This Row],[date paiement]]="","",registreGarantie[[#This Row],[MO
Refusé]]+registreGarantie[[#This Row],[Pièces
Refusés]])</f>
        <v>0</v>
      </c>
      <c r="U555" s="106">
        <v>45838</v>
      </c>
      <c r="V555" s="71">
        <f>IF(registreGarantie[[#This Row],[Pièces 
Demandés]]="","",registreGarantie[[#This Row],[Date]])</f>
        <v>45821</v>
      </c>
      <c r="W555" s="103">
        <f>IF(registreGarantie[[#This Row],[Pièces 
Demandés]]="","",IF(registreGarantie[[#This Row],[date paiement]]="","",registreGarantie[[#This Row],[date paiement]]+91))</f>
        <v>45929</v>
      </c>
      <c r="X5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5" s="74" t="str">
        <f ca="1">IF(registreGarantie[[#This Row],[Colonne1]]=0,"",IF(TODAY()&gt;registreGarantie[[#This Row],[Date rebus]],0,1))</f>
        <v/>
      </c>
      <c r="Z555" s="66"/>
      <c r="AA555" s="73" t="str">
        <f>IF(AND(registreGarantie[[#This Row],[Montant non remboursé]]&gt;1,registreGarantie[[#This Row],[Montant non remboursé]]&lt;&gt;""),1,"")</f>
        <v/>
      </c>
      <c r="AB555" s="66"/>
      <c r="AC555" s="66"/>
      <c r="AD555" s="87">
        <f t="shared" si="8"/>
        <v>555</v>
      </c>
      <c r="AE555" s="109">
        <v>45808</v>
      </c>
    </row>
    <row r="556" spans="1:31" ht="18" customHeight="1" thickBot="1" x14ac:dyDescent="0.4">
      <c r="A556" s="64">
        <v>45209</v>
      </c>
      <c r="B556" s="64">
        <v>44401</v>
      </c>
      <c r="C556" s="106">
        <v>45821</v>
      </c>
      <c r="D556" s="66" t="s">
        <v>292</v>
      </c>
      <c r="E556" s="66" t="s">
        <v>718</v>
      </c>
      <c r="F556" s="68" t="s">
        <v>2445</v>
      </c>
      <c r="G556" s="66" t="s">
        <v>532</v>
      </c>
      <c r="H556" s="64">
        <v>135</v>
      </c>
      <c r="I556" s="67" t="s">
        <v>2</v>
      </c>
      <c r="J556" s="97">
        <v>404721632</v>
      </c>
      <c r="K556" s="66"/>
      <c r="L556" s="68"/>
      <c r="M556" s="69">
        <v>482.76</v>
      </c>
      <c r="N556" s="69">
        <v>482.76</v>
      </c>
      <c r="O556" s="70">
        <f>IF(registreGarantie[[#This Row],[date paiement]]="","",registreGarantie[[#This Row],[Pièces 
Demandés]]-registreGarantie[[#This Row],[Pièces 
Remboursés]])</f>
        <v>0</v>
      </c>
      <c r="P556" s="69">
        <v>720</v>
      </c>
      <c r="Q556" s="69">
        <v>524</v>
      </c>
      <c r="R556" s="70">
        <f>IF(registreGarantie[[#This Row],[date paiement]]="","",registreGarantie[[#This Row],[MO
Demandé]]-registreGarantie[[#This Row],[MO
Remboursé]])</f>
        <v>196</v>
      </c>
      <c r="S556" s="69"/>
      <c r="T556" s="70">
        <f>IF(registreGarantie[[#This Row],[date paiement]]="","",registreGarantie[[#This Row],[MO
Refusé]]+registreGarantie[[#This Row],[Pièces
Refusés]])</f>
        <v>196</v>
      </c>
      <c r="U556" s="106">
        <v>45855</v>
      </c>
      <c r="V556" s="71">
        <f>IF(registreGarantie[[#This Row],[Pièces 
Demandés]]="","",registreGarantie[[#This Row],[Date]])</f>
        <v>45821</v>
      </c>
      <c r="W556" s="103">
        <f>IF(registreGarantie[[#This Row],[Pièces 
Demandés]]="","",IF(registreGarantie[[#This Row],[date paiement]]="","",registreGarantie[[#This Row],[date paiement]]+91))</f>
        <v>45946</v>
      </c>
      <c r="X5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56" s="74">
        <f ca="1">IF(registreGarantie[[#This Row],[Colonne1]]=0,"",IF(TODAY()&gt;registreGarantie[[#This Row],[Date rebus]],0,1))</f>
        <v>1</v>
      </c>
      <c r="Z556" s="66"/>
      <c r="AA556" s="73">
        <f>IF(AND(registreGarantie[[#This Row],[Montant non remboursé]]&gt;1,registreGarantie[[#This Row],[Montant non remboursé]]&lt;&gt;""),1,"")</f>
        <v>1</v>
      </c>
      <c r="AB556" s="66"/>
      <c r="AC556" s="66"/>
      <c r="AD556" s="87">
        <f t="shared" si="8"/>
        <v>556</v>
      </c>
      <c r="AE556" s="109"/>
    </row>
    <row r="557" spans="1:31" ht="18" customHeight="1" thickBot="1" x14ac:dyDescent="0.4">
      <c r="A557" s="64">
        <v>45210</v>
      </c>
      <c r="B557" s="64">
        <v>44403</v>
      </c>
      <c r="C557" s="106">
        <v>45854</v>
      </c>
      <c r="D557" s="66" t="s">
        <v>262</v>
      </c>
      <c r="E557" s="66" t="s">
        <v>263</v>
      </c>
      <c r="F557" s="68" t="s">
        <v>2358</v>
      </c>
      <c r="G557" s="66" t="s">
        <v>2448</v>
      </c>
      <c r="H557" s="64">
        <v>1284</v>
      </c>
      <c r="I557" s="67" t="s">
        <v>21</v>
      </c>
      <c r="J557" s="97" t="s">
        <v>2628</v>
      </c>
      <c r="K557" s="66"/>
      <c r="L557" s="68"/>
      <c r="M557" s="69">
        <v>73.23</v>
      </c>
      <c r="N557" s="69">
        <v>73.23</v>
      </c>
      <c r="O557" s="70">
        <f>IF(registreGarantie[[#This Row],[date paiement]]="","",registreGarantie[[#This Row],[Pièces 
Demandés]]-registreGarantie[[#This Row],[Pièces 
Remboursés]])</f>
        <v>0</v>
      </c>
      <c r="P557" s="69">
        <v>53</v>
      </c>
      <c r="Q557" s="69">
        <v>53</v>
      </c>
      <c r="R557" s="70">
        <f>IF(registreGarantie[[#This Row],[date paiement]]="","",registreGarantie[[#This Row],[MO
Demandé]]-registreGarantie[[#This Row],[MO
Remboursé]])</f>
        <v>0</v>
      </c>
      <c r="S557" s="69"/>
      <c r="T557" s="70">
        <f>IF(registreGarantie[[#This Row],[date paiement]]="","",registreGarantie[[#This Row],[MO
Refusé]]+registreGarantie[[#This Row],[Pièces
Refusés]])</f>
        <v>0</v>
      </c>
      <c r="U557" s="106">
        <v>45861</v>
      </c>
      <c r="V557" s="71">
        <f>IF(registreGarantie[[#This Row],[Pièces 
Demandés]]="","",registreGarantie[[#This Row],[Date]])</f>
        <v>45854</v>
      </c>
      <c r="W557" s="103">
        <f>IF(registreGarantie[[#This Row],[Pièces 
Demandés]]="","",IF(registreGarantie[[#This Row],[date paiement]]="","",registreGarantie[[#This Row],[date paiement]]+91))</f>
        <v>45952</v>
      </c>
      <c r="X5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7" s="74" t="str">
        <f ca="1">IF(registreGarantie[[#This Row],[Colonne1]]=0,"",IF(TODAY()&gt;registreGarantie[[#This Row],[Date rebus]],0,1))</f>
        <v/>
      </c>
      <c r="Z557" s="66"/>
      <c r="AA557" s="73" t="str">
        <f>IF(AND(registreGarantie[[#This Row],[Montant non remboursé]]&gt;1,registreGarantie[[#This Row],[Montant non remboursé]]&lt;&gt;""),1,"")</f>
        <v/>
      </c>
      <c r="AB557" s="66"/>
      <c r="AC557" s="66"/>
      <c r="AD557" s="87">
        <f t="shared" si="8"/>
        <v>557</v>
      </c>
      <c r="AE557" s="109">
        <v>45811</v>
      </c>
    </row>
    <row r="558" spans="1:31" ht="18" customHeight="1" thickBot="1" x14ac:dyDescent="0.4">
      <c r="A558" s="64">
        <v>45211</v>
      </c>
      <c r="B558" s="64">
        <v>44405</v>
      </c>
      <c r="C558" s="106">
        <v>45824</v>
      </c>
      <c r="D558" s="66" t="s">
        <v>1081</v>
      </c>
      <c r="E558" s="66" t="s">
        <v>45</v>
      </c>
      <c r="F558" s="68" t="s">
        <v>2449</v>
      </c>
      <c r="G558" s="66" t="s">
        <v>58</v>
      </c>
      <c r="H558" s="64">
        <v>139</v>
      </c>
      <c r="I558" s="67" t="s">
        <v>18</v>
      </c>
      <c r="J558" s="97">
        <v>404724764</v>
      </c>
      <c r="K558" s="66"/>
      <c r="L558" s="68"/>
      <c r="M558" s="69"/>
      <c r="N558" s="69"/>
      <c r="O558" s="70" t="str">
        <f>IF(registreGarantie[[#This Row],[date paiement]]="","",registreGarantie[[#This Row],[Pièces 
Demandés]]-registreGarantie[[#This Row],[Pièces 
Remboursés]])</f>
        <v/>
      </c>
      <c r="P558" s="69"/>
      <c r="Q558" s="69"/>
      <c r="R558" s="70" t="str">
        <f>IF(registreGarantie[[#This Row],[date paiement]]="","",registreGarantie[[#This Row],[MO
Demandé]]-registreGarantie[[#This Row],[MO
Remboursé]])</f>
        <v/>
      </c>
      <c r="S558" s="69"/>
      <c r="T558" s="70" t="str">
        <f>IF(registreGarantie[[#This Row],[date paiement]]="","",registreGarantie[[#This Row],[MO
Refusé]]+registreGarantie[[#This Row],[Pièces
Refusés]])</f>
        <v/>
      </c>
      <c r="U558" s="106"/>
      <c r="V558" s="71" t="str">
        <f>IF(registreGarantie[[#This Row],[Pièces 
Demandés]]="","",registreGarantie[[#This Row],[Date]])</f>
        <v/>
      </c>
      <c r="W558" s="103" t="str">
        <f>IF(registreGarantie[[#This Row],[Pièces 
Demandés]]="","",IF(registreGarantie[[#This Row],[date paiement]]="","",registreGarantie[[#This Row],[date paiement]]+91))</f>
        <v/>
      </c>
      <c r="X5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8" s="74" t="str">
        <f ca="1">IF(registreGarantie[[#This Row],[Colonne1]]=0,"",IF(TODAY()&gt;registreGarantie[[#This Row],[Date rebus]],0,1))</f>
        <v/>
      </c>
      <c r="Z558" s="66"/>
      <c r="AA558" s="73" t="str">
        <f>IF(AND(registreGarantie[[#This Row],[Montant non remboursé]]&gt;1,registreGarantie[[#This Row],[Montant non remboursé]]&lt;&gt;""),1,"")</f>
        <v/>
      </c>
      <c r="AB558" s="66"/>
      <c r="AC558" s="66"/>
      <c r="AD558" s="87">
        <f t="shared" si="8"/>
        <v>558</v>
      </c>
      <c r="AE558" s="109"/>
    </row>
    <row r="559" spans="1:31" ht="18" customHeight="1" thickBot="1" x14ac:dyDescent="0.4">
      <c r="A559" s="64">
        <v>45211</v>
      </c>
      <c r="B559" s="64">
        <v>44405</v>
      </c>
      <c r="C559" s="106">
        <v>45824</v>
      </c>
      <c r="D559" s="66" t="s">
        <v>1081</v>
      </c>
      <c r="E559" s="66" t="s">
        <v>45</v>
      </c>
      <c r="F559" s="68" t="s">
        <v>2449</v>
      </c>
      <c r="G559" s="66" t="s">
        <v>58</v>
      </c>
      <c r="H559" s="64">
        <v>139</v>
      </c>
      <c r="I559" s="67" t="s">
        <v>19</v>
      </c>
      <c r="J559" s="97">
        <v>404724767</v>
      </c>
      <c r="K559" s="66"/>
      <c r="L559" s="68"/>
      <c r="M559" s="69">
        <v>325.32</v>
      </c>
      <c r="N559" s="69"/>
      <c r="O559" s="69" t="str">
        <f>IF(registreGarantie[[#This Row],[date paiement]]="","",registreGarantie[[#This Row],[Pièces 
Demandés]]-registreGarantie[[#This Row],[Pièces 
Remboursés]])</f>
        <v/>
      </c>
      <c r="P559" s="69">
        <v>294.75</v>
      </c>
      <c r="Q559" s="69"/>
      <c r="R559" s="70" t="str">
        <f>IF(registreGarantie[[#This Row],[date paiement]]="","",registreGarantie[[#This Row],[MO
Demandé]]-registreGarantie[[#This Row],[MO
Remboursé]])</f>
        <v/>
      </c>
      <c r="S559" s="69"/>
      <c r="T559" s="70" t="str">
        <f>IF(registreGarantie[[#This Row],[date paiement]]="","",registreGarantie[[#This Row],[MO
Refusé]]+registreGarantie[[#This Row],[Pièces
Refusés]])</f>
        <v/>
      </c>
      <c r="U559" s="106"/>
      <c r="V559" s="71">
        <f>IF(registreGarantie[[#This Row],[Pièces 
Demandés]]="","",registreGarantie[[#This Row],[Date]])</f>
        <v>45824</v>
      </c>
      <c r="W559" s="103" t="str">
        <f>IF(registreGarantie[[#This Row],[Pièces 
Demandés]]="","",IF(registreGarantie[[#This Row],[date paiement]]="","",registreGarantie[[#This Row],[date paiement]]+91))</f>
        <v/>
      </c>
      <c r="X5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59" s="74" t="str">
        <f ca="1">IF(registreGarantie[[#This Row],[Colonne1]]=0,"",IF(TODAY()&gt;registreGarantie[[#This Row],[Date rebus]],0,1))</f>
        <v/>
      </c>
      <c r="Z559" s="66"/>
      <c r="AA559" s="73" t="str">
        <f>IF(AND(registreGarantie[[#This Row],[Montant non remboursé]]&gt;1,registreGarantie[[#This Row],[Montant non remboursé]]&lt;&gt;""),1,"")</f>
        <v/>
      </c>
      <c r="AB559" s="66"/>
      <c r="AC559" s="66"/>
      <c r="AD559" s="87">
        <f t="shared" si="8"/>
        <v>559</v>
      </c>
      <c r="AE559" s="109"/>
    </row>
    <row r="560" spans="1:31" ht="18" customHeight="1" thickBot="1" x14ac:dyDescent="0.4">
      <c r="A560" s="64">
        <v>45212</v>
      </c>
      <c r="B560" s="64">
        <v>44218</v>
      </c>
      <c r="C560" s="106">
        <v>45824</v>
      </c>
      <c r="D560" s="66" t="s">
        <v>2450</v>
      </c>
      <c r="E560" s="66" t="s">
        <v>2451</v>
      </c>
      <c r="F560" s="68" t="s">
        <v>2452</v>
      </c>
      <c r="G560" s="66" t="s">
        <v>2453</v>
      </c>
      <c r="H560" s="64" t="s">
        <v>2454</v>
      </c>
      <c r="I560" s="67" t="s">
        <v>18</v>
      </c>
      <c r="J560" s="97">
        <v>404724857</v>
      </c>
      <c r="K560" s="66"/>
      <c r="L560" s="68"/>
      <c r="M560" s="69"/>
      <c r="N560" s="69"/>
      <c r="O560" s="70" t="str">
        <f>IF(registreGarantie[[#This Row],[date paiement]]="","",registreGarantie[[#This Row],[Pièces 
Demandés]]-registreGarantie[[#This Row],[Pièces 
Remboursés]])</f>
        <v/>
      </c>
      <c r="P560" s="69"/>
      <c r="Q560" s="69"/>
      <c r="R560" s="70" t="str">
        <f>IF(registreGarantie[[#This Row],[date paiement]]="","",registreGarantie[[#This Row],[MO
Demandé]]-registreGarantie[[#This Row],[MO
Remboursé]])</f>
        <v/>
      </c>
      <c r="S560" s="69"/>
      <c r="T560" s="70" t="str">
        <f>IF(registreGarantie[[#This Row],[date paiement]]="","",registreGarantie[[#This Row],[MO
Refusé]]+registreGarantie[[#This Row],[Pièces
Refusés]])</f>
        <v/>
      </c>
      <c r="U560" s="106"/>
      <c r="V560" s="71" t="str">
        <f>IF(registreGarantie[[#This Row],[Pièces 
Demandés]]="","",registreGarantie[[#This Row],[Date]])</f>
        <v/>
      </c>
      <c r="W560" s="103" t="str">
        <f>IF(registreGarantie[[#This Row],[Pièces 
Demandés]]="","",IF(registreGarantie[[#This Row],[date paiement]]="","",registreGarantie[[#This Row],[date paiement]]+91))</f>
        <v/>
      </c>
      <c r="X5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0" s="74" t="str">
        <f ca="1">IF(registreGarantie[[#This Row],[Colonne1]]=0,"",IF(TODAY()&gt;registreGarantie[[#This Row],[Date rebus]],0,1))</f>
        <v/>
      </c>
      <c r="Z560" s="66"/>
      <c r="AA560" s="73" t="str">
        <f>IF(AND(registreGarantie[[#This Row],[Montant non remboursé]]&gt;1,registreGarantie[[#This Row],[Montant non remboursé]]&lt;&gt;""),1,"")</f>
        <v/>
      </c>
      <c r="AB560" s="66"/>
      <c r="AC560" s="66"/>
      <c r="AD560" s="87">
        <f t="shared" si="8"/>
        <v>560</v>
      </c>
      <c r="AE560" s="109"/>
    </row>
    <row r="561" spans="1:31" ht="18" customHeight="1" thickBot="1" x14ac:dyDescent="0.4">
      <c r="A561" s="64">
        <v>45212</v>
      </c>
      <c r="B561" s="64">
        <v>44218</v>
      </c>
      <c r="C561" s="106">
        <v>45824</v>
      </c>
      <c r="D561" s="66" t="s">
        <v>2450</v>
      </c>
      <c r="E561" s="66" t="s">
        <v>2451</v>
      </c>
      <c r="F561" s="68" t="s">
        <v>2452</v>
      </c>
      <c r="G561" s="66" t="s">
        <v>2453</v>
      </c>
      <c r="H561" s="64" t="s">
        <v>2454</v>
      </c>
      <c r="I561" s="67" t="s">
        <v>19</v>
      </c>
      <c r="J561" s="97">
        <v>404724859</v>
      </c>
      <c r="K561" s="66"/>
      <c r="L561" s="68"/>
      <c r="M561" s="69"/>
      <c r="N561" s="69"/>
      <c r="O561" s="69" t="str">
        <f>IF(registreGarantie[[#This Row],[date paiement]]="","",registreGarantie[[#This Row],[Pièces 
Demandés]]-registreGarantie[[#This Row],[Pièces 
Remboursés]])</f>
        <v/>
      </c>
      <c r="P561" s="69"/>
      <c r="Q561" s="69"/>
      <c r="R561" s="70" t="str">
        <f>IF(registreGarantie[[#This Row],[date paiement]]="","",registreGarantie[[#This Row],[MO
Demandé]]-registreGarantie[[#This Row],[MO
Remboursé]])</f>
        <v/>
      </c>
      <c r="S561" s="69"/>
      <c r="T561" s="70" t="str">
        <f>IF(registreGarantie[[#This Row],[date paiement]]="","",registreGarantie[[#This Row],[MO
Refusé]]+registreGarantie[[#This Row],[Pièces
Refusés]])</f>
        <v/>
      </c>
      <c r="U561" s="106"/>
      <c r="V561" s="71" t="str">
        <f>IF(registreGarantie[[#This Row],[Pièces 
Demandés]]="","",registreGarantie[[#This Row],[Date]])</f>
        <v/>
      </c>
      <c r="W561" s="103" t="str">
        <f>IF(registreGarantie[[#This Row],[Pièces 
Demandés]]="","",IF(registreGarantie[[#This Row],[date paiement]]="","",registreGarantie[[#This Row],[date paiement]]+91))</f>
        <v/>
      </c>
      <c r="X5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1" s="74" t="str">
        <f ca="1">IF(registreGarantie[[#This Row],[Colonne1]]=0,"",IF(TODAY()&gt;registreGarantie[[#This Row],[Date rebus]],0,1))</f>
        <v/>
      </c>
      <c r="Z561" s="66"/>
      <c r="AA561" s="73" t="str">
        <f>IF(AND(registreGarantie[[#This Row],[Montant non remboursé]]&gt;1,registreGarantie[[#This Row],[Montant non remboursé]]&lt;&gt;""),1,"")</f>
        <v/>
      </c>
      <c r="AB561" s="66"/>
      <c r="AC561" s="66"/>
      <c r="AD561" s="87">
        <f t="shared" si="8"/>
        <v>561</v>
      </c>
      <c r="AE561" s="109"/>
    </row>
    <row r="562" spans="1:31" ht="18" customHeight="1" thickBot="1" x14ac:dyDescent="0.4">
      <c r="A562" s="64">
        <v>45213</v>
      </c>
      <c r="B562" s="64">
        <v>44357</v>
      </c>
      <c r="C562" s="106">
        <v>45832</v>
      </c>
      <c r="D562" s="66" t="s">
        <v>2459</v>
      </c>
      <c r="E562" s="66" t="s">
        <v>706</v>
      </c>
      <c r="F562" s="68" t="s">
        <v>2460</v>
      </c>
      <c r="G562" s="66" t="s">
        <v>2461</v>
      </c>
      <c r="H562" s="64">
        <v>1</v>
      </c>
      <c r="I562" s="67" t="s">
        <v>22</v>
      </c>
      <c r="J562" s="97" t="s">
        <v>2495</v>
      </c>
      <c r="K562" s="66"/>
      <c r="L562" s="68"/>
      <c r="M562" s="69">
        <v>1992.43</v>
      </c>
      <c r="N562" s="69">
        <v>1566.72</v>
      </c>
      <c r="O562" s="70">
        <f>IF(registreGarantie[[#This Row],[date paiement]]="","",registreGarantie[[#This Row],[Pièces 
Demandés]]-registreGarantie[[#This Row],[Pièces 
Remboursés]])</f>
        <v>425.71000000000004</v>
      </c>
      <c r="P562" s="69">
        <v>273</v>
      </c>
      <c r="Q562" s="69">
        <v>273</v>
      </c>
      <c r="R562" s="70">
        <f>IF(registreGarantie[[#This Row],[date paiement]]="","",registreGarantie[[#This Row],[MO
Demandé]]-registreGarantie[[#This Row],[MO
Remboursé]])</f>
        <v>0</v>
      </c>
      <c r="S562" s="69"/>
      <c r="T562" s="70">
        <f>IF(registreGarantie[[#This Row],[date paiement]]="","",registreGarantie[[#This Row],[MO
Refusé]]+registreGarantie[[#This Row],[Pièces
Refusés]])</f>
        <v>425.71000000000004</v>
      </c>
      <c r="U562" s="106">
        <v>45862</v>
      </c>
      <c r="V562" s="71">
        <f>IF(registreGarantie[[#This Row],[Pièces 
Demandés]]="","",registreGarantie[[#This Row],[Date]])</f>
        <v>45832</v>
      </c>
      <c r="W562" s="103">
        <f>IF(registreGarantie[[#This Row],[Pièces 
Demandés]]="","",IF(registreGarantie[[#This Row],[date paiement]]="","",registreGarantie[[#This Row],[date paiement]]+91))</f>
        <v>45953</v>
      </c>
      <c r="X5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2" s="74" t="str">
        <f ca="1">IF(registreGarantie[[#This Row],[Colonne1]]=0,"",IF(TODAY()&gt;registreGarantie[[#This Row],[Date rebus]],0,1))</f>
        <v/>
      </c>
      <c r="Z562" s="66" t="s">
        <v>2496</v>
      </c>
      <c r="AA562" s="73">
        <f>IF(AND(registreGarantie[[#This Row],[Montant non remboursé]]&gt;1,registreGarantie[[#This Row],[Montant non remboursé]]&lt;&gt;""),1,"")</f>
        <v>1</v>
      </c>
      <c r="AB562" s="66"/>
      <c r="AC562" s="66"/>
      <c r="AD562" s="87">
        <f t="shared" si="8"/>
        <v>562</v>
      </c>
      <c r="AE562" s="109"/>
    </row>
    <row r="563" spans="1:31" ht="18" customHeight="1" thickBot="1" x14ac:dyDescent="0.4">
      <c r="A563" s="64">
        <v>45214</v>
      </c>
      <c r="B563" s="64">
        <v>6209</v>
      </c>
      <c r="C563" s="106">
        <v>45826</v>
      </c>
      <c r="D563" s="66" t="s">
        <v>2464</v>
      </c>
      <c r="E563" s="66" t="s">
        <v>161</v>
      </c>
      <c r="F563" s="68" t="s">
        <v>2841</v>
      </c>
      <c r="G563" s="66" t="s">
        <v>2466</v>
      </c>
      <c r="H563" s="64" t="s">
        <v>2467</v>
      </c>
      <c r="I563" s="67" t="s">
        <v>2</v>
      </c>
      <c r="J563" s="97">
        <v>404727412</v>
      </c>
      <c r="K563" s="66"/>
      <c r="L563" s="68"/>
      <c r="M563" s="69">
        <v>646.63</v>
      </c>
      <c r="N563" s="69">
        <v>646.63</v>
      </c>
      <c r="O563" s="70" t="str">
        <f>IF(registreGarantie[[#This Row],[date paiement]]="","",registreGarantie[[#This Row],[Pièces 
Demandés]]-registreGarantie[[#This Row],[Pièces 
Remboursés]])</f>
        <v/>
      </c>
      <c r="P563" s="69">
        <v>65.5</v>
      </c>
      <c r="Q563" s="69">
        <v>65.5</v>
      </c>
      <c r="R563" s="70" t="str">
        <f>IF(registreGarantie[[#This Row],[date paiement]]="","",registreGarantie[[#This Row],[MO
Demandé]]-registreGarantie[[#This Row],[MO
Remboursé]])</f>
        <v/>
      </c>
      <c r="S563" s="69"/>
      <c r="T563" s="70" t="str">
        <f>IF(registreGarantie[[#This Row],[date paiement]]="","",registreGarantie[[#This Row],[MO
Refusé]]+registreGarantie[[#This Row],[Pièces
Refusés]])</f>
        <v/>
      </c>
      <c r="U563" s="106"/>
      <c r="V563" s="71">
        <f>IF(registreGarantie[[#This Row],[Pièces 
Demandés]]="","",registreGarantie[[#This Row],[Date]])</f>
        <v>45826</v>
      </c>
      <c r="W563" s="103" t="str">
        <f>IF(registreGarantie[[#This Row],[Pièces 
Demandés]]="","",IF(registreGarantie[[#This Row],[date paiement]]="","",registreGarantie[[#This Row],[date paiement]]+91))</f>
        <v/>
      </c>
      <c r="X5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3" s="74" t="str">
        <f ca="1">IF(registreGarantie[[#This Row],[Colonne1]]=0,"",IF(TODAY()&gt;registreGarantie[[#This Row],[Date rebus]],0,1))</f>
        <v/>
      </c>
      <c r="Z563" s="66"/>
      <c r="AA563" s="73" t="str">
        <f>IF(AND(registreGarantie[[#This Row],[Montant non remboursé]]&gt;1,registreGarantie[[#This Row],[Montant non remboursé]]&lt;&gt;""),1,"")</f>
        <v/>
      </c>
      <c r="AB563" s="66"/>
      <c r="AC563" s="66"/>
      <c r="AD563" s="87">
        <f t="shared" si="8"/>
        <v>563</v>
      </c>
      <c r="AE563" s="109"/>
    </row>
    <row r="564" spans="1:31" ht="18" customHeight="1" thickBot="1" x14ac:dyDescent="0.4">
      <c r="A564" s="64">
        <v>45215</v>
      </c>
      <c r="B564" s="64">
        <v>6210</v>
      </c>
      <c r="C564" s="106">
        <v>45826</v>
      </c>
      <c r="D564" s="66" t="s">
        <v>2261</v>
      </c>
      <c r="E564" s="66" t="s">
        <v>45</v>
      </c>
      <c r="F564" s="68" t="s">
        <v>2259</v>
      </c>
      <c r="G564" s="66" t="s">
        <v>1774</v>
      </c>
      <c r="H564" s="64">
        <v>680</v>
      </c>
      <c r="I564" s="67" t="s">
        <v>2</v>
      </c>
      <c r="J564" s="97">
        <v>404727438</v>
      </c>
      <c r="K564" s="66"/>
      <c r="L564" s="68" t="s">
        <v>2468</v>
      </c>
      <c r="M564" s="69">
        <v>18.45</v>
      </c>
      <c r="N564" s="69">
        <v>18.45</v>
      </c>
      <c r="O564" s="70">
        <f>IF(registreGarantie[[#This Row],[date paiement]]="","",registreGarantie[[#This Row],[Pièces 
Demandés]]-registreGarantie[[#This Row],[Pièces 
Remboursés]])</f>
        <v>0</v>
      </c>
      <c r="P564" s="69">
        <v>262</v>
      </c>
      <c r="Q564" s="69">
        <v>262</v>
      </c>
      <c r="R564" s="70">
        <f>IF(registreGarantie[[#This Row],[date paiement]]="","",registreGarantie[[#This Row],[MO
Demandé]]-registreGarantie[[#This Row],[MO
Remboursé]])</f>
        <v>0</v>
      </c>
      <c r="S564" s="69"/>
      <c r="T564" s="70">
        <f>IF(registreGarantie[[#This Row],[date paiement]]="","",registreGarantie[[#This Row],[MO
Refusé]]+registreGarantie[[#This Row],[Pièces
Refusés]])</f>
        <v>0</v>
      </c>
      <c r="U564" s="106">
        <v>45855</v>
      </c>
      <c r="V564" s="71">
        <f>IF(registreGarantie[[#This Row],[Pièces 
Demandés]]="","",registreGarantie[[#This Row],[Date]])</f>
        <v>45826</v>
      </c>
      <c r="W564" s="103">
        <f>IF(registreGarantie[[#This Row],[Pièces 
Demandés]]="","",IF(registreGarantie[[#This Row],[date paiement]]="","",registreGarantie[[#This Row],[date paiement]]+91))</f>
        <v>45946</v>
      </c>
      <c r="X5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64" s="74">
        <f ca="1">IF(registreGarantie[[#This Row],[Colonne1]]=0,"",IF(TODAY()&gt;registreGarantie[[#This Row],[Date rebus]],0,1))</f>
        <v>1</v>
      </c>
      <c r="Z564" s="66"/>
      <c r="AA564" s="73" t="str">
        <f>IF(AND(registreGarantie[[#This Row],[Montant non remboursé]]&gt;1,registreGarantie[[#This Row],[Montant non remboursé]]&lt;&gt;""),1,"")</f>
        <v/>
      </c>
      <c r="AB564" s="66"/>
      <c r="AC564" s="66"/>
      <c r="AD564" s="87">
        <f t="shared" si="8"/>
        <v>564</v>
      </c>
      <c r="AE564" s="109"/>
    </row>
    <row r="565" spans="1:31" ht="18" customHeight="1" thickBot="1" x14ac:dyDescent="0.4">
      <c r="A565" s="64">
        <v>45216</v>
      </c>
      <c r="B565" s="64">
        <v>6212</v>
      </c>
      <c r="C565" s="106">
        <v>45826</v>
      </c>
      <c r="D565" s="66" t="s">
        <v>2450</v>
      </c>
      <c r="E565" s="66" t="s">
        <v>2451</v>
      </c>
      <c r="F565" s="68" t="s">
        <v>2452</v>
      </c>
      <c r="G565" s="66" t="s">
        <v>27</v>
      </c>
      <c r="H565" s="64" t="s">
        <v>2469</v>
      </c>
      <c r="I565" s="67" t="s">
        <v>2</v>
      </c>
      <c r="J565" s="97">
        <v>404727630</v>
      </c>
      <c r="K565" s="66"/>
      <c r="L565" s="68"/>
      <c r="M565" s="69">
        <v>714.48</v>
      </c>
      <c r="N565" s="69">
        <v>714.48</v>
      </c>
      <c r="O565" s="70" t="str">
        <f>IF(registreGarantie[[#This Row],[date paiement]]="","",registreGarantie[[#This Row],[Pièces 
Demandés]]-registreGarantie[[#This Row],[Pièces 
Remboursés]])</f>
        <v/>
      </c>
      <c r="P565" s="69">
        <v>98.25</v>
      </c>
      <c r="Q565" s="69">
        <v>98.25</v>
      </c>
      <c r="R565" s="70" t="str">
        <f>IF(registreGarantie[[#This Row],[date paiement]]="","",registreGarantie[[#This Row],[MO
Demandé]]-registreGarantie[[#This Row],[MO
Remboursé]])</f>
        <v/>
      </c>
      <c r="S565" s="69"/>
      <c r="T565" s="70" t="str">
        <f>IF(registreGarantie[[#This Row],[date paiement]]="","",registreGarantie[[#This Row],[MO
Refusé]]+registreGarantie[[#This Row],[Pièces
Refusés]])</f>
        <v/>
      </c>
      <c r="U565" s="106"/>
      <c r="V565" s="71">
        <f>IF(registreGarantie[[#This Row],[Pièces 
Demandés]]="","",registreGarantie[[#This Row],[Date]])</f>
        <v>45826</v>
      </c>
      <c r="W565" s="103" t="str">
        <f>IF(registreGarantie[[#This Row],[Pièces 
Demandés]]="","",IF(registreGarantie[[#This Row],[date paiement]]="","",registreGarantie[[#This Row],[date paiement]]+91))</f>
        <v/>
      </c>
      <c r="X5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5" s="74" t="str">
        <f ca="1">IF(registreGarantie[[#This Row],[Colonne1]]=0,"",IF(TODAY()&gt;registreGarantie[[#This Row],[Date rebus]],0,1))</f>
        <v/>
      </c>
      <c r="Z565" s="66"/>
      <c r="AA565" s="73" t="str">
        <f>IF(AND(registreGarantie[[#This Row],[Montant non remboursé]]&gt;1,registreGarantie[[#This Row],[Montant non remboursé]]&lt;&gt;""),1,"")</f>
        <v/>
      </c>
      <c r="AB565" s="66"/>
      <c r="AC565" s="66"/>
      <c r="AD565" s="87">
        <f t="shared" si="8"/>
        <v>565</v>
      </c>
      <c r="AE565" s="109"/>
    </row>
    <row r="566" spans="1:31" ht="18" customHeight="1" thickBot="1" x14ac:dyDescent="0.4">
      <c r="A566" s="64">
        <v>45217</v>
      </c>
      <c r="B566" s="64">
        <v>6219</v>
      </c>
      <c r="C566" s="106">
        <v>45826</v>
      </c>
      <c r="D566" s="66" t="s">
        <v>41</v>
      </c>
      <c r="E566" s="66" t="s">
        <v>227</v>
      </c>
      <c r="F566" s="68" t="s">
        <v>2471</v>
      </c>
      <c r="G566" s="66" t="s">
        <v>907</v>
      </c>
      <c r="H566" s="64">
        <v>3534</v>
      </c>
      <c r="I566" s="67" t="s">
        <v>18</v>
      </c>
      <c r="J566" s="97">
        <v>404727799</v>
      </c>
      <c r="K566" s="66"/>
      <c r="L566" s="68"/>
      <c r="M566" s="69"/>
      <c r="N566" s="69"/>
      <c r="O566" s="70" t="str">
        <f>IF(registreGarantie[[#This Row],[date paiement]]="","",registreGarantie[[#This Row],[Pièces 
Demandés]]-registreGarantie[[#This Row],[Pièces 
Remboursés]])</f>
        <v/>
      </c>
      <c r="P566" s="69"/>
      <c r="Q566" s="69"/>
      <c r="R566" s="70" t="str">
        <f>IF(registreGarantie[[#This Row],[date paiement]]="","",registreGarantie[[#This Row],[MO
Demandé]]-registreGarantie[[#This Row],[MO
Remboursé]])</f>
        <v/>
      </c>
      <c r="S566" s="69"/>
      <c r="T566" s="70" t="str">
        <f>IF(registreGarantie[[#This Row],[date paiement]]="","",registreGarantie[[#This Row],[MO
Refusé]]+registreGarantie[[#This Row],[Pièces
Refusés]])</f>
        <v/>
      </c>
      <c r="U566" s="106"/>
      <c r="V566" s="71" t="str">
        <f>IF(registreGarantie[[#This Row],[Pièces 
Demandés]]="","",registreGarantie[[#This Row],[Date]])</f>
        <v/>
      </c>
      <c r="W566" s="103" t="str">
        <f>IF(registreGarantie[[#This Row],[Pièces 
Demandés]]="","",IF(registreGarantie[[#This Row],[date paiement]]="","",registreGarantie[[#This Row],[date paiement]]+91))</f>
        <v/>
      </c>
      <c r="X5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6" s="74" t="str">
        <f ca="1">IF(registreGarantie[[#This Row],[Colonne1]]=0,"",IF(TODAY()&gt;registreGarantie[[#This Row],[Date rebus]],0,1))</f>
        <v/>
      </c>
      <c r="Z566" s="66"/>
      <c r="AA566" s="73" t="str">
        <f>IF(AND(registreGarantie[[#This Row],[Montant non remboursé]]&gt;1,registreGarantie[[#This Row],[Montant non remboursé]]&lt;&gt;""),1,"")</f>
        <v/>
      </c>
      <c r="AB566" s="66"/>
      <c r="AC566" s="66"/>
      <c r="AD566" s="87">
        <f t="shared" si="8"/>
        <v>566</v>
      </c>
      <c r="AE566" s="109"/>
    </row>
    <row r="567" spans="1:31" ht="18" customHeight="1" thickBot="1" x14ac:dyDescent="0.4">
      <c r="A567" s="64">
        <v>45218</v>
      </c>
      <c r="B567" s="64">
        <v>6221</v>
      </c>
      <c r="C567" s="106">
        <v>45827</v>
      </c>
      <c r="D567" s="66" t="s">
        <v>36</v>
      </c>
      <c r="E567" s="66" t="s">
        <v>930</v>
      </c>
      <c r="F567" s="68" t="s">
        <v>2252</v>
      </c>
      <c r="G567" s="66" t="s">
        <v>1088</v>
      </c>
      <c r="H567" s="64">
        <v>1316</v>
      </c>
      <c r="I567" s="67" t="s">
        <v>3</v>
      </c>
      <c r="J567" s="97">
        <v>404728562</v>
      </c>
      <c r="K567" s="66"/>
      <c r="L567" s="68" t="s">
        <v>2474</v>
      </c>
      <c r="M567" s="69">
        <v>947.31</v>
      </c>
      <c r="N567" s="69"/>
      <c r="O567" s="70" t="str">
        <f>IF(registreGarantie[[#This Row],[date paiement]]="","",registreGarantie[[#This Row],[Pièces 
Demandés]]-registreGarantie[[#This Row],[Pièces 
Remboursés]])</f>
        <v/>
      </c>
      <c r="P567" s="69">
        <v>671.38</v>
      </c>
      <c r="Q567" s="69"/>
      <c r="R567" s="70" t="str">
        <f>IF(registreGarantie[[#This Row],[date paiement]]="","",registreGarantie[[#This Row],[MO
Demandé]]-registreGarantie[[#This Row],[MO
Remboursé]])</f>
        <v/>
      </c>
      <c r="S567" s="69"/>
      <c r="T567" s="70" t="str">
        <f>IF(registreGarantie[[#This Row],[date paiement]]="","",registreGarantie[[#This Row],[MO
Refusé]]+registreGarantie[[#This Row],[Pièces
Refusés]])</f>
        <v/>
      </c>
      <c r="U567" s="106"/>
      <c r="V567" s="71">
        <f>IF(registreGarantie[[#This Row],[Pièces 
Demandés]]="","",registreGarantie[[#This Row],[Date]])</f>
        <v>45827</v>
      </c>
      <c r="W567" s="103" t="str">
        <f>IF(registreGarantie[[#This Row],[Pièces 
Demandés]]="","",IF(registreGarantie[[#This Row],[date paiement]]="","",registreGarantie[[#This Row],[date paiement]]+91))</f>
        <v/>
      </c>
      <c r="X5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7" s="74" t="str">
        <f ca="1">IF(registreGarantie[[#This Row],[Colonne1]]=0,"",IF(TODAY()&gt;registreGarantie[[#This Row],[Date rebus]],0,1))</f>
        <v/>
      </c>
      <c r="Z567" s="66"/>
      <c r="AA567" s="73" t="str">
        <f>IF(AND(registreGarantie[[#This Row],[Montant non remboursé]]&gt;1,registreGarantie[[#This Row],[Montant non remboursé]]&lt;&gt;""),1,"")</f>
        <v/>
      </c>
      <c r="AB567" s="66"/>
      <c r="AC567" s="66"/>
      <c r="AD567" s="87">
        <f t="shared" si="8"/>
        <v>567</v>
      </c>
      <c r="AE567" s="109"/>
    </row>
    <row r="568" spans="1:31" ht="18" customHeight="1" thickBot="1" x14ac:dyDescent="0.4">
      <c r="A568" s="64">
        <v>45219</v>
      </c>
      <c r="B568" s="64">
        <v>6249</v>
      </c>
      <c r="C568" s="106">
        <v>45828</v>
      </c>
      <c r="D568" s="66" t="s">
        <v>41</v>
      </c>
      <c r="E568" s="66" t="s">
        <v>1607</v>
      </c>
      <c r="F568" s="68"/>
      <c r="G568" s="66" t="s">
        <v>1608</v>
      </c>
      <c r="H568" s="64">
        <v>3363</v>
      </c>
      <c r="I568" s="67" t="s">
        <v>20</v>
      </c>
      <c r="J568" s="97">
        <v>404730283</v>
      </c>
      <c r="K568" s="66"/>
      <c r="L568" s="68"/>
      <c r="M568" s="69"/>
      <c r="N568" s="69"/>
      <c r="O568" s="70" t="str">
        <f>IF(registreGarantie[[#This Row],[date paiement]]="","",registreGarantie[[#This Row],[Pièces 
Demandés]]-registreGarantie[[#This Row],[Pièces 
Remboursés]])</f>
        <v/>
      </c>
      <c r="P568" s="69"/>
      <c r="Q568" s="69"/>
      <c r="R568" s="70" t="str">
        <f>IF(registreGarantie[[#This Row],[date paiement]]="","",registreGarantie[[#This Row],[MO
Demandé]]-registreGarantie[[#This Row],[MO
Remboursé]])</f>
        <v/>
      </c>
      <c r="S568" s="69"/>
      <c r="T568" s="70" t="str">
        <f>IF(registreGarantie[[#This Row],[date paiement]]="","",registreGarantie[[#This Row],[MO
Refusé]]+registreGarantie[[#This Row],[Pièces
Refusés]])</f>
        <v/>
      </c>
      <c r="U568" s="106"/>
      <c r="V568" s="71" t="str">
        <f>IF(registreGarantie[[#This Row],[Pièces 
Demandés]]="","",registreGarantie[[#This Row],[Date]])</f>
        <v/>
      </c>
      <c r="W568" s="103" t="str">
        <f>IF(registreGarantie[[#This Row],[Pièces 
Demandés]]="","",IF(registreGarantie[[#This Row],[date paiement]]="","",registreGarantie[[#This Row],[date paiement]]+91))</f>
        <v/>
      </c>
      <c r="X5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8" s="74" t="str">
        <f ca="1">IF(registreGarantie[[#This Row],[Colonne1]]=0,"",IF(TODAY()&gt;registreGarantie[[#This Row],[Date rebus]],0,1))</f>
        <v/>
      </c>
      <c r="Z568" s="66"/>
      <c r="AA568" s="73" t="str">
        <f>IF(AND(registreGarantie[[#This Row],[Montant non remboursé]]&gt;1,registreGarantie[[#This Row],[Montant non remboursé]]&lt;&gt;""),1,"")</f>
        <v/>
      </c>
      <c r="AB568" s="66"/>
      <c r="AC568" s="66"/>
      <c r="AD568" s="87">
        <f t="shared" si="8"/>
        <v>568</v>
      </c>
      <c r="AE568" s="109"/>
    </row>
    <row r="569" spans="1:31" ht="18" customHeight="1" thickBot="1" x14ac:dyDescent="0.4">
      <c r="A569" s="64">
        <v>45220</v>
      </c>
      <c r="B569" s="64">
        <v>6223</v>
      </c>
      <c r="C569" s="106">
        <v>45828</v>
      </c>
      <c r="D569" s="66" t="s">
        <v>36</v>
      </c>
      <c r="E569" s="66" t="s">
        <v>930</v>
      </c>
      <c r="F569" s="68" t="s">
        <v>2252</v>
      </c>
      <c r="G569" s="66" t="s">
        <v>2475</v>
      </c>
      <c r="H569" s="64">
        <v>1317</v>
      </c>
      <c r="I569" s="67" t="s">
        <v>18</v>
      </c>
      <c r="J569" s="97">
        <v>404730495</v>
      </c>
      <c r="K569" s="66"/>
      <c r="L569" s="68"/>
      <c r="M569" s="69"/>
      <c r="N569" s="69"/>
      <c r="O569" s="70" t="str">
        <f>IF(registreGarantie[[#This Row],[date paiement]]="","",registreGarantie[[#This Row],[Pièces 
Demandés]]-registreGarantie[[#This Row],[Pièces 
Remboursés]])</f>
        <v/>
      </c>
      <c r="P569" s="69"/>
      <c r="Q569" s="69"/>
      <c r="R569" s="70" t="str">
        <f>IF(registreGarantie[[#This Row],[date paiement]]="","",registreGarantie[[#This Row],[MO
Demandé]]-registreGarantie[[#This Row],[MO
Remboursé]])</f>
        <v/>
      </c>
      <c r="S569" s="69"/>
      <c r="T569" s="70" t="str">
        <f>IF(registreGarantie[[#This Row],[date paiement]]="","",registreGarantie[[#This Row],[MO
Refusé]]+registreGarantie[[#This Row],[Pièces
Refusés]])</f>
        <v/>
      </c>
      <c r="U569" s="106"/>
      <c r="V569" s="71" t="str">
        <f>IF(registreGarantie[[#This Row],[Pièces 
Demandés]]="","",registreGarantie[[#This Row],[Date]])</f>
        <v/>
      </c>
      <c r="W569" s="103" t="str">
        <f>IF(registreGarantie[[#This Row],[Pièces 
Demandés]]="","",IF(registreGarantie[[#This Row],[date paiement]]="","",registreGarantie[[#This Row],[date paiement]]+91))</f>
        <v/>
      </c>
      <c r="X5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69" s="74" t="str">
        <f ca="1">IF(registreGarantie[[#This Row],[Colonne1]]=0,"",IF(TODAY()&gt;registreGarantie[[#This Row],[Date rebus]],0,1))</f>
        <v/>
      </c>
      <c r="Z569" s="66"/>
      <c r="AA569" s="73" t="str">
        <f>IF(AND(registreGarantie[[#This Row],[Montant non remboursé]]&gt;1,registreGarantie[[#This Row],[Montant non remboursé]]&lt;&gt;""),1,"")</f>
        <v/>
      </c>
      <c r="AB569" s="66"/>
      <c r="AC569" s="66"/>
      <c r="AD569" s="87">
        <f t="shared" si="8"/>
        <v>569</v>
      </c>
      <c r="AE569" s="109"/>
    </row>
    <row r="570" spans="1:31" ht="18" customHeight="1" thickBot="1" x14ac:dyDescent="0.4">
      <c r="A570" s="64">
        <v>45221</v>
      </c>
      <c r="B570" s="64">
        <v>44232</v>
      </c>
      <c r="C570" s="106">
        <v>45832</v>
      </c>
      <c r="D570" s="66" t="s">
        <v>41</v>
      </c>
      <c r="E570" s="66" t="s">
        <v>75</v>
      </c>
      <c r="F570" s="68" t="s">
        <v>2370</v>
      </c>
      <c r="G570" s="66" t="s">
        <v>940</v>
      </c>
      <c r="H570" s="64" t="s">
        <v>2492</v>
      </c>
      <c r="I570" s="67" t="s">
        <v>18</v>
      </c>
      <c r="J570" s="97">
        <v>404734510</v>
      </c>
      <c r="K570" s="66"/>
      <c r="L570" s="68"/>
      <c r="M570" s="69"/>
      <c r="N570" s="69"/>
      <c r="O570" s="70" t="str">
        <f>IF(registreGarantie[[#This Row],[date paiement]]="","",registreGarantie[[#This Row],[Pièces 
Demandés]]-registreGarantie[[#This Row],[Pièces 
Remboursés]])</f>
        <v/>
      </c>
      <c r="P570" s="69"/>
      <c r="Q570" s="69"/>
      <c r="R570" s="70" t="str">
        <f>IF(registreGarantie[[#This Row],[date paiement]]="","",registreGarantie[[#This Row],[MO
Demandé]]-registreGarantie[[#This Row],[MO
Remboursé]])</f>
        <v/>
      </c>
      <c r="S570" s="69"/>
      <c r="T570" s="70" t="str">
        <f>IF(registreGarantie[[#This Row],[date paiement]]="","",registreGarantie[[#This Row],[MO
Refusé]]+registreGarantie[[#This Row],[Pièces
Refusés]])</f>
        <v/>
      </c>
      <c r="U570" s="106"/>
      <c r="V570" s="71" t="str">
        <f>IF(registreGarantie[[#This Row],[Pièces 
Demandés]]="","",registreGarantie[[#This Row],[Date]])</f>
        <v/>
      </c>
      <c r="W570" s="103" t="str">
        <f>IF(registreGarantie[[#This Row],[Pièces 
Demandés]]="","",IF(registreGarantie[[#This Row],[date paiement]]="","",registreGarantie[[#This Row],[date paiement]]+91))</f>
        <v/>
      </c>
      <c r="X5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0" s="74" t="str">
        <f ca="1">IF(registreGarantie[[#This Row],[Colonne1]]=0,"",IF(TODAY()&gt;registreGarantie[[#This Row],[Date rebus]],0,1))</f>
        <v/>
      </c>
      <c r="Z570" s="66"/>
      <c r="AA570" s="73" t="str">
        <f>IF(AND(registreGarantie[[#This Row],[Montant non remboursé]]&gt;1,registreGarantie[[#This Row],[Montant non remboursé]]&lt;&gt;""),1,"")</f>
        <v/>
      </c>
      <c r="AB570" s="66"/>
      <c r="AC570" s="66"/>
      <c r="AD570" s="87">
        <f t="shared" si="8"/>
        <v>570</v>
      </c>
      <c r="AE570" s="109"/>
    </row>
    <row r="571" spans="1:31" ht="18" customHeight="1" thickBot="1" x14ac:dyDescent="0.4">
      <c r="A571" s="64">
        <v>45222</v>
      </c>
      <c r="B571" s="64">
        <v>6226</v>
      </c>
      <c r="C571" s="106">
        <v>45832</v>
      </c>
      <c r="D571" s="66" t="s">
        <v>36</v>
      </c>
      <c r="E571" s="66" t="s">
        <v>930</v>
      </c>
      <c r="F571" s="68" t="s">
        <v>2252</v>
      </c>
      <c r="G571" s="66" t="s">
        <v>2493</v>
      </c>
      <c r="H571" s="64">
        <v>1317</v>
      </c>
      <c r="I571" s="67" t="s">
        <v>3</v>
      </c>
      <c r="J571" s="97">
        <v>404734838</v>
      </c>
      <c r="K571" s="66"/>
      <c r="L571" s="68"/>
      <c r="M571" s="69">
        <v>50.59</v>
      </c>
      <c r="N571" s="69"/>
      <c r="O571" s="70" t="str">
        <f>IF(registreGarantie[[#This Row],[date paiement]]="","",registreGarantie[[#This Row],[Pièces 
Demandés]]-registreGarantie[[#This Row],[Pièces 
Remboursés]])</f>
        <v/>
      </c>
      <c r="P571" s="69">
        <v>262</v>
      </c>
      <c r="Q571" s="69"/>
      <c r="R571" s="70" t="str">
        <f>IF(registreGarantie[[#This Row],[date paiement]]="","",registreGarantie[[#This Row],[MO
Demandé]]-registreGarantie[[#This Row],[MO
Remboursé]])</f>
        <v/>
      </c>
      <c r="S571" s="69"/>
      <c r="T571" s="70" t="str">
        <f>IF(registreGarantie[[#This Row],[date paiement]]="","",registreGarantie[[#This Row],[MO
Refusé]]+registreGarantie[[#This Row],[Pièces
Refusés]])</f>
        <v/>
      </c>
      <c r="U571" s="106"/>
      <c r="V571" s="71">
        <f>IF(registreGarantie[[#This Row],[Pièces 
Demandés]]="","",registreGarantie[[#This Row],[Date]])</f>
        <v>45832</v>
      </c>
      <c r="W571" s="103" t="str">
        <f>IF(registreGarantie[[#This Row],[Pièces 
Demandés]]="","",IF(registreGarantie[[#This Row],[date paiement]]="","",registreGarantie[[#This Row],[date paiement]]+91))</f>
        <v/>
      </c>
      <c r="X5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1" s="74" t="str">
        <f ca="1">IF(registreGarantie[[#This Row],[Colonne1]]=0,"",IF(TODAY()&gt;registreGarantie[[#This Row],[Date rebus]],0,1))</f>
        <v/>
      </c>
      <c r="Z571" s="66"/>
      <c r="AA571" s="73" t="str">
        <f>IF(AND(registreGarantie[[#This Row],[Montant non remboursé]]&gt;1,registreGarantie[[#This Row],[Montant non remboursé]]&lt;&gt;""),1,"")</f>
        <v/>
      </c>
      <c r="AB571" s="66"/>
      <c r="AC571" s="66"/>
      <c r="AD571" s="87">
        <f t="shared" si="8"/>
        <v>571</v>
      </c>
      <c r="AE571" s="109"/>
    </row>
    <row r="572" spans="1:31" ht="18" customHeight="1" thickBot="1" x14ac:dyDescent="0.4">
      <c r="A572" s="64">
        <v>45223</v>
      </c>
      <c r="B572" s="64">
        <v>44332</v>
      </c>
      <c r="C572" s="106">
        <v>45832</v>
      </c>
      <c r="D572" s="66" t="s">
        <v>155</v>
      </c>
      <c r="E572" s="66" t="s">
        <v>2494</v>
      </c>
      <c r="F572" s="68"/>
      <c r="G572" s="66" t="s">
        <v>469</v>
      </c>
      <c r="H572" s="64"/>
      <c r="I572" s="67" t="s">
        <v>2</v>
      </c>
      <c r="J572" s="97"/>
      <c r="K572" s="66"/>
      <c r="L572" s="68"/>
      <c r="M572" s="69"/>
      <c r="N572" s="69"/>
      <c r="O572" s="70" t="str">
        <f>IF(registreGarantie[[#This Row],[date paiement]]="","",registreGarantie[[#This Row],[Pièces 
Demandés]]-registreGarantie[[#This Row],[Pièces 
Remboursés]])</f>
        <v/>
      </c>
      <c r="P572" s="69"/>
      <c r="Q572" s="69"/>
      <c r="R572" s="70" t="str">
        <f>IF(registreGarantie[[#This Row],[date paiement]]="","",registreGarantie[[#This Row],[MO
Demandé]]-registreGarantie[[#This Row],[MO
Remboursé]])</f>
        <v/>
      </c>
      <c r="S572" s="69"/>
      <c r="T572" s="70" t="str">
        <f>IF(registreGarantie[[#This Row],[date paiement]]="","",registreGarantie[[#This Row],[MO
Refusé]]+registreGarantie[[#This Row],[Pièces
Refusés]])</f>
        <v/>
      </c>
      <c r="U572" s="106"/>
      <c r="V572" s="71" t="str">
        <f>IF(registreGarantie[[#This Row],[Pièces 
Demandés]]="","",registreGarantie[[#This Row],[Date]])</f>
        <v/>
      </c>
      <c r="W572" s="103" t="str">
        <f>IF(registreGarantie[[#This Row],[Pièces 
Demandés]]="","",IF(registreGarantie[[#This Row],[date paiement]]="","",registreGarantie[[#This Row],[date paiement]]+91))</f>
        <v/>
      </c>
      <c r="X5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2" s="74" t="str">
        <f ca="1">IF(registreGarantie[[#This Row],[Colonne1]]=0,"",IF(TODAY()&gt;registreGarantie[[#This Row],[Date rebus]],0,1))</f>
        <v/>
      </c>
      <c r="Z572" s="66"/>
      <c r="AA572" s="73" t="str">
        <f>IF(AND(registreGarantie[[#This Row],[Montant non remboursé]]&gt;1,registreGarantie[[#This Row],[Montant non remboursé]]&lt;&gt;""),1,"")</f>
        <v/>
      </c>
      <c r="AB572" s="66"/>
      <c r="AC572" s="66"/>
      <c r="AD572" s="87">
        <f t="shared" si="8"/>
        <v>572</v>
      </c>
      <c r="AE572" s="109"/>
    </row>
    <row r="573" spans="1:31" ht="18" customHeight="1" thickBot="1" x14ac:dyDescent="0.4">
      <c r="A573" s="64">
        <v>45224</v>
      </c>
      <c r="B573" s="64">
        <v>6223</v>
      </c>
      <c r="C573" s="106">
        <v>45832</v>
      </c>
      <c r="D573" s="66" t="s">
        <v>36</v>
      </c>
      <c r="E573" s="66" t="s">
        <v>930</v>
      </c>
      <c r="F573" s="68" t="s">
        <v>2252</v>
      </c>
      <c r="G573" s="66" t="s">
        <v>186</v>
      </c>
      <c r="H573" s="64">
        <v>1317</v>
      </c>
      <c r="I573" s="67" t="s">
        <v>15</v>
      </c>
      <c r="J573" s="97">
        <v>404734949</v>
      </c>
      <c r="K573" s="66"/>
      <c r="L573" s="68"/>
      <c r="M573" s="69">
        <v>24.12</v>
      </c>
      <c r="N573" s="69"/>
      <c r="O573" s="70" t="str">
        <f>IF(registreGarantie[[#This Row],[date paiement]]="","",registreGarantie[[#This Row],[Pièces 
Demandés]]-registreGarantie[[#This Row],[Pièces 
Remboursés]])</f>
        <v/>
      </c>
      <c r="P573" s="69">
        <v>16.38</v>
      </c>
      <c r="Q573" s="69"/>
      <c r="R573" s="70" t="str">
        <f>IF(registreGarantie[[#This Row],[date paiement]]="","",registreGarantie[[#This Row],[MO
Demandé]]-registreGarantie[[#This Row],[MO
Remboursé]])</f>
        <v/>
      </c>
      <c r="S573" s="69"/>
      <c r="T573" s="70" t="str">
        <f>IF(registreGarantie[[#This Row],[date paiement]]="","",registreGarantie[[#This Row],[MO
Refusé]]+registreGarantie[[#This Row],[Pièces
Refusés]])</f>
        <v/>
      </c>
      <c r="U573" s="106"/>
      <c r="V573" s="71">
        <f>IF(registreGarantie[[#This Row],[Pièces 
Demandés]]="","",registreGarantie[[#This Row],[Date]])</f>
        <v>45832</v>
      </c>
      <c r="W573" s="103" t="str">
        <f>IF(registreGarantie[[#This Row],[Pièces 
Demandés]]="","",IF(registreGarantie[[#This Row],[date paiement]]="","",registreGarantie[[#This Row],[date paiement]]+91))</f>
        <v/>
      </c>
      <c r="X5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3" s="74" t="str">
        <f ca="1">IF(registreGarantie[[#This Row],[Colonne1]]=0,"",IF(TODAY()&gt;registreGarantie[[#This Row],[Date rebus]],0,1))</f>
        <v/>
      </c>
      <c r="Z573" s="66"/>
      <c r="AA573" s="73" t="str">
        <f>IF(AND(registreGarantie[[#This Row],[Montant non remboursé]]&gt;1,registreGarantie[[#This Row],[Montant non remboursé]]&lt;&gt;""),1,"")</f>
        <v/>
      </c>
      <c r="AB573" s="66"/>
      <c r="AC573" s="66"/>
      <c r="AD573" s="87">
        <f t="shared" si="8"/>
        <v>573</v>
      </c>
      <c r="AE573" s="109"/>
    </row>
    <row r="574" spans="1:31" ht="18" customHeight="1" thickBot="1" x14ac:dyDescent="0.4">
      <c r="A574" s="64">
        <v>45225</v>
      </c>
      <c r="B574" s="64">
        <v>44157</v>
      </c>
      <c r="C574" s="106">
        <v>45832</v>
      </c>
      <c r="D574" s="66" t="s">
        <v>2172</v>
      </c>
      <c r="E574" s="66" t="s">
        <v>91</v>
      </c>
      <c r="F574" s="68" t="s">
        <v>2497</v>
      </c>
      <c r="G574" s="66" t="s">
        <v>1834</v>
      </c>
      <c r="H574" s="64"/>
      <c r="I574" s="67" t="s">
        <v>22</v>
      </c>
      <c r="J574" s="97" t="s">
        <v>2498</v>
      </c>
      <c r="K574" s="66"/>
      <c r="L574" s="68"/>
      <c r="M574" s="69">
        <v>1194.76</v>
      </c>
      <c r="N574" s="69">
        <v>1194.76</v>
      </c>
      <c r="O574" s="70">
        <f>IF(registreGarantie[[#This Row],[date paiement]]="","",registreGarantie[[#This Row],[Pièces 
Demandés]]-registreGarantie[[#This Row],[Pièces 
Remboursés]])</f>
        <v>0</v>
      </c>
      <c r="P574" s="69"/>
      <c r="Q574" s="69"/>
      <c r="R574" s="70">
        <f>IF(registreGarantie[[#This Row],[date paiement]]="","",registreGarantie[[#This Row],[MO
Demandé]]-registreGarantie[[#This Row],[MO
Remboursé]])</f>
        <v>0</v>
      </c>
      <c r="S574" s="69"/>
      <c r="T574" s="70">
        <f>IF(registreGarantie[[#This Row],[date paiement]]="","",registreGarantie[[#This Row],[MO
Refusé]]+registreGarantie[[#This Row],[Pièces
Refusés]])</f>
        <v>0</v>
      </c>
      <c r="U574" s="106">
        <v>45862</v>
      </c>
      <c r="V574" s="71">
        <f>IF(registreGarantie[[#This Row],[Pièces 
Demandés]]="","",registreGarantie[[#This Row],[Date]])</f>
        <v>45832</v>
      </c>
      <c r="W574" s="103">
        <f>IF(registreGarantie[[#This Row],[Pièces 
Demandés]]="","",IF(registreGarantie[[#This Row],[date paiement]]="","",registreGarantie[[#This Row],[date paiement]]+91))</f>
        <v>45953</v>
      </c>
      <c r="X5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4" s="74" t="str">
        <f ca="1">IF(registreGarantie[[#This Row],[Colonne1]]=0,"",IF(TODAY()&gt;registreGarantie[[#This Row],[Date rebus]],0,1))</f>
        <v/>
      </c>
      <c r="Z574" s="66"/>
      <c r="AA574" s="73" t="str">
        <f>IF(AND(registreGarantie[[#This Row],[Montant non remboursé]]&gt;1,registreGarantie[[#This Row],[Montant non remboursé]]&lt;&gt;""),1,"")</f>
        <v/>
      </c>
      <c r="AB574" s="66"/>
      <c r="AC574" s="66"/>
      <c r="AD574" s="87">
        <f t="shared" si="8"/>
        <v>574</v>
      </c>
      <c r="AE574" s="109"/>
    </row>
    <row r="575" spans="1:31" ht="18" customHeight="1" thickBot="1" x14ac:dyDescent="0.4">
      <c r="A575" s="64">
        <v>45226</v>
      </c>
      <c r="B575" s="64">
        <v>44397</v>
      </c>
      <c r="C575" s="106">
        <v>45833</v>
      </c>
      <c r="D575" s="66" t="s">
        <v>292</v>
      </c>
      <c r="E575" s="66" t="s">
        <v>718</v>
      </c>
      <c r="F575" s="68" t="s">
        <v>2445</v>
      </c>
      <c r="G575" s="66" t="s">
        <v>58</v>
      </c>
      <c r="H575" s="64">
        <v>135</v>
      </c>
      <c r="I575" s="67" t="s">
        <v>18</v>
      </c>
      <c r="J575" s="97">
        <v>404736446</v>
      </c>
      <c r="K575" s="66"/>
      <c r="L575" s="68"/>
      <c r="M575" s="69"/>
      <c r="N575" s="69"/>
      <c r="O575" s="70" t="str">
        <f>IF(registreGarantie[[#This Row],[date paiement]]="","",registreGarantie[[#This Row],[Pièces 
Demandés]]-registreGarantie[[#This Row],[Pièces 
Remboursés]])</f>
        <v/>
      </c>
      <c r="P575" s="69"/>
      <c r="Q575" s="69"/>
      <c r="R575" s="70" t="str">
        <f>IF(registreGarantie[[#This Row],[date paiement]]="","",registreGarantie[[#This Row],[MO
Demandé]]-registreGarantie[[#This Row],[MO
Remboursé]])</f>
        <v/>
      </c>
      <c r="S575" s="69"/>
      <c r="T575" s="70" t="str">
        <f>IF(registreGarantie[[#This Row],[date paiement]]="","",registreGarantie[[#This Row],[MO
Refusé]]+registreGarantie[[#This Row],[Pièces
Refusés]])</f>
        <v/>
      </c>
      <c r="U575" s="106"/>
      <c r="V575" s="71" t="str">
        <f>IF(registreGarantie[[#This Row],[Pièces 
Demandés]]="","",registreGarantie[[#This Row],[Date]])</f>
        <v/>
      </c>
      <c r="W575" s="103" t="str">
        <f>IF(registreGarantie[[#This Row],[Pièces 
Demandés]]="","",IF(registreGarantie[[#This Row],[date paiement]]="","",registreGarantie[[#This Row],[date paiement]]+91))</f>
        <v/>
      </c>
      <c r="X5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5" s="74" t="str">
        <f ca="1">IF(registreGarantie[[#This Row],[Colonne1]]=0,"",IF(TODAY()&gt;registreGarantie[[#This Row],[Date rebus]],0,1))</f>
        <v/>
      </c>
      <c r="Z575" s="66"/>
      <c r="AA575" s="73" t="str">
        <f>IF(AND(registreGarantie[[#This Row],[Montant non remboursé]]&gt;1,registreGarantie[[#This Row],[Montant non remboursé]]&lt;&gt;""),1,"")</f>
        <v/>
      </c>
      <c r="AB575" s="66"/>
      <c r="AC575" s="66"/>
      <c r="AD575" s="87">
        <f t="shared" si="8"/>
        <v>575</v>
      </c>
      <c r="AE575" s="109"/>
    </row>
    <row r="576" spans="1:31" ht="18" customHeight="1" thickBot="1" x14ac:dyDescent="0.4">
      <c r="A576" s="64">
        <v>45227</v>
      </c>
      <c r="B576" s="64">
        <v>44429</v>
      </c>
      <c r="C576" s="106">
        <v>45833</v>
      </c>
      <c r="D576" s="66" t="s">
        <v>434</v>
      </c>
      <c r="E576" s="66" t="s">
        <v>151</v>
      </c>
      <c r="F576" s="68" t="s">
        <v>2503</v>
      </c>
      <c r="G576" s="66" t="s">
        <v>2208</v>
      </c>
      <c r="H576" s="64">
        <v>2354522</v>
      </c>
      <c r="I576" s="67" t="s">
        <v>21</v>
      </c>
      <c r="J576" s="97" t="s">
        <v>2504</v>
      </c>
      <c r="K576" s="66"/>
      <c r="L576" s="68"/>
      <c r="M576" s="69"/>
      <c r="N576" s="69"/>
      <c r="O576" s="70">
        <f>IF(registreGarantie[[#This Row],[date paiement]]="","",registreGarantie[[#This Row],[Pièces 
Demandés]]-registreGarantie[[#This Row],[Pièces 
Remboursés]])</f>
        <v>0</v>
      </c>
      <c r="P576" s="69">
        <v>212</v>
      </c>
      <c r="Q576" s="69">
        <v>212</v>
      </c>
      <c r="R576" s="70">
        <f>IF(registreGarantie[[#This Row],[date paiement]]="","",registreGarantie[[#This Row],[MO
Demandé]]-registreGarantie[[#This Row],[MO
Remboursé]])</f>
        <v>0</v>
      </c>
      <c r="S576" s="69"/>
      <c r="T576" s="70">
        <f>IF(registreGarantie[[#This Row],[date paiement]]="","",registreGarantie[[#This Row],[MO
Refusé]]+registreGarantie[[#This Row],[Pièces
Refusés]])</f>
        <v>0</v>
      </c>
      <c r="U576" s="106">
        <v>45838</v>
      </c>
      <c r="V576" s="71" t="str">
        <f>IF(registreGarantie[[#This Row],[Pièces 
Demandés]]="","",registreGarantie[[#This Row],[Date]])</f>
        <v/>
      </c>
      <c r="W576" s="103" t="str">
        <f>IF(registreGarantie[[#This Row],[Pièces 
Demandés]]="","",IF(registreGarantie[[#This Row],[date paiement]]="","",registreGarantie[[#This Row],[date paiement]]+91))</f>
        <v/>
      </c>
      <c r="X5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6" s="74" t="str">
        <f ca="1">IF(registreGarantie[[#This Row],[Colonne1]]=0,"",IF(TODAY()&gt;registreGarantie[[#This Row],[Date rebus]],0,1))</f>
        <v/>
      </c>
      <c r="Z576" s="66"/>
      <c r="AA576" s="73" t="str">
        <f>IF(AND(registreGarantie[[#This Row],[Montant non remboursé]]&gt;1,registreGarantie[[#This Row],[Montant non remboursé]]&lt;&gt;""),1,"")</f>
        <v/>
      </c>
      <c r="AB576" s="66"/>
      <c r="AC576" s="66"/>
      <c r="AD576" s="87">
        <f t="shared" si="8"/>
        <v>576</v>
      </c>
      <c r="AE576" s="109">
        <v>45818</v>
      </c>
    </row>
    <row r="577" spans="1:31" ht="18" customHeight="1" thickBot="1" x14ac:dyDescent="0.4">
      <c r="A577" s="64">
        <v>45228</v>
      </c>
      <c r="B577" s="64">
        <v>44431</v>
      </c>
      <c r="C577" s="106">
        <v>45833</v>
      </c>
      <c r="D577" s="66" t="s">
        <v>1090</v>
      </c>
      <c r="E577" s="66" t="s">
        <v>151</v>
      </c>
      <c r="F577" s="68" t="s">
        <v>2507</v>
      </c>
      <c r="G577" s="66" t="s">
        <v>1261</v>
      </c>
      <c r="H577" s="64" t="s">
        <v>2508</v>
      </c>
      <c r="I577" s="67" t="s">
        <v>21</v>
      </c>
      <c r="J577" s="97" t="s">
        <v>2509</v>
      </c>
      <c r="K577" s="66"/>
      <c r="L577" s="68"/>
      <c r="M577" s="69">
        <v>1.82</v>
      </c>
      <c r="N577" s="69">
        <v>1.82</v>
      </c>
      <c r="O577" s="70">
        <f>IF(registreGarantie[[#This Row],[date paiement]]="","",registreGarantie[[#This Row],[Pièces 
Demandés]]-registreGarantie[[#This Row],[Pièces 
Remboursés]])</f>
        <v>0</v>
      </c>
      <c r="P577" s="69">
        <v>159</v>
      </c>
      <c r="Q577" s="69">
        <v>159</v>
      </c>
      <c r="R577" s="70">
        <f>IF(registreGarantie[[#This Row],[date paiement]]="","",registreGarantie[[#This Row],[MO
Demandé]]-registreGarantie[[#This Row],[MO
Remboursé]])</f>
        <v>0</v>
      </c>
      <c r="S577" s="69"/>
      <c r="T577" s="70">
        <f>IF(registreGarantie[[#This Row],[date paiement]]="","",registreGarantie[[#This Row],[MO
Refusé]]+registreGarantie[[#This Row],[Pièces
Refusés]])</f>
        <v>0</v>
      </c>
      <c r="U577" s="106">
        <v>45847</v>
      </c>
      <c r="V577" s="71">
        <f>IF(registreGarantie[[#This Row],[Pièces 
Demandés]]="","",registreGarantie[[#This Row],[Date]])</f>
        <v>45833</v>
      </c>
      <c r="W577" s="103">
        <f>IF(registreGarantie[[#This Row],[Pièces 
Demandés]]="","",IF(registreGarantie[[#This Row],[date paiement]]="","",registreGarantie[[#This Row],[date paiement]]+91))</f>
        <v>45938</v>
      </c>
      <c r="X5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7" s="74" t="str">
        <f ca="1">IF(registreGarantie[[#This Row],[Colonne1]]=0,"",IF(TODAY()&gt;registreGarantie[[#This Row],[Date rebus]],0,1))</f>
        <v/>
      </c>
      <c r="Z577" s="66"/>
      <c r="AA577" s="73" t="str">
        <f>IF(AND(registreGarantie[[#This Row],[Montant non remboursé]]&gt;1,registreGarantie[[#This Row],[Montant non remboursé]]&lt;&gt;""),1,"")</f>
        <v/>
      </c>
      <c r="AB577" s="66"/>
      <c r="AC577" s="66"/>
      <c r="AD577" s="87">
        <f t="shared" si="8"/>
        <v>577</v>
      </c>
      <c r="AE577" s="109"/>
    </row>
    <row r="578" spans="1:31" ht="18" customHeight="1" thickBot="1" x14ac:dyDescent="0.4">
      <c r="A578" s="64">
        <v>45229</v>
      </c>
      <c r="B578" s="64">
        <v>43818</v>
      </c>
      <c r="C578" s="106">
        <v>45835</v>
      </c>
      <c r="D578" s="66" t="s">
        <v>1137</v>
      </c>
      <c r="E578" s="66" t="s">
        <v>797</v>
      </c>
      <c r="F578" s="68" t="s">
        <v>2510</v>
      </c>
      <c r="G578" s="66" t="s">
        <v>2511</v>
      </c>
      <c r="H578" s="64"/>
      <c r="I578" s="67" t="s">
        <v>21</v>
      </c>
      <c r="J578" s="97" t="s">
        <v>2531</v>
      </c>
      <c r="K578" s="66"/>
      <c r="L578" s="68"/>
      <c r="M578" s="69">
        <v>5.76</v>
      </c>
      <c r="N578" s="69">
        <v>5.76</v>
      </c>
      <c r="O578" s="70">
        <f>IF(registreGarantie[[#This Row],[date paiement]]="","",registreGarantie[[#This Row],[Pièces 
Demandés]]-registreGarantie[[#This Row],[Pièces 
Remboursés]])</f>
        <v>0</v>
      </c>
      <c r="P578" s="69">
        <v>53</v>
      </c>
      <c r="Q578" s="69">
        <v>53</v>
      </c>
      <c r="R578" s="70">
        <f>IF(registreGarantie[[#This Row],[date paiement]]="","",registreGarantie[[#This Row],[MO
Demandé]]-registreGarantie[[#This Row],[MO
Remboursé]])</f>
        <v>0</v>
      </c>
      <c r="S578" s="69"/>
      <c r="T578" s="70">
        <f>IF(registreGarantie[[#This Row],[date paiement]]="","",registreGarantie[[#This Row],[MO
Refusé]]+registreGarantie[[#This Row],[Pièces
Refusés]])</f>
        <v>0</v>
      </c>
      <c r="U578" s="106">
        <v>45838</v>
      </c>
      <c r="V578" s="71">
        <f>IF(registreGarantie[[#This Row],[Pièces 
Demandés]]="","",registreGarantie[[#This Row],[Date]])</f>
        <v>45835</v>
      </c>
      <c r="W578" s="103">
        <f>IF(registreGarantie[[#This Row],[Pièces 
Demandés]]="","",IF(registreGarantie[[#This Row],[date paiement]]="","",registreGarantie[[#This Row],[date paiement]]+91))</f>
        <v>45929</v>
      </c>
      <c r="X5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8" s="74" t="str">
        <f ca="1">IF(registreGarantie[[#This Row],[Colonne1]]=0,"",IF(TODAY()&gt;registreGarantie[[#This Row],[Date rebus]],0,1))</f>
        <v/>
      </c>
      <c r="Z578" s="66"/>
      <c r="AA578" s="73" t="str">
        <f>IF(AND(registreGarantie[[#This Row],[Montant non remboursé]]&gt;1,registreGarantie[[#This Row],[Montant non remboursé]]&lt;&gt;""),1,"")</f>
        <v/>
      </c>
      <c r="AB578" s="66"/>
      <c r="AC578" s="66"/>
      <c r="AD578" s="87">
        <f t="shared" ref="AD578:AD643" si="9">ROW(AD578)</f>
        <v>578</v>
      </c>
      <c r="AE578" s="109">
        <v>45665</v>
      </c>
    </row>
    <row r="579" spans="1:31" ht="18" customHeight="1" thickBot="1" x14ac:dyDescent="0.4">
      <c r="A579" s="64">
        <v>45230</v>
      </c>
      <c r="B579" s="64">
        <v>43867</v>
      </c>
      <c r="C579" s="106"/>
      <c r="D579" s="66" t="s">
        <v>36</v>
      </c>
      <c r="E579" s="66" t="s">
        <v>37</v>
      </c>
      <c r="F579" s="68" t="s">
        <v>2362</v>
      </c>
      <c r="G579" s="66" t="s">
        <v>2512</v>
      </c>
      <c r="H579" s="64"/>
      <c r="I579" s="67" t="s">
        <v>21</v>
      </c>
      <c r="J579" s="97"/>
      <c r="K579" s="66"/>
      <c r="L579" s="68"/>
      <c r="M579" s="69"/>
      <c r="N579" s="69"/>
      <c r="O579" s="70" t="str">
        <f>IF(registreGarantie[[#This Row],[date paiement]]="","",registreGarantie[[#This Row],[Pièces 
Demandés]]-registreGarantie[[#This Row],[Pièces 
Remboursés]])</f>
        <v/>
      </c>
      <c r="P579" s="69"/>
      <c r="Q579" s="69"/>
      <c r="R579" s="70" t="str">
        <f>IF(registreGarantie[[#This Row],[date paiement]]="","",registreGarantie[[#This Row],[MO
Demandé]]-registreGarantie[[#This Row],[MO
Remboursé]])</f>
        <v/>
      </c>
      <c r="S579" s="69"/>
      <c r="T579" s="70" t="str">
        <f>IF(registreGarantie[[#This Row],[date paiement]]="","",registreGarantie[[#This Row],[MO
Refusé]]+registreGarantie[[#This Row],[Pièces
Refusés]])</f>
        <v/>
      </c>
      <c r="U579" s="106"/>
      <c r="V579" s="71" t="str">
        <f>IF(registreGarantie[[#This Row],[Pièces 
Demandés]]="","",registreGarantie[[#This Row],[Date]])</f>
        <v/>
      </c>
      <c r="W579" s="103" t="str">
        <f>IF(registreGarantie[[#This Row],[Pièces 
Demandés]]="","",IF(registreGarantie[[#This Row],[date paiement]]="","",registreGarantie[[#This Row],[date paiement]]+91))</f>
        <v/>
      </c>
      <c r="X5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79" s="74" t="str">
        <f ca="1">IF(registreGarantie[[#This Row],[Colonne1]]=0,"",IF(TODAY()&gt;registreGarantie[[#This Row],[Date rebus]],0,1))</f>
        <v/>
      </c>
      <c r="Z579" s="66"/>
      <c r="AA579" s="73" t="str">
        <f>IF(AND(registreGarantie[[#This Row],[Montant non remboursé]]&gt;1,registreGarantie[[#This Row],[Montant non remboursé]]&lt;&gt;""),1,"")</f>
        <v/>
      </c>
      <c r="AB579" s="66"/>
      <c r="AC579" s="66"/>
      <c r="AD579" s="87">
        <f t="shared" si="9"/>
        <v>579</v>
      </c>
      <c r="AE579" s="109">
        <v>45679</v>
      </c>
    </row>
    <row r="580" spans="1:31" ht="18" customHeight="1" thickBot="1" x14ac:dyDescent="0.4">
      <c r="A580" s="64">
        <v>45231</v>
      </c>
      <c r="B580" s="64">
        <v>44026</v>
      </c>
      <c r="C580" s="106"/>
      <c r="D580" s="66" t="s">
        <v>74</v>
      </c>
      <c r="E580" s="66" t="s">
        <v>579</v>
      </c>
      <c r="F580" s="68" t="s">
        <v>2513</v>
      </c>
      <c r="G580" s="66" t="s">
        <v>2514</v>
      </c>
      <c r="H580" s="64"/>
      <c r="I580" s="67" t="s">
        <v>2515</v>
      </c>
      <c r="J580" s="97"/>
      <c r="K580" s="66"/>
      <c r="L580" s="68"/>
      <c r="M580" s="69"/>
      <c r="N580" s="69"/>
      <c r="O580" s="70" t="str">
        <f>IF(registreGarantie[[#This Row],[date paiement]]="","",registreGarantie[[#This Row],[Pièces 
Demandés]]-registreGarantie[[#This Row],[Pièces 
Remboursés]])</f>
        <v/>
      </c>
      <c r="P580" s="69"/>
      <c r="Q580" s="69"/>
      <c r="R580" s="70" t="str">
        <f>IF(registreGarantie[[#This Row],[date paiement]]="","",registreGarantie[[#This Row],[MO
Demandé]]-registreGarantie[[#This Row],[MO
Remboursé]])</f>
        <v/>
      </c>
      <c r="S580" s="69"/>
      <c r="T580" s="70" t="str">
        <f>IF(registreGarantie[[#This Row],[date paiement]]="","",registreGarantie[[#This Row],[MO
Refusé]]+registreGarantie[[#This Row],[Pièces
Refusés]])</f>
        <v/>
      </c>
      <c r="U580" s="106"/>
      <c r="V580" s="71" t="str">
        <f>IF(registreGarantie[[#This Row],[Pièces 
Demandés]]="","",registreGarantie[[#This Row],[Date]])</f>
        <v/>
      </c>
      <c r="W580" s="103" t="str">
        <f>IF(registreGarantie[[#This Row],[Pièces 
Demandés]]="","",IF(registreGarantie[[#This Row],[date paiement]]="","",registreGarantie[[#This Row],[date paiement]]+91))</f>
        <v/>
      </c>
      <c r="X58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0" s="74" t="str">
        <f ca="1">IF(registreGarantie[[#This Row],[Colonne1]]=0,"",IF(TODAY()&gt;registreGarantie[[#This Row],[Date rebus]],0,1))</f>
        <v/>
      </c>
      <c r="Z580" s="66"/>
      <c r="AA580" s="73" t="str">
        <f>IF(AND(registreGarantie[[#This Row],[Montant non remboursé]]&gt;1,registreGarantie[[#This Row],[Montant non remboursé]]&lt;&gt;""),1,"")</f>
        <v/>
      </c>
      <c r="AB580" s="66"/>
      <c r="AC580" s="66"/>
      <c r="AD580" s="87">
        <f t="shared" si="9"/>
        <v>580</v>
      </c>
      <c r="AE580" s="109">
        <v>45727</v>
      </c>
    </row>
    <row r="581" spans="1:31" ht="18" customHeight="1" thickBot="1" x14ac:dyDescent="0.4">
      <c r="A581" s="64">
        <v>45232</v>
      </c>
      <c r="B581" s="64">
        <v>44104</v>
      </c>
      <c r="C581" s="106">
        <v>45854</v>
      </c>
      <c r="D581" s="66" t="s">
        <v>1716</v>
      </c>
      <c r="E581" s="66" t="s">
        <v>1123</v>
      </c>
      <c r="F581" s="68" t="s">
        <v>2516</v>
      </c>
      <c r="G581" s="66" t="s">
        <v>2517</v>
      </c>
      <c r="H581" s="64"/>
      <c r="I581" s="67" t="s">
        <v>21</v>
      </c>
      <c r="J581" s="97" t="s">
        <v>2629</v>
      </c>
      <c r="K581" s="66"/>
      <c r="L581" s="68"/>
      <c r="M581" s="69">
        <v>1024.5999999999999</v>
      </c>
      <c r="N581" s="69"/>
      <c r="O581" s="70" t="str">
        <f>IF(registreGarantie[[#This Row],[date paiement]]="","",registreGarantie[[#This Row],[Pièces 
Demandés]]-registreGarantie[[#This Row],[Pièces 
Remboursés]])</f>
        <v/>
      </c>
      <c r="P581" s="69">
        <v>159</v>
      </c>
      <c r="Q581" s="69"/>
      <c r="R581" s="70" t="str">
        <f>IF(registreGarantie[[#This Row],[date paiement]]="","",registreGarantie[[#This Row],[MO
Demandé]]-registreGarantie[[#This Row],[MO
Remboursé]])</f>
        <v/>
      </c>
      <c r="S581" s="69"/>
      <c r="T581" s="70" t="str">
        <f>IF(registreGarantie[[#This Row],[date paiement]]="","",registreGarantie[[#This Row],[MO
Refusé]]+registreGarantie[[#This Row],[Pièces
Refusés]])</f>
        <v/>
      </c>
      <c r="U581" s="106"/>
      <c r="V581" s="71">
        <f>IF(registreGarantie[[#This Row],[Pièces 
Demandés]]="","",registreGarantie[[#This Row],[Date]])</f>
        <v>45854</v>
      </c>
      <c r="W581" s="103" t="str">
        <f>IF(registreGarantie[[#This Row],[Pièces 
Demandés]]="","",IF(registreGarantie[[#This Row],[date paiement]]="","",registreGarantie[[#This Row],[date paiement]]+91))</f>
        <v/>
      </c>
      <c r="X58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1" s="74" t="str">
        <f ca="1">IF(registreGarantie[[#This Row],[Colonne1]]=0,"",IF(TODAY()&gt;registreGarantie[[#This Row],[Date rebus]],0,1))</f>
        <v/>
      </c>
      <c r="Z581" s="66"/>
      <c r="AA581" s="73" t="str">
        <f>IF(AND(registreGarantie[[#This Row],[Montant non remboursé]]&gt;1,registreGarantie[[#This Row],[Montant non remboursé]]&lt;&gt;""),1,"")</f>
        <v/>
      </c>
      <c r="AB581" s="66"/>
      <c r="AC581" s="66"/>
      <c r="AD581" s="87">
        <f t="shared" si="9"/>
        <v>581</v>
      </c>
      <c r="AE581" s="109">
        <v>45745</v>
      </c>
    </row>
    <row r="582" spans="1:31" ht="18" customHeight="1" thickBot="1" x14ac:dyDescent="0.4">
      <c r="A582" s="64">
        <v>45233</v>
      </c>
      <c r="B582" s="64">
        <v>44219</v>
      </c>
      <c r="C582" s="106"/>
      <c r="D582" s="66" t="s">
        <v>2450</v>
      </c>
      <c r="E582" s="66" t="s">
        <v>2451</v>
      </c>
      <c r="F582" s="68" t="s">
        <v>2452</v>
      </c>
      <c r="G582" s="66" t="s">
        <v>2518</v>
      </c>
      <c r="H582" s="64"/>
      <c r="I582" s="67" t="s">
        <v>2</v>
      </c>
      <c r="J582" s="97"/>
      <c r="K582" s="66"/>
      <c r="L582" s="68"/>
      <c r="M582" s="69"/>
      <c r="N582" s="69"/>
      <c r="O582" s="70" t="str">
        <f>IF(registreGarantie[[#This Row],[date paiement]]="","",registreGarantie[[#This Row],[Pièces 
Demandés]]-registreGarantie[[#This Row],[Pièces 
Remboursés]])</f>
        <v/>
      </c>
      <c r="P582" s="69"/>
      <c r="Q582" s="69"/>
      <c r="R582" s="70" t="str">
        <f>IF(registreGarantie[[#This Row],[date paiement]]="","",registreGarantie[[#This Row],[MO
Demandé]]-registreGarantie[[#This Row],[MO
Remboursé]])</f>
        <v/>
      </c>
      <c r="S582" s="69"/>
      <c r="T582" s="70" t="str">
        <f>IF(registreGarantie[[#This Row],[date paiement]]="","",registreGarantie[[#This Row],[MO
Refusé]]+registreGarantie[[#This Row],[Pièces
Refusés]])</f>
        <v/>
      </c>
      <c r="U582" s="106"/>
      <c r="V582" s="71" t="str">
        <f>IF(registreGarantie[[#This Row],[Pièces 
Demandés]]="","",registreGarantie[[#This Row],[Date]])</f>
        <v/>
      </c>
      <c r="W582" s="103" t="str">
        <f>IF(registreGarantie[[#This Row],[Pièces 
Demandés]]="","",IF(registreGarantie[[#This Row],[date paiement]]="","",registreGarantie[[#This Row],[date paiement]]+91))</f>
        <v/>
      </c>
      <c r="X58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2" s="74" t="str">
        <f ca="1">IF(registreGarantie[[#This Row],[Colonne1]]=0,"",IF(TODAY()&gt;registreGarantie[[#This Row],[Date rebus]],0,1))</f>
        <v/>
      </c>
      <c r="Z582" s="66"/>
      <c r="AA582" s="73" t="str">
        <f>IF(AND(registreGarantie[[#This Row],[Montant non remboursé]]&gt;1,registreGarantie[[#This Row],[Montant non remboursé]]&lt;&gt;""),1,"")</f>
        <v/>
      </c>
      <c r="AB582" s="66"/>
      <c r="AC582" s="66"/>
      <c r="AD582" s="87">
        <f t="shared" si="9"/>
        <v>582</v>
      </c>
      <c r="AE582" s="109">
        <v>45772</v>
      </c>
    </row>
    <row r="583" spans="1:31" ht="18" customHeight="1" thickBot="1" x14ac:dyDescent="0.4">
      <c r="A583" s="64">
        <v>45234</v>
      </c>
      <c r="B583" s="64">
        <v>44339</v>
      </c>
      <c r="C583" s="106">
        <v>45918</v>
      </c>
      <c r="D583" s="66" t="s">
        <v>262</v>
      </c>
      <c r="E583" s="66" t="s">
        <v>263</v>
      </c>
      <c r="F583" s="68" t="s">
        <v>2358</v>
      </c>
      <c r="G583" s="66" t="s">
        <v>2014</v>
      </c>
      <c r="H583" s="64" t="s">
        <v>2789</v>
      </c>
      <c r="I583" s="67" t="s">
        <v>21</v>
      </c>
      <c r="J583" s="97" t="s">
        <v>2790</v>
      </c>
      <c r="K583" s="66"/>
      <c r="L583" s="68"/>
      <c r="M583" s="69"/>
      <c r="N583" s="69"/>
      <c r="O583" s="70" t="str">
        <f>IF(registreGarantie[[#This Row],[date paiement]]="","",registreGarantie[[#This Row],[Pièces 
Demandés]]-registreGarantie[[#This Row],[Pièces 
Remboursés]])</f>
        <v/>
      </c>
      <c r="P583" s="69">
        <v>354</v>
      </c>
      <c r="Q583" s="69"/>
      <c r="R583" s="70" t="str">
        <f>IF(registreGarantie[[#This Row],[date paiement]]="","",registreGarantie[[#This Row],[MO
Demandé]]-registreGarantie[[#This Row],[MO
Remboursé]])</f>
        <v/>
      </c>
      <c r="S583" s="69"/>
      <c r="T583" s="70" t="str">
        <f>IF(registreGarantie[[#This Row],[date paiement]]="","",registreGarantie[[#This Row],[MO
Refusé]]+registreGarantie[[#This Row],[Pièces
Refusés]])</f>
        <v/>
      </c>
      <c r="U583" s="106"/>
      <c r="V583" s="71" t="str">
        <f>IF(registreGarantie[[#This Row],[Pièces 
Demandés]]="","",registreGarantie[[#This Row],[Date]])</f>
        <v/>
      </c>
      <c r="W583" s="103" t="str">
        <f>IF(registreGarantie[[#This Row],[Pièces 
Demandés]]="","",IF(registreGarantie[[#This Row],[date paiement]]="","",registreGarantie[[#This Row],[date paiement]]+91))</f>
        <v/>
      </c>
      <c r="X58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3" s="74" t="str">
        <f ca="1">IF(registreGarantie[[#This Row],[Colonne1]]=0,"",IF(TODAY()&gt;registreGarantie[[#This Row],[Date rebus]],0,1))</f>
        <v/>
      </c>
      <c r="Z583" s="66"/>
      <c r="AA583" s="73" t="str">
        <f>IF(AND(registreGarantie[[#This Row],[Montant non remboursé]]&gt;1,registreGarantie[[#This Row],[Montant non remboursé]]&lt;&gt;""),1,"")</f>
        <v/>
      </c>
      <c r="AB583" s="66"/>
      <c r="AC583" s="66"/>
      <c r="AD583" s="87">
        <f t="shared" si="9"/>
        <v>583</v>
      </c>
      <c r="AE583" s="109">
        <v>45798</v>
      </c>
    </row>
    <row r="584" spans="1:31" ht="18" customHeight="1" thickBot="1" x14ac:dyDescent="0.4">
      <c r="A584" s="64">
        <v>45235</v>
      </c>
      <c r="B584" s="64">
        <v>44340</v>
      </c>
      <c r="C584" s="106">
        <v>45923</v>
      </c>
      <c r="D584" s="66" t="s">
        <v>1793</v>
      </c>
      <c r="E584" s="66" t="s">
        <v>106</v>
      </c>
      <c r="F584" s="68" t="s">
        <v>2333</v>
      </c>
      <c r="G584" s="66" t="s">
        <v>2189</v>
      </c>
      <c r="H584" s="64"/>
      <c r="I584" s="67" t="s">
        <v>2</v>
      </c>
      <c r="J584" s="97"/>
      <c r="K584" s="66"/>
      <c r="L584" s="68"/>
      <c r="M584" s="69"/>
      <c r="N584" s="69"/>
      <c r="O584" s="70">
        <f>IF(registreGarantie[[#This Row],[date paiement]]="","",registreGarantie[[#This Row],[Pièces 
Demandés]]-registreGarantie[[#This Row],[Pièces 
Remboursés]])</f>
        <v>0</v>
      </c>
      <c r="P584" s="69">
        <v>196.5</v>
      </c>
      <c r="Q584" s="69">
        <v>0</v>
      </c>
      <c r="R584" s="70">
        <f>IF(registreGarantie[[#This Row],[date paiement]]="","",registreGarantie[[#This Row],[MO
Demandé]]-registreGarantie[[#This Row],[MO
Remboursé]])</f>
        <v>196.5</v>
      </c>
      <c r="S584" s="69"/>
      <c r="T584" s="70">
        <f>IF(registreGarantie[[#This Row],[date paiement]]="","",registreGarantie[[#This Row],[MO
Refusé]]+registreGarantie[[#This Row],[Pièces
Refusés]])</f>
        <v>196.5</v>
      </c>
      <c r="U584" s="106">
        <v>45923.504224537035</v>
      </c>
      <c r="V584" s="71" t="str">
        <f>IF(registreGarantie[[#This Row],[Pièces 
Demandés]]="","",registreGarantie[[#This Row],[Date]])</f>
        <v/>
      </c>
      <c r="W584" s="103" t="str">
        <f>IF(registreGarantie[[#This Row],[Pièces 
Demandés]]="","",IF(registreGarantie[[#This Row],[date paiement]]="","",registreGarantie[[#This Row],[date paiement]]+91))</f>
        <v/>
      </c>
      <c r="X58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4" s="74" t="str">
        <f ca="1">IF(registreGarantie[[#This Row],[Colonne1]]=0,"",IF(TODAY()&gt;registreGarantie[[#This Row],[Date rebus]],0,1))</f>
        <v/>
      </c>
      <c r="Z584" s="66" t="s">
        <v>2819</v>
      </c>
      <c r="AA584" s="73">
        <f>IF(AND(registreGarantie[[#This Row],[Montant non remboursé]]&gt;1,registreGarantie[[#This Row],[Montant non remboursé]]&lt;&gt;""),1,"")</f>
        <v>1</v>
      </c>
      <c r="AB584" s="66"/>
      <c r="AC584" s="66"/>
      <c r="AD584" s="87">
        <f t="shared" si="9"/>
        <v>584</v>
      </c>
      <c r="AE584" s="109">
        <v>45799</v>
      </c>
    </row>
    <row r="585" spans="1:31" ht="18" customHeight="1" thickBot="1" x14ac:dyDescent="0.4">
      <c r="A585" s="64">
        <v>45236</v>
      </c>
      <c r="B585" s="64">
        <v>6231</v>
      </c>
      <c r="C585" s="106">
        <v>45839</v>
      </c>
      <c r="D585" s="66" t="s">
        <v>2450</v>
      </c>
      <c r="E585" s="66" t="s">
        <v>2451</v>
      </c>
      <c r="F585" s="68" t="s">
        <v>2452</v>
      </c>
      <c r="G585" s="66" t="s">
        <v>1373</v>
      </c>
      <c r="H585" s="64">
        <v>1614</v>
      </c>
      <c r="I585" s="67" t="s">
        <v>2</v>
      </c>
      <c r="J585" s="97">
        <v>404753936</v>
      </c>
      <c r="K585" s="66"/>
      <c r="L585" s="68"/>
      <c r="M585" s="69">
        <v>58.35</v>
      </c>
      <c r="N585" s="69">
        <v>58.35</v>
      </c>
      <c r="O585" s="70" t="str">
        <f>IF(registreGarantie[[#This Row],[date paiement]]="","",registreGarantie[[#This Row],[Pièces 
Demandés]]-registreGarantie[[#This Row],[Pièces 
Remboursés]])</f>
        <v/>
      </c>
      <c r="P585" s="69">
        <v>131</v>
      </c>
      <c r="Q585" s="69">
        <v>131</v>
      </c>
      <c r="R585" s="70" t="str">
        <f>IF(registreGarantie[[#This Row],[date paiement]]="","",registreGarantie[[#This Row],[MO
Demandé]]-registreGarantie[[#This Row],[MO
Remboursé]])</f>
        <v/>
      </c>
      <c r="S585" s="69"/>
      <c r="T585" s="70" t="str">
        <f>IF(registreGarantie[[#This Row],[date paiement]]="","",registreGarantie[[#This Row],[MO
Refusé]]+registreGarantie[[#This Row],[Pièces
Refusés]])</f>
        <v/>
      </c>
      <c r="U585" s="106"/>
      <c r="V585" s="71">
        <f>IF(registreGarantie[[#This Row],[Pièces 
Demandés]]="","",registreGarantie[[#This Row],[Date]])</f>
        <v>45839</v>
      </c>
      <c r="W585" s="103" t="str">
        <f>IF(registreGarantie[[#This Row],[Pièces 
Demandés]]="","",IF(registreGarantie[[#This Row],[date paiement]]="","",registreGarantie[[#This Row],[date paiement]]+91))</f>
        <v/>
      </c>
      <c r="X58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5" s="74" t="str">
        <f ca="1">IF(registreGarantie[[#This Row],[Colonne1]]=0,"",IF(TODAY()&gt;registreGarantie[[#This Row],[Date rebus]],0,1))</f>
        <v/>
      </c>
      <c r="Z585" s="66"/>
      <c r="AA585" s="73" t="str">
        <f>IF(AND(registreGarantie[[#This Row],[Montant non remboursé]]&gt;1,registreGarantie[[#This Row],[Montant non remboursé]]&lt;&gt;""),1,"")</f>
        <v/>
      </c>
      <c r="AB585" s="66"/>
      <c r="AC585" s="66"/>
      <c r="AD585" s="87">
        <f t="shared" si="9"/>
        <v>585</v>
      </c>
      <c r="AE585" s="109">
        <v>45805</v>
      </c>
    </row>
    <row r="586" spans="1:31" ht="18" customHeight="1" thickBot="1" x14ac:dyDescent="0.4">
      <c r="A586" s="64">
        <v>45237</v>
      </c>
      <c r="B586" s="64">
        <v>44367</v>
      </c>
      <c r="C586" s="106">
        <v>45840</v>
      </c>
      <c r="D586" s="66" t="s">
        <v>681</v>
      </c>
      <c r="E586" s="66" t="s">
        <v>466</v>
      </c>
      <c r="F586" s="68" t="s">
        <v>2363</v>
      </c>
      <c r="G586" s="66" t="s">
        <v>2519</v>
      </c>
      <c r="H586" s="64" t="s">
        <v>2562</v>
      </c>
      <c r="I586" s="67" t="s">
        <v>21</v>
      </c>
      <c r="J586" s="97" t="s">
        <v>2563</v>
      </c>
      <c r="K586" s="66"/>
      <c r="L586" s="68"/>
      <c r="M586" s="69">
        <v>88.4</v>
      </c>
      <c r="N586" s="69">
        <v>88.4</v>
      </c>
      <c r="O586" s="70">
        <f>IF(registreGarantie[[#This Row],[date paiement]]="","",registreGarantie[[#This Row],[Pièces 
Demandés]]-registreGarantie[[#This Row],[Pièces 
Remboursés]])</f>
        <v>0</v>
      </c>
      <c r="P586" s="69"/>
      <c r="Q586" s="69"/>
      <c r="R586" s="70">
        <f>IF(registreGarantie[[#This Row],[date paiement]]="","",registreGarantie[[#This Row],[MO
Demandé]]-registreGarantie[[#This Row],[MO
Remboursé]])</f>
        <v>0</v>
      </c>
      <c r="S586" s="69"/>
      <c r="T586" s="70">
        <f>IF(registreGarantie[[#This Row],[date paiement]]="","",registreGarantie[[#This Row],[MO
Refusé]]+registreGarantie[[#This Row],[Pièces
Refusés]])</f>
        <v>0</v>
      </c>
      <c r="U586" s="106">
        <v>45847</v>
      </c>
      <c r="V586" s="71">
        <f>IF(registreGarantie[[#This Row],[Pièces 
Demandés]]="","",registreGarantie[[#This Row],[Date]])</f>
        <v>45840</v>
      </c>
      <c r="W586" s="103">
        <f>IF(registreGarantie[[#This Row],[Pièces 
Demandés]]="","",IF(registreGarantie[[#This Row],[date paiement]]="","",registreGarantie[[#This Row],[date paiement]]+91))</f>
        <v>45938</v>
      </c>
      <c r="X58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6" s="74" t="str">
        <f ca="1">IF(registreGarantie[[#This Row],[Colonne1]]=0,"",IF(TODAY()&gt;registreGarantie[[#This Row],[Date rebus]],0,1))</f>
        <v/>
      </c>
      <c r="Z586" s="66"/>
      <c r="AA586" s="73" t="str">
        <f>IF(AND(registreGarantie[[#This Row],[Montant non remboursé]]&gt;1,registreGarantie[[#This Row],[Montant non remboursé]]&lt;&gt;""),1,"")</f>
        <v/>
      </c>
      <c r="AB586" s="66"/>
      <c r="AC586" s="66"/>
      <c r="AD586" s="87">
        <f t="shared" si="9"/>
        <v>586</v>
      </c>
      <c r="AE586" s="109">
        <v>45807</v>
      </c>
    </row>
    <row r="587" spans="1:31" ht="18" customHeight="1" thickBot="1" x14ac:dyDescent="0.4">
      <c r="A587" s="64">
        <v>45238</v>
      </c>
      <c r="B587" s="64">
        <v>44396</v>
      </c>
      <c r="C587" s="106">
        <v>45845</v>
      </c>
      <c r="D587" s="66" t="s">
        <v>325</v>
      </c>
      <c r="E587" s="66" t="s">
        <v>367</v>
      </c>
      <c r="F587" s="68" t="s">
        <v>2311</v>
      </c>
      <c r="G587" s="66" t="s">
        <v>2520</v>
      </c>
      <c r="H587" s="64">
        <v>1187</v>
      </c>
      <c r="I587" s="67" t="s">
        <v>2</v>
      </c>
      <c r="J587" s="97">
        <v>404761658</v>
      </c>
      <c r="K587" s="66"/>
      <c r="L587" s="68"/>
      <c r="M587" s="69">
        <v>2774.93</v>
      </c>
      <c r="N587" s="69">
        <v>2774.93</v>
      </c>
      <c r="O587" s="70">
        <f>IF(registreGarantie[[#This Row],[date paiement]]="","",registreGarantie[[#This Row],[Pièces 
Demandés]]-registreGarantie[[#This Row],[Pièces 
Remboursés]])</f>
        <v>0</v>
      </c>
      <c r="P587" s="69">
        <v>131</v>
      </c>
      <c r="Q587" s="69">
        <v>131</v>
      </c>
      <c r="R587" s="70">
        <f>IF(registreGarantie[[#This Row],[date paiement]]="","",registreGarantie[[#This Row],[MO
Demandé]]-registreGarantie[[#This Row],[MO
Remboursé]])</f>
        <v>0</v>
      </c>
      <c r="S587" s="69"/>
      <c r="T587" s="70">
        <f>IF(registreGarantie[[#This Row],[date paiement]]="","",registreGarantie[[#This Row],[MO
Refusé]]+registreGarantie[[#This Row],[Pièces
Refusés]])</f>
        <v>0</v>
      </c>
      <c r="U587" s="106">
        <v>45870</v>
      </c>
      <c r="V587" s="71">
        <f>IF(registreGarantie[[#This Row],[Pièces 
Demandés]]="","",registreGarantie[[#This Row],[Date]])</f>
        <v>45845</v>
      </c>
      <c r="W587" s="103">
        <f>IF(registreGarantie[[#This Row],[Pièces 
Demandés]]="","",IF(registreGarantie[[#This Row],[date paiement]]="","",registreGarantie[[#This Row],[date paiement]]+91))</f>
        <v>45961</v>
      </c>
      <c r="X58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87" s="74">
        <f ca="1">IF(registreGarantie[[#This Row],[Colonne1]]=0,"",IF(TODAY()&gt;registreGarantie[[#This Row],[Date rebus]],0,1))</f>
        <v>1</v>
      </c>
      <c r="Z587" s="66"/>
      <c r="AA587" s="73" t="str">
        <f>IF(AND(registreGarantie[[#This Row],[Montant non remboursé]]&gt;1,registreGarantie[[#This Row],[Montant non remboursé]]&lt;&gt;""),1,"")</f>
        <v/>
      </c>
      <c r="AB587" s="66"/>
      <c r="AC587" s="66"/>
      <c r="AD587" s="87">
        <f t="shared" si="9"/>
        <v>587</v>
      </c>
      <c r="AE587" s="109">
        <v>45810</v>
      </c>
    </row>
    <row r="588" spans="1:31" ht="18" customHeight="1" thickBot="1" x14ac:dyDescent="0.4">
      <c r="A588" s="64">
        <v>45239</v>
      </c>
      <c r="B588" s="64">
        <v>44410</v>
      </c>
      <c r="C588" s="106">
        <v>45838</v>
      </c>
      <c r="D588" s="66" t="s">
        <v>36</v>
      </c>
      <c r="E588" s="66" t="s">
        <v>37</v>
      </c>
      <c r="F588" s="68" t="s">
        <v>2362</v>
      </c>
      <c r="G588" s="66" t="s">
        <v>5</v>
      </c>
      <c r="H588" s="64" t="s">
        <v>2546</v>
      </c>
      <c r="I588" s="67" t="s">
        <v>21</v>
      </c>
      <c r="J588" s="97" t="s">
        <v>2547</v>
      </c>
      <c r="K588" s="66"/>
      <c r="L588" s="68"/>
      <c r="M588" s="69">
        <v>96.18</v>
      </c>
      <c r="N588" s="69">
        <v>96.18</v>
      </c>
      <c r="O588" s="70">
        <f>IF(registreGarantie[[#This Row],[date paiement]]="","",registreGarantie[[#This Row],[Pièces 
Demandés]]-registreGarantie[[#This Row],[Pièces 
Remboursés]])</f>
        <v>0</v>
      </c>
      <c r="P588" s="69">
        <v>106</v>
      </c>
      <c r="Q588" s="69">
        <v>106</v>
      </c>
      <c r="R588" s="70">
        <f>IF(registreGarantie[[#This Row],[date paiement]]="","",registreGarantie[[#This Row],[MO
Demandé]]-registreGarantie[[#This Row],[MO
Remboursé]])</f>
        <v>0</v>
      </c>
      <c r="S588" s="69"/>
      <c r="T588" s="70">
        <f>IF(registreGarantie[[#This Row],[date paiement]]="","",registreGarantie[[#This Row],[MO
Refusé]]+registreGarantie[[#This Row],[Pièces
Refusés]])</f>
        <v>0</v>
      </c>
      <c r="U588" s="106">
        <v>45838</v>
      </c>
      <c r="V588" s="71">
        <f>IF(registreGarantie[[#This Row],[Pièces 
Demandés]]="","",registreGarantie[[#This Row],[Date]])</f>
        <v>45838</v>
      </c>
      <c r="W588" s="103">
        <f>IF(registreGarantie[[#This Row],[Pièces 
Demandés]]="","",IF(registreGarantie[[#This Row],[date paiement]]="","",registreGarantie[[#This Row],[date paiement]]+91))</f>
        <v>45929</v>
      </c>
      <c r="X58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8" s="74" t="str">
        <f ca="1">IF(registreGarantie[[#This Row],[Colonne1]]=0,"",IF(TODAY()&gt;registreGarantie[[#This Row],[Date rebus]],0,1))</f>
        <v/>
      </c>
      <c r="Z588" s="66"/>
      <c r="AA588" s="73" t="str">
        <f>IF(AND(registreGarantie[[#This Row],[Montant non remboursé]]&gt;1,registreGarantie[[#This Row],[Montant non remboursé]]&lt;&gt;""),1,"")</f>
        <v/>
      </c>
      <c r="AB588" s="66"/>
      <c r="AC588" s="66"/>
      <c r="AD588" s="87">
        <f t="shared" si="9"/>
        <v>588</v>
      </c>
      <c r="AE588" s="109">
        <v>45753</v>
      </c>
    </row>
    <row r="589" spans="1:31" ht="18" customHeight="1" thickBot="1" x14ac:dyDescent="0.4">
      <c r="A589" s="64">
        <v>45240</v>
      </c>
      <c r="B589" s="64">
        <v>44416</v>
      </c>
      <c r="C589" s="106"/>
      <c r="D589" s="66" t="s">
        <v>36</v>
      </c>
      <c r="E589" s="66"/>
      <c r="F589" s="68"/>
      <c r="G589" s="66" t="s">
        <v>15</v>
      </c>
      <c r="H589" s="64"/>
      <c r="I589" s="67" t="s">
        <v>21</v>
      </c>
      <c r="J589" s="97"/>
      <c r="K589" s="66"/>
      <c r="L589" s="68"/>
      <c r="M589" s="69"/>
      <c r="N589" s="69"/>
      <c r="O589" s="70" t="str">
        <f>IF(registreGarantie[[#This Row],[date paiement]]="","",registreGarantie[[#This Row],[Pièces 
Demandés]]-registreGarantie[[#This Row],[Pièces 
Remboursés]])</f>
        <v/>
      </c>
      <c r="P589" s="69"/>
      <c r="Q589" s="69"/>
      <c r="R589" s="70" t="str">
        <f>IF(registreGarantie[[#This Row],[date paiement]]="","",registreGarantie[[#This Row],[MO
Demandé]]-registreGarantie[[#This Row],[MO
Remboursé]])</f>
        <v/>
      </c>
      <c r="S589" s="69"/>
      <c r="T589" s="70" t="str">
        <f>IF(registreGarantie[[#This Row],[date paiement]]="","",registreGarantie[[#This Row],[MO
Refusé]]+registreGarantie[[#This Row],[Pièces
Refusés]])</f>
        <v/>
      </c>
      <c r="U589" s="106"/>
      <c r="V589" s="71" t="str">
        <f>IF(registreGarantie[[#This Row],[Pièces 
Demandés]]="","",registreGarantie[[#This Row],[Date]])</f>
        <v/>
      </c>
      <c r="W589" s="103" t="str">
        <f>IF(registreGarantie[[#This Row],[Pièces 
Demandés]]="","",IF(registreGarantie[[#This Row],[date paiement]]="","",registreGarantie[[#This Row],[date paiement]]+91))</f>
        <v/>
      </c>
      <c r="X58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89" s="74" t="str">
        <f ca="1">IF(registreGarantie[[#This Row],[Colonne1]]=0,"",IF(TODAY()&gt;registreGarantie[[#This Row],[Date rebus]],0,1))</f>
        <v/>
      </c>
      <c r="Z589" s="66"/>
      <c r="AA589" s="73" t="str">
        <f>IF(AND(registreGarantie[[#This Row],[Montant non remboursé]]&gt;1,registreGarantie[[#This Row],[Montant non remboursé]]&lt;&gt;""),1,"")</f>
        <v/>
      </c>
      <c r="AB589" s="66"/>
      <c r="AC589" s="66"/>
      <c r="AD589" s="87">
        <f t="shared" si="9"/>
        <v>589</v>
      </c>
      <c r="AE589" s="109">
        <v>45783</v>
      </c>
    </row>
    <row r="590" spans="1:31" ht="18" customHeight="1" thickBot="1" x14ac:dyDescent="0.4">
      <c r="A590" s="64">
        <v>45241</v>
      </c>
      <c r="B590" s="64">
        <v>44442</v>
      </c>
      <c r="C590" s="106">
        <v>45868</v>
      </c>
      <c r="D590" s="66" t="s">
        <v>2521</v>
      </c>
      <c r="E590" s="66" t="s">
        <v>706</v>
      </c>
      <c r="F590" s="68" t="s">
        <v>2522</v>
      </c>
      <c r="G590" s="66" t="s">
        <v>1547</v>
      </c>
      <c r="H590" s="64"/>
      <c r="I590" s="67" t="s">
        <v>22</v>
      </c>
      <c r="J590" s="97" t="s">
        <v>2652</v>
      </c>
      <c r="K590" s="66"/>
      <c r="L590" s="68"/>
      <c r="M590" s="69">
        <v>305.56</v>
      </c>
      <c r="N590" s="69">
        <v>305.56</v>
      </c>
      <c r="O590" s="70" t="str">
        <f>IF(registreGarantie[[#This Row],[date paiement]]="","",registreGarantie[[#This Row],[Pièces 
Demandés]]-registreGarantie[[#This Row],[Pièces 
Remboursés]])</f>
        <v/>
      </c>
      <c r="P590" s="69"/>
      <c r="Q590" s="69"/>
      <c r="R590" s="70" t="str">
        <f>IF(registreGarantie[[#This Row],[date paiement]]="","",registreGarantie[[#This Row],[MO
Demandé]]-registreGarantie[[#This Row],[MO
Remboursé]])</f>
        <v/>
      </c>
      <c r="S590" s="69"/>
      <c r="T590" s="70" t="str">
        <f>IF(registreGarantie[[#This Row],[date paiement]]="","",registreGarantie[[#This Row],[MO
Refusé]]+registreGarantie[[#This Row],[Pièces
Refusés]])</f>
        <v/>
      </c>
      <c r="U590" s="106"/>
      <c r="V590" s="71">
        <f>IF(registreGarantie[[#This Row],[Pièces 
Demandés]]="","",registreGarantie[[#This Row],[Date]])</f>
        <v>45868</v>
      </c>
      <c r="W590" s="103" t="str">
        <f>IF(registreGarantie[[#This Row],[Pièces 
Demandés]]="","",IF(registreGarantie[[#This Row],[date paiement]]="","",registreGarantie[[#This Row],[date paiement]]+91))</f>
        <v/>
      </c>
      <c r="X59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0" s="74" t="str">
        <f ca="1">IF(registreGarantie[[#This Row],[Colonne1]]=0,"",IF(TODAY()&gt;registreGarantie[[#This Row],[Date rebus]],0,1))</f>
        <v/>
      </c>
      <c r="Z590" s="66"/>
      <c r="AA590" s="73" t="str">
        <f>IF(AND(registreGarantie[[#This Row],[Montant non remboursé]]&gt;1,registreGarantie[[#This Row],[Montant non remboursé]]&lt;&gt;""),1,"")</f>
        <v/>
      </c>
      <c r="AB590" s="66"/>
      <c r="AC590" s="66"/>
      <c r="AD590" s="87">
        <f t="shared" si="9"/>
        <v>590</v>
      </c>
      <c r="AE590" s="109">
        <v>45967</v>
      </c>
    </row>
    <row r="591" spans="1:31" ht="18" customHeight="1" thickBot="1" x14ac:dyDescent="0.4">
      <c r="A591" s="64">
        <v>45242</v>
      </c>
      <c r="B591" s="64">
        <v>6230</v>
      </c>
      <c r="C591" s="106">
        <v>45918</v>
      </c>
      <c r="D591" s="66" t="s">
        <v>509</v>
      </c>
      <c r="E591" s="66" t="s">
        <v>440</v>
      </c>
      <c r="F591" s="68" t="s">
        <v>2300</v>
      </c>
      <c r="G591" s="66" t="s">
        <v>2384</v>
      </c>
      <c r="H591" s="64">
        <v>2458</v>
      </c>
      <c r="I591" s="67" t="s">
        <v>2</v>
      </c>
      <c r="J591" s="97">
        <v>404870312</v>
      </c>
      <c r="K591" s="66"/>
      <c r="L591" s="68"/>
      <c r="M591" s="69">
        <v>1069.49</v>
      </c>
      <c r="N591" s="69">
        <v>1049.45</v>
      </c>
      <c r="O591" s="70" t="str">
        <f>IF(registreGarantie[[#This Row],[date paiement]]="","",registreGarantie[[#This Row],[Pièces 
Demandés]]-registreGarantie[[#This Row],[Pièces 
Remboursés]])</f>
        <v/>
      </c>
      <c r="P591" s="69">
        <v>262</v>
      </c>
      <c r="Q591" s="69">
        <v>262</v>
      </c>
      <c r="R591" s="70" t="str">
        <f>IF(registreGarantie[[#This Row],[date paiement]]="","",registreGarantie[[#This Row],[MO
Demandé]]-registreGarantie[[#This Row],[MO
Remboursé]])</f>
        <v/>
      </c>
      <c r="S591" s="69">
        <v>150</v>
      </c>
      <c r="T591" s="70" t="str">
        <f>IF(registreGarantie[[#This Row],[date paiement]]="","",registreGarantie[[#This Row],[MO
Refusé]]+registreGarantie[[#This Row],[Pièces
Refusés]])</f>
        <v/>
      </c>
      <c r="U591" s="106"/>
      <c r="V591" s="71">
        <f>IF(registreGarantie[[#This Row],[Pièces 
Demandés]]="","",registreGarantie[[#This Row],[Date]])</f>
        <v>45918</v>
      </c>
      <c r="W591" s="103" t="str">
        <f>IF(registreGarantie[[#This Row],[Pièces 
Demandés]]="","",IF(registreGarantie[[#This Row],[date paiement]]="","",registreGarantie[[#This Row],[date paiement]]+91))</f>
        <v/>
      </c>
      <c r="X59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1" s="74" t="str">
        <f ca="1">IF(registreGarantie[[#This Row],[Colonne1]]=0,"",IF(TODAY()&gt;registreGarantie[[#This Row],[Date rebus]],0,1))</f>
        <v/>
      </c>
      <c r="Z591" s="66" t="s">
        <v>2837</v>
      </c>
      <c r="AA591" s="73" t="str">
        <f>IF(AND(registreGarantie[[#This Row],[Montant non remboursé]]&gt;1,registreGarantie[[#This Row],[Montant non remboursé]]&lt;&gt;""),1,"")</f>
        <v/>
      </c>
      <c r="AB591" s="66"/>
      <c r="AC591" s="66"/>
      <c r="AD591" s="87">
        <f t="shared" si="9"/>
        <v>591</v>
      </c>
      <c r="AE591" s="109">
        <v>45819</v>
      </c>
    </row>
    <row r="592" spans="1:31" ht="18" customHeight="1" thickBot="1" x14ac:dyDescent="0.4">
      <c r="A592" s="64">
        <v>45243</v>
      </c>
      <c r="B592" s="64">
        <v>6242</v>
      </c>
      <c r="C592" s="106">
        <v>45877</v>
      </c>
      <c r="D592" s="66" t="s">
        <v>239</v>
      </c>
      <c r="E592" s="66" t="s">
        <v>546</v>
      </c>
      <c r="F592" s="68">
        <v>78410241</v>
      </c>
      <c r="G592" s="66" t="s">
        <v>2525</v>
      </c>
      <c r="H592" s="64">
        <v>1859</v>
      </c>
      <c r="I592" s="67" t="s">
        <v>3</v>
      </c>
      <c r="J592" s="97">
        <v>404811106</v>
      </c>
      <c r="K592" s="66"/>
      <c r="L592" s="68"/>
      <c r="M592" s="69"/>
      <c r="N592" s="69"/>
      <c r="O592" s="70">
        <f>IF(registreGarantie[[#This Row],[date paiement]]="","",registreGarantie[[#This Row],[Pièces 
Demandés]]-registreGarantie[[#This Row],[Pièces 
Remboursés]])</f>
        <v>0</v>
      </c>
      <c r="P592" s="69">
        <v>884.25</v>
      </c>
      <c r="Q592" s="69">
        <v>0</v>
      </c>
      <c r="R592" s="70">
        <f>IF(registreGarantie[[#This Row],[date paiement]]="","",registreGarantie[[#This Row],[MO
Demandé]]-registreGarantie[[#This Row],[MO
Remboursé]])</f>
        <v>884.25</v>
      </c>
      <c r="S592" s="69"/>
      <c r="T592" s="70">
        <f>IF(registreGarantie[[#This Row],[date paiement]]="","",registreGarantie[[#This Row],[MO
Refusé]]+registreGarantie[[#This Row],[Pièces
Refusés]])</f>
        <v>884.25</v>
      </c>
      <c r="U592" s="106">
        <v>45910</v>
      </c>
      <c r="V592" s="71" t="str">
        <f>IF(registreGarantie[[#This Row],[Pièces 
Demandés]]="","",registreGarantie[[#This Row],[Date]])</f>
        <v/>
      </c>
      <c r="W592" s="103" t="str">
        <f>IF(registreGarantie[[#This Row],[Pièces 
Demandés]]="","",IF(registreGarantie[[#This Row],[date paiement]]="","",registreGarantie[[#This Row],[date paiement]]+91))</f>
        <v/>
      </c>
      <c r="X59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2" s="74" t="str">
        <f ca="1">IF(registreGarantie[[#This Row],[Colonne1]]=0,"",IF(TODAY()&gt;registreGarantie[[#This Row],[Date rebus]],0,1))</f>
        <v/>
      </c>
      <c r="Z592" s="66"/>
      <c r="AA592" s="73">
        <f>IF(AND(registreGarantie[[#This Row],[Montant non remboursé]]&gt;1,registreGarantie[[#This Row],[Montant non remboursé]]&lt;&gt;""),1,"")</f>
        <v>1</v>
      </c>
      <c r="AB592" s="66"/>
      <c r="AC592" s="66"/>
      <c r="AD592" s="87">
        <f t="shared" si="9"/>
        <v>592</v>
      </c>
      <c r="AE592" s="109">
        <v>45821</v>
      </c>
    </row>
    <row r="593" spans="1:31" ht="18" customHeight="1" thickBot="1" x14ac:dyDescent="0.4">
      <c r="A593" s="64">
        <v>45243</v>
      </c>
      <c r="B593" s="64">
        <v>6242</v>
      </c>
      <c r="C593" s="106">
        <v>45877</v>
      </c>
      <c r="D593" s="66" t="s">
        <v>239</v>
      </c>
      <c r="E593" s="66" t="s">
        <v>546</v>
      </c>
      <c r="F593" s="68">
        <v>78410241</v>
      </c>
      <c r="G593" s="66" t="s">
        <v>2525</v>
      </c>
      <c r="H593" s="64">
        <v>1859</v>
      </c>
      <c r="I593" s="67" t="s">
        <v>3</v>
      </c>
      <c r="J593" s="97">
        <v>404872652</v>
      </c>
      <c r="K593" s="66"/>
      <c r="L593" s="68"/>
      <c r="M593" s="69"/>
      <c r="N593" s="69"/>
      <c r="O593" s="70" t="str">
        <f>IF(registreGarantie[[#This Row],[date paiement]]="","",registreGarantie[[#This Row],[Pièces 
Demandés]]-registreGarantie[[#This Row],[Pièces 
Remboursés]])</f>
        <v/>
      </c>
      <c r="P593" s="69">
        <v>884.25</v>
      </c>
      <c r="Q593" s="69"/>
      <c r="R593" s="70" t="str">
        <f>IF(registreGarantie[[#This Row],[date paiement]]="","",registreGarantie[[#This Row],[MO
Demandé]]-registreGarantie[[#This Row],[MO
Remboursé]])</f>
        <v/>
      </c>
      <c r="S593" s="69"/>
      <c r="T593" s="70" t="str">
        <f>IF(registreGarantie[[#This Row],[date paiement]]="","",registreGarantie[[#This Row],[MO
Refusé]]+registreGarantie[[#This Row],[Pièces
Refusés]])</f>
        <v/>
      </c>
      <c r="U593" s="106"/>
      <c r="V593" s="71" t="str">
        <f>IF(registreGarantie[[#This Row],[Pièces 
Demandés]]="","",registreGarantie[[#This Row],[Date]])</f>
        <v/>
      </c>
      <c r="W593" s="103" t="str">
        <f>IF(registreGarantie[[#This Row],[Pièces 
Demandés]]="","",IF(registreGarantie[[#This Row],[date paiement]]="","",registreGarantie[[#This Row],[date paiement]]+91))</f>
        <v/>
      </c>
      <c r="X59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3" s="74" t="str">
        <f ca="1">IF(registreGarantie[[#This Row],[Colonne1]]=0,"",IF(TODAY()&gt;registreGarantie[[#This Row],[Date rebus]],0,1))</f>
        <v/>
      </c>
      <c r="Z593" s="66"/>
      <c r="AA593" s="73" t="str">
        <f>IF(AND(registreGarantie[[#This Row],[Montant non remboursé]]&gt;1,registreGarantie[[#This Row],[Montant non remboursé]]&lt;&gt;""),1,"")</f>
        <v/>
      </c>
      <c r="AB593" s="66"/>
      <c r="AC593" s="66"/>
      <c r="AD593" s="87">
        <f>ROW(AD593)</f>
        <v>593</v>
      </c>
      <c r="AE593" s="109">
        <v>45821</v>
      </c>
    </row>
    <row r="594" spans="1:31" ht="18" customHeight="1" thickBot="1" x14ac:dyDescent="0.4">
      <c r="A594" s="64">
        <v>45244</v>
      </c>
      <c r="B594" s="64">
        <v>6246</v>
      </c>
      <c r="C594" s="106">
        <v>45845</v>
      </c>
      <c r="D594" s="66" t="s">
        <v>41</v>
      </c>
      <c r="E594" s="66" t="s">
        <v>181</v>
      </c>
      <c r="F594" s="68" t="s">
        <v>2526</v>
      </c>
      <c r="G594" s="66" t="s">
        <v>2527</v>
      </c>
      <c r="H594" s="64">
        <v>73</v>
      </c>
      <c r="I594" s="67" t="s">
        <v>2</v>
      </c>
      <c r="J594" s="97">
        <v>404762286</v>
      </c>
      <c r="K594" s="66"/>
      <c r="L594" s="68"/>
      <c r="M594" s="69">
        <v>114.84</v>
      </c>
      <c r="N594" s="69">
        <v>114.84</v>
      </c>
      <c r="O594" s="70">
        <f>IF(registreGarantie[[#This Row],[date paiement]]="","",registreGarantie[[#This Row],[Pièces 
Demandés]]-registreGarantie[[#This Row],[Pièces 
Remboursés]])</f>
        <v>0</v>
      </c>
      <c r="P594" s="69">
        <v>150.65</v>
      </c>
      <c r="Q594" s="69">
        <v>150.65</v>
      </c>
      <c r="R594" s="70">
        <f>IF(registreGarantie[[#This Row],[date paiement]]="","",registreGarantie[[#This Row],[MO
Demandé]]-registreGarantie[[#This Row],[MO
Remboursé]])</f>
        <v>0</v>
      </c>
      <c r="S594" s="69"/>
      <c r="T594" s="70">
        <f>IF(registreGarantie[[#This Row],[date paiement]]="","",registreGarantie[[#This Row],[MO
Refusé]]+registreGarantie[[#This Row],[Pièces
Refusés]])</f>
        <v>0</v>
      </c>
      <c r="U594" s="106">
        <v>45911</v>
      </c>
      <c r="V594" s="71">
        <f>IF(registreGarantie[[#This Row],[Pièces 
Demandés]]="","",registreGarantie[[#This Row],[Date]])</f>
        <v>45845</v>
      </c>
      <c r="W594" s="103">
        <f>IF(registreGarantie[[#This Row],[Pièces 
Demandés]]="","",IF(registreGarantie[[#This Row],[date paiement]]="","",registreGarantie[[#This Row],[date paiement]]+91))</f>
        <v>46002</v>
      </c>
      <c r="X59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94" s="74">
        <f ca="1">IF(registreGarantie[[#This Row],[Colonne1]]=0,"",IF(TODAY()&gt;registreGarantie[[#This Row],[Date rebus]],0,1))</f>
        <v>1</v>
      </c>
      <c r="Z594" s="66"/>
      <c r="AA594" s="73" t="str">
        <f>IF(AND(registreGarantie[[#This Row],[Montant non remboursé]]&gt;1,registreGarantie[[#This Row],[Montant non remboursé]]&lt;&gt;""),1,"")</f>
        <v/>
      </c>
      <c r="AB594" s="66"/>
      <c r="AC594" s="66"/>
      <c r="AD594" s="87">
        <f t="shared" si="9"/>
        <v>594</v>
      </c>
      <c r="AE594" s="109">
        <v>45826</v>
      </c>
    </row>
    <row r="595" spans="1:31" ht="18" customHeight="1" thickBot="1" x14ac:dyDescent="0.4">
      <c r="A595" s="64">
        <v>45245</v>
      </c>
      <c r="B595" s="64">
        <v>44520</v>
      </c>
      <c r="C595" s="106">
        <v>45846</v>
      </c>
      <c r="D595" s="66" t="s">
        <v>1752</v>
      </c>
      <c r="E595" s="66" t="s">
        <v>1753</v>
      </c>
      <c r="F595" s="68" t="s">
        <v>2523</v>
      </c>
      <c r="G595" s="66" t="s">
        <v>2514</v>
      </c>
      <c r="H595" s="64"/>
      <c r="I595" s="67" t="s">
        <v>21</v>
      </c>
      <c r="J595" s="97" t="s">
        <v>2595</v>
      </c>
      <c r="K595" s="66"/>
      <c r="L595" s="68"/>
      <c r="M595" s="69">
        <v>1022.74</v>
      </c>
      <c r="N595" s="69">
        <v>1022.74</v>
      </c>
      <c r="O595" s="70">
        <f>IF(registreGarantie[[#This Row],[date paiement]]="","",registreGarantie[[#This Row],[Pièces 
Demandés]]-registreGarantie[[#This Row],[Pièces 
Remboursés]])</f>
        <v>0</v>
      </c>
      <c r="P595" s="69">
        <v>212</v>
      </c>
      <c r="Q595" s="69">
        <v>212</v>
      </c>
      <c r="R595" s="70">
        <f>IF(registreGarantie[[#This Row],[date paiement]]="","",registreGarantie[[#This Row],[MO
Demandé]]-registreGarantie[[#This Row],[MO
Remboursé]])</f>
        <v>0</v>
      </c>
      <c r="S595" s="69"/>
      <c r="T595" s="70">
        <f>IF(registreGarantie[[#This Row],[date paiement]]="","",registreGarantie[[#This Row],[MO
Refusé]]+registreGarantie[[#This Row],[Pièces
Refusés]])</f>
        <v>0</v>
      </c>
      <c r="U595" s="106">
        <v>45853</v>
      </c>
      <c r="V595" s="71">
        <f>IF(registreGarantie[[#This Row],[Pièces 
Demandés]]="","",registreGarantie[[#This Row],[Date]])</f>
        <v>45846</v>
      </c>
      <c r="W595" s="103">
        <f>IF(registreGarantie[[#This Row],[Pièces 
Demandés]]="","",IF(registreGarantie[[#This Row],[date paiement]]="","",registreGarantie[[#This Row],[date paiement]]+91))</f>
        <v>45944</v>
      </c>
      <c r="X59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5" s="74" t="str">
        <f ca="1">IF(registreGarantie[[#This Row],[Colonne1]]=0,"",IF(TODAY()&gt;registreGarantie[[#This Row],[Date rebus]],0,1))</f>
        <v/>
      </c>
      <c r="Z595" s="66"/>
      <c r="AA595" s="73" t="str">
        <f>IF(AND(registreGarantie[[#This Row],[Montant non remboursé]]&gt;1,registreGarantie[[#This Row],[Montant non remboursé]]&lt;&gt;""),1,"")</f>
        <v/>
      </c>
      <c r="AB595" s="66"/>
      <c r="AC595" s="66"/>
      <c r="AD595" s="87">
        <f t="shared" si="9"/>
        <v>595</v>
      </c>
      <c r="AE595" s="109">
        <v>45832</v>
      </c>
    </row>
    <row r="596" spans="1:31" ht="18" customHeight="1" thickBot="1" x14ac:dyDescent="0.4">
      <c r="A596" s="64">
        <v>45246</v>
      </c>
      <c r="B596" s="64">
        <v>6254</v>
      </c>
      <c r="C596" s="106">
        <v>45866</v>
      </c>
      <c r="D596" s="66" t="s">
        <v>239</v>
      </c>
      <c r="E596" s="66" t="s">
        <v>546</v>
      </c>
      <c r="F596" s="68">
        <v>78410241</v>
      </c>
      <c r="G596" s="66" t="s">
        <v>2528</v>
      </c>
      <c r="H596" s="64">
        <v>1860</v>
      </c>
      <c r="I596" s="67" t="s">
        <v>3</v>
      </c>
      <c r="J596" s="97">
        <v>404796049</v>
      </c>
      <c r="K596" s="66"/>
      <c r="L596" s="68"/>
      <c r="M596" s="69">
        <v>349.65</v>
      </c>
      <c r="N596" s="69">
        <v>349.65</v>
      </c>
      <c r="O596" s="70">
        <f>IF(registreGarantie[[#This Row],[date paiement]]="","",registreGarantie[[#This Row],[Pièces 
Demandés]]-registreGarantie[[#This Row],[Pièces 
Remboursés]])</f>
        <v>0</v>
      </c>
      <c r="P596" s="69">
        <v>262</v>
      </c>
      <c r="Q596" s="69">
        <v>262</v>
      </c>
      <c r="R596" s="70">
        <f>IF(registreGarantie[[#This Row],[date paiement]]="","",registreGarantie[[#This Row],[MO
Demandé]]-registreGarantie[[#This Row],[MO
Remboursé]])</f>
        <v>0</v>
      </c>
      <c r="S596" s="69"/>
      <c r="T596" s="70">
        <f>IF(registreGarantie[[#This Row],[date paiement]]="","",registreGarantie[[#This Row],[MO
Refusé]]+registreGarantie[[#This Row],[Pièces
Refusés]])</f>
        <v>0</v>
      </c>
      <c r="U596" s="106">
        <v>45870</v>
      </c>
      <c r="V596" s="71">
        <f>IF(registreGarantie[[#This Row],[Pièces 
Demandés]]="","",registreGarantie[[#This Row],[Date]])</f>
        <v>45866</v>
      </c>
      <c r="W596" s="103">
        <f>IF(registreGarantie[[#This Row],[Pièces 
Demandés]]="","",IF(registreGarantie[[#This Row],[date paiement]]="","",registreGarantie[[#This Row],[date paiement]]+91))</f>
        <v>45961</v>
      </c>
      <c r="X59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96" s="74">
        <f ca="1">IF(registreGarantie[[#This Row],[Colonne1]]=0,"",IF(TODAY()&gt;registreGarantie[[#This Row],[Date rebus]],0,1))</f>
        <v>1</v>
      </c>
      <c r="Z596" s="66"/>
      <c r="AA596" s="73" t="str">
        <f>IF(AND(registreGarantie[[#This Row],[Montant non remboursé]]&gt;1,registreGarantie[[#This Row],[Montant non remboursé]]&lt;&gt;""),1,"")</f>
        <v/>
      </c>
      <c r="AB596" s="66"/>
      <c r="AC596" s="66"/>
      <c r="AD596" s="87">
        <f t="shared" si="9"/>
        <v>596</v>
      </c>
      <c r="AE596" s="109">
        <v>45833</v>
      </c>
    </row>
    <row r="597" spans="1:31" ht="18" customHeight="1" thickBot="1" x14ac:dyDescent="0.4">
      <c r="A597" s="64">
        <v>45247</v>
      </c>
      <c r="B597" s="64">
        <v>44535</v>
      </c>
      <c r="C597" s="106">
        <v>45841</v>
      </c>
      <c r="D597" s="66" t="s">
        <v>1654</v>
      </c>
      <c r="E597" s="66" t="s">
        <v>151</v>
      </c>
      <c r="F597" s="68" t="s">
        <v>2367</v>
      </c>
      <c r="G597" s="66" t="s">
        <v>2551</v>
      </c>
      <c r="H597" s="64" t="s">
        <v>2577</v>
      </c>
      <c r="I597" s="67" t="s">
        <v>21</v>
      </c>
      <c r="J597" s="97" t="s">
        <v>2578</v>
      </c>
      <c r="K597" s="66"/>
      <c r="L597" s="68"/>
      <c r="M597" s="69">
        <v>3.64</v>
      </c>
      <c r="N597" s="69">
        <v>3.64</v>
      </c>
      <c r="O597" s="70">
        <f>IF(registreGarantie[[#This Row],[date paiement]]="","",registreGarantie[[#This Row],[Pièces 
Demandés]]-registreGarantie[[#This Row],[Pièces 
Remboursés]])</f>
        <v>0</v>
      </c>
      <c r="P597" s="69">
        <v>106</v>
      </c>
      <c r="Q597" s="69">
        <v>106</v>
      </c>
      <c r="R597" s="70">
        <f>IF(registreGarantie[[#This Row],[date paiement]]="","",registreGarantie[[#This Row],[MO
Demandé]]-registreGarantie[[#This Row],[MO
Remboursé]])</f>
        <v>0</v>
      </c>
      <c r="S597" s="69"/>
      <c r="T597" s="70">
        <f>IF(registreGarantie[[#This Row],[date paiement]]="","",registreGarantie[[#This Row],[MO
Refusé]]+registreGarantie[[#This Row],[Pièces
Refusés]])</f>
        <v>0</v>
      </c>
      <c r="U597" s="106">
        <v>45847</v>
      </c>
      <c r="V597" s="71">
        <f>IF(registreGarantie[[#This Row],[Pièces 
Demandés]]="","",registreGarantie[[#This Row],[Date]])</f>
        <v>45841</v>
      </c>
      <c r="W597" s="103">
        <f>IF(registreGarantie[[#This Row],[Pièces 
Demandés]]="","",IF(registreGarantie[[#This Row],[date paiement]]="","",registreGarantie[[#This Row],[date paiement]]+91))</f>
        <v>45938</v>
      </c>
      <c r="X59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7" s="74" t="str">
        <f ca="1">IF(registreGarantie[[#This Row],[Colonne1]]=0,"",IF(TODAY()&gt;registreGarantie[[#This Row],[Date rebus]],0,1))</f>
        <v/>
      </c>
      <c r="Z597" s="66"/>
      <c r="AA597" s="73" t="str">
        <f>IF(AND(registreGarantie[[#This Row],[Montant non remboursé]]&gt;1,registreGarantie[[#This Row],[Montant non remboursé]]&lt;&gt;""),1,"")</f>
        <v/>
      </c>
      <c r="AB597" s="66"/>
      <c r="AC597" s="66"/>
      <c r="AD597" s="87">
        <f t="shared" si="9"/>
        <v>597</v>
      </c>
      <c r="AE597" s="109">
        <v>45838</v>
      </c>
    </row>
    <row r="598" spans="1:31" ht="18" customHeight="1" thickBot="1" x14ac:dyDescent="0.4">
      <c r="A598" s="64">
        <v>45248</v>
      </c>
      <c r="B598" s="64">
        <v>44511</v>
      </c>
      <c r="C598" s="106">
        <v>45842</v>
      </c>
      <c r="D598" s="66" t="s">
        <v>2560</v>
      </c>
      <c r="E598" s="66" t="s">
        <v>106</v>
      </c>
      <c r="F598" s="68" t="s">
        <v>2587</v>
      </c>
      <c r="G598" s="66" t="s">
        <v>2615</v>
      </c>
      <c r="H598" s="64">
        <v>4305</v>
      </c>
      <c r="I598" s="67" t="s">
        <v>18</v>
      </c>
      <c r="J598" s="97">
        <v>404759639</v>
      </c>
      <c r="K598" s="66"/>
      <c r="L598" s="68"/>
      <c r="M598" s="69"/>
      <c r="N598" s="69"/>
      <c r="O598" s="70" t="str">
        <f>IF(registreGarantie[[#This Row],[date paiement]]="","",registreGarantie[[#This Row],[Pièces 
Demandés]]-registreGarantie[[#This Row],[Pièces 
Remboursés]])</f>
        <v/>
      </c>
      <c r="P598" s="69"/>
      <c r="Q598" s="69"/>
      <c r="R598" s="70" t="str">
        <f>IF(registreGarantie[[#This Row],[date paiement]]="","",registreGarantie[[#This Row],[MO
Demandé]]-registreGarantie[[#This Row],[MO
Remboursé]])</f>
        <v/>
      </c>
      <c r="S598" s="69"/>
      <c r="T598" s="70" t="str">
        <f>IF(registreGarantie[[#This Row],[date paiement]]="","",registreGarantie[[#This Row],[MO
Refusé]]+registreGarantie[[#This Row],[Pièces
Refusés]])</f>
        <v/>
      </c>
      <c r="U598" s="106"/>
      <c r="V598" s="71" t="str">
        <f>IF(registreGarantie[[#This Row],[Pièces 
Demandés]]="","",registreGarantie[[#This Row],[Date]])</f>
        <v/>
      </c>
      <c r="W598" s="103" t="str">
        <f>IF(registreGarantie[[#This Row],[Pièces 
Demandés]]="","",IF(registreGarantie[[#This Row],[date paiement]]="","",registreGarantie[[#This Row],[date paiement]]+91))</f>
        <v/>
      </c>
      <c r="X59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598" s="74" t="str">
        <f ca="1">IF(registreGarantie[[#This Row],[Colonne1]]=0,"",IF(TODAY()&gt;registreGarantie[[#This Row],[Date rebus]],0,1))</f>
        <v/>
      </c>
      <c r="Z598" s="66"/>
      <c r="AA598" s="73" t="str">
        <f>IF(AND(registreGarantie[[#This Row],[Montant non remboursé]]&gt;1,registreGarantie[[#This Row],[Montant non remboursé]]&lt;&gt;""),1,"")</f>
        <v/>
      </c>
      <c r="AB598" s="66"/>
      <c r="AC598" s="66"/>
      <c r="AD598" s="87">
        <f t="shared" si="9"/>
        <v>598</v>
      </c>
      <c r="AE598" s="109">
        <v>45838</v>
      </c>
    </row>
    <row r="599" spans="1:31" ht="18" customHeight="1" thickBot="1" x14ac:dyDescent="0.4">
      <c r="A599" s="64">
        <v>45249</v>
      </c>
      <c r="B599" s="64">
        <v>6261</v>
      </c>
      <c r="C599" s="106">
        <v>45845</v>
      </c>
      <c r="D599" s="66" t="s">
        <v>333</v>
      </c>
      <c r="E599" s="66" t="s">
        <v>334</v>
      </c>
      <c r="F599" s="68" t="s">
        <v>2593</v>
      </c>
      <c r="G599" s="66" t="s">
        <v>2592</v>
      </c>
      <c r="H599" s="64">
        <v>826</v>
      </c>
      <c r="I599" s="67" t="s">
        <v>3</v>
      </c>
      <c r="J599" s="97">
        <v>404762851</v>
      </c>
      <c r="K599" s="66"/>
      <c r="L599" s="68" t="s">
        <v>2594</v>
      </c>
      <c r="M599" s="69">
        <v>316.48</v>
      </c>
      <c r="N599" s="69">
        <v>316.48</v>
      </c>
      <c r="O599" s="70">
        <f>IF(registreGarantie[[#This Row],[date paiement]]="","",registreGarantie[[#This Row],[Pièces 
Demandés]]-registreGarantie[[#This Row],[Pièces 
Remboursés]])</f>
        <v>0</v>
      </c>
      <c r="P599" s="69">
        <v>196.5</v>
      </c>
      <c r="Q599" s="69">
        <v>196.5</v>
      </c>
      <c r="R599" s="70">
        <f>IF(registreGarantie[[#This Row],[date paiement]]="","",registreGarantie[[#This Row],[MO
Demandé]]-registreGarantie[[#This Row],[MO
Remboursé]])</f>
        <v>0</v>
      </c>
      <c r="S599" s="69">
        <v>150</v>
      </c>
      <c r="T599" s="70">
        <f>IF(registreGarantie[[#This Row],[date paiement]]="","",registreGarantie[[#This Row],[MO
Refusé]]+registreGarantie[[#This Row],[Pièces
Refusés]])</f>
        <v>0</v>
      </c>
      <c r="U599" s="106">
        <v>45870</v>
      </c>
      <c r="V599" s="71">
        <f>IF(registreGarantie[[#This Row],[Pièces 
Demandés]]="","",registreGarantie[[#This Row],[Date]])</f>
        <v>45845</v>
      </c>
      <c r="W599" s="103">
        <f>IF(registreGarantie[[#This Row],[Pièces 
Demandés]]="","",IF(registreGarantie[[#This Row],[date paiement]]="","",registreGarantie[[#This Row],[date paiement]]+91))</f>
        <v>45961</v>
      </c>
      <c r="X59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599" s="74">
        <f ca="1">IF(registreGarantie[[#This Row],[Colonne1]]=0,"",IF(TODAY()&gt;registreGarantie[[#This Row],[Date rebus]],0,1))</f>
        <v>1</v>
      </c>
      <c r="Z599" s="66"/>
      <c r="AA599" s="73" t="str">
        <f>IF(AND(registreGarantie[[#This Row],[Montant non remboursé]]&gt;1,registreGarantie[[#This Row],[Montant non remboursé]]&lt;&gt;""),1,"")</f>
        <v/>
      </c>
      <c r="AB599" s="66"/>
      <c r="AC599" s="66"/>
      <c r="AD599" s="87">
        <f t="shared" si="9"/>
        <v>599</v>
      </c>
      <c r="AE599" s="109">
        <v>45834</v>
      </c>
    </row>
    <row r="600" spans="1:31" ht="18" customHeight="1" thickBot="1" x14ac:dyDescent="0.4">
      <c r="A600" s="64">
        <v>45250</v>
      </c>
      <c r="B600" s="64">
        <v>44558</v>
      </c>
      <c r="C600" s="106">
        <v>45846</v>
      </c>
      <c r="D600" s="66" t="s">
        <v>1081</v>
      </c>
      <c r="E600" s="66" t="s">
        <v>718</v>
      </c>
      <c r="F600" s="68" t="s">
        <v>2307</v>
      </c>
      <c r="G600" s="66" t="s">
        <v>671</v>
      </c>
      <c r="H600" s="64">
        <v>1071</v>
      </c>
      <c r="I600" s="67" t="s">
        <v>23</v>
      </c>
      <c r="J600" s="97">
        <v>404763670</v>
      </c>
      <c r="K600" s="66"/>
      <c r="L600" s="68"/>
      <c r="M600" s="69">
        <v>469.68</v>
      </c>
      <c r="N600" s="69">
        <v>690.24</v>
      </c>
      <c r="O600" s="70">
        <f>IF(registreGarantie[[#This Row],[date paiement]]="","",registreGarantie[[#This Row],[Pièces 
Demandés]]-registreGarantie[[#This Row],[Pièces 
Remboursés]])</f>
        <v>-220.56</v>
      </c>
      <c r="P600" s="69">
        <v>320.95</v>
      </c>
      <c r="Q600" s="69">
        <v>320.95</v>
      </c>
      <c r="R600" s="70">
        <f>IF(registreGarantie[[#This Row],[date paiement]]="","",registreGarantie[[#This Row],[MO
Demandé]]-registreGarantie[[#This Row],[MO
Remboursé]])</f>
        <v>0</v>
      </c>
      <c r="S600" s="69"/>
      <c r="T600" s="70">
        <f>IF(registreGarantie[[#This Row],[date paiement]]="","",registreGarantie[[#This Row],[MO
Refusé]]+registreGarantie[[#This Row],[Pièces
Refusés]])</f>
        <v>-220.56</v>
      </c>
      <c r="U600" s="106">
        <v>45910</v>
      </c>
      <c r="V600" s="71">
        <f>IF(registreGarantie[[#This Row],[Pièces 
Demandés]]="","",registreGarantie[[#This Row],[Date]])</f>
        <v>45846</v>
      </c>
      <c r="W600" s="103">
        <f>IF(registreGarantie[[#This Row],[Pièces 
Demandés]]="","",IF(registreGarantie[[#This Row],[date paiement]]="","",registreGarantie[[#This Row],[date paiement]]+91))</f>
        <v>46001</v>
      </c>
      <c r="X60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0" s="74" t="str">
        <f ca="1">IF(registreGarantie[[#This Row],[Colonne1]]=0,"",IF(TODAY()&gt;registreGarantie[[#This Row],[Date rebus]],0,1))</f>
        <v/>
      </c>
      <c r="Z600" s="66"/>
      <c r="AA600" s="73" t="str">
        <f>IF(AND(registreGarantie[[#This Row],[Montant non remboursé]]&gt;1,registreGarantie[[#This Row],[Montant non remboursé]]&lt;&gt;""),1,"")</f>
        <v/>
      </c>
      <c r="AB600" s="66"/>
      <c r="AC600" s="66"/>
      <c r="AD600" s="87">
        <f t="shared" si="9"/>
        <v>600</v>
      </c>
      <c r="AE600" s="109">
        <v>45842</v>
      </c>
    </row>
    <row r="601" spans="1:31" ht="18" customHeight="1" thickBot="1" x14ac:dyDescent="0.4">
      <c r="A601" s="64">
        <v>45251</v>
      </c>
      <c r="B601" s="64">
        <v>44563</v>
      </c>
      <c r="C601" s="106">
        <v>45846</v>
      </c>
      <c r="D601" s="66" t="s">
        <v>41</v>
      </c>
      <c r="E601" s="66" t="s">
        <v>32</v>
      </c>
      <c r="F601" s="68" t="s">
        <v>2600</v>
      </c>
      <c r="G601" s="66" t="s">
        <v>58</v>
      </c>
      <c r="H601" s="64">
        <v>142</v>
      </c>
      <c r="I601" s="67" t="s">
        <v>18</v>
      </c>
      <c r="J601" s="97">
        <v>404763935</v>
      </c>
      <c r="K601" s="66"/>
      <c r="L601" s="68"/>
      <c r="M601" s="69"/>
      <c r="N601" s="69"/>
      <c r="O601" s="70" t="str">
        <f>IF(registreGarantie[[#This Row],[date paiement]]="","",registreGarantie[[#This Row],[Pièces 
Demandés]]-registreGarantie[[#This Row],[Pièces 
Remboursés]])</f>
        <v/>
      </c>
      <c r="P601" s="69"/>
      <c r="Q601" s="69"/>
      <c r="R601" s="70" t="str">
        <f>IF(registreGarantie[[#This Row],[date paiement]]="","",registreGarantie[[#This Row],[MO
Demandé]]-registreGarantie[[#This Row],[MO
Remboursé]])</f>
        <v/>
      </c>
      <c r="S601" s="69"/>
      <c r="T601" s="70" t="str">
        <f>IF(registreGarantie[[#This Row],[date paiement]]="","",registreGarantie[[#This Row],[MO
Refusé]]+registreGarantie[[#This Row],[Pièces
Refusés]])</f>
        <v/>
      </c>
      <c r="U601" s="106"/>
      <c r="V601" s="71" t="str">
        <f>IF(registreGarantie[[#This Row],[Pièces 
Demandés]]="","",registreGarantie[[#This Row],[Date]])</f>
        <v/>
      </c>
      <c r="W601" s="103" t="str">
        <f>IF(registreGarantie[[#This Row],[Pièces 
Demandés]]="","",IF(registreGarantie[[#This Row],[date paiement]]="","",registreGarantie[[#This Row],[date paiement]]+91))</f>
        <v/>
      </c>
      <c r="X60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1" s="74" t="str">
        <f ca="1">IF(registreGarantie[[#This Row],[Colonne1]]=0,"",IF(TODAY()&gt;registreGarantie[[#This Row],[Date rebus]],0,1))</f>
        <v/>
      </c>
      <c r="Z601" s="66"/>
      <c r="AA601" s="73" t="str">
        <f>IF(AND(registreGarantie[[#This Row],[Montant non remboursé]]&gt;1,registreGarantie[[#This Row],[Montant non remboursé]]&lt;&gt;""),1,"")</f>
        <v/>
      </c>
      <c r="AB601" s="66"/>
      <c r="AC601" s="66"/>
      <c r="AD601" s="87">
        <f t="shared" si="9"/>
        <v>601</v>
      </c>
      <c r="AE601" s="109">
        <v>45842</v>
      </c>
    </row>
    <row r="602" spans="1:31" ht="18" customHeight="1" thickBot="1" x14ac:dyDescent="0.4">
      <c r="A602" s="64">
        <v>45251</v>
      </c>
      <c r="B602" s="64">
        <v>44563</v>
      </c>
      <c r="C602" s="106">
        <v>45846</v>
      </c>
      <c r="D602" s="66" t="s">
        <v>41</v>
      </c>
      <c r="E602" s="66" t="s">
        <v>32</v>
      </c>
      <c r="F602" s="68" t="s">
        <v>2600</v>
      </c>
      <c r="G602" s="66" t="s">
        <v>58</v>
      </c>
      <c r="H602" s="64">
        <v>142</v>
      </c>
      <c r="I602" s="67" t="s">
        <v>19</v>
      </c>
      <c r="J602" s="97">
        <v>404764031</v>
      </c>
      <c r="K602" s="66"/>
      <c r="L602" s="68"/>
      <c r="M602" s="69"/>
      <c r="N602" s="69"/>
      <c r="O602" s="69" t="str">
        <f>IF(registreGarantie[[#This Row],[date paiement]]="","",registreGarantie[[#This Row],[Pièces 
Demandés]]-registreGarantie[[#This Row],[Pièces 
Remboursés]])</f>
        <v/>
      </c>
      <c r="P602" s="69"/>
      <c r="Q602" s="69"/>
      <c r="R602" s="70" t="str">
        <f>IF(registreGarantie[[#This Row],[date paiement]]="","",registreGarantie[[#This Row],[MO
Demandé]]-registreGarantie[[#This Row],[MO
Remboursé]])</f>
        <v/>
      </c>
      <c r="S602" s="69"/>
      <c r="T602" s="70" t="str">
        <f>IF(registreGarantie[[#This Row],[date paiement]]="","",registreGarantie[[#This Row],[MO
Refusé]]+registreGarantie[[#This Row],[Pièces
Refusés]])</f>
        <v/>
      </c>
      <c r="U602" s="106"/>
      <c r="V602" s="71" t="str">
        <f>IF(registreGarantie[[#This Row],[Pièces 
Demandés]]="","",registreGarantie[[#This Row],[Date]])</f>
        <v/>
      </c>
      <c r="W602" s="103" t="str">
        <f>IF(registreGarantie[[#This Row],[Pièces 
Demandés]]="","",IF(registreGarantie[[#This Row],[date paiement]]="","",registreGarantie[[#This Row],[date paiement]]+91))</f>
        <v/>
      </c>
      <c r="X60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2" s="74" t="str">
        <f ca="1">IF(registreGarantie[[#This Row],[Colonne1]]=0,"",IF(TODAY()&gt;registreGarantie[[#This Row],[Date rebus]],0,1))</f>
        <v/>
      </c>
      <c r="Z602" s="66"/>
      <c r="AA602" s="73" t="str">
        <f>IF(AND(registreGarantie[[#This Row],[Montant non remboursé]]&gt;1,registreGarantie[[#This Row],[Montant non remboursé]]&lt;&gt;""),1,"")</f>
        <v/>
      </c>
      <c r="AB602" s="66"/>
      <c r="AC602" s="66"/>
      <c r="AD602" s="87">
        <f t="shared" si="9"/>
        <v>602</v>
      </c>
      <c r="AE602" s="109"/>
    </row>
    <row r="603" spans="1:31" ht="18" customHeight="1" thickBot="1" x14ac:dyDescent="0.4">
      <c r="A603" s="64">
        <v>45252</v>
      </c>
      <c r="B603" s="64">
        <v>44564</v>
      </c>
      <c r="C603" s="106">
        <v>45846</v>
      </c>
      <c r="D603" s="66" t="s">
        <v>1081</v>
      </c>
      <c r="E603" s="66" t="s">
        <v>718</v>
      </c>
      <c r="F603" s="68" t="s">
        <v>2307</v>
      </c>
      <c r="G603" s="66" t="s">
        <v>2601</v>
      </c>
      <c r="H603" s="64">
        <v>1071</v>
      </c>
      <c r="I603" s="67" t="s">
        <v>3</v>
      </c>
      <c r="J603" s="97">
        <v>404764094</v>
      </c>
      <c r="K603" s="66"/>
      <c r="L603" s="68"/>
      <c r="M603" s="69"/>
      <c r="N603" s="69"/>
      <c r="O603" s="70">
        <f>IF(registreGarantie[[#This Row],[date paiement]]="","",registreGarantie[[#This Row],[Pièces 
Demandés]]-registreGarantie[[#This Row],[Pièces 
Remboursés]])</f>
        <v>0</v>
      </c>
      <c r="P603" s="69">
        <v>196.5</v>
      </c>
      <c r="Q603" s="69">
        <v>196.5</v>
      </c>
      <c r="R603" s="70">
        <f>IF(registreGarantie[[#This Row],[date paiement]]="","",registreGarantie[[#This Row],[MO
Demandé]]-registreGarantie[[#This Row],[MO
Remboursé]])</f>
        <v>0</v>
      </c>
      <c r="S603" s="69"/>
      <c r="T603" s="70">
        <f>IF(registreGarantie[[#This Row],[date paiement]]="","",registreGarantie[[#This Row],[MO
Refusé]]+registreGarantie[[#This Row],[Pièces
Refusés]])</f>
        <v>0</v>
      </c>
      <c r="U603" s="106">
        <v>45855</v>
      </c>
      <c r="V603" s="71" t="str">
        <f>IF(registreGarantie[[#This Row],[Pièces 
Demandés]]="","",registreGarantie[[#This Row],[Date]])</f>
        <v/>
      </c>
      <c r="W603" s="103" t="str">
        <f>IF(registreGarantie[[#This Row],[Pièces 
Demandés]]="","",IF(registreGarantie[[#This Row],[date paiement]]="","",registreGarantie[[#This Row],[date paiement]]+91))</f>
        <v/>
      </c>
      <c r="X60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3" s="74" t="str">
        <f ca="1">IF(registreGarantie[[#This Row],[Colonne1]]=0,"",IF(TODAY()&gt;registreGarantie[[#This Row],[Date rebus]],0,1))</f>
        <v/>
      </c>
      <c r="Z603" s="66"/>
      <c r="AA603" s="73" t="str">
        <f>IF(AND(registreGarantie[[#This Row],[Montant non remboursé]]&gt;1,registreGarantie[[#This Row],[Montant non remboursé]]&lt;&gt;""),1,"")</f>
        <v/>
      </c>
      <c r="AB603" s="66"/>
      <c r="AC603" s="66"/>
      <c r="AD603" s="87">
        <f t="shared" si="9"/>
        <v>603</v>
      </c>
      <c r="AE603" s="109">
        <v>45845</v>
      </c>
    </row>
    <row r="604" spans="1:31" ht="18" customHeight="1" thickBot="1" x14ac:dyDescent="0.4">
      <c r="A604" s="64">
        <v>45253</v>
      </c>
      <c r="B604" s="64">
        <v>6282</v>
      </c>
      <c r="C604" s="106">
        <v>45848</v>
      </c>
      <c r="D604" s="66" t="s">
        <v>773</v>
      </c>
      <c r="E604" s="66" t="s">
        <v>508</v>
      </c>
      <c r="F604" s="68" t="s">
        <v>2603</v>
      </c>
      <c r="G604" s="66" t="s">
        <v>2604</v>
      </c>
      <c r="H604" s="64">
        <v>20</v>
      </c>
      <c r="I604" s="67" t="s">
        <v>20</v>
      </c>
      <c r="J604" s="97">
        <v>404767919</v>
      </c>
      <c r="K604" s="66"/>
      <c r="L604" s="68"/>
      <c r="M604" s="69"/>
      <c r="N604" s="69"/>
      <c r="O604" s="70" t="str">
        <f>IF(registreGarantie[[#This Row],[date paiement]]="","",registreGarantie[[#This Row],[Pièces 
Demandés]]-registreGarantie[[#This Row],[Pièces 
Remboursés]])</f>
        <v/>
      </c>
      <c r="P604" s="69"/>
      <c r="Q604" s="69"/>
      <c r="R604" s="70" t="str">
        <f>IF(registreGarantie[[#This Row],[date paiement]]="","",registreGarantie[[#This Row],[MO
Demandé]]-registreGarantie[[#This Row],[MO
Remboursé]])</f>
        <v/>
      </c>
      <c r="S604" s="69"/>
      <c r="T604" s="70" t="str">
        <f>IF(registreGarantie[[#This Row],[date paiement]]="","",registreGarantie[[#This Row],[MO
Refusé]]+registreGarantie[[#This Row],[Pièces
Refusés]])</f>
        <v/>
      </c>
      <c r="U604" s="106"/>
      <c r="V604" s="71" t="str">
        <f>IF(registreGarantie[[#This Row],[Pièces 
Demandés]]="","",registreGarantie[[#This Row],[Date]])</f>
        <v/>
      </c>
      <c r="W604" s="103" t="str">
        <f>IF(registreGarantie[[#This Row],[Pièces 
Demandés]]="","",IF(registreGarantie[[#This Row],[date paiement]]="","",registreGarantie[[#This Row],[date paiement]]+91))</f>
        <v/>
      </c>
      <c r="X60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4" s="74" t="str">
        <f ca="1">IF(registreGarantie[[#This Row],[Colonne1]]=0,"",IF(TODAY()&gt;registreGarantie[[#This Row],[Date rebus]],0,1))</f>
        <v/>
      </c>
      <c r="Z604" s="66"/>
      <c r="AA604" s="73" t="str">
        <f>IF(AND(registreGarantie[[#This Row],[Montant non remboursé]]&gt;1,registreGarantie[[#This Row],[Montant non remboursé]]&lt;&gt;""),1,"")</f>
        <v/>
      </c>
      <c r="AB604" s="66"/>
      <c r="AC604" s="66"/>
      <c r="AD604" s="87">
        <f t="shared" si="9"/>
        <v>604</v>
      </c>
      <c r="AE604" s="109">
        <v>45847</v>
      </c>
    </row>
    <row r="605" spans="1:31" ht="18" customHeight="1" thickBot="1" x14ac:dyDescent="0.4">
      <c r="A605" s="64">
        <v>45254</v>
      </c>
      <c r="B605" s="64">
        <v>44485</v>
      </c>
      <c r="C605" s="106">
        <v>45848</v>
      </c>
      <c r="D605" s="66" t="s">
        <v>262</v>
      </c>
      <c r="E605" s="66" t="s">
        <v>263</v>
      </c>
      <c r="F605" s="68" t="s">
        <v>2358</v>
      </c>
      <c r="G605" s="66" t="s">
        <v>1759</v>
      </c>
      <c r="H605" s="64" t="s">
        <v>2606</v>
      </c>
      <c r="I605" s="67" t="s">
        <v>21</v>
      </c>
      <c r="J605" s="97" t="s">
        <v>2614</v>
      </c>
      <c r="K605" s="66"/>
      <c r="L605" s="68"/>
      <c r="M605" s="69">
        <v>5646.48</v>
      </c>
      <c r="N605" s="69">
        <v>5646.48</v>
      </c>
      <c r="O605" s="70">
        <f>IF(registreGarantie[[#This Row],[date paiement]]="","",registreGarantie[[#This Row],[Pièces 
Demandés]]-registreGarantie[[#This Row],[Pièces 
Remboursés]])</f>
        <v>0</v>
      </c>
      <c r="P605" s="69">
        <v>212</v>
      </c>
      <c r="Q605" s="69">
        <v>212</v>
      </c>
      <c r="R605" s="70">
        <f>IF(registreGarantie[[#This Row],[date paiement]]="","",registreGarantie[[#This Row],[MO
Demandé]]-registreGarantie[[#This Row],[MO
Remboursé]])</f>
        <v>0</v>
      </c>
      <c r="S605" s="69"/>
      <c r="T605" s="70">
        <f>IF(registreGarantie[[#This Row],[date paiement]]="","",registreGarantie[[#This Row],[MO
Refusé]]+registreGarantie[[#This Row],[Pièces
Refusés]])</f>
        <v>0</v>
      </c>
      <c r="U605" s="106">
        <v>45926</v>
      </c>
      <c r="V605" s="71">
        <f>IF(registreGarantie[[#This Row],[Pièces 
Demandés]]="","",registreGarantie[[#This Row],[Date]])</f>
        <v>45848</v>
      </c>
      <c r="W605" s="103">
        <f>IF(registreGarantie[[#This Row],[Pièces 
Demandés]]="","",IF(registreGarantie[[#This Row],[date paiement]]="","",registreGarantie[[#This Row],[date paiement]]+91))</f>
        <v>46017</v>
      </c>
      <c r="X60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5" s="74" t="str">
        <f ca="1">IF(registreGarantie[[#This Row],[Colonne1]]=0,"",IF(TODAY()&gt;registreGarantie[[#This Row],[Date rebus]],0,1))</f>
        <v/>
      </c>
      <c r="Z605" s="66"/>
      <c r="AA605" s="73" t="str">
        <f>IF(AND(registreGarantie[[#This Row],[Montant non remboursé]]&gt;1,registreGarantie[[#This Row],[Montant non remboursé]]&lt;&gt;""),1,"")</f>
        <v/>
      </c>
      <c r="AB605" s="66"/>
      <c r="AC605" s="66"/>
      <c r="AD605" s="87">
        <f t="shared" si="9"/>
        <v>605</v>
      </c>
      <c r="AE605" s="109">
        <v>45825</v>
      </c>
    </row>
    <row r="606" spans="1:31" ht="18" customHeight="1" thickBot="1" x14ac:dyDescent="0.4">
      <c r="A606" s="64">
        <v>45255</v>
      </c>
      <c r="B606" s="64">
        <v>44581</v>
      </c>
      <c r="C606" s="106">
        <v>45848</v>
      </c>
      <c r="D606" s="66" t="s">
        <v>309</v>
      </c>
      <c r="E606" s="66" t="s">
        <v>2607</v>
      </c>
      <c r="F606" s="68" t="s">
        <v>2609</v>
      </c>
      <c r="G606" s="66" t="s">
        <v>2608</v>
      </c>
      <c r="H606" s="64">
        <v>81</v>
      </c>
      <c r="I606" s="67" t="s">
        <v>2</v>
      </c>
      <c r="J606" s="97">
        <v>404769404</v>
      </c>
      <c r="K606" s="66"/>
      <c r="L606" s="68"/>
      <c r="M606" s="69">
        <v>3.6</v>
      </c>
      <c r="N606" s="69">
        <v>3.6</v>
      </c>
      <c r="O606" s="70">
        <f>IF(registreGarantie[[#This Row],[date paiement]]="","",registreGarantie[[#This Row],[Pièces 
Demandés]]-registreGarantie[[#This Row],[Pièces 
Remboursés]])</f>
        <v>0</v>
      </c>
      <c r="P606" s="69">
        <v>65.5</v>
      </c>
      <c r="Q606" s="69">
        <v>65.5</v>
      </c>
      <c r="R606" s="70">
        <f>IF(registreGarantie[[#This Row],[date paiement]]="","",registreGarantie[[#This Row],[MO
Demandé]]-registreGarantie[[#This Row],[MO
Remboursé]])</f>
        <v>0</v>
      </c>
      <c r="S606" s="69"/>
      <c r="T606" s="70">
        <f>IF(registreGarantie[[#This Row],[date paiement]]="","",registreGarantie[[#This Row],[MO
Refusé]]+registreGarantie[[#This Row],[Pièces
Refusés]])</f>
        <v>0</v>
      </c>
      <c r="U606" s="106">
        <v>45855</v>
      </c>
      <c r="V606" s="71">
        <f>IF(registreGarantie[[#This Row],[Pièces 
Demandés]]="","",registreGarantie[[#This Row],[Date]])</f>
        <v>45848</v>
      </c>
      <c r="W606" s="103">
        <f>IF(registreGarantie[[#This Row],[Pièces 
Demandés]]="","",IF(registreGarantie[[#This Row],[date paiement]]="","",registreGarantie[[#This Row],[date paiement]]+91))</f>
        <v>45946</v>
      </c>
      <c r="X60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06" s="74">
        <f ca="1">IF(registreGarantie[[#This Row],[Colonne1]]=0,"",IF(TODAY()&gt;registreGarantie[[#This Row],[Date rebus]],0,1))</f>
        <v>1</v>
      </c>
      <c r="Z606" s="66"/>
      <c r="AA606" s="73" t="str">
        <f>IF(AND(registreGarantie[[#This Row],[Montant non remboursé]]&gt;1,registreGarantie[[#This Row],[Montant non remboursé]]&lt;&gt;""),1,"")</f>
        <v/>
      </c>
      <c r="AB606" s="66"/>
      <c r="AC606" s="66"/>
      <c r="AD606" s="87">
        <f t="shared" si="9"/>
        <v>606</v>
      </c>
      <c r="AE606" s="109">
        <v>45846</v>
      </c>
    </row>
    <row r="607" spans="1:31" ht="18" customHeight="1" thickBot="1" x14ac:dyDescent="0.4">
      <c r="A607" s="64">
        <v>45256</v>
      </c>
      <c r="B607" s="64">
        <v>6251</v>
      </c>
      <c r="C607" s="106">
        <v>45848</v>
      </c>
      <c r="D607" s="66" t="s">
        <v>2464</v>
      </c>
      <c r="E607" s="66" t="s">
        <v>2610</v>
      </c>
      <c r="F607" s="68">
        <v>76007283</v>
      </c>
      <c r="G607" s="66" t="s">
        <v>2613</v>
      </c>
      <c r="H607" s="64">
        <v>130</v>
      </c>
      <c r="I607" s="67" t="s">
        <v>2</v>
      </c>
      <c r="J607" s="97">
        <v>404769516</v>
      </c>
      <c r="K607" s="66"/>
      <c r="L607" s="68"/>
      <c r="M607" s="69">
        <v>67.180000000000007</v>
      </c>
      <c r="N607" s="69"/>
      <c r="O607" s="70" t="str">
        <f>IF(registreGarantie[[#This Row],[date paiement]]="","",registreGarantie[[#This Row],[Pièces 
Demandés]]-registreGarantie[[#This Row],[Pièces 
Remboursés]])</f>
        <v/>
      </c>
      <c r="P607" s="69">
        <v>262</v>
      </c>
      <c r="Q607" s="69"/>
      <c r="R607" s="70" t="str">
        <f>IF(registreGarantie[[#This Row],[date paiement]]="","",registreGarantie[[#This Row],[MO
Demandé]]-registreGarantie[[#This Row],[MO
Remboursé]])</f>
        <v/>
      </c>
      <c r="S607" s="69"/>
      <c r="T607" s="70" t="str">
        <f>IF(registreGarantie[[#This Row],[date paiement]]="","",registreGarantie[[#This Row],[MO
Refusé]]+registreGarantie[[#This Row],[Pièces
Refusés]])</f>
        <v/>
      </c>
      <c r="U607" s="106"/>
      <c r="V607" s="71">
        <f>IF(registreGarantie[[#This Row],[Pièces 
Demandés]]="","",registreGarantie[[#This Row],[Date]])</f>
        <v>45848</v>
      </c>
      <c r="W607" s="103" t="str">
        <f>IF(registreGarantie[[#This Row],[Pièces 
Demandés]]="","",IF(registreGarantie[[#This Row],[date paiement]]="","",registreGarantie[[#This Row],[date paiement]]+91))</f>
        <v/>
      </c>
      <c r="X60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7" s="74" t="str">
        <f ca="1">IF(registreGarantie[[#This Row],[Colonne1]]=0,"",IF(TODAY()&gt;registreGarantie[[#This Row],[Date rebus]],0,1))</f>
        <v/>
      </c>
      <c r="Z607" s="66"/>
      <c r="AA607" s="73" t="str">
        <f>IF(AND(registreGarantie[[#This Row],[Montant non remboursé]]&gt;1,registreGarantie[[#This Row],[Montant non remboursé]]&lt;&gt;""),1,"")</f>
        <v/>
      </c>
      <c r="AB607" s="66"/>
      <c r="AC607" s="66"/>
      <c r="AD607" s="87">
        <f t="shared" si="9"/>
        <v>607</v>
      </c>
      <c r="AE607" s="109">
        <v>45831</v>
      </c>
    </row>
    <row r="608" spans="1:31" ht="18" customHeight="1" thickBot="1" x14ac:dyDescent="0.4">
      <c r="A608" s="64">
        <v>45257</v>
      </c>
      <c r="B608" s="64">
        <v>6264</v>
      </c>
      <c r="C608" s="106">
        <v>45853</v>
      </c>
      <c r="D608" s="66" t="s">
        <v>509</v>
      </c>
      <c r="E608" s="66" t="s">
        <v>440</v>
      </c>
      <c r="F608" s="68" t="s">
        <v>2300</v>
      </c>
      <c r="G608" s="66" t="s">
        <v>823</v>
      </c>
      <c r="H608" s="64">
        <v>2332</v>
      </c>
      <c r="I608" s="67" t="s">
        <v>3</v>
      </c>
      <c r="J608" s="97">
        <v>404775451</v>
      </c>
      <c r="K608" s="66"/>
      <c r="L608" s="68"/>
      <c r="M608" s="69">
        <v>466.8</v>
      </c>
      <c r="N608" s="69">
        <v>466.8</v>
      </c>
      <c r="O608" s="70">
        <f>IF(registreGarantie[[#This Row],[date paiement]]="","",registreGarantie[[#This Row],[Pièces 
Demandés]]-registreGarantie[[#This Row],[Pièces 
Remboursés]])</f>
        <v>0</v>
      </c>
      <c r="P608" s="69">
        <v>196.5</v>
      </c>
      <c r="Q608" s="69">
        <v>65.5</v>
      </c>
      <c r="R608" s="70">
        <f>IF(registreGarantie[[#This Row],[date paiement]]="","",registreGarantie[[#This Row],[MO
Demandé]]-registreGarantie[[#This Row],[MO
Remboursé]])</f>
        <v>131</v>
      </c>
      <c r="S608" s="69">
        <v>150</v>
      </c>
      <c r="T608" s="70">
        <f>IF(registreGarantie[[#This Row],[date paiement]]="","",registreGarantie[[#This Row],[MO
Refusé]]+registreGarantie[[#This Row],[Pièces
Refusés]])</f>
        <v>131</v>
      </c>
      <c r="U608" s="106">
        <v>45889</v>
      </c>
      <c r="V608" s="71">
        <f>IF(registreGarantie[[#This Row],[Pièces 
Demandés]]="","",registreGarantie[[#This Row],[Date]])</f>
        <v>45853</v>
      </c>
      <c r="W608" s="103">
        <f>IF(registreGarantie[[#This Row],[Pièces 
Demandés]]="","",IF(registreGarantie[[#This Row],[date paiement]]="","",registreGarantie[[#This Row],[date paiement]]+91))</f>
        <v>45980</v>
      </c>
      <c r="X60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08" s="74">
        <f ca="1">IF(registreGarantie[[#This Row],[Colonne1]]=0,"",IF(TODAY()&gt;registreGarantie[[#This Row],[Date rebus]],0,1))</f>
        <v>1</v>
      </c>
      <c r="Z608" s="66" t="s">
        <v>2706</v>
      </c>
      <c r="AA608" s="73">
        <f>IF(AND(registreGarantie[[#This Row],[Montant non remboursé]]&gt;1,registreGarantie[[#This Row],[Montant non remboursé]]&lt;&gt;""),1,"")</f>
        <v>1</v>
      </c>
      <c r="AB608" s="66"/>
      <c r="AC608" s="66"/>
      <c r="AD608" s="87">
        <f t="shared" si="9"/>
        <v>608</v>
      </c>
      <c r="AE608" s="109">
        <v>45835</v>
      </c>
    </row>
    <row r="609" spans="1:31" ht="18" customHeight="1" thickBot="1" x14ac:dyDescent="0.4">
      <c r="A609" s="64">
        <v>45258</v>
      </c>
      <c r="B609" s="64">
        <v>44588</v>
      </c>
      <c r="C609" s="106">
        <v>45853</v>
      </c>
      <c r="D609" s="66" t="s">
        <v>262</v>
      </c>
      <c r="E609" s="66" t="s">
        <v>263</v>
      </c>
      <c r="F609" s="68" t="s">
        <v>2358</v>
      </c>
      <c r="G609" s="66" t="s">
        <v>2620</v>
      </c>
      <c r="H609" s="64">
        <v>1660</v>
      </c>
      <c r="I609" s="67" t="s">
        <v>21</v>
      </c>
      <c r="J609" s="97" t="s">
        <v>2621</v>
      </c>
      <c r="K609" s="66"/>
      <c r="L609" s="68"/>
      <c r="M609" s="69"/>
      <c r="N609" s="69"/>
      <c r="O609" s="70">
        <f>IF(registreGarantie[[#This Row],[date paiement]]="","",registreGarantie[[#This Row],[Pièces 
Demandés]]-registreGarantie[[#This Row],[Pièces 
Remboursés]])</f>
        <v>0</v>
      </c>
      <c r="P609" s="69">
        <v>212</v>
      </c>
      <c r="Q609" s="69">
        <v>212</v>
      </c>
      <c r="R609" s="70">
        <f>IF(registreGarantie[[#This Row],[date paiement]]="","",registreGarantie[[#This Row],[MO
Demandé]]-registreGarantie[[#This Row],[MO
Remboursé]])</f>
        <v>0</v>
      </c>
      <c r="S609" s="69"/>
      <c r="T609" s="70">
        <f>IF(registreGarantie[[#This Row],[date paiement]]="","",registreGarantie[[#This Row],[MO
Refusé]]+registreGarantie[[#This Row],[Pièces
Refusés]])</f>
        <v>0</v>
      </c>
      <c r="U609" s="106">
        <v>45861</v>
      </c>
      <c r="V609" s="71" t="str">
        <f>IF(registreGarantie[[#This Row],[Pièces 
Demandés]]="","",registreGarantie[[#This Row],[Date]])</f>
        <v/>
      </c>
      <c r="W609" s="103" t="str">
        <f>IF(registreGarantie[[#This Row],[Pièces 
Demandés]]="","",IF(registreGarantie[[#This Row],[date paiement]]="","",registreGarantie[[#This Row],[date paiement]]+91))</f>
        <v/>
      </c>
      <c r="X60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09" s="74" t="str">
        <f ca="1">IF(registreGarantie[[#This Row],[Colonne1]]=0,"",IF(TODAY()&gt;registreGarantie[[#This Row],[Date rebus]],0,1))</f>
        <v/>
      </c>
      <c r="Z609" s="66"/>
      <c r="AA609" s="73" t="str">
        <f>IF(AND(registreGarantie[[#This Row],[Montant non remboursé]]&gt;1,registreGarantie[[#This Row],[Montant non remboursé]]&lt;&gt;""),1,"")</f>
        <v/>
      </c>
      <c r="AB609" s="66"/>
      <c r="AC609" s="66"/>
      <c r="AD609" s="87">
        <f t="shared" si="9"/>
        <v>609</v>
      </c>
      <c r="AE609" s="109">
        <v>45848</v>
      </c>
    </row>
    <row r="610" spans="1:31" ht="18" customHeight="1" thickBot="1" x14ac:dyDescent="0.4">
      <c r="A610" s="64">
        <v>45259</v>
      </c>
      <c r="B610" s="64">
        <v>44592</v>
      </c>
      <c r="C610" s="106">
        <v>45854</v>
      </c>
      <c r="D610" s="66" t="s">
        <v>74</v>
      </c>
      <c r="E610" s="66" t="s">
        <v>367</v>
      </c>
      <c r="F610" s="68" t="s">
        <v>2254</v>
      </c>
      <c r="G610" s="66" t="s">
        <v>2626</v>
      </c>
      <c r="H610" s="64">
        <v>512</v>
      </c>
      <c r="I610" s="67" t="s">
        <v>2</v>
      </c>
      <c r="J610" s="97">
        <v>404776885</v>
      </c>
      <c r="K610" s="66"/>
      <c r="L610" s="68"/>
      <c r="M610" s="69"/>
      <c r="N610" s="69"/>
      <c r="O610" s="70">
        <f>IF(registreGarantie[[#This Row],[date paiement]]="","",registreGarantie[[#This Row],[Pièces 
Demandés]]-registreGarantie[[#This Row],[Pièces 
Remboursés]])</f>
        <v>0</v>
      </c>
      <c r="P610" s="69">
        <v>65.5</v>
      </c>
      <c r="Q610" s="69">
        <v>65.5</v>
      </c>
      <c r="R610" s="70">
        <f>IF(registreGarantie[[#This Row],[date paiement]]="","",registreGarantie[[#This Row],[MO
Demandé]]-registreGarantie[[#This Row],[MO
Remboursé]])</f>
        <v>0</v>
      </c>
      <c r="S610" s="69"/>
      <c r="T610" s="70">
        <f>IF(registreGarantie[[#This Row],[date paiement]]="","",registreGarantie[[#This Row],[MO
Refusé]]+registreGarantie[[#This Row],[Pièces
Refusés]])</f>
        <v>0</v>
      </c>
      <c r="U610" s="106">
        <v>45870</v>
      </c>
      <c r="V610" s="71" t="str">
        <f>IF(registreGarantie[[#This Row],[Pièces 
Demandés]]="","",registreGarantie[[#This Row],[Date]])</f>
        <v/>
      </c>
      <c r="W610" s="103" t="str">
        <f>IF(registreGarantie[[#This Row],[Pièces 
Demandés]]="","",IF(registreGarantie[[#This Row],[date paiement]]="","",registreGarantie[[#This Row],[date paiement]]+91))</f>
        <v/>
      </c>
      <c r="X61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0" s="74" t="str">
        <f ca="1">IF(registreGarantie[[#This Row],[Colonne1]]=0,"",IF(TODAY()&gt;registreGarantie[[#This Row],[Date rebus]],0,1))</f>
        <v/>
      </c>
      <c r="Z610" s="66"/>
      <c r="AA610" s="73" t="str">
        <f>IF(AND(registreGarantie[[#This Row],[Montant non remboursé]]&gt;1,registreGarantie[[#This Row],[Montant non remboursé]]&lt;&gt;""),1,"")</f>
        <v/>
      </c>
      <c r="AB610" s="66"/>
      <c r="AC610" s="66"/>
      <c r="AD610" s="87">
        <f t="shared" si="9"/>
        <v>610</v>
      </c>
      <c r="AE610" s="109">
        <v>45848</v>
      </c>
    </row>
    <row r="611" spans="1:31" ht="18" customHeight="1" thickBot="1" x14ac:dyDescent="0.4">
      <c r="A611" s="64">
        <v>45260</v>
      </c>
      <c r="B611" s="64">
        <v>6190</v>
      </c>
      <c r="C611" s="106">
        <v>45866</v>
      </c>
      <c r="D611" s="66" t="s">
        <v>239</v>
      </c>
      <c r="E611" s="66" t="s">
        <v>546</v>
      </c>
      <c r="F611" s="68">
        <v>78410241</v>
      </c>
      <c r="G611" s="66" t="s">
        <v>182</v>
      </c>
      <c r="H611" s="64">
        <v>1860</v>
      </c>
      <c r="I611" s="67" t="s">
        <v>23</v>
      </c>
      <c r="J611" s="97">
        <v>404796264</v>
      </c>
      <c r="K611" s="66"/>
      <c r="L611" s="68"/>
      <c r="M611" s="69">
        <v>1807.63</v>
      </c>
      <c r="N611" s="69">
        <v>2274.56</v>
      </c>
      <c r="O611" s="70">
        <f>IF(registreGarantie[[#This Row],[date paiement]]="","",registreGarantie[[#This Row],[Pièces 
Demandés]]-registreGarantie[[#This Row],[Pièces 
Remboursés]])</f>
        <v>-466.92999999999984</v>
      </c>
      <c r="P611" s="69">
        <v>743.43</v>
      </c>
      <c r="Q611" s="69">
        <v>743.43</v>
      </c>
      <c r="R611" s="70">
        <f>IF(registreGarantie[[#This Row],[date paiement]]="","",registreGarantie[[#This Row],[MO
Demandé]]-registreGarantie[[#This Row],[MO
Remboursé]])</f>
        <v>0</v>
      </c>
      <c r="S611" s="69"/>
      <c r="T611" s="70">
        <f>IF(registreGarantie[[#This Row],[date paiement]]="","",registreGarantie[[#This Row],[MO
Refusé]]+registreGarantie[[#This Row],[Pièces
Refusés]])</f>
        <v>-466.92999999999984</v>
      </c>
      <c r="U611" s="106">
        <v>45910</v>
      </c>
      <c r="V611" s="71">
        <f>IF(registreGarantie[[#This Row],[Pièces 
Demandés]]="","",registreGarantie[[#This Row],[Date]])</f>
        <v>45866</v>
      </c>
      <c r="W611" s="103">
        <f>IF(registreGarantie[[#This Row],[Pièces 
Demandés]]="","",IF(registreGarantie[[#This Row],[date paiement]]="","",registreGarantie[[#This Row],[date paiement]]+91))</f>
        <v>46001</v>
      </c>
      <c r="X61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1" s="74" t="str">
        <f ca="1">IF(registreGarantie[[#This Row],[Colonne1]]=0,"",IF(TODAY()&gt;registreGarantie[[#This Row],[Date rebus]],0,1))</f>
        <v/>
      </c>
      <c r="Z611" s="66"/>
      <c r="AA611" s="73" t="str">
        <f>IF(AND(registreGarantie[[#This Row],[Montant non remboursé]]&gt;1,registreGarantie[[#This Row],[Montant non remboursé]]&lt;&gt;""),1,"")</f>
        <v/>
      </c>
      <c r="AB611" s="66"/>
      <c r="AC611" s="66"/>
      <c r="AD611" s="87">
        <f t="shared" si="9"/>
        <v>611</v>
      </c>
      <c r="AE611" s="109">
        <v>45792</v>
      </c>
    </row>
    <row r="612" spans="1:31" ht="18" customHeight="1" thickBot="1" x14ac:dyDescent="0.4">
      <c r="A612" s="64">
        <v>45260</v>
      </c>
      <c r="B612" s="64">
        <v>6190</v>
      </c>
      <c r="C612" s="106">
        <v>45866</v>
      </c>
      <c r="D612" s="66" t="s">
        <v>239</v>
      </c>
      <c r="E612" s="66" t="s">
        <v>546</v>
      </c>
      <c r="F612" s="68">
        <v>78410241</v>
      </c>
      <c r="G612" s="66" t="s">
        <v>182</v>
      </c>
      <c r="H612" s="64">
        <v>1860</v>
      </c>
      <c r="I612" s="67" t="s">
        <v>24</v>
      </c>
      <c r="J612" s="97">
        <v>404796360</v>
      </c>
      <c r="K612" s="66"/>
      <c r="L612" s="68"/>
      <c r="M612" s="69">
        <v>2490.54</v>
      </c>
      <c r="N612" s="69">
        <v>2490.54</v>
      </c>
      <c r="O612" s="69">
        <f>IF(registreGarantie[[#This Row],[date paiement]]="","",registreGarantie[[#This Row],[Pièces 
Demandés]]-registreGarantie[[#This Row],[Pièces 
Remboursés]])</f>
        <v>0</v>
      </c>
      <c r="P612" s="69">
        <v>1179</v>
      </c>
      <c r="Q612" s="69">
        <v>1179</v>
      </c>
      <c r="R612" s="70">
        <f>IF(registreGarantie[[#This Row],[date paiement]]="","",registreGarantie[[#This Row],[MO
Demandé]]-registreGarantie[[#This Row],[MO
Remboursé]])</f>
        <v>0</v>
      </c>
      <c r="S612" s="69"/>
      <c r="T612" s="70">
        <f>IF(registreGarantie[[#This Row],[date paiement]]="","",registreGarantie[[#This Row],[MO
Refusé]]+registreGarantie[[#This Row],[Pièces
Refusés]])</f>
        <v>0</v>
      </c>
      <c r="U612" s="106">
        <v>45910</v>
      </c>
      <c r="V612" s="71">
        <f>IF(registreGarantie[[#This Row],[Pièces 
Demandés]]="","",registreGarantie[[#This Row],[Date]])</f>
        <v>45866</v>
      </c>
      <c r="W612" s="103">
        <f>IF(registreGarantie[[#This Row],[Pièces 
Demandés]]="","",IF(registreGarantie[[#This Row],[date paiement]]="","",registreGarantie[[#This Row],[date paiement]]+91))</f>
        <v>46001</v>
      </c>
      <c r="X61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2" s="74" t="str">
        <f ca="1">IF(registreGarantie[[#This Row],[Colonne1]]=0,"",IF(TODAY()&gt;registreGarantie[[#This Row],[Date rebus]],0,1))</f>
        <v/>
      </c>
      <c r="Z612" s="66"/>
      <c r="AA612" s="73" t="str">
        <f>IF(AND(registreGarantie[[#This Row],[Montant non remboursé]]&gt;1,registreGarantie[[#This Row],[Montant non remboursé]]&lt;&gt;""),1,"")</f>
        <v/>
      </c>
      <c r="AB612" s="66"/>
      <c r="AC612" s="66"/>
      <c r="AD612" s="87">
        <f t="shared" si="9"/>
        <v>612</v>
      </c>
      <c r="AE612" s="109"/>
    </row>
    <row r="613" spans="1:31" ht="18" customHeight="1" thickBot="1" x14ac:dyDescent="0.4">
      <c r="A613" s="64">
        <v>45261</v>
      </c>
      <c r="B613" s="64">
        <v>44528</v>
      </c>
      <c r="C613" s="106">
        <v>45866</v>
      </c>
      <c r="D613" s="66" t="s">
        <v>86</v>
      </c>
      <c r="E613" s="66" t="s">
        <v>45</v>
      </c>
      <c r="F613" s="68" t="s">
        <v>2239</v>
      </c>
      <c r="G613" s="66" t="s">
        <v>159</v>
      </c>
      <c r="H613" s="64">
        <v>1334</v>
      </c>
      <c r="I613" s="67" t="s">
        <v>3</v>
      </c>
      <c r="J613" s="97">
        <v>404797325</v>
      </c>
      <c r="K613" s="66"/>
      <c r="L613" s="68" t="s">
        <v>2644</v>
      </c>
      <c r="M613" s="69">
        <v>228.85</v>
      </c>
      <c r="N613" s="69">
        <v>228.85</v>
      </c>
      <c r="O613" s="70">
        <f>IF(registreGarantie[[#This Row],[date paiement]]="","",registreGarantie[[#This Row],[Pièces 
Demandés]]-registreGarantie[[#This Row],[Pièces 
Remboursés]])</f>
        <v>0</v>
      </c>
      <c r="P613" s="69">
        <v>196.5</v>
      </c>
      <c r="Q613" s="69">
        <v>196.5</v>
      </c>
      <c r="R613" s="70">
        <f>IF(registreGarantie[[#This Row],[date paiement]]="","",registreGarantie[[#This Row],[MO
Demandé]]-registreGarantie[[#This Row],[MO
Remboursé]])</f>
        <v>0</v>
      </c>
      <c r="S613" s="69">
        <v>150</v>
      </c>
      <c r="T613" s="70">
        <f>IF(registreGarantie[[#This Row],[date paiement]]="","",registreGarantie[[#This Row],[MO
Refusé]]+registreGarantie[[#This Row],[Pièces
Refusés]])</f>
        <v>0</v>
      </c>
      <c r="U613" s="106">
        <v>45870</v>
      </c>
      <c r="V613" s="71">
        <f>IF(registreGarantie[[#This Row],[Pièces 
Demandés]]="","",registreGarantie[[#This Row],[Date]])</f>
        <v>45866</v>
      </c>
      <c r="W613" s="103">
        <f>IF(registreGarantie[[#This Row],[Pièces 
Demandés]]="","",IF(registreGarantie[[#This Row],[date paiement]]="","",registreGarantie[[#This Row],[date paiement]]+91))</f>
        <v>45961</v>
      </c>
      <c r="X61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13" s="74">
        <f ca="1">IF(registreGarantie[[#This Row],[Colonne1]]=0,"",IF(TODAY()&gt;registreGarantie[[#This Row],[Date rebus]],0,1))</f>
        <v>1</v>
      </c>
      <c r="Z613" s="66"/>
      <c r="AA613" s="73" t="str">
        <f>IF(AND(registreGarantie[[#This Row],[Montant non remboursé]]&gt;1,registreGarantie[[#This Row],[Montant non remboursé]]&lt;&gt;""),1,"")</f>
        <v/>
      </c>
      <c r="AB613" s="66"/>
      <c r="AC613" s="66"/>
      <c r="AD613" s="87">
        <f t="shared" si="9"/>
        <v>613</v>
      </c>
      <c r="AE613" s="109">
        <v>45835</v>
      </c>
    </row>
    <row r="614" spans="1:31" ht="18" customHeight="1" thickBot="1" x14ac:dyDescent="0.4">
      <c r="A614" s="64">
        <v>45262</v>
      </c>
      <c r="B614" s="64">
        <v>44542</v>
      </c>
      <c r="C614" s="106">
        <v>45915</v>
      </c>
      <c r="D614" s="66" t="s">
        <v>236</v>
      </c>
      <c r="E614" s="66" t="s">
        <v>2145</v>
      </c>
      <c r="F614" s="68" t="s">
        <v>2631</v>
      </c>
      <c r="G614" s="66" t="s">
        <v>2632</v>
      </c>
      <c r="H614" s="64"/>
      <c r="I614" s="67" t="s">
        <v>21</v>
      </c>
      <c r="J614" s="97" t="s">
        <v>2771</v>
      </c>
      <c r="K614" s="66"/>
      <c r="L614" s="68"/>
      <c r="M614" s="69">
        <v>350</v>
      </c>
      <c r="N614" s="69">
        <v>350</v>
      </c>
      <c r="O614" s="70">
        <f>IF(registreGarantie[[#This Row],[date paiement]]="","",registreGarantie[[#This Row],[Pièces 
Demandés]]-registreGarantie[[#This Row],[Pièces 
Remboursés]])</f>
        <v>0</v>
      </c>
      <c r="P614" s="69">
        <v>413</v>
      </c>
      <c r="Q614" s="69">
        <v>413</v>
      </c>
      <c r="R614" s="70">
        <f>IF(registreGarantie[[#This Row],[date paiement]]="","",registreGarantie[[#This Row],[MO
Demandé]]-registreGarantie[[#This Row],[MO
Remboursé]])</f>
        <v>0</v>
      </c>
      <c r="S614" s="69"/>
      <c r="T614" s="70">
        <f>IF(registreGarantie[[#This Row],[date paiement]]="","",registreGarantie[[#This Row],[MO
Refusé]]+registreGarantie[[#This Row],[Pièces
Refusés]])</f>
        <v>0</v>
      </c>
      <c r="U614" s="106">
        <v>45926</v>
      </c>
      <c r="V614" s="71">
        <f>IF(registreGarantie[[#This Row],[Pièces 
Demandés]]="","",registreGarantie[[#This Row],[Date]])</f>
        <v>45915</v>
      </c>
      <c r="W614" s="103">
        <f>IF(registreGarantie[[#This Row],[Pièces 
Demandés]]="","",IF(registreGarantie[[#This Row],[date paiement]]="","",registreGarantie[[#This Row],[date paiement]]+91))</f>
        <v>46017</v>
      </c>
      <c r="X61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4" s="74" t="str">
        <f ca="1">IF(registreGarantie[[#This Row],[Colonne1]]=0,"",IF(TODAY()&gt;registreGarantie[[#This Row],[Date rebus]],0,1))</f>
        <v/>
      </c>
      <c r="Z614" s="66"/>
      <c r="AA614" s="73" t="str">
        <f>IF(AND(registreGarantie[[#This Row],[Montant non remboursé]]&gt;1,registreGarantie[[#This Row],[Montant non remboursé]]&lt;&gt;""),1,"")</f>
        <v/>
      </c>
      <c r="AB614" s="66"/>
      <c r="AC614" s="66"/>
      <c r="AD614" s="87">
        <f t="shared" si="9"/>
        <v>614</v>
      </c>
      <c r="AE614" s="109">
        <v>45838</v>
      </c>
    </row>
    <row r="615" spans="1:31" ht="18" customHeight="1" thickBot="1" x14ac:dyDescent="0.4">
      <c r="A615" s="64">
        <v>45263</v>
      </c>
      <c r="B615" s="64">
        <v>44551</v>
      </c>
      <c r="C615" s="106">
        <v>45867</v>
      </c>
      <c r="D615" s="66" t="s">
        <v>1536</v>
      </c>
      <c r="E615" s="66" t="s">
        <v>75</v>
      </c>
      <c r="F615" s="68" t="s">
        <v>2280</v>
      </c>
      <c r="G615" s="66" t="s">
        <v>2633</v>
      </c>
      <c r="H615" s="64"/>
      <c r="I615" s="67" t="s">
        <v>3</v>
      </c>
      <c r="J615" s="97" t="s">
        <v>2645</v>
      </c>
      <c r="K615" s="66"/>
      <c r="L615" s="68"/>
      <c r="M615" s="69"/>
      <c r="N615" s="69"/>
      <c r="O615" s="70" t="str">
        <f>IF(registreGarantie[[#This Row],[date paiement]]="","",registreGarantie[[#This Row],[Pièces 
Demandés]]-registreGarantie[[#This Row],[Pièces 
Remboursés]])</f>
        <v/>
      </c>
      <c r="P615" s="69"/>
      <c r="Q615" s="69"/>
      <c r="R615" s="70" t="str">
        <f>IF(registreGarantie[[#This Row],[date paiement]]="","",registreGarantie[[#This Row],[MO
Demandé]]-registreGarantie[[#This Row],[MO
Remboursé]])</f>
        <v/>
      </c>
      <c r="S615" s="69"/>
      <c r="T615" s="70" t="str">
        <f>IF(registreGarantie[[#This Row],[date paiement]]="","",registreGarantie[[#This Row],[MO
Refusé]]+registreGarantie[[#This Row],[Pièces
Refusés]])</f>
        <v/>
      </c>
      <c r="U615" s="106"/>
      <c r="V615" s="71" t="str">
        <f>IF(registreGarantie[[#This Row],[Pièces 
Demandés]]="","",registreGarantie[[#This Row],[Date]])</f>
        <v/>
      </c>
      <c r="W615" s="103" t="str">
        <f>IF(registreGarantie[[#This Row],[Pièces 
Demandés]]="","",IF(registreGarantie[[#This Row],[date paiement]]="","",registreGarantie[[#This Row],[date paiement]]+91))</f>
        <v/>
      </c>
      <c r="X61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5" s="74" t="str">
        <f ca="1">IF(registreGarantie[[#This Row],[Colonne1]]=0,"",IF(TODAY()&gt;registreGarantie[[#This Row],[Date rebus]],0,1))</f>
        <v/>
      </c>
      <c r="Z615" s="66"/>
      <c r="AA615" s="73" t="str">
        <f>IF(AND(registreGarantie[[#This Row],[Montant non remboursé]]&gt;1,registreGarantie[[#This Row],[Montant non remboursé]]&lt;&gt;""),1,"")</f>
        <v/>
      </c>
      <c r="AB615" s="66"/>
      <c r="AC615" s="66"/>
      <c r="AD615" s="87">
        <f t="shared" si="9"/>
        <v>615</v>
      </c>
      <c r="AE615" s="109">
        <v>45839</v>
      </c>
    </row>
    <row r="616" spans="1:31" ht="18" customHeight="1" thickBot="1" x14ac:dyDescent="0.4">
      <c r="A616" s="64">
        <v>45264</v>
      </c>
      <c r="B616" s="64">
        <v>44547</v>
      </c>
      <c r="C616" s="106">
        <v>45866</v>
      </c>
      <c r="D616" s="66" t="s">
        <v>1536</v>
      </c>
      <c r="E616" s="66" t="s">
        <v>75</v>
      </c>
      <c r="F616" s="68" t="s">
        <v>2280</v>
      </c>
      <c r="G616" s="66" t="s">
        <v>2634</v>
      </c>
      <c r="H616" s="64">
        <v>865</v>
      </c>
      <c r="I616" s="67" t="s">
        <v>3</v>
      </c>
      <c r="J616" s="97">
        <v>404797355</v>
      </c>
      <c r="K616" s="66"/>
      <c r="L616" s="68"/>
      <c r="M616" s="69">
        <v>200.48</v>
      </c>
      <c r="N616" s="69">
        <v>200.48</v>
      </c>
      <c r="O616" s="70">
        <f>IF(registreGarantie[[#This Row],[date paiement]]="","",registreGarantie[[#This Row],[Pièces 
Demandés]]-registreGarantie[[#This Row],[Pièces 
Remboursés]])</f>
        <v>0</v>
      </c>
      <c r="P616" s="69">
        <v>327.5</v>
      </c>
      <c r="Q616" s="69">
        <v>327.5</v>
      </c>
      <c r="R616" s="70">
        <f>IF(registreGarantie[[#This Row],[date paiement]]="","",registreGarantie[[#This Row],[MO
Demandé]]-registreGarantie[[#This Row],[MO
Remboursé]])</f>
        <v>0</v>
      </c>
      <c r="S616" s="69">
        <v>150</v>
      </c>
      <c r="T616" s="70">
        <f>IF(registreGarantie[[#This Row],[date paiement]]="","",registreGarantie[[#This Row],[MO
Refusé]]+registreGarantie[[#This Row],[Pièces
Refusés]])</f>
        <v>0</v>
      </c>
      <c r="U616" s="106">
        <v>45870</v>
      </c>
      <c r="V616" s="71">
        <f>IF(registreGarantie[[#This Row],[Pièces 
Demandés]]="","",registreGarantie[[#This Row],[Date]])</f>
        <v>45866</v>
      </c>
      <c r="W616" s="103">
        <f>IF(registreGarantie[[#This Row],[Pièces 
Demandés]]="","",IF(registreGarantie[[#This Row],[date paiement]]="","",registreGarantie[[#This Row],[date paiement]]+91))</f>
        <v>45961</v>
      </c>
      <c r="X61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16" s="74">
        <f ca="1">IF(registreGarantie[[#This Row],[Colonne1]]=0,"",IF(TODAY()&gt;registreGarantie[[#This Row],[Date rebus]],0,1))</f>
        <v>1</v>
      </c>
      <c r="Z616" s="66"/>
      <c r="AA616" s="73" t="str">
        <f>IF(AND(registreGarantie[[#This Row],[Montant non remboursé]]&gt;1,registreGarantie[[#This Row],[Montant non remboursé]]&lt;&gt;""),1,"")</f>
        <v/>
      </c>
      <c r="AB616" s="66"/>
      <c r="AC616" s="66"/>
      <c r="AD616" s="87">
        <f t="shared" si="9"/>
        <v>616</v>
      </c>
      <c r="AE616" s="109">
        <v>45839</v>
      </c>
    </row>
    <row r="617" spans="1:31" ht="18" customHeight="1" thickBot="1" x14ac:dyDescent="0.4">
      <c r="A617" s="64">
        <v>45265</v>
      </c>
      <c r="B617" s="64">
        <v>44566</v>
      </c>
      <c r="C617" s="106">
        <v>45867</v>
      </c>
      <c r="D617" s="66" t="s">
        <v>1097</v>
      </c>
      <c r="E617" s="66" t="s">
        <v>106</v>
      </c>
      <c r="F617" s="68" t="s">
        <v>2316</v>
      </c>
      <c r="G617" s="66" t="s">
        <v>2635</v>
      </c>
      <c r="H617" s="64">
        <v>3620</v>
      </c>
      <c r="I617" s="67" t="s">
        <v>15</v>
      </c>
      <c r="J617" s="97">
        <v>404798284</v>
      </c>
      <c r="K617" s="66"/>
      <c r="L617" s="68"/>
      <c r="M617" s="69">
        <v>131.57</v>
      </c>
      <c r="N617" s="69">
        <v>131.57</v>
      </c>
      <c r="O617" s="70">
        <f>IF(registreGarantie[[#This Row],[date paiement]]="","",registreGarantie[[#This Row],[Pièces 
Demandés]]-registreGarantie[[#This Row],[Pièces 
Remboursés]])</f>
        <v>0</v>
      </c>
      <c r="P617" s="69">
        <v>393</v>
      </c>
      <c r="Q617" s="69">
        <v>262</v>
      </c>
      <c r="R617" s="70">
        <f>IF(registreGarantie[[#This Row],[date paiement]]="","",registreGarantie[[#This Row],[MO
Demandé]]-registreGarantie[[#This Row],[MO
Remboursé]])</f>
        <v>131</v>
      </c>
      <c r="S617" s="69"/>
      <c r="T617" s="70">
        <f>IF(registreGarantie[[#This Row],[date paiement]]="","",registreGarantie[[#This Row],[MO
Refusé]]+registreGarantie[[#This Row],[Pièces
Refusés]])</f>
        <v>131</v>
      </c>
      <c r="U617" s="106">
        <v>45870</v>
      </c>
      <c r="V617" s="71">
        <f>IF(registreGarantie[[#This Row],[Pièces 
Demandés]]="","",registreGarantie[[#This Row],[Date]])</f>
        <v>45867</v>
      </c>
      <c r="W617" s="103">
        <f>IF(registreGarantie[[#This Row],[Pièces 
Demandés]]="","",IF(registreGarantie[[#This Row],[date paiement]]="","",registreGarantie[[#This Row],[date paiement]]+91))</f>
        <v>45961</v>
      </c>
      <c r="X61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17" s="74">
        <f ca="1">IF(registreGarantie[[#This Row],[Colonne1]]=0,"",IF(TODAY()&gt;registreGarantie[[#This Row],[Date rebus]],0,1))</f>
        <v>1</v>
      </c>
      <c r="Z617" s="66"/>
      <c r="AA617" s="73">
        <f>IF(AND(registreGarantie[[#This Row],[Montant non remboursé]]&gt;1,registreGarantie[[#This Row],[Montant non remboursé]]&lt;&gt;""),1,"")</f>
        <v>1</v>
      </c>
      <c r="AB617" s="66"/>
      <c r="AC617" s="66"/>
      <c r="AD617" s="87">
        <f t="shared" si="9"/>
        <v>617</v>
      </c>
      <c r="AE617" s="109">
        <v>45845</v>
      </c>
    </row>
    <row r="618" spans="1:31" ht="18" customHeight="1" thickBot="1" x14ac:dyDescent="0.4">
      <c r="A618" s="64">
        <v>45266</v>
      </c>
      <c r="B618" s="64">
        <v>6280</v>
      </c>
      <c r="C618" s="106">
        <v>45866</v>
      </c>
      <c r="D618" s="66" t="s">
        <v>239</v>
      </c>
      <c r="E618" s="66" t="s">
        <v>546</v>
      </c>
      <c r="F618" s="68">
        <v>78410241</v>
      </c>
      <c r="G618" s="66" t="s">
        <v>2033</v>
      </c>
      <c r="H618" s="64" t="s">
        <v>2637</v>
      </c>
      <c r="I618" s="67" t="s">
        <v>3</v>
      </c>
      <c r="J618" s="97">
        <v>404796111</v>
      </c>
      <c r="K618" s="66"/>
      <c r="L618" s="68"/>
      <c r="M618" s="69">
        <v>90.48</v>
      </c>
      <c r="N618" s="69">
        <v>90.48</v>
      </c>
      <c r="O618" s="70">
        <f>IF(registreGarantie[[#This Row],[date paiement]]="","",registreGarantie[[#This Row],[Pièces 
Demandés]]-registreGarantie[[#This Row],[Pièces 
Remboursés]])</f>
        <v>0</v>
      </c>
      <c r="P618" s="69">
        <v>294.75</v>
      </c>
      <c r="Q618" s="69">
        <v>294.75</v>
      </c>
      <c r="R618" s="70">
        <f>IF(registreGarantie[[#This Row],[date paiement]]="","",registreGarantie[[#This Row],[MO
Demandé]]-registreGarantie[[#This Row],[MO
Remboursé]])</f>
        <v>0</v>
      </c>
      <c r="S618" s="69"/>
      <c r="T618" s="70">
        <f>IF(registreGarantie[[#This Row],[date paiement]]="","",registreGarantie[[#This Row],[MO
Refusé]]+registreGarantie[[#This Row],[Pièces
Refusés]])</f>
        <v>0</v>
      </c>
      <c r="U618" s="106">
        <v>45870</v>
      </c>
      <c r="V618" s="71">
        <f>IF(registreGarantie[[#This Row],[Pièces 
Demandés]]="","",registreGarantie[[#This Row],[Date]])</f>
        <v>45866</v>
      </c>
      <c r="W618" s="103">
        <f>IF(registreGarantie[[#This Row],[Pièces 
Demandés]]="","",IF(registreGarantie[[#This Row],[date paiement]]="","",registreGarantie[[#This Row],[date paiement]]+91))</f>
        <v>45961</v>
      </c>
      <c r="X61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18" s="74">
        <f ca="1">IF(registreGarantie[[#This Row],[Colonne1]]=0,"",IF(TODAY()&gt;registreGarantie[[#This Row],[Date rebus]],0,1))</f>
        <v>1</v>
      </c>
      <c r="Z618" s="66"/>
      <c r="AA618" s="73" t="str">
        <f>IF(AND(registreGarantie[[#This Row],[Montant non remboursé]]&gt;1,registreGarantie[[#This Row],[Montant non remboursé]]&lt;&gt;""),1,"")</f>
        <v/>
      </c>
      <c r="AB618" s="66"/>
      <c r="AC618" s="66"/>
      <c r="AD618" s="87">
        <f t="shared" si="9"/>
        <v>618</v>
      </c>
      <c r="AE618" s="109">
        <v>45846</v>
      </c>
    </row>
    <row r="619" spans="1:31" ht="18" customHeight="1" thickBot="1" x14ac:dyDescent="0.4">
      <c r="A619" s="64">
        <v>45267</v>
      </c>
      <c r="B619" s="64">
        <v>44589</v>
      </c>
      <c r="C619" s="106">
        <v>45868</v>
      </c>
      <c r="D619" s="66" t="s">
        <v>262</v>
      </c>
      <c r="E619" s="66" t="s">
        <v>596</v>
      </c>
      <c r="F619" s="68" t="s">
        <v>2654</v>
      </c>
      <c r="G619" s="66" t="s">
        <v>2655</v>
      </c>
      <c r="H619" s="64">
        <v>1679</v>
      </c>
      <c r="I619" s="67" t="s">
        <v>21</v>
      </c>
      <c r="J619" s="97" t="s">
        <v>2656</v>
      </c>
      <c r="K619" s="66"/>
      <c r="L619" s="68"/>
      <c r="M619" s="69">
        <v>22.3</v>
      </c>
      <c r="N619" s="69"/>
      <c r="O619" s="70" t="str">
        <f>IF(registreGarantie[[#This Row],[date paiement]]="","",registreGarantie[[#This Row],[Pièces 
Demandés]]-registreGarantie[[#This Row],[Pièces 
Remboursés]])</f>
        <v/>
      </c>
      <c r="P619" s="69">
        <v>106</v>
      </c>
      <c r="Q619" s="69"/>
      <c r="R619" s="70" t="str">
        <f>IF(registreGarantie[[#This Row],[date paiement]]="","",registreGarantie[[#This Row],[MO
Demandé]]-registreGarantie[[#This Row],[MO
Remboursé]])</f>
        <v/>
      </c>
      <c r="S619" s="69"/>
      <c r="T619" s="70" t="str">
        <f>IF(registreGarantie[[#This Row],[date paiement]]="","",registreGarantie[[#This Row],[MO
Refusé]]+registreGarantie[[#This Row],[Pièces
Refusés]])</f>
        <v/>
      </c>
      <c r="U619" s="106"/>
      <c r="V619" s="71"/>
      <c r="W619" s="103" t="str">
        <f>IF(registreGarantie[[#This Row],[Pièces 
Demandés]]="","",IF(registreGarantie[[#This Row],[date paiement]]="","",registreGarantie[[#This Row],[date paiement]]+91))</f>
        <v/>
      </c>
      <c r="X61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19" s="74" t="str">
        <f ca="1">IF(registreGarantie[[#This Row],[Colonne1]]=0,"",IF(TODAY()&gt;registreGarantie[[#This Row],[Date rebus]],0,1))</f>
        <v/>
      </c>
      <c r="Z619" s="66"/>
      <c r="AA619" s="73" t="str">
        <f>IF(AND(registreGarantie[[#This Row],[Montant non remboursé]]&gt;1,registreGarantie[[#This Row],[Montant non remboursé]]&lt;&gt;""),1,"")</f>
        <v/>
      </c>
      <c r="AB619" s="66"/>
      <c r="AC619" s="66"/>
      <c r="AD619" s="87">
        <f t="shared" si="9"/>
        <v>619</v>
      </c>
      <c r="AE619" s="109">
        <v>45848</v>
      </c>
    </row>
    <row r="620" spans="1:31" ht="18" customHeight="1" thickBot="1" x14ac:dyDescent="0.4">
      <c r="A620" s="64">
        <v>45268</v>
      </c>
      <c r="B620" s="64">
        <v>44461</v>
      </c>
      <c r="C620" s="106">
        <v>45869</v>
      </c>
      <c r="D620" s="66" t="s">
        <v>41</v>
      </c>
      <c r="E620" s="66" t="s">
        <v>181</v>
      </c>
      <c r="F620" s="68" t="s">
        <v>2526</v>
      </c>
      <c r="G620" s="66" t="s">
        <v>58</v>
      </c>
      <c r="H620" s="64">
        <v>114</v>
      </c>
      <c r="I620" s="67" t="s">
        <v>18</v>
      </c>
      <c r="J620" s="97">
        <v>404801607</v>
      </c>
      <c r="K620" s="66"/>
      <c r="L620" s="68"/>
      <c r="M620" s="69"/>
      <c r="N620" s="69"/>
      <c r="O620" s="70" t="str">
        <f>IF(registreGarantie[[#This Row],[date paiement]]="","",registreGarantie[[#This Row],[Pièces 
Demandés]]-registreGarantie[[#This Row],[Pièces 
Remboursés]])</f>
        <v/>
      </c>
      <c r="P620" s="69"/>
      <c r="Q620" s="69"/>
      <c r="R620" s="70" t="str">
        <f>IF(registreGarantie[[#This Row],[date paiement]]="","",registreGarantie[[#This Row],[MO
Demandé]]-registreGarantie[[#This Row],[MO
Remboursé]])</f>
        <v/>
      </c>
      <c r="S620" s="69"/>
      <c r="T620" s="70" t="str">
        <f>IF(registreGarantie[[#This Row],[date paiement]]="","",registreGarantie[[#This Row],[MO
Refusé]]+registreGarantie[[#This Row],[Pièces
Refusés]])</f>
        <v/>
      </c>
      <c r="U620" s="106"/>
      <c r="V620" s="71"/>
      <c r="W620" s="103" t="str">
        <f>IF(registreGarantie[[#This Row],[Pièces 
Demandés]]="","",IF(registreGarantie[[#This Row],[date paiement]]="","",registreGarantie[[#This Row],[date paiement]]+91))</f>
        <v/>
      </c>
      <c r="X62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0" s="74" t="str">
        <f ca="1">IF(registreGarantie[[#This Row],[Colonne1]]=0,"",IF(TODAY()&gt;registreGarantie[[#This Row],[Date rebus]],0,1))</f>
        <v/>
      </c>
      <c r="Z620" s="66"/>
      <c r="AA620" s="73" t="str">
        <f>IF(AND(registreGarantie[[#This Row],[Montant non remboursé]]&gt;1,registreGarantie[[#This Row],[Montant non remboursé]]&lt;&gt;""),1,"")</f>
        <v/>
      </c>
      <c r="AB620" s="66"/>
      <c r="AC620" s="66"/>
      <c r="AD620" s="87">
        <f t="shared" si="9"/>
        <v>620</v>
      </c>
      <c r="AE620" s="109">
        <v>45824</v>
      </c>
    </row>
    <row r="621" spans="1:31" ht="18" customHeight="1" thickBot="1" x14ac:dyDescent="0.4">
      <c r="A621" s="64">
        <v>45269</v>
      </c>
      <c r="B621" s="64">
        <v>44622</v>
      </c>
      <c r="C621" s="106">
        <v>45869</v>
      </c>
      <c r="D621" s="66" t="s">
        <v>446</v>
      </c>
      <c r="E621" s="66" t="s">
        <v>75</v>
      </c>
      <c r="F621" s="68" t="s">
        <v>2324</v>
      </c>
      <c r="G621" s="66" t="s">
        <v>671</v>
      </c>
      <c r="H621" s="64">
        <v>1018</v>
      </c>
      <c r="I621" s="67" t="s">
        <v>23</v>
      </c>
      <c r="J621" s="97">
        <v>404802306</v>
      </c>
      <c r="K621" s="66"/>
      <c r="L621" s="68"/>
      <c r="M621" s="69">
        <v>496.65</v>
      </c>
      <c r="N621" s="69">
        <v>735.34</v>
      </c>
      <c r="O621" s="70">
        <f>IF(registreGarantie[[#This Row],[date paiement]]="","",registreGarantie[[#This Row],[Pièces 
Demandés]]-registreGarantie[[#This Row],[Pièces 
Remboursés]])</f>
        <v>-238.69000000000005</v>
      </c>
      <c r="P621" s="69">
        <v>327.5</v>
      </c>
      <c r="Q621" s="69">
        <v>327.5</v>
      </c>
      <c r="R621" s="70">
        <f>IF(registreGarantie[[#This Row],[date paiement]]="","",registreGarantie[[#This Row],[MO
Demandé]]-registreGarantie[[#This Row],[MO
Remboursé]])</f>
        <v>0</v>
      </c>
      <c r="S621" s="69"/>
      <c r="T621" s="70">
        <f>IF(registreGarantie[[#This Row],[date paiement]]="","",registreGarantie[[#This Row],[MO
Refusé]]+registreGarantie[[#This Row],[Pièces
Refusés]])</f>
        <v>-238.69000000000005</v>
      </c>
      <c r="U621" s="106">
        <v>45910</v>
      </c>
      <c r="V621" s="71"/>
      <c r="W621" s="103">
        <f>IF(registreGarantie[[#This Row],[Pièces 
Demandés]]="","",IF(registreGarantie[[#This Row],[date paiement]]="","",registreGarantie[[#This Row],[date paiement]]+91))</f>
        <v>46001</v>
      </c>
      <c r="X62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1" s="74" t="str">
        <f ca="1">IF(registreGarantie[[#This Row],[Colonne1]]=0,"",IF(TODAY()&gt;registreGarantie[[#This Row],[Date rebus]],0,1))</f>
        <v/>
      </c>
      <c r="Z621" s="66"/>
      <c r="AA621" s="73" t="str">
        <f>IF(AND(registreGarantie[[#This Row],[Montant non remboursé]]&gt;1,registreGarantie[[#This Row],[Montant non remboursé]]&lt;&gt;""),1,"")</f>
        <v/>
      </c>
      <c r="AB621" s="66"/>
      <c r="AC621" s="66"/>
      <c r="AD621" s="87">
        <f t="shared" si="9"/>
        <v>621</v>
      </c>
      <c r="AE621" s="109">
        <v>45859</v>
      </c>
    </row>
    <row r="622" spans="1:31" ht="18" customHeight="1" thickBot="1" x14ac:dyDescent="0.4">
      <c r="A622" s="64">
        <v>45269</v>
      </c>
      <c r="B622" s="64">
        <v>44622</v>
      </c>
      <c r="C622" s="106">
        <v>45869</v>
      </c>
      <c r="D622" s="66" t="s">
        <v>446</v>
      </c>
      <c r="E622" s="66" t="s">
        <v>75</v>
      </c>
      <c r="F622" s="68" t="s">
        <v>2324</v>
      </c>
      <c r="G622" s="66" t="s">
        <v>671</v>
      </c>
      <c r="H622" s="64">
        <v>1018</v>
      </c>
      <c r="I622" s="67" t="s">
        <v>24</v>
      </c>
      <c r="J622" s="97">
        <v>404802420</v>
      </c>
      <c r="K622" s="66"/>
      <c r="L622" s="68"/>
      <c r="M622" s="69">
        <v>508.89</v>
      </c>
      <c r="N622" s="69">
        <v>735.34</v>
      </c>
      <c r="O622" s="69">
        <f>IF(registreGarantie[[#This Row],[date paiement]]="","",registreGarantie[[#This Row],[Pièces 
Demandés]]-registreGarantie[[#This Row],[Pièces 
Remboursés]])</f>
        <v>-226.45000000000005</v>
      </c>
      <c r="P622" s="69">
        <v>458.5</v>
      </c>
      <c r="Q622" s="69">
        <v>327.5</v>
      </c>
      <c r="R622" s="70">
        <f>IF(registreGarantie[[#This Row],[date paiement]]="","",registreGarantie[[#This Row],[MO
Demandé]]-registreGarantie[[#This Row],[MO
Remboursé]])</f>
        <v>131</v>
      </c>
      <c r="S622" s="69"/>
      <c r="T622" s="70">
        <f>IF(registreGarantie[[#This Row],[date paiement]]="","",registreGarantie[[#This Row],[MO
Refusé]]+registreGarantie[[#This Row],[Pièces
Refusés]])</f>
        <v>-95.450000000000045</v>
      </c>
      <c r="U622" s="106">
        <v>45910</v>
      </c>
      <c r="V622" s="71">
        <f>IF(registreGarantie[[#This Row],[Pièces 
Demandés]]="","",registreGarantie[[#This Row],[Date]])</f>
        <v>45869</v>
      </c>
      <c r="W622" s="103">
        <f>IF(registreGarantie[[#This Row],[Pièces 
Demandés]]="","",IF(registreGarantie[[#This Row],[date paiement]]="","",registreGarantie[[#This Row],[date paiement]]+91))</f>
        <v>46001</v>
      </c>
      <c r="X62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2" s="74" t="str">
        <f ca="1">IF(registreGarantie[[#This Row],[Colonne1]]=0,"",IF(TODAY()&gt;registreGarantie[[#This Row],[Date rebus]],0,1))</f>
        <v/>
      </c>
      <c r="Z622" s="66"/>
      <c r="AA622" s="73" t="str">
        <f>IF(AND(registreGarantie[[#This Row],[Montant non remboursé]]&gt;1,registreGarantie[[#This Row],[Montant non remboursé]]&lt;&gt;""),1,"")</f>
        <v/>
      </c>
      <c r="AB622" s="66"/>
      <c r="AC622" s="66"/>
      <c r="AD622" s="87">
        <f t="shared" si="9"/>
        <v>622</v>
      </c>
      <c r="AE622" s="109">
        <v>45859</v>
      </c>
    </row>
    <row r="623" spans="1:31" ht="18" customHeight="1" thickBot="1" x14ac:dyDescent="0.4">
      <c r="A623" s="64">
        <v>45270</v>
      </c>
      <c r="B623" s="64">
        <v>44638</v>
      </c>
      <c r="C623" s="106">
        <v>45870</v>
      </c>
      <c r="D623" s="66" t="s">
        <v>41</v>
      </c>
      <c r="E623" s="66" t="s">
        <v>181</v>
      </c>
      <c r="F623" s="68" t="s">
        <v>2526</v>
      </c>
      <c r="G623" s="66" t="s">
        <v>2664</v>
      </c>
      <c r="H623" s="64">
        <v>114</v>
      </c>
      <c r="I623" s="67" t="s">
        <v>20</v>
      </c>
      <c r="J623" s="97">
        <v>404803733</v>
      </c>
      <c r="K623" s="66"/>
      <c r="L623" s="68"/>
      <c r="M623" s="69"/>
      <c r="N623" s="69"/>
      <c r="O623" s="70" t="str">
        <f>IF(registreGarantie[[#This Row],[date paiement]]="","",registreGarantie[[#This Row],[Pièces 
Demandés]]-registreGarantie[[#This Row],[Pièces 
Remboursés]])</f>
        <v/>
      </c>
      <c r="P623" s="69"/>
      <c r="Q623" s="69"/>
      <c r="R623" s="70" t="str">
        <f>IF(registreGarantie[[#This Row],[date paiement]]="","",registreGarantie[[#This Row],[MO
Demandé]]-registreGarantie[[#This Row],[MO
Remboursé]])</f>
        <v/>
      </c>
      <c r="S623" s="69"/>
      <c r="T623" s="70" t="str">
        <f>IF(registreGarantie[[#This Row],[date paiement]]="","",registreGarantie[[#This Row],[MO
Refusé]]+registreGarantie[[#This Row],[Pièces
Refusés]])</f>
        <v/>
      </c>
      <c r="U623" s="106"/>
      <c r="V623" s="71"/>
      <c r="W623" s="103" t="str">
        <f>IF(registreGarantie[[#This Row],[Pièces 
Demandés]]="","",IF(registreGarantie[[#This Row],[date paiement]]="","",registreGarantie[[#This Row],[date paiement]]+91))</f>
        <v/>
      </c>
      <c r="X62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3" s="74" t="str">
        <f ca="1">IF(registreGarantie[[#This Row],[Colonne1]]=0,"",IF(TODAY()&gt;registreGarantie[[#This Row],[Date rebus]],0,1))</f>
        <v/>
      </c>
      <c r="Z623" s="66"/>
      <c r="AA623" s="73" t="str">
        <f>IF(AND(registreGarantie[[#This Row],[Montant non remboursé]]&gt;1,registreGarantie[[#This Row],[Montant non remboursé]]&lt;&gt;""),1,"")</f>
        <v/>
      </c>
      <c r="AB623" s="66"/>
      <c r="AC623" s="66"/>
      <c r="AD623" s="87">
        <f t="shared" si="9"/>
        <v>623</v>
      </c>
      <c r="AE623" s="109">
        <v>45861</v>
      </c>
    </row>
    <row r="624" spans="1:31" ht="18" customHeight="1" thickBot="1" x14ac:dyDescent="0.4">
      <c r="A624" s="64">
        <v>45270</v>
      </c>
      <c r="B624" s="64">
        <v>44638</v>
      </c>
      <c r="C624" s="106">
        <v>45870</v>
      </c>
      <c r="D624" s="66" t="s">
        <v>41</v>
      </c>
      <c r="E624" s="66" t="s">
        <v>181</v>
      </c>
      <c r="F624" s="68" t="s">
        <v>2526</v>
      </c>
      <c r="G624" s="66" t="s">
        <v>2664</v>
      </c>
      <c r="H624" s="64">
        <v>114</v>
      </c>
      <c r="I624" s="67" t="s">
        <v>2</v>
      </c>
      <c r="J624" s="97">
        <v>404803733</v>
      </c>
      <c r="K624" s="66"/>
      <c r="L624" s="68"/>
      <c r="M624" s="69">
        <v>25.57</v>
      </c>
      <c r="N624" s="69">
        <v>25.57</v>
      </c>
      <c r="O624" s="69">
        <f>IF(registreGarantie[[#This Row],[date paiement]]="","",registreGarantie[[#This Row],[Pièces 
Demandés]]-registreGarantie[[#This Row],[Pièces 
Remboursés]])</f>
        <v>0</v>
      </c>
      <c r="P624" s="69">
        <v>131</v>
      </c>
      <c r="Q624" s="69">
        <v>131</v>
      </c>
      <c r="R624" s="70">
        <f>IF(registreGarantie[[#This Row],[date paiement]]="","",registreGarantie[[#This Row],[MO
Demandé]]-registreGarantie[[#This Row],[MO
Remboursé]])</f>
        <v>0</v>
      </c>
      <c r="S624" s="69"/>
      <c r="T624" s="70">
        <f>IF(registreGarantie[[#This Row],[date paiement]]="","",registreGarantie[[#This Row],[MO
Refusé]]+registreGarantie[[#This Row],[Pièces
Refusés]])</f>
        <v>0</v>
      </c>
      <c r="U624" s="106">
        <v>45889</v>
      </c>
      <c r="V624" s="71">
        <f>IF(registreGarantie[[#This Row],[Pièces 
Demandés]]="","",registreGarantie[[#This Row],[Date]])</f>
        <v>45870</v>
      </c>
      <c r="W624" s="103">
        <f>IF(registreGarantie[[#This Row],[Pièces 
Demandés]]="","",IF(registreGarantie[[#This Row],[date paiement]]="","",registreGarantie[[#This Row],[date paiement]]+91))</f>
        <v>45980</v>
      </c>
      <c r="X62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24" s="74">
        <f ca="1">IF(registreGarantie[[#This Row],[Colonne1]]=0,"",IF(TODAY()&gt;registreGarantie[[#This Row],[Date rebus]],0,1))</f>
        <v>1</v>
      </c>
      <c r="Z624" s="66"/>
      <c r="AA624" s="73" t="str">
        <f>IF(AND(registreGarantie[[#This Row],[Montant non remboursé]]&gt;1,registreGarantie[[#This Row],[Montant non remboursé]]&lt;&gt;""),1,"")</f>
        <v/>
      </c>
      <c r="AB624" s="66"/>
      <c r="AC624" s="66"/>
      <c r="AD624" s="87">
        <f t="shared" si="9"/>
        <v>624</v>
      </c>
      <c r="AE624" s="109">
        <v>45861</v>
      </c>
    </row>
    <row r="625" spans="1:31" ht="18" customHeight="1" thickBot="1" x14ac:dyDescent="0.4">
      <c r="A625" s="64">
        <v>45271</v>
      </c>
      <c r="B625" s="64">
        <v>44623</v>
      </c>
      <c r="C625" s="106">
        <v>45870</v>
      </c>
      <c r="D625" s="66" t="s">
        <v>56</v>
      </c>
      <c r="E625" s="66" t="s">
        <v>106</v>
      </c>
      <c r="F625" s="68" t="s">
        <v>2328</v>
      </c>
      <c r="G625" s="66" t="s">
        <v>2665</v>
      </c>
      <c r="H625" s="64">
        <v>1195</v>
      </c>
      <c r="I625" s="67" t="s">
        <v>5</v>
      </c>
      <c r="J625" s="97">
        <v>404509624</v>
      </c>
      <c r="K625" s="66"/>
      <c r="L625" s="68"/>
      <c r="M625" s="69">
        <v>80.959999999999994</v>
      </c>
      <c r="N625" s="69">
        <v>80.959999999999994</v>
      </c>
      <c r="O625" s="70">
        <f>IF(registreGarantie[[#This Row],[date paiement]]="","",registreGarantie[[#This Row],[Pièces 
Demandés]]-registreGarantie[[#This Row],[Pièces 
Remboursés]])</f>
        <v>0</v>
      </c>
      <c r="P625" s="69">
        <v>114.63</v>
      </c>
      <c r="Q625" s="69">
        <v>114.63</v>
      </c>
      <c r="R625" s="70">
        <f>IF(registreGarantie[[#This Row],[date paiement]]="","",registreGarantie[[#This Row],[MO
Demandé]]-registreGarantie[[#This Row],[MO
Remboursé]])</f>
        <v>0</v>
      </c>
      <c r="S625" s="69"/>
      <c r="T625" s="70">
        <f>IF(registreGarantie[[#This Row],[date paiement]]="","",registreGarantie[[#This Row],[MO
Refusé]]+registreGarantie[[#This Row],[Pièces
Refusés]])</f>
        <v>0</v>
      </c>
      <c r="U625" s="106">
        <v>45889</v>
      </c>
      <c r="V625" s="71"/>
      <c r="W625" s="103">
        <f>IF(registreGarantie[[#This Row],[Pièces 
Demandés]]="","",IF(registreGarantie[[#This Row],[date paiement]]="","",registreGarantie[[#This Row],[date paiement]]+91))</f>
        <v>45980</v>
      </c>
      <c r="X62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5" s="74" t="str">
        <f ca="1">IF(registreGarantie[[#This Row],[Colonne1]]=0,"",IF(TODAY()&gt;registreGarantie[[#This Row],[Date rebus]],0,1))</f>
        <v/>
      </c>
      <c r="Z625" s="66"/>
      <c r="AA625" s="73" t="str">
        <f>IF(AND(registreGarantie[[#This Row],[Montant non remboursé]]&gt;1,registreGarantie[[#This Row],[Montant non remboursé]]&lt;&gt;""),1,"")</f>
        <v/>
      </c>
      <c r="AB625" s="66"/>
      <c r="AC625" s="66"/>
      <c r="AD625" s="87">
        <f t="shared" si="9"/>
        <v>625</v>
      </c>
      <c r="AE625" s="109">
        <v>45859</v>
      </c>
    </row>
    <row r="626" spans="1:31" ht="18" customHeight="1" thickBot="1" x14ac:dyDescent="0.4">
      <c r="A626" s="64">
        <v>45272</v>
      </c>
      <c r="B626" s="64">
        <v>44656</v>
      </c>
      <c r="C626" s="106">
        <v>45875</v>
      </c>
      <c r="D626" s="66" t="s">
        <v>2693</v>
      </c>
      <c r="E626" s="66"/>
      <c r="F626" s="68"/>
      <c r="G626" s="66" t="s">
        <v>1093</v>
      </c>
      <c r="H626" s="64">
        <v>8372</v>
      </c>
      <c r="I626" s="67" t="s">
        <v>15</v>
      </c>
      <c r="J626" s="97">
        <v>404807424</v>
      </c>
      <c r="K626" s="66"/>
      <c r="L626" s="68"/>
      <c r="M626" s="69">
        <v>71.61</v>
      </c>
      <c r="N626" s="69">
        <v>71.61</v>
      </c>
      <c r="O626" s="70">
        <f>IF(registreGarantie[[#This Row],[date paiement]]="","",registreGarantie[[#This Row],[Pièces 
Demandés]]-registreGarantie[[#This Row],[Pièces 
Remboursés]])</f>
        <v>0</v>
      </c>
      <c r="P626" s="69">
        <v>65.5</v>
      </c>
      <c r="Q626" s="69"/>
      <c r="R626" s="70">
        <f>IF(registreGarantie[[#This Row],[date paiement]]="","",registreGarantie[[#This Row],[MO
Demandé]]-registreGarantie[[#This Row],[MO
Remboursé]])</f>
        <v>65.5</v>
      </c>
      <c r="S626" s="69"/>
      <c r="T626" s="70">
        <f>IF(registreGarantie[[#This Row],[date paiement]]="","",registreGarantie[[#This Row],[MO
Refusé]]+registreGarantie[[#This Row],[Pièces
Refusés]])</f>
        <v>65.5</v>
      </c>
      <c r="U626" s="106">
        <v>45889</v>
      </c>
      <c r="V626" s="71"/>
      <c r="W626" s="103">
        <f>IF(registreGarantie[[#This Row],[Pièces 
Demandés]]="","",IF(registreGarantie[[#This Row],[date paiement]]="","",registreGarantie[[#This Row],[date paiement]]+91))</f>
        <v>45980</v>
      </c>
      <c r="X62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26" s="74">
        <f ca="1">IF(registreGarantie[[#This Row],[Colonne1]]=0,"",IF(TODAY()&gt;registreGarantie[[#This Row],[Date rebus]],0,1))</f>
        <v>1</v>
      </c>
      <c r="Z626" s="66"/>
      <c r="AA626" s="73">
        <f>IF(AND(registreGarantie[[#This Row],[Montant non remboursé]]&gt;1,registreGarantie[[#This Row],[Montant non remboursé]]&lt;&gt;""),1,"")</f>
        <v>1</v>
      </c>
      <c r="AB626" s="66"/>
      <c r="AC626" s="66"/>
      <c r="AD626" s="87">
        <f t="shared" si="9"/>
        <v>626</v>
      </c>
      <c r="AE626" s="109">
        <v>45868</v>
      </c>
    </row>
    <row r="627" spans="1:31" ht="18" customHeight="1" thickBot="1" x14ac:dyDescent="0.4">
      <c r="A627" s="64">
        <v>45273</v>
      </c>
      <c r="B627" s="64">
        <v>44641</v>
      </c>
      <c r="C627" s="106">
        <v>45876</v>
      </c>
      <c r="D627" s="66" t="s">
        <v>74</v>
      </c>
      <c r="E627" s="66" t="s">
        <v>367</v>
      </c>
      <c r="F627" s="68" t="s">
        <v>2254</v>
      </c>
      <c r="G627" s="66" t="s">
        <v>2704</v>
      </c>
      <c r="H627" s="64">
        <v>533</v>
      </c>
      <c r="I627" s="67" t="s">
        <v>2</v>
      </c>
      <c r="J627" s="97">
        <v>404809166</v>
      </c>
      <c r="K627" s="66"/>
      <c r="L627" s="68"/>
      <c r="M627" s="69"/>
      <c r="N627" s="69"/>
      <c r="O627" s="70">
        <f>IF(registreGarantie[[#This Row],[date paiement]]="","",registreGarantie[[#This Row],[Pièces 
Demandés]]-registreGarantie[[#This Row],[Pièces 
Remboursés]])</f>
        <v>0</v>
      </c>
      <c r="P627" s="69">
        <v>198.5</v>
      </c>
      <c r="Q627" s="69">
        <v>65.5</v>
      </c>
      <c r="R627" s="70">
        <f>IF(registreGarantie[[#This Row],[date paiement]]="","",registreGarantie[[#This Row],[MO
Demandé]]-registreGarantie[[#This Row],[MO
Remboursé]])</f>
        <v>133</v>
      </c>
      <c r="S627" s="69"/>
      <c r="T627" s="70">
        <f>IF(registreGarantie[[#This Row],[date paiement]]="","",registreGarantie[[#This Row],[MO
Refusé]]+registreGarantie[[#This Row],[Pièces
Refusés]])</f>
        <v>133</v>
      </c>
      <c r="U627" s="106">
        <v>45889</v>
      </c>
      <c r="V627" s="71"/>
      <c r="W627" s="103" t="str">
        <f>IF(registreGarantie[[#This Row],[Pièces 
Demandés]]="","",IF(registreGarantie[[#This Row],[date paiement]]="","",registreGarantie[[#This Row],[date paiement]]+91))</f>
        <v/>
      </c>
      <c r="X62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27" s="74" t="str">
        <f ca="1">IF(registreGarantie[[#This Row],[Colonne1]]=0,"",IF(TODAY()&gt;registreGarantie[[#This Row],[Date rebus]],0,1))</f>
        <v/>
      </c>
      <c r="Z627" s="66" t="s">
        <v>2707</v>
      </c>
      <c r="AA627" s="73">
        <f>IF(AND(registreGarantie[[#This Row],[Montant non remboursé]]&gt;1,registreGarantie[[#This Row],[Montant non remboursé]]&lt;&gt;""),1,"")</f>
        <v>1</v>
      </c>
      <c r="AB627" s="66"/>
      <c r="AC627" s="66"/>
      <c r="AD627" s="87">
        <f t="shared" si="9"/>
        <v>627</v>
      </c>
      <c r="AE627" s="109">
        <v>45868</v>
      </c>
    </row>
    <row r="628" spans="1:31" ht="18" customHeight="1" thickBot="1" x14ac:dyDescent="0.4">
      <c r="A628" s="64">
        <v>45274</v>
      </c>
      <c r="B628" s="64">
        <v>44653</v>
      </c>
      <c r="C628" s="106">
        <v>45876</v>
      </c>
      <c r="D628" s="66" t="s">
        <v>74</v>
      </c>
      <c r="E628" s="66" t="s">
        <v>367</v>
      </c>
      <c r="F628" s="68" t="s">
        <v>2254</v>
      </c>
      <c r="G628" s="66" t="s">
        <v>2705</v>
      </c>
      <c r="H628" s="64">
        <v>533</v>
      </c>
      <c r="I628" s="67" t="s">
        <v>2</v>
      </c>
      <c r="J628" s="97">
        <v>404809293</v>
      </c>
      <c r="K628" s="66"/>
      <c r="L628" s="68"/>
      <c r="M628" s="69">
        <v>60.9</v>
      </c>
      <c r="N628" s="69">
        <v>60.9</v>
      </c>
      <c r="O628" s="70">
        <f>IF(registreGarantie[[#This Row],[date paiement]]="","",registreGarantie[[#This Row],[Pièces 
Demandés]]-registreGarantie[[#This Row],[Pièces 
Remboursés]])</f>
        <v>0</v>
      </c>
      <c r="P628" s="69">
        <v>131</v>
      </c>
      <c r="Q628" s="69">
        <v>131</v>
      </c>
      <c r="R628" s="70">
        <f>IF(registreGarantie[[#This Row],[date paiement]]="","",registreGarantie[[#This Row],[MO
Demandé]]-registreGarantie[[#This Row],[MO
Remboursé]])</f>
        <v>0</v>
      </c>
      <c r="S628" s="69"/>
      <c r="T628" s="70">
        <f>IF(registreGarantie[[#This Row],[date paiement]]="","",registreGarantie[[#This Row],[MO
Refusé]]+registreGarantie[[#This Row],[Pièces
Refusés]])</f>
        <v>0</v>
      </c>
      <c r="U628" s="106">
        <v>45889</v>
      </c>
      <c r="V628" s="71"/>
      <c r="W628" s="103">
        <f>IF(registreGarantie[[#This Row],[Pièces 
Demandés]]="","",IF(registreGarantie[[#This Row],[date paiement]]="","",registreGarantie[[#This Row],[date paiement]]+91))</f>
        <v>45980</v>
      </c>
      <c r="X62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28" s="74">
        <f ca="1">IF(registreGarantie[[#This Row],[Colonne1]]=0,"",IF(TODAY()&gt;registreGarantie[[#This Row],[Date rebus]],0,1))</f>
        <v>1</v>
      </c>
      <c r="Z628" s="66"/>
      <c r="AA628" s="73" t="str">
        <f>IF(AND(registreGarantie[[#This Row],[Montant non remboursé]]&gt;1,registreGarantie[[#This Row],[Montant non remboursé]]&lt;&gt;""),1,"")</f>
        <v/>
      </c>
      <c r="AB628" s="66"/>
      <c r="AC628" s="66"/>
      <c r="AD628" s="87">
        <f t="shared" si="9"/>
        <v>628</v>
      </c>
      <c r="AE628" s="109">
        <v>45868</v>
      </c>
    </row>
    <row r="629" spans="1:31" ht="18" customHeight="1" thickBot="1" x14ac:dyDescent="0.4">
      <c r="A629" s="64">
        <v>45275</v>
      </c>
      <c r="B629" s="64">
        <v>44616</v>
      </c>
      <c r="C629" s="106">
        <v>45876</v>
      </c>
      <c r="D629" s="66" t="s">
        <v>41</v>
      </c>
      <c r="E629" s="66" t="s">
        <v>181</v>
      </c>
      <c r="F629" s="68" t="s">
        <v>2526</v>
      </c>
      <c r="G629" s="66" t="s">
        <v>163</v>
      </c>
      <c r="H629" s="64">
        <v>112</v>
      </c>
      <c r="I629" s="67" t="s">
        <v>2</v>
      </c>
      <c r="J629" s="97">
        <v>404809376</v>
      </c>
      <c r="K629" s="66"/>
      <c r="L629" s="68"/>
      <c r="M629" s="69">
        <v>206.24</v>
      </c>
      <c r="N629" s="69">
        <v>206.24</v>
      </c>
      <c r="O629" s="70">
        <f>IF(registreGarantie[[#This Row],[date paiement]]="","",registreGarantie[[#This Row],[Pièces 
Demandés]]-registreGarantie[[#This Row],[Pièces 
Remboursés]])</f>
        <v>0</v>
      </c>
      <c r="P629" s="69">
        <v>262</v>
      </c>
      <c r="Q629" s="69">
        <v>262</v>
      </c>
      <c r="R629" s="70">
        <f>IF(registreGarantie[[#This Row],[date paiement]]="","",registreGarantie[[#This Row],[MO
Demandé]]-registreGarantie[[#This Row],[MO
Remboursé]])</f>
        <v>0</v>
      </c>
      <c r="S629" s="69"/>
      <c r="T629" s="70">
        <f>IF(registreGarantie[[#This Row],[date paiement]]="","",registreGarantie[[#This Row],[MO
Refusé]]+registreGarantie[[#This Row],[Pièces
Refusés]])</f>
        <v>0</v>
      </c>
      <c r="U629" s="106">
        <v>45910</v>
      </c>
      <c r="V629" s="71"/>
      <c r="W629" s="103">
        <f>IF(registreGarantie[[#This Row],[Pièces 
Demandés]]="","",IF(registreGarantie[[#This Row],[date paiement]]="","",registreGarantie[[#This Row],[date paiement]]+91))</f>
        <v>46001</v>
      </c>
      <c r="X62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29" s="74">
        <f ca="1">IF(registreGarantie[[#This Row],[Colonne1]]=0,"",IF(TODAY()&gt;registreGarantie[[#This Row],[Date rebus]],0,1))</f>
        <v>1</v>
      </c>
      <c r="Z629" s="66"/>
      <c r="AA629" s="73" t="str">
        <f>IF(AND(registreGarantie[[#This Row],[Montant non remboursé]]&gt;1,registreGarantie[[#This Row],[Montant non remboursé]]&lt;&gt;""),1,"")</f>
        <v/>
      </c>
      <c r="AB629" s="66"/>
      <c r="AC629" s="66"/>
      <c r="AD629" s="87">
        <f t="shared" si="9"/>
        <v>629</v>
      </c>
      <c r="AE629" s="109">
        <v>45856</v>
      </c>
    </row>
    <row r="630" spans="1:31" ht="18" customHeight="1" thickBot="1" x14ac:dyDescent="0.4">
      <c r="A630" s="64">
        <v>45276</v>
      </c>
      <c r="B630" s="64">
        <v>44807</v>
      </c>
      <c r="C630" s="106">
        <v>45901</v>
      </c>
      <c r="D630" s="66" t="s">
        <v>294</v>
      </c>
      <c r="E630" s="66" t="s">
        <v>718</v>
      </c>
      <c r="F630" s="68" t="s">
        <v>2714</v>
      </c>
      <c r="G630" s="66" t="s">
        <v>58</v>
      </c>
      <c r="H630" s="64">
        <v>98</v>
      </c>
      <c r="I630" s="67" t="s">
        <v>18</v>
      </c>
      <c r="J630" s="97">
        <v>404839927</v>
      </c>
      <c r="K630" s="66"/>
      <c r="L630" s="68"/>
      <c r="M630" s="69">
        <v>321.61</v>
      </c>
      <c r="N630" s="69"/>
      <c r="O630" s="70" t="str">
        <f>IF(registreGarantie[[#This Row],[date paiement]]="","",registreGarantie[[#This Row],[Pièces 
Demandés]]-registreGarantie[[#This Row],[Pièces 
Remboursés]])</f>
        <v/>
      </c>
      <c r="P630" s="69">
        <v>196.5</v>
      </c>
      <c r="Q630" s="69"/>
      <c r="R630" s="70" t="str">
        <f>IF(registreGarantie[[#This Row],[date paiement]]="","",registreGarantie[[#This Row],[MO
Demandé]]-registreGarantie[[#This Row],[MO
Remboursé]])</f>
        <v/>
      </c>
      <c r="S630" s="69"/>
      <c r="T630" s="70" t="str">
        <f>IF(registreGarantie[[#This Row],[date paiement]]="","",registreGarantie[[#This Row],[MO
Refusé]]+registreGarantie[[#This Row],[Pièces
Refusés]])</f>
        <v/>
      </c>
      <c r="U630" s="106"/>
      <c r="V630" s="71"/>
      <c r="W630" s="103" t="str">
        <f>IF(registreGarantie[[#This Row],[Pièces 
Demandés]]="","",IF(registreGarantie[[#This Row],[date paiement]]="","",registreGarantie[[#This Row],[date paiement]]+91))</f>
        <v/>
      </c>
      <c r="X63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0" s="74" t="str">
        <f ca="1">IF(registreGarantie[[#This Row],[Colonne1]]=0,"",IF(TODAY()&gt;registreGarantie[[#This Row],[Date rebus]],0,1))</f>
        <v/>
      </c>
      <c r="Z630" s="66"/>
      <c r="AA630" s="73" t="str">
        <f>IF(AND(registreGarantie[[#This Row],[Montant non remboursé]]&gt;1,registreGarantie[[#This Row],[Montant non remboursé]]&lt;&gt;""),1,"")</f>
        <v/>
      </c>
      <c r="AB630" s="66"/>
      <c r="AC630" s="66"/>
      <c r="AD630" s="87">
        <f t="shared" si="9"/>
        <v>630</v>
      </c>
      <c r="AE630" s="109">
        <v>45868</v>
      </c>
    </row>
    <row r="631" spans="1:31" ht="18" customHeight="1" thickBot="1" x14ac:dyDescent="0.4">
      <c r="A631" s="64">
        <v>45276</v>
      </c>
      <c r="B631" s="64">
        <v>44807</v>
      </c>
      <c r="C631" s="106">
        <v>45901</v>
      </c>
      <c r="D631" s="66" t="s">
        <v>294</v>
      </c>
      <c r="E631" s="66" t="s">
        <v>718</v>
      </c>
      <c r="F631" s="68" t="s">
        <v>2714</v>
      </c>
      <c r="G631" s="66" t="s">
        <v>58</v>
      </c>
      <c r="H631" s="64">
        <v>98</v>
      </c>
      <c r="I631" s="67" t="s">
        <v>24</v>
      </c>
      <c r="J631" s="97">
        <v>404872389</v>
      </c>
      <c r="K631" s="66"/>
      <c r="L631" s="68"/>
      <c r="M631" s="69">
        <v>321.61</v>
      </c>
      <c r="N631" s="69"/>
      <c r="O631" s="69" t="str">
        <f>IF(registreGarantie[[#This Row],[date paiement]]="","",registreGarantie[[#This Row],[Pièces 
Demandés]]-registreGarantie[[#This Row],[Pièces 
Remboursés]])</f>
        <v/>
      </c>
      <c r="P631" s="69">
        <v>196.5</v>
      </c>
      <c r="Q631" s="69"/>
      <c r="R631" s="70" t="str">
        <f>IF(registreGarantie[[#This Row],[date paiement]]="","",registreGarantie[[#This Row],[MO
Demandé]]-registreGarantie[[#This Row],[MO
Remboursé]])</f>
        <v/>
      </c>
      <c r="S631" s="69"/>
      <c r="T631" s="70" t="str">
        <f>IF(registreGarantie[[#This Row],[date paiement]]="","",registreGarantie[[#This Row],[MO
Refusé]]+registreGarantie[[#This Row],[Pièces
Refusés]])</f>
        <v/>
      </c>
      <c r="U631" s="106"/>
      <c r="V631" s="71">
        <f>IF(registreGarantie[[#This Row],[Pièces 
Demandés]]="","",registreGarantie[[#This Row],[Date]])</f>
        <v>45901</v>
      </c>
      <c r="W631" s="103" t="str">
        <f>IF(registreGarantie[[#This Row],[Pièces 
Demandés]]="","",IF(registreGarantie[[#This Row],[date paiement]]="","",registreGarantie[[#This Row],[date paiement]]+91))</f>
        <v/>
      </c>
      <c r="X63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1" s="74" t="str">
        <f ca="1">IF(registreGarantie[[#This Row],[Colonne1]]=0,"",IF(TODAY()&gt;registreGarantie[[#This Row],[Date rebus]],0,1))</f>
        <v/>
      </c>
      <c r="Z631" s="66"/>
      <c r="AA631" s="73" t="str">
        <f>IF(AND(registreGarantie[[#This Row],[Montant non remboursé]]&gt;1,registreGarantie[[#This Row],[Montant non remboursé]]&lt;&gt;""),1,"")</f>
        <v/>
      </c>
      <c r="AB631" s="66"/>
      <c r="AC631" s="66"/>
      <c r="AD631" s="87">
        <f>ROW(AD631)</f>
        <v>631</v>
      </c>
      <c r="AE631" s="109">
        <v>45868</v>
      </c>
    </row>
    <row r="632" spans="1:31" ht="18" customHeight="1" thickBot="1" x14ac:dyDescent="0.4">
      <c r="A632" s="64">
        <v>45277</v>
      </c>
      <c r="B632" s="64">
        <v>44676</v>
      </c>
      <c r="C632" s="106">
        <v>45901</v>
      </c>
      <c r="D632" s="66" t="s">
        <v>41</v>
      </c>
      <c r="E632" s="66" t="s">
        <v>2607</v>
      </c>
      <c r="F632" s="68" t="s">
        <v>2609</v>
      </c>
      <c r="G632" s="66" t="s">
        <v>880</v>
      </c>
      <c r="H632" s="64">
        <v>84</v>
      </c>
      <c r="I632" s="67" t="s">
        <v>2</v>
      </c>
      <c r="J632" s="97">
        <v>404840730</v>
      </c>
      <c r="K632" s="66"/>
      <c r="L632" s="68"/>
      <c r="M632" s="69">
        <v>187.56</v>
      </c>
      <c r="N632" s="69">
        <v>187.56</v>
      </c>
      <c r="O632" s="70">
        <f>IF(registreGarantie[[#This Row],[date paiement]]="","",registreGarantie[[#This Row],[Pièces 
Demandés]]-registreGarantie[[#This Row],[Pièces 
Remboursés]])</f>
        <v>0</v>
      </c>
      <c r="P632" s="69">
        <v>26.2</v>
      </c>
      <c r="Q632" s="69">
        <v>26.2</v>
      </c>
      <c r="R632" s="70">
        <f>IF(registreGarantie[[#This Row],[date paiement]]="","",registreGarantie[[#This Row],[MO
Demandé]]-registreGarantie[[#This Row],[MO
Remboursé]])</f>
        <v>0</v>
      </c>
      <c r="S632" s="69"/>
      <c r="T632" s="70">
        <f>IF(registreGarantie[[#This Row],[date paiement]]="","",registreGarantie[[#This Row],[MO
Refusé]]+registreGarantie[[#This Row],[Pièces
Refusés]])</f>
        <v>0</v>
      </c>
      <c r="U632" s="106">
        <v>45910</v>
      </c>
      <c r="V632" s="71"/>
      <c r="W632" s="103">
        <f>IF(registreGarantie[[#This Row],[Pièces 
Demandés]]="","",IF(registreGarantie[[#This Row],[date paiement]]="","",registreGarantie[[#This Row],[date paiement]]+91))</f>
        <v>46001</v>
      </c>
      <c r="X63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32" s="74">
        <f ca="1">IF(registreGarantie[[#This Row],[Colonne1]]=0,"",IF(TODAY()&gt;registreGarantie[[#This Row],[Date rebus]],0,1))</f>
        <v>1</v>
      </c>
      <c r="Z632" s="66"/>
      <c r="AA632" s="73" t="str">
        <f>IF(AND(registreGarantie[[#This Row],[Montant non remboursé]]&gt;1,registreGarantie[[#This Row],[Montant non remboursé]]&lt;&gt;""),1,"")</f>
        <v/>
      </c>
      <c r="AB632" s="66"/>
      <c r="AC632" s="66"/>
      <c r="AD632" s="87">
        <f t="shared" si="9"/>
        <v>632</v>
      </c>
      <c r="AE632" s="109">
        <v>45874</v>
      </c>
    </row>
    <row r="633" spans="1:31" ht="18" customHeight="1" thickBot="1" x14ac:dyDescent="0.4">
      <c r="A633" s="64">
        <v>45278</v>
      </c>
      <c r="B633" s="64">
        <v>43637</v>
      </c>
      <c r="C633" s="106">
        <v>45902</v>
      </c>
      <c r="D633" s="66" t="s">
        <v>1097</v>
      </c>
      <c r="E633" s="66" t="s">
        <v>106</v>
      </c>
      <c r="F633" s="68" t="s">
        <v>2316</v>
      </c>
      <c r="G633" s="66" t="s">
        <v>1732</v>
      </c>
      <c r="H633" s="64">
        <v>3260</v>
      </c>
      <c r="I633" s="67" t="s">
        <v>16</v>
      </c>
      <c r="J633" s="97">
        <v>404841625</v>
      </c>
      <c r="K633" s="66"/>
      <c r="L633" s="68"/>
      <c r="M633" s="69">
        <v>1036.3399999999999</v>
      </c>
      <c r="N633" s="69">
        <v>992.57</v>
      </c>
      <c r="O633" s="70">
        <f>IF(registreGarantie[[#This Row],[date paiement]]="","",registreGarantie[[#This Row],[Pièces 
Demandés]]-registreGarantie[[#This Row],[Pièces 
Remboursés]])</f>
        <v>43.769999999999868</v>
      </c>
      <c r="P633" s="69">
        <v>2096</v>
      </c>
      <c r="Q633" s="69">
        <v>2007.55</v>
      </c>
      <c r="R633" s="70">
        <f>IF(registreGarantie[[#This Row],[date paiement]]="","",registreGarantie[[#This Row],[MO
Demandé]]-registreGarantie[[#This Row],[MO
Remboursé]])</f>
        <v>88.450000000000045</v>
      </c>
      <c r="S633" s="69">
        <v>150</v>
      </c>
      <c r="T633" s="70">
        <f>IF(registreGarantie[[#This Row],[date paiement]]="","",registreGarantie[[#This Row],[MO
Refusé]]+registreGarantie[[#This Row],[Pièces
Refusés]])</f>
        <v>132.21999999999991</v>
      </c>
      <c r="U633" s="106">
        <v>45910</v>
      </c>
      <c r="V633" s="71"/>
      <c r="W633" s="103">
        <f>IF(registreGarantie[[#This Row],[Pièces 
Demandés]]="","",IF(registreGarantie[[#This Row],[date paiement]]="","",registreGarantie[[#This Row],[date paiement]]+91))</f>
        <v>46001</v>
      </c>
      <c r="X63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33" s="74">
        <f ca="1">IF(registreGarantie[[#This Row],[Colonne1]]=0,"",IF(TODAY()&gt;registreGarantie[[#This Row],[Date rebus]],0,1))</f>
        <v>1</v>
      </c>
      <c r="Z633" s="66"/>
      <c r="AA633" s="73">
        <f>IF(AND(registreGarantie[[#This Row],[Montant non remboursé]]&gt;1,registreGarantie[[#This Row],[Montant non remboursé]]&lt;&gt;""),1,"")</f>
        <v>1</v>
      </c>
      <c r="AB633" s="66"/>
      <c r="AC633" s="66"/>
      <c r="AD633" s="87">
        <f t="shared" si="9"/>
        <v>633</v>
      </c>
      <c r="AE633" s="109">
        <v>45968</v>
      </c>
    </row>
    <row r="634" spans="1:31" ht="18" customHeight="1" thickBot="1" x14ac:dyDescent="0.4">
      <c r="A634" s="64">
        <v>45279</v>
      </c>
      <c r="B634" s="64">
        <v>44640</v>
      </c>
      <c r="C634" s="106">
        <v>45903</v>
      </c>
      <c r="D634" s="66" t="s">
        <v>239</v>
      </c>
      <c r="E634" s="66" t="s">
        <v>546</v>
      </c>
      <c r="F634" s="68">
        <v>78410241</v>
      </c>
      <c r="G634" s="66" t="s">
        <v>787</v>
      </c>
      <c r="H634" s="64">
        <v>1900</v>
      </c>
      <c r="I634" s="67" t="s">
        <v>3</v>
      </c>
      <c r="J634" s="97">
        <v>404842590</v>
      </c>
      <c r="K634" s="66"/>
      <c r="L634" s="68"/>
      <c r="M634" s="69">
        <v>4992.8599999999997</v>
      </c>
      <c r="N634" s="69"/>
      <c r="O634" s="70" t="str">
        <f>IF(registreGarantie[[#This Row],[date paiement]]="","",registreGarantie[[#This Row],[Pièces 
Demandés]]-registreGarantie[[#This Row],[Pièces 
Remboursés]])</f>
        <v/>
      </c>
      <c r="P634" s="69">
        <v>1899.5</v>
      </c>
      <c r="Q634" s="69"/>
      <c r="R634" s="70" t="str">
        <f>IF(registreGarantie[[#This Row],[date paiement]]="","",registreGarantie[[#This Row],[MO
Demandé]]-registreGarantie[[#This Row],[MO
Remboursé]])</f>
        <v/>
      </c>
      <c r="S634" s="69"/>
      <c r="T634" s="70" t="str">
        <f>IF(registreGarantie[[#This Row],[date paiement]]="","",registreGarantie[[#This Row],[MO
Refusé]]+registreGarantie[[#This Row],[Pièces
Refusés]])</f>
        <v/>
      </c>
      <c r="U634" s="106"/>
      <c r="V634" s="71"/>
      <c r="W634" s="103" t="str">
        <f>IF(registreGarantie[[#This Row],[Pièces 
Demandés]]="","",IF(registreGarantie[[#This Row],[date paiement]]="","",registreGarantie[[#This Row],[date paiement]]+91))</f>
        <v/>
      </c>
      <c r="X63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4" s="74" t="str">
        <f ca="1">IF(registreGarantie[[#This Row],[Colonne1]]=0,"",IF(TODAY()&gt;registreGarantie[[#This Row],[Date rebus]],0,1))</f>
        <v/>
      </c>
      <c r="Z634" s="66"/>
      <c r="AA634" s="73" t="str">
        <f>IF(AND(registreGarantie[[#This Row],[Montant non remboursé]]&gt;1,registreGarantie[[#This Row],[Montant non remboursé]]&lt;&gt;""),1,"")</f>
        <v/>
      </c>
      <c r="AB634" s="66"/>
      <c r="AC634" s="66"/>
      <c r="AD634" s="87">
        <f t="shared" si="9"/>
        <v>634</v>
      </c>
      <c r="AE634" s="109">
        <v>45863</v>
      </c>
    </row>
    <row r="635" spans="1:31" ht="18" customHeight="1" thickBot="1" x14ac:dyDescent="0.4">
      <c r="A635" s="64">
        <v>45280</v>
      </c>
      <c r="B635" s="64">
        <v>6314</v>
      </c>
      <c r="C635" s="106">
        <v>45903</v>
      </c>
      <c r="D635" s="66" t="s">
        <v>239</v>
      </c>
      <c r="E635" s="66" t="s">
        <v>546</v>
      </c>
      <c r="F635" s="68">
        <v>78410241</v>
      </c>
      <c r="G635" s="66" t="s">
        <v>662</v>
      </c>
      <c r="H635" s="64">
        <v>1900</v>
      </c>
      <c r="I635" s="67" t="s">
        <v>3</v>
      </c>
      <c r="J635" s="97">
        <v>404842912</v>
      </c>
      <c r="K635" s="66"/>
      <c r="L635" s="68"/>
      <c r="M635" s="69">
        <v>19.75</v>
      </c>
      <c r="N635" s="69">
        <v>19.75</v>
      </c>
      <c r="O635" s="70">
        <f>IF(registreGarantie[[#This Row],[date paiement]]="","",registreGarantie[[#This Row],[Pièces 
Demandés]]-registreGarantie[[#This Row],[Pièces 
Remboursés]])</f>
        <v>0</v>
      </c>
      <c r="P635" s="69">
        <v>65.5</v>
      </c>
      <c r="Q635" s="69">
        <v>65.5</v>
      </c>
      <c r="R635" s="70">
        <f>IF(registreGarantie[[#This Row],[date paiement]]="","",registreGarantie[[#This Row],[MO
Demandé]]-registreGarantie[[#This Row],[MO
Remboursé]])</f>
        <v>0</v>
      </c>
      <c r="S635" s="69"/>
      <c r="T635" s="70">
        <f>IF(registreGarantie[[#This Row],[date paiement]]="","",registreGarantie[[#This Row],[MO
Refusé]]+registreGarantie[[#This Row],[Pièces
Refusés]])</f>
        <v>0</v>
      </c>
      <c r="U635" s="106">
        <v>45911</v>
      </c>
      <c r="V635" s="71"/>
      <c r="W635" s="103">
        <f>IF(registreGarantie[[#This Row],[Pièces 
Demandés]]="","",IF(registreGarantie[[#This Row],[date paiement]]="","",registreGarantie[[#This Row],[date paiement]]+91))</f>
        <v>46002</v>
      </c>
      <c r="X63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1</v>
      </c>
      <c r="Y635" s="74">
        <f ca="1">IF(registreGarantie[[#This Row],[Colonne1]]=0,"",IF(TODAY()&gt;registreGarantie[[#This Row],[Date rebus]],0,1))</f>
        <v>1</v>
      </c>
      <c r="Z635" s="66"/>
      <c r="AA635" s="73" t="str">
        <f>IF(AND(registreGarantie[[#This Row],[Montant non remboursé]]&gt;1,registreGarantie[[#This Row],[Montant non remboursé]]&lt;&gt;""),1,"")</f>
        <v/>
      </c>
      <c r="AB635" s="66"/>
      <c r="AC635" s="66"/>
      <c r="AD635" s="87">
        <f t="shared" si="9"/>
        <v>635</v>
      </c>
      <c r="AE635" s="109">
        <v>45874</v>
      </c>
    </row>
    <row r="636" spans="1:31" ht="18" customHeight="1" thickBot="1" x14ac:dyDescent="0.4">
      <c r="A636" s="64">
        <v>45281</v>
      </c>
      <c r="B636" s="64">
        <v>6315</v>
      </c>
      <c r="C636" s="106">
        <v>45903</v>
      </c>
      <c r="D636" s="66" t="s">
        <v>239</v>
      </c>
      <c r="E636" s="66" t="s">
        <v>546</v>
      </c>
      <c r="F636" s="68">
        <v>78410241</v>
      </c>
      <c r="G636" s="66" t="s">
        <v>2720</v>
      </c>
      <c r="H636" s="64">
        <v>1900</v>
      </c>
      <c r="I636" s="67" t="s">
        <v>3</v>
      </c>
      <c r="J636" s="97">
        <v>404842968</v>
      </c>
      <c r="K636" s="66"/>
      <c r="L636" s="68"/>
      <c r="M636" s="69"/>
      <c r="N636" s="69"/>
      <c r="O636" s="70" t="str">
        <f>IF(registreGarantie[[#This Row],[date paiement]]="","",registreGarantie[[#This Row],[Pièces 
Demandés]]-registreGarantie[[#This Row],[Pièces 
Remboursés]])</f>
        <v/>
      </c>
      <c r="P636" s="69">
        <v>131</v>
      </c>
      <c r="Q636" s="69"/>
      <c r="R636" s="70" t="str">
        <f>IF(registreGarantie[[#This Row],[date paiement]]="","",registreGarantie[[#This Row],[MO
Demandé]]-registreGarantie[[#This Row],[MO
Remboursé]])</f>
        <v/>
      </c>
      <c r="S636" s="69"/>
      <c r="T636" s="70" t="str">
        <f>IF(registreGarantie[[#This Row],[date paiement]]="","",registreGarantie[[#This Row],[MO
Refusé]]+registreGarantie[[#This Row],[Pièces
Refusés]])</f>
        <v/>
      </c>
      <c r="U636" s="106"/>
      <c r="V636" s="71"/>
      <c r="W636" s="103" t="str">
        <f>IF(registreGarantie[[#This Row],[Pièces 
Demandés]]="","",IF(registreGarantie[[#This Row],[date paiement]]="","",registreGarantie[[#This Row],[date paiement]]+91))</f>
        <v/>
      </c>
      <c r="X63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6" s="74" t="str">
        <f ca="1">IF(registreGarantie[[#This Row],[Colonne1]]=0,"",IF(TODAY()&gt;registreGarantie[[#This Row],[Date rebus]],0,1))</f>
        <v/>
      </c>
      <c r="Z636" s="66"/>
      <c r="AA636" s="73" t="str">
        <f>IF(AND(registreGarantie[[#This Row],[Montant non remboursé]]&gt;1,registreGarantie[[#This Row],[Montant non remboursé]]&lt;&gt;""),1,"")</f>
        <v/>
      </c>
      <c r="AB636" s="66"/>
      <c r="AC636" s="66"/>
      <c r="AD636" s="87">
        <f t="shared" si="9"/>
        <v>636</v>
      </c>
      <c r="AE636" s="109">
        <v>45876</v>
      </c>
    </row>
    <row r="637" spans="1:31" ht="18" customHeight="1" thickBot="1" x14ac:dyDescent="0.4">
      <c r="A637" s="64">
        <v>45282</v>
      </c>
      <c r="B637" s="64">
        <v>6316</v>
      </c>
      <c r="C637" s="106">
        <v>45903</v>
      </c>
      <c r="D637" s="66" t="s">
        <v>239</v>
      </c>
      <c r="E637" s="66" t="s">
        <v>546</v>
      </c>
      <c r="F637" s="68">
        <v>78410241</v>
      </c>
      <c r="G637" s="66" t="s">
        <v>2721</v>
      </c>
      <c r="H637" s="64">
        <v>1900</v>
      </c>
      <c r="I637" s="67" t="s">
        <v>3</v>
      </c>
      <c r="J637" s="97">
        <v>404842992</v>
      </c>
      <c r="K637" s="66"/>
      <c r="L637" s="68"/>
      <c r="M637" s="69"/>
      <c r="N637" s="69"/>
      <c r="O637" s="70" t="str">
        <f>IF(registreGarantie[[#This Row],[date paiement]]="","",registreGarantie[[#This Row],[Pièces 
Demandés]]-registreGarantie[[#This Row],[Pièces 
Remboursés]])</f>
        <v/>
      </c>
      <c r="P637" s="69">
        <v>131</v>
      </c>
      <c r="Q637" s="69"/>
      <c r="R637" s="70" t="str">
        <f>IF(registreGarantie[[#This Row],[date paiement]]="","",registreGarantie[[#This Row],[MO
Demandé]]-registreGarantie[[#This Row],[MO
Remboursé]])</f>
        <v/>
      </c>
      <c r="S637" s="69"/>
      <c r="T637" s="70" t="str">
        <f>IF(registreGarantie[[#This Row],[date paiement]]="","",registreGarantie[[#This Row],[MO
Refusé]]+registreGarantie[[#This Row],[Pièces
Refusés]])</f>
        <v/>
      </c>
      <c r="U637" s="106"/>
      <c r="V637" s="71"/>
      <c r="W637" s="103" t="str">
        <f>IF(registreGarantie[[#This Row],[Pièces 
Demandés]]="","",IF(registreGarantie[[#This Row],[date paiement]]="","",registreGarantie[[#This Row],[date paiement]]+91))</f>
        <v/>
      </c>
      <c r="X63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7" s="74" t="str">
        <f ca="1">IF(registreGarantie[[#This Row],[Colonne1]]=0,"",IF(TODAY()&gt;registreGarantie[[#This Row],[Date rebus]],0,1))</f>
        <v/>
      </c>
      <c r="Z637" s="66"/>
      <c r="AA637" s="73" t="str">
        <f>IF(AND(registreGarantie[[#This Row],[Montant non remboursé]]&gt;1,registreGarantie[[#This Row],[Montant non remboursé]]&lt;&gt;""),1,"")</f>
        <v/>
      </c>
      <c r="AB637" s="66"/>
      <c r="AC637" s="66"/>
      <c r="AD637" s="87">
        <f t="shared" si="9"/>
        <v>637</v>
      </c>
      <c r="AE637" s="109">
        <v>45876</v>
      </c>
    </row>
    <row r="638" spans="1:31" ht="18" customHeight="1" thickBot="1" x14ac:dyDescent="0.4">
      <c r="A638" s="64">
        <v>45283</v>
      </c>
      <c r="B638" s="64">
        <v>44742</v>
      </c>
      <c r="C638" s="106">
        <v>45911</v>
      </c>
      <c r="D638" s="66" t="s">
        <v>1081</v>
      </c>
      <c r="E638" s="66" t="s">
        <v>45</v>
      </c>
      <c r="F638" s="68" t="s">
        <v>2449</v>
      </c>
      <c r="G638" s="66" t="s">
        <v>2764</v>
      </c>
      <c r="H638" s="64">
        <v>358</v>
      </c>
      <c r="I638" s="67" t="s">
        <v>5</v>
      </c>
      <c r="J638" s="97">
        <v>404704527</v>
      </c>
      <c r="K638" s="66"/>
      <c r="L638" s="68"/>
      <c r="M638" s="69"/>
      <c r="N638" s="69"/>
      <c r="O638" s="70" t="str">
        <f>IF(registreGarantie[[#This Row],[date paiement]]="","",registreGarantie[[#This Row],[Pièces 
Demandés]]-registreGarantie[[#This Row],[Pièces 
Remboursés]])</f>
        <v/>
      </c>
      <c r="P638" s="69">
        <v>16.38</v>
      </c>
      <c r="Q638" s="69"/>
      <c r="R638" s="70" t="str">
        <f>IF(registreGarantie[[#This Row],[date paiement]]="","",registreGarantie[[#This Row],[MO
Demandé]]-registreGarantie[[#This Row],[MO
Remboursé]])</f>
        <v/>
      </c>
      <c r="S638" s="69"/>
      <c r="T638" s="70" t="str">
        <f>IF(registreGarantie[[#This Row],[date paiement]]="","",registreGarantie[[#This Row],[MO
Refusé]]+registreGarantie[[#This Row],[Pièces
Refusés]])</f>
        <v/>
      </c>
      <c r="U638" s="106"/>
      <c r="V638" s="71"/>
      <c r="W638" s="103" t="str">
        <f>IF(registreGarantie[[#This Row],[Pièces 
Demandés]]="","",IF(registreGarantie[[#This Row],[date paiement]]="","",registreGarantie[[#This Row],[date paiement]]+91))</f>
        <v/>
      </c>
      <c r="X63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8" s="74" t="str">
        <f ca="1">IF(registreGarantie[[#This Row],[Colonne1]]=0,"",IF(TODAY()&gt;registreGarantie[[#This Row],[Date rebus]],0,1))</f>
        <v/>
      </c>
      <c r="Z638" s="66"/>
      <c r="AA638" s="73" t="str">
        <f>IF(AND(registreGarantie[[#This Row],[Montant non remboursé]]&gt;1,registreGarantie[[#This Row],[Montant non remboursé]]&lt;&gt;""),1,"")</f>
        <v/>
      </c>
      <c r="AB638" s="66"/>
      <c r="AC638" s="66"/>
      <c r="AD638" s="87">
        <f t="shared" si="9"/>
        <v>638</v>
      </c>
      <c r="AE638" s="109">
        <v>45905</v>
      </c>
    </row>
    <row r="639" spans="1:31" ht="18" customHeight="1" thickBot="1" x14ac:dyDescent="0.4">
      <c r="A639" s="64">
        <v>45284</v>
      </c>
      <c r="B639" s="64">
        <v>44743</v>
      </c>
      <c r="C639" s="106">
        <v>45911</v>
      </c>
      <c r="D639" s="66" t="s">
        <v>746</v>
      </c>
      <c r="E639" s="66" t="s">
        <v>718</v>
      </c>
      <c r="F639" s="68" t="s">
        <v>2380</v>
      </c>
      <c r="G639" s="66" t="s">
        <v>2764</v>
      </c>
      <c r="H639" s="64">
        <v>308</v>
      </c>
      <c r="I639" s="67" t="s">
        <v>5</v>
      </c>
      <c r="J639" s="97">
        <v>404704525</v>
      </c>
      <c r="K639" s="66"/>
      <c r="L639" s="68"/>
      <c r="M639" s="69"/>
      <c r="N639" s="69"/>
      <c r="O639" s="70" t="str">
        <f>IF(registreGarantie[[#This Row],[date paiement]]="","",registreGarantie[[#This Row],[Pièces 
Demandés]]-registreGarantie[[#This Row],[Pièces 
Remboursés]])</f>
        <v/>
      </c>
      <c r="P639" s="69">
        <v>16.38</v>
      </c>
      <c r="Q639" s="69">
        <v>16.38</v>
      </c>
      <c r="R639" s="70" t="str">
        <f>IF(registreGarantie[[#This Row],[date paiement]]="","",registreGarantie[[#This Row],[MO
Demandé]]-registreGarantie[[#This Row],[MO
Remboursé]])</f>
        <v/>
      </c>
      <c r="S639" s="69"/>
      <c r="T639" s="70" t="str">
        <f>IF(registreGarantie[[#This Row],[date paiement]]="","",registreGarantie[[#This Row],[MO
Refusé]]+registreGarantie[[#This Row],[Pièces
Refusés]])</f>
        <v/>
      </c>
      <c r="U639" s="106"/>
      <c r="V639" s="71"/>
      <c r="W639" s="103" t="str">
        <f>IF(registreGarantie[[#This Row],[Pièces 
Demandés]]="","",IF(registreGarantie[[#This Row],[date paiement]]="","",registreGarantie[[#This Row],[date paiement]]+91))</f>
        <v/>
      </c>
      <c r="X63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39" s="74" t="str">
        <f ca="1">IF(registreGarantie[[#This Row],[Colonne1]]=0,"",IF(TODAY()&gt;registreGarantie[[#This Row],[Date rebus]],0,1))</f>
        <v/>
      </c>
      <c r="Z639" s="66"/>
      <c r="AA639" s="73" t="str">
        <f>IF(AND(registreGarantie[[#This Row],[Montant non remboursé]]&gt;1,registreGarantie[[#This Row],[Montant non remboursé]]&lt;&gt;""),1,"")</f>
        <v/>
      </c>
      <c r="AB639" s="66"/>
      <c r="AC639" s="66"/>
      <c r="AD639" s="87">
        <f t="shared" si="9"/>
        <v>639</v>
      </c>
      <c r="AE639" s="109">
        <v>45905</v>
      </c>
    </row>
    <row r="640" spans="1:31" ht="18" customHeight="1" thickBot="1" x14ac:dyDescent="0.4">
      <c r="A640" s="64">
        <v>45285</v>
      </c>
      <c r="B640" s="64">
        <v>44744</v>
      </c>
      <c r="C640" s="106">
        <v>45911</v>
      </c>
      <c r="D640" s="66" t="s">
        <v>439</v>
      </c>
      <c r="E640" s="66" t="s">
        <v>718</v>
      </c>
      <c r="F640" s="68" t="s">
        <v>2292</v>
      </c>
      <c r="G640" s="66" t="s">
        <v>2764</v>
      </c>
      <c r="H640" s="64">
        <v>266</v>
      </c>
      <c r="I640" s="67" t="s">
        <v>5</v>
      </c>
      <c r="J640" s="97">
        <v>404704518</v>
      </c>
      <c r="K640" s="66"/>
      <c r="L640" s="68"/>
      <c r="M640" s="69"/>
      <c r="N640" s="69"/>
      <c r="O640" s="70" t="str">
        <f>IF(registreGarantie[[#This Row],[date paiement]]="","",registreGarantie[[#This Row],[Pièces 
Demandés]]-registreGarantie[[#This Row],[Pièces 
Remboursés]])</f>
        <v/>
      </c>
      <c r="P640" s="69">
        <v>16.38</v>
      </c>
      <c r="Q640" s="69"/>
      <c r="R640" s="70" t="str">
        <f>IF(registreGarantie[[#This Row],[date paiement]]="","",registreGarantie[[#This Row],[MO
Demandé]]-registreGarantie[[#This Row],[MO
Remboursé]])</f>
        <v/>
      </c>
      <c r="S640" s="69"/>
      <c r="T640" s="70" t="str">
        <f>IF(registreGarantie[[#This Row],[date paiement]]="","",registreGarantie[[#This Row],[MO
Refusé]]+registreGarantie[[#This Row],[Pièces
Refusés]])</f>
        <v/>
      </c>
      <c r="U640" s="106"/>
      <c r="V640" s="71"/>
      <c r="W640" s="103" t="str">
        <f>IF(registreGarantie[[#This Row],[Pièces 
Demandés]]="","",IF(registreGarantie[[#This Row],[date paiement]]="","",registreGarantie[[#This Row],[date paiement]]+91))</f>
        <v/>
      </c>
      <c r="X64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0" s="74" t="str">
        <f ca="1">IF(registreGarantie[[#This Row],[Colonne1]]=0,"",IF(TODAY()&gt;registreGarantie[[#This Row],[Date rebus]],0,1))</f>
        <v/>
      </c>
      <c r="Z640" s="66"/>
      <c r="AA640" s="73" t="str">
        <f>IF(AND(registreGarantie[[#This Row],[Montant non remboursé]]&gt;1,registreGarantie[[#This Row],[Montant non remboursé]]&lt;&gt;""),1,"")</f>
        <v/>
      </c>
      <c r="AB640" s="66"/>
      <c r="AC640" s="66"/>
      <c r="AD640" s="87">
        <f t="shared" si="9"/>
        <v>640</v>
      </c>
      <c r="AE640" s="109">
        <v>45905</v>
      </c>
    </row>
    <row r="641" spans="1:31" ht="18" customHeight="1" thickBot="1" x14ac:dyDescent="0.4">
      <c r="A641" s="64">
        <v>45286</v>
      </c>
      <c r="B641" s="64">
        <v>6325</v>
      </c>
      <c r="C641" s="106">
        <v>45916</v>
      </c>
      <c r="D641" s="66" t="s">
        <v>509</v>
      </c>
      <c r="E641" s="66" t="s">
        <v>440</v>
      </c>
      <c r="F641" s="68" t="s">
        <v>2300</v>
      </c>
      <c r="G641" s="66" t="s">
        <v>1987</v>
      </c>
      <c r="H641" s="64">
        <v>2457</v>
      </c>
      <c r="I641" s="67" t="s">
        <v>5</v>
      </c>
      <c r="J641" s="97">
        <v>404508581</v>
      </c>
      <c r="K641" s="66"/>
      <c r="L641" s="68"/>
      <c r="M641" s="69">
        <v>80.959999999999994</v>
      </c>
      <c r="N641" s="69"/>
      <c r="O641" s="70" t="str">
        <f>IF(registreGarantie[[#This Row],[date paiement]]="","",registreGarantie[[#This Row],[Pièces 
Demandés]]-registreGarantie[[#This Row],[Pièces 
Remboursés]])</f>
        <v/>
      </c>
      <c r="P641" s="69">
        <v>107.63</v>
      </c>
      <c r="Q641" s="69"/>
      <c r="R641" s="70" t="str">
        <f>IF(registreGarantie[[#This Row],[date paiement]]="","",registreGarantie[[#This Row],[MO
Demandé]]-registreGarantie[[#This Row],[MO
Remboursé]])</f>
        <v/>
      </c>
      <c r="S641" s="69"/>
      <c r="T641" s="70" t="str">
        <f>IF(registreGarantie[[#This Row],[date paiement]]="","",registreGarantie[[#This Row],[MO
Refusé]]+registreGarantie[[#This Row],[Pièces
Refusés]])</f>
        <v/>
      </c>
      <c r="U641" s="106"/>
      <c r="V641" s="71"/>
      <c r="W641" s="103" t="str">
        <f>IF(registreGarantie[[#This Row],[Pièces 
Demandés]]="","",IF(registreGarantie[[#This Row],[date paiement]]="","",registreGarantie[[#This Row],[date paiement]]+91))</f>
        <v/>
      </c>
      <c r="X64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1" s="74" t="str">
        <f ca="1">IF(registreGarantie[[#This Row],[Colonne1]]=0,"",IF(TODAY()&gt;registreGarantie[[#This Row],[Date rebus]],0,1))</f>
        <v/>
      </c>
      <c r="Z641" s="66"/>
      <c r="AA641" s="73" t="str">
        <f>IF(AND(registreGarantie[[#This Row],[Montant non remboursé]]&gt;1,registreGarantie[[#This Row],[Montant non remboursé]]&lt;&gt;""),1,"")</f>
        <v/>
      </c>
      <c r="AB641" s="66"/>
      <c r="AC641" s="66"/>
      <c r="AD641" s="87">
        <f t="shared" si="9"/>
        <v>641</v>
      </c>
      <c r="AE641" s="109">
        <v>45909</v>
      </c>
    </row>
    <row r="642" spans="1:31" ht="18" customHeight="1" thickBot="1" x14ac:dyDescent="0.4">
      <c r="A642" s="64">
        <v>45287</v>
      </c>
      <c r="B642" s="64">
        <v>44667</v>
      </c>
      <c r="C642" s="106">
        <v>45916</v>
      </c>
      <c r="D642" s="66" t="s">
        <v>1061</v>
      </c>
      <c r="E642" s="66" t="s">
        <v>32</v>
      </c>
      <c r="F642" s="68" t="s">
        <v>2774</v>
      </c>
      <c r="G642" s="66" t="s">
        <v>940</v>
      </c>
      <c r="H642" s="64">
        <v>2618</v>
      </c>
      <c r="I642" s="67" t="s">
        <v>18</v>
      </c>
      <c r="J642" s="97">
        <v>404866257</v>
      </c>
      <c r="K642" s="66"/>
      <c r="L642" s="68"/>
      <c r="M642" s="69"/>
      <c r="N642" s="69"/>
      <c r="O642" s="70" t="str">
        <f>IF(registreGarantie[[#This Row],[date paiement]]="","",registreGarantie[[#This Row],[Pièces 
Demandés]]-registreGarantie[[#This Row],[Pièces 
Remboursés]])</f>
        <v/>
      </c>
      <c r="P642" s="69"/>
      <c r="Q642" s="69"/>
      <c r="R642" s="70" t="str">
        <f>IF(registreGarantie[[#This Row],[date paiement]]="","",registreGarantie[[#This Row],[MO
Demandé]]-registreGarantie[[#This Row],[MO
Remboursé]])</f>
        <v/>
      </c>
      <c r="S642" s="69"/>
      <c r="T642" s="70" t="str">
        <f>IF(registreGarantie[[#This Row],[date paiement]]="","",registreGarantie[[#This Row],[MO
Refusé]]+registreGarantie[[#This Row],[Pièces
Refusés]])</f>
        <v/>
      </c>
      <c r="U642" s="106"/>
      <c r="V642" s="71"/>
      <c r="W642" s="103" t="str">
        <f>IF(registreGarantie[[#This Row],[Pièces 
Demandés]]="","",IF(registreGarantie[[#This Row],[date paiement]]="","",registreGarantie[[#This Row],[date paiement]]+91))</f>
        <v/>
      </c>
      <c r="X64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2" s="74" t="str">
        <f ca="1">IF(registreGarantie[[#This Row],[Colonne1]]=0,"",IF(TODAY()&gt;registreGarantie[[#This Row],[Date rebus]],0,1))</f>
        <v/>
      </c>
      <c r="Z642" s="66"/>
      <c r="AA642" s="73" t="str">
        <f>IF(AND(registreGarantie[[#This Row],[Montant non remboursé]]&gt;1,registreGarantie[[#This Row],[Montant non remboursé]]&lt;&gt;""),1,"")</f>
        <v/>
      </c>
      <c r="AB642" s="66"/>
      <c r="AC642" s="66"/>
      <c r="AD642" s="87">
        <f t="shared" si="9"/>
        <v>642</v>
      </c>
      <c r="AE642" s="109">
        <v>45873</v>
      </c>
    </row>
    <row r="643" spans="1:31" ht="18" customHeight="1" thickBot="1" x14ac:dyDescent="0.4">
      <c r="A643" s="64">
        <v>45288</v>
      </c>
      <c r="B643" s="64">
        <v>44792</v>
      </c>
      <c r="C643" s="106">
        <v>45926</v>
      </c>
      <c r="D643" s="66" t="s">
        <v>41</v>
      </c>
      <c r="E643" s="66" t="s">
        <v>32</v>
      </c>
      <c r="F643" s="68" t="s">
        <v>2272</v>
      </c>
      <c r="G643" s="66" t="s">
        <v>1987</v>
      </c>
      <c r="H643" s="64">
        <v>564</v>
      </c>
      <c r="I643" s="67" t="s">
        <v>5</v>
      </c>
      <c r="J643" s="97">
        <v>404509628</v>
      </c>
      <c r="K643" s="66"/>
      <c r="L643" s="68"/>
      <c r="M643" s="69">
        <v>80.959999999999994</v>
      </c>
      <c r="N643" s="69">
        <v>80.959999999999994</v>
      </c>
      <c r="O643" s="70" t="str">
        <f>IF(registreGarantie[[#This Row],[date paiement]]="","",registreGarantie[[#This Row],[Pièces 
Demandés]]-registreGarantie[[#This Row],[Pièces 
Remboursés]])</f>
        <v/>
      </c>
      <c r="P643" s="69">
        <v>107.63</v>
      </c>
      <c r="Q643" s="69">
        <v>107.63</v>
      </c>
      <c r="R643" s="70" t="str">
        <f>IF(registreGarantie[[#This Row],[date paiement]]="","",registreGarantie[[#This Row],[MO
Demandé]]-registreGarantie[[#This Row],[MO
Remboursé]])</f>
        <v/>
      </c>
      <c r="S643" s="69"/>
      <c r="T643" s="70" t="str">
        <f>IF(registreGarantie[[#This Row],[date paiement]]="","",registreGarantie[[#This Row],[MO
Refusé]]+registreGarantie[[#This Row],[Pièces
Refusés]])</f>
        <v/>
      </c>
      <c r="U643" s="106"/>
      <c r="V643" s="71"/>
      <c r="W643" s="103" t="str">
        <f>IF(registreGarantie[[#This Row],[Pièces 
Demandés]]="","",IF(registreGarantie[[#This Row],[date paiement]]="","",registreGarantie[[#This Row],[date paiement]]+91))</f>
        <v/>
      </c>
      <c r="X64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3" s="74" t="str">
        <f ca="1">IF(registreGarantie[[#This Row],[Colonne1]]=0,"",IF(TODAY()&gt;registreGarantie[[#This Row],[Date rebus]],0,1))</f>
        <v/>
      </c>
      <c r="Z643" s="66"/>
      <c r="AA643" s="73" t="str">
        <f>IF(AND(registreGarantie[[#This Row],[Montant non remboursé]]&gt;1,registreGarantie[[#This Row],[Montant non remboursé]]&lt;&gt;""),1,"")</f>
        <v/>
      </c>
      <c r="AB643" s="66"/>
      <c r="AC643" s="66"/>
      <c r="AD643" s="87">
        <f t="shared" si="9"/>
        <v>643</v>
      </c>
      <c r="AE643" s="109">
        <v>45917</v>
      </c>
    </row>
    <row r="644" spans="1:31" ht="18" customHeight="1" thickBot="1" x14ac:dyDescent="0.4">
      <c r="A644" s="64">
        <v>45289</v>
      </c>
      <c r="B644" s="64">
        <v>44793</v>
      </c>
      <c r="C644" s="106">
        <v>45926</v>
      </c>
      <c r="D644" s="66" t="s">
        <v>482</v>
      </c>
      <c r="E644" s="66" t="s">
        <v>63</v>
      </c>
      <c r="F644" s="68" t="s">
        <v>2344</v>
      </c>
      <c r="G644" s="66" t="s">
        <v>1987</v>
      </c>
      <c r="H644" s="64">
        <v>1165</v>
      </c>
      <c r="I644" s="67" t="s">
        <v>5</v>
      </c>
      <c r="J644" s="97">
        <v>404508885</v>
      </c>
      <c r="K644" s="66"/>
      <c r="L644" s="68"/>
      <c r="M644" s="69">
        <v>80.959999999999994</v>
      </c>
      <c r="N644" s="69">
        <v>80.959999999999994</v>
      </c>
      <c r="O644" s="70" t="str">
        <f>IF(registreGarantie[[#This Row],[date paiement]]="","",registreGarantie[[#This Row],[Pièces 
Demandés]]-registreGarantie[[#This Row],[Pièces 
Remboursés]])</f>
        <v/>
      </c>
      <c r="P644" s="69">
        <v>169.13</v>
      </c>
      <c r="Q644" s="69">
        <v>169.13</v>
      </c>
      <c r="R644" s="70" t="str">
        <f>IF(registreGarantie[[#This Row],[date paiement]]="","",registreGarantie[[#This Row],[MO
Demandé]]-registreGarantie[[#This Row],[MO
Remboursé]])</f>
        <v/>
      </c>
      <c r="S644" s="69"/>
      <c r="T644" s="70" t="str">
        <f>IF(registreGarantie[[#This Row],[date paiement]]="","",registreGarantie[[#This Row],[MO
Refusé]]+registreGarantie[[#This Row],[Pièces
Refusés]])</f>
        <v/>
      </c>
      <c r="U644" s="106"/>
      <c r="V644" s="71"/>
      <c r="W644" s="103" t="str">
        <f>IF(registreGarantie[[#This Row],[Pièces 
Demandés]]="","",IF(registreGarantie[[#This Row],[date paiement]]="","",registreGarantie[[#This Row],[date paiement]]+91))</f>
        <v/>
      </c>
      <c r="X64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4" s="74" t="str">
        <f ca="1">IF(registreGarantie[[#This Row],[Colonne1]]=0,"",IF(TODAY()&gt;registreGarantie[[#This Row],[Date rebus]],0,1))</f>
        <v/>
      </c>
      <c r="Z644" s="66"/>
      <c r="AA644" s="73" t="str">
        <f>IF(AND(registreGarantie[[#This Row],[Montant non remboursé]]&gt;1,registreGarantie[[#This Row],[Montant non remboursé]]&lt;&gt;""),1,"")</f>
        <v/>
      </c>
      <c r="AB644" s="66"/>
      <c r="AC644" s="66"/>
      <c r="AD644" s="87">
        <f t="shared" ref="AD644:AD679" si="10">ROW(AD644)</f>
        <v>644</v>
      </c>
      <c r="AE644" s="109">
        <v>45917</v>
      </c>
    </row>
    <row r="645" spans="1:31" ht="18" customHeight="1" thickBot="1" x14ac:dyDescent="0.4">
      <c r="A645" s="64">
        <v>45290</v>
      </c>
      <c r="B645" s="64">
        <v>44794</v>
      </c>
      <c r="C645" s="106">
        <v>45926</v>
      </c>
      <c r="D645" s="66" t="s">
        <v>102</v>
      </c>
      <c r="E645" s="66" t="s">
        <v>32</v>
      </c>
      <c r="F645" s="68" t="s">
        <v>2238</v>
      </c>
      <c r="G645" s="66" t="s">
        <v>1987</v>
      </c>
      <c r="H645" s="64">
        <v>1763</v>
      </c>
      <c r="I645" s="67" t="s">
        <v>5</v>
      </c>
      <c r="J645" s="97">
        <v>404508008</v>
      </c>
      <c r="K645" s="66"/>
      <c r="L645" s="68"/>
      <c r="M645" s="69">
        <v>80.959999999999994</v>
      </c>
      <c r="N645" s="69">
        <v>80.959999999999994</v>
      </c>
      <c r="O645" s="70" t="str">
        <f>IF(registreGarantie[[#This Row],[date paiement]]="","",registreGarantie[[#This Row],[Pièces 
Demandés]]-registreGarantie[[#This Row],[Pièces 
Remboursés]])</f>
        <v/>
      </c>
      <c r="P645" s="69">
        <v>107.63</v>
      </c>
      <c r="Q645" s="69">
        <v>107.63</v>
      </c>
      <c r="R645" s="70" t="str">
        <f>IF(registreGarantie[[#This Row],[date paiement]]="","",registreGarantie[[#This Row],[MO
Demandé]]-registreGarantie[[#This Row],[MO
Remboursé]])</f>
        <v/>
      </c>
      <c r="S645" s="69"/>
      <c r="T645" s="70" t="str">
        <f>IF(registreGarantie[[#This Row],[date paiement]]="","",registreGarantie[[#This Row],[MO
Refusé]]+registreGarantie[[#This Row],[Pièces
Refusés]])</f>
        <v/>
      </c>
      <c r="U645" s="106"/>
      <c r="V645" s="71"/>
      <c r="W645" s="103" t="str">
        <f>IF(registreGarantie[[#This Row],[Pièces 
Demandés]]="","",IF(registreGarantie[[#This Row],[date paiement]]="","",registreGarantie[[#This Row],[date paiement]]+91))</f>
        <v/>
      </c>
      <c r="X64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5" s="74" t="str">
        <f ca="1">IF(registreGarantie[[#This Row],[Colonne1]]=0,"",IF(TODAY()&gt;registreGarantie[[#This Row],[Date rebus]],0,1))</f>
        <v/>
      </c>
      <c r="Z645" s="66"/>
      <c r="AA645" s="73" t="str">
        <f>IF(AND(registreGarantie[[#This Row],[Montant non remboursé]]&gt;1,registreGarantie[[#This Row],[Montant non remboursé]]&lt;&gt;""),1,"")</f>
        <v/>
      </c>
      <c r="AB645" s="66"/>
      <c r="AC645" s="66"/>
      <c r="AD645" s="87">
        <f t="shared" si="10"/>
        <v>645</v>
      </c>
      <c r="AE645" s="109">
        <v>45917</v>
      </c>
    </row>
    <row r="646" spans="1:31" ht="18" customHeight="1" thickBot="1" x14ac:dyDescent="0.4">
      <c r="A646" s="64">
        <v>45291</v>
      </c>
      <c r="B646" s="64">
        <v>44795</v>
      </c>
      <c r="C646" s="106">
        <v>45926</v>
      </c>
      <c r="D646" s="66" t="s">
        <v>1097</v>
      </c>
      <c r="E646" s="66" t="s">
        <v>106</v>
      </c>
      <c r="F646" s="68" t="s">
        <v>2313</v>
      </c>
      <c r="G646" s="66" t="s">
        <v>1987</v>
      </c>
      <c r="H646" s="64">
        <v>1835</v>
      </c>
      <c r="I646" s="67" t="s">
        <v>5</v>
      </c>
      <c r="J646" s="97">
        <v>404508954</v>
      </c>
      <c r="K646" s="66"/>
      <c r="L646" s="68"/>
      <c r="M646" s="69">
        <v>80.959999999999994</v>
      </c>
      <c r="N646" s="69"/>
      <c r="O646" s="70" t="str">
        <f>IF(registreGarantie[[#This Row],[date paiement]]="","",registreGarantie[[#This Row],[Pièces 
Demandés]]-registreGarantie[[#This Row],[Pièces 
Remboursés]])</f>
        <v/>
      </c>
      <c r="P646" s="69">
        <v>107.63</v>
      </c>
      <c r="Q646" s="69"/>
      <c r="R646" s="70" t="str">
        <f>IF(registreGarantie[[#This Row],[date paiement]]="","",registreGarantie[[#This Row],[MO
Demandé]]-registreGarantie[[#This Row],[MO
Remboursé]])</f>
        <v/>
      </c>
      <c r="S646" s="69"/>
      <c r="T646" s="70" t="str">
        <f>IF(registreGarantie[[#This Row],[date paiement]]="","",registreGarantie[[#This Row],[MO
Refusé]]+registreGarantie[[#This Row],[Pièces
Refusés]])</f>
        <v/>
      </c>
      <c r="U646" s="106"/>
      <c r="V646" s="71"/>
      <c r="W646" s="103" t="str">
        <f>IF(registreGarantie[[#This Row],[Pièces 
Demandés]]="","",IF(registreGarantie[[#This Row],[date paiement]]="","",registreGarantie[[#This Row],[date paiement]]+91))</f>
        <v/>
      </c>
      <c r="X64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6" s="74" t="str">
        <f ca="1">IF(registreGarantie[[#This Row],[Colonne1]]=0,"",IF(TODAY()&gt;registreGarantie[[#This Row],[Date rebus]],0,1))</f>
        <v/>
      </c>
      <c r="Z646" s="66"/>
      <c r="AA646" s="73" t="str">
        <f>IF(AND(registreGarantie[[#This Row],[Montant non remboursé]]&gt;1,registreGarantie[[#This Row],[Montant non remboursé]]&lt;&gt;""),1,"")</f>
        <v/>
      </c>
      <c r="AB646" s="66"/>
      <c r="AC646" s="66"/>
      <c r="AD646" s="87">
        <f t="shared" si="10"/>
        <v>646</v>
      </c>
      <c r="AE646" s="109">
        <v>45917</v>
      </c>
    </row>
    <row r="647" spans="1:31" ht="18" customHeight="1" thickBot="1" x14ac:dyDescent="0.4">
      <c r="A647" s="64">
        <v>45292</v>
      </c>
      <c r="B647" s="64">
        <v>44796</v>
      </c>
      <c r="C647" s="106">
        <v>45926</v>
      </c>
      <c r="D647" s="66" t="s">
        <v>353</v>
      </c>
      <c r="E647" s="66" t="s">
        <v>32</v>
      </c>
      <c r="F647" s="68" t="s">
        <v>2335</v>
      </c>
      <c r="G647" s="66" t="s">
        <v>1987</v>
      </c>
      <c r="H647" s="64">
        <v>1781</v>
      </c>
      <c r="I647" s="67" t="s">
        <v>5</v>
      </c>
      <c r="J647" s="97">
        <v>404509076</v>
      </c>
      <c r="K647" s="66"/>
      <c r="L647" s="68"/>
      <c r="M647" s="69">
        <v>80.959999999999994</v>
      </c>
      <c r="N647" s="69">
        <v>80.959999999999994</v>
      </c>
      <c r="O647" s="70" t="str">
        <f>IF(registreGarantie[[#This Row],[date paiement]]="","",registreGarantie[[#This Row],[Pièces 
Demandés]]-registreGarantie[[#This Row],[Pièces 
Remboursés]])</f>
        <v/>
      </c>
      <c r="P647" s="69">
        <v>107.63</v>
      </c>
      <c r="Q647" s="69">
        <v>107.63</v>
      </c>
      <c r="R647" s="70" t="str">
        <f>IF(registreGarantie[[#This Row],[date paiement]]="","",registreGarantie[[#This Row],[MO
Demandé]]-registreGarantie[[#This Row],[MO
Remboursé]])</f>
        <v/>
      </c>
      <c r="S647" s="69"/>
      <c r="T647" s="70" t="str">
        <f>IF(registreGarantie[[#This Row],[date paiement]]="","",registreGarantie[[#This Row],[MO
Refusé]]+registreGarantie[[#This Row],[Pièces
Refusés]])</f>
        <v/>
      </c>
      <c r="U647" s="106"/>
      <c r="V647" s="71"/>
      <c r="W647" s="103" t="str">
        <f>IF(registreGarantie[[#This Row],[Pièces 
Demandés]]="","",IF(registreGarantie[[#This Row],[date paiement]]="","",registreGarantie[[#This Row],[date paiement]]+91))</f>
        <v/>
      </c>
      <c r="X64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7" s="74" t="str">
        <f ca="1">IF(registreGarantie[[#This Row],[Colonne1]]=0,"",IF(TODAY()&gt;registreGarantie[[#This Row],[Date rebus]],0,1))</f>
        <v/>
      </c>
      <c r="Z647" s="66"/>
      <c r="AA647" s="73" t="str">
        <f>IF(AND(registreGarantie[[#This Row],[Montant non remboursé]]&gt;1,registreGarantie[[#This Row],[Montant non remboursé]]&lt;&gt;""),1,"")</f>
        <v/>
      </c>
      <c r="AB647" s="66"/>
      <c r="AC647" s="66"/>
      <c r="AD647" s="87">
        <f t="shared" si="10"/>
        <v>647</v>
      </c>
      <c r="AE647" s="109">
        <v>45917</v>
      </c>
    </row>
    <row r="648" spans="1:31" ht="18" customHeight="1" thickBot="1" x14ac:dyDescent="0.4">
      <c r="A648" s="64">
        <v>45293</v>
      </c>
      <c r="B648" s="64">
        <v>44797</v>
      </c>
      <c r="C648" s="106">
        <v>45926</v>
      </c>
      <c r="D648" s="66" t="s">
        <v>309</v>
      </c>
      <c r="E648" s="66" t="s">
        <v>63</v>
      </c>
      <c r="F648" s="68" t="s">
        <v>2353</v>
      </c>
      <c r="G648" s="66" t="s">
        <v>1987</v>
      </c>
      <c r="H648" s="64">
        <v>1517</v>
      </c>
      <c r="I648" s="67" t="s">
        <v>5</v>
      </c>
      <c r="J648" s="97">
        <v>404508288</v>
      </c>
      <c r="K648" s="66"/>
      <c r="L648" s="68"/>
      <c r="M648" s="69">
        <v>80.959999999999994</v>
      </c>
      <c r="N648" s="69">
        <v>80.959999999999994</v>
      </c>
      <c r="O648" s="70" t="str">
        <f>IF(registreGarantie[[#This Row],[date paiement]]="","",registreGarantie[[#This Row],[Pièces 
Demandés]]-registreGarantie[[#This Row],[Pièces 
Remboursés]])</f>
        <v/>
      </c>
      <c r="P648" s="69">
        <v>107.63</v>
      </c>
      <c r="Q648" s="69">
        <v>107.63</v>
      </c>
      <c r="R648" s="70" t="str">
        <f>IF(registreGarantie[[#This Row],[date paiement]]="","",registreGarantie[[#This Row],[MO
Demandé]]-registreGarantie[[#This Row],[MO
Remboursé]])</f>
        <v/>
      </c>
      <c r="S648" s="69"/>
      <c r="T648" s="70" t="str">
        <f>IF(registreGarantie[[#This Row],[date paiement]]="","",registreGarantie[[#This Row],[MO
Refusé]]+registreGarantie[[#This Row],[Pièces
Refusés]])</f>
        <v/>
      </c>
      <c r="U648" s="106"/>
      <c r="V648" s="71"/>
      <c r="W648" s="103" t="str">
        <f>IF(registreGarantie[[#This Row],[Pièces 
Demandés]]="","",IF(registreGarantie[[#This Row],[date paiement]]="","",registreGarantie[[#This Row],[date paiement]]+91))</f>
        <v/>
      </c>
      <c r="X64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8" s="74" t="str">
        <f ca="1">IF(registreGarantie[[#This Row],[Colonne1]]=0,"",IF(TODAY()&gt;registreGarantie[[#This Row],[Date rebus]],0,1))</f>
        <v/>
      </c>
      <c r="Z648" s="66"/>
      <c r="AA648" s="73" t="str">
        <f>IF(AND(registreGarantie[[#This Row],[Montant non remboursé]]&gt;1,registreGarantie[[#This Row],[Montant non remboursé]]&lt;&gt;""),1,"")</f>
        <v/>
      </c>
      <c r="AB648" s="66"/>
      <c r="AC648" s="66"/>
      <c r="AD648" s="87">
        <f t="shared" si="10"/>
        <v>648</v>
      </c>
      <c r="AE648" s="109">
        <v>45917</v>
      </c>
    </row>
    <row r="649" spans="1:31" ht="18" customHeight="1" thickBot="1" x14ac:dyDescent="0.4">
      <c r="A649" s="64">
        <v>45294</v>
      </c>
      <c r="B649" s="64">
        <v>44798</v>
      </c>
      <c r="C649" s="106">
        <v>45926</v>
      </c>
      <c r="D649" s="66" t="s">
        <v>516</v>
      </c>
      <c r="E649" s="66" t="s">
        <v>63</v>
      </c>
      <c r="F649" s="68" t="s">
        <v>2322</v>
      </c>
      <c r="G649" s="66" t="s">
        <v>1987</v>
      </c>
      <c r="H649" s="64">
        <v>678</v>
      </c>
      <c r="I649" s="67" t="s">
        <v>5</v>
      </c>
      <c r="J649" s="97">
        <v>404509745</v>
      </c>
      <c r="K649" s="66"/>
      <c r="L649" s="68"/>
      <c r="M649" s="69">
        <v>107.63</v>
      </c>
      <c r="N649" s="69">
        <v>107.63</v>
      </c>
      <c r="O649" s="70" t="str">
        <f>IF(registreGarantie[[#This Row],[date paiement]]="","",registreGarantie[[#This Row],[Pièces 
Demandés]]-registreGarantie[[#This Row],[Pièces 
Remboursés]])</f>
        <v/>
      </c>
      <c r="P649" s="69">
        <v>80.959999999999994</v>
      </c>
      <c r="Q649" s="69">
        <v>80.959999999999994</v>
      </c>
      <c r="R649" s="70" t="str">
        <f>IF(registreGarantie[[#This Row],[date paiement]]="","",registreGarantie[[#This Row],[MO
Demandé]]-registreGarantie[[#This Row],[MO
Remboursé]])</f>
        <v/>
      </c>
      <c r="S649" s="69"/>
      <c r="T649" s="70" t="str">
        <f>IF(registreGarantie[[#This Row],[date paiement]]="","",registreGarantie[[#This Row],[MO
Refusé]]+registreGarantie[[#This Row],[Pièces
Refusés]])</f>
        <v/>
      </c>
      <c r="U649" s="106"/>
      <c r="V649" s="71"/>
      <c r="W649" s="103" t="str">
        <f>IF(registreGarantie[[#This Row],[Pièces 
Demandés]]="","",IF(registreGarantie[[#This Row],[date paiement]]="","",registreGarantie[[#This Row],[date paiement]]+91))</f>
        <v/>
      </c>
      <c r="X64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49" s="74" t="str">
        <f ca="1">IF(registreGarantie[[#This Row],[Colonne1]]=0,"",IF(TODAY()&gt;registreGarantie[[#This Row],[Date rebus]],0,1))</f>
        <v/>
      </c>
      <c r="Z649" s="66"/>
      <c r="AA649" s="73" t="str">
        <f>IF(AND(registreGarantie[[#This Row],[Montant non remboursé]]&gt;1,registreGarantie[[#This Row],[Montant non remboursé]]&lt;&gt;""),1,"")</f>
        <v/>
      </c>
      <c r="AB649" s="66"/>
      <c r="AC649" s="66"/>
      <c r="AD649" s="87">
        <f t="shared" si="10"/>
        <v>649</v>
      </c>
      <c r="AE649" s="109">
        <v>45917</v>
      </c>
    </row>
    <row r="650" spans="1:31" ht="18" customHeight="1" thickBot="1" x14ac:dyDescent="0.4">
      <c r="A650" s="64">
        <v>45295</v>
      </c>
      <c r="B650" s="64">
        <v>44799</v>
      </c>
      <c r="C650" s="106">
        <v>45926</v>
      </c>
      <c r="D650" s="66" t="s">
        <v>259</v>
      </c>
      <c r="E650" s="66" t="s">
        <v>63</v>
      </c>
      <c r="F650" s="68" t="s">
        <v>2783</v>
      </c>
      <c r="G650" s="66" t="s">
        <v>1987</v>
      </c>
      <c r="H650" s="64">
        <v>1182</v>
      </c>
      <c r="I650" s="67" t="s">
        <v>5</v>
      </c>
      <c r="J650" s="97">
        <v>404509741</v>
      </c>
      <c r="K650" s="66"/>
      <c r="L650" s="68"/>
      <c r="M650" s="69">
        <v>80.959999999999994</v>
      </c>
      <c r="N650" s="69">
        <v>80.959999999999994</v>
      </c>
      <c r="O650" s="70" t="str">
        <f>IF(registreGarantie[[#This Row],[date paiement]]="","",registreGarantie[[#This Row],[Pièces 
Demandés]]-registreGarantie[[#This Row],[Pièces 
Remboursés]])</f>
        <v/>
      </c>
      <c r="P650" s="69">
        <v>169.13</v>
      </c>
      <c r="Q650" s="69">
        <v>169.13</v>
      </c>
      <c r="R650" s="70" t="str">
        <f>IF(registreGarantie[[#This Row],[date paiement]]="","",registreGarantie[[#This Row],[MO
Demandé]]-registreGarantie[[#This Row],[MO
Remboursé]])</f>
        <v/>
      </c>
      <c r="S650" s="69"/>
      <c r="T650" s="70" t="str">
        <f>IF(registreGarantie[[#This Row],[date paiement]]="","",registreGarantie[[#This Row],[MO
Refusé]]+registreGarantie[[#This Row],[Pièces
Refusés]])</f>
        <v/>
      </c>
      <c r="U650" s="106"/>
      <c r="V650" s="71"/>
      <c r="W650" s="103" t="str">
        <f>IF(registreGarantie[[#This Row],[Pièces 
Demandés]]="","",IF(registreGarantie[[#This Row],[date paiement]]="","",registreGarantie[[#This Row],[date paiement]]+91))</f>
        <v/>
      </c>
      <c r="X65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0" s="74" t="str">
        <f ca="1">IF(registreGarantie[[#This Row],[Colonne1]]=0,"",IF(TODAY()&gt;registreGarantie[[#This Row],[Date rebus]],0,1))</f>
        <v/>
      </c>
      <c r="Z650" s="66"/>
      <c r="AA650" s="73" t="str">
        <f>IF(AND(registreGarantie[[#This Row],[Montant non remboursé]]&gt;1,registreGarantie[[#This Row],[Montant non remboursé]]&lt;&gt;""),1,"")</f>
        <v/>
      </c>
      <c r="AB650" s="66"/>
      <c r="AC650" s="66"/>
      <c r="AD650" s="87">
        <f t="shared" si="10"/>
        <v>650</v>
      </c>
      <c r="AE650" s="109">
        <v>45917</v>
      </c>
    </row>
    <row r="651" spans="1:31" ht="18" customHeight="1" thickBot="1" x14ac:dyDescent="0.4">
      <c r="A651" s="64">
        <v>45296</v>
      </c>
      <c r="B651" s="64">
        <v>44800</v>
      </c>
      <c r="C651" s="106">
        <v>45926</v>
      </c>
      <c r="D651" s="66" t="s">
        <v>141</v>
      </c>
      <c r="E651" s="66" t="s">
        <v>63</v>
      </c>
      <c r="F651" s="68" t="s">
        <v>2355</v>
      </c>
      <c r="G651" s="66" t="s">
        <v>1987</v>
      </c>
      <c r="H651" s="64">
        <v>2056</v>
      </c>
      <c r="I651" s="67" t="s">
        <v>5</v>
      </c>
      <c r="J651" s="97">
        <v>404508582</v>
      </c>
      <c r="K651" s="66"/>
      <c r="L651" s="68"/>
      <c r="M651" s="69">
        <v>80.959999999999994</v>
      </c>
      <c r="N651" s="69">
        <v>80.959999999999994</v>
      </c>
      <c r="O651" s="70" t="str">
        <f>IF(registreGarantie[[#This Row],[date paiement]]="","",registreGarantie[[#This Row],[Pièces 
Demandés]]-registreGarantie[[#This Row],[Pièces 
Remboursés]])</f>
        <v/>
      </c>
      <c r="P651" s="69">
        <v>107.63</v>
      </c>
      <c r="Q651" s="69">
        <v>107.63</v>
      </c>
      <c r="R651" s="70" t="str">
        <f>IF(registreGarantie[[#This Row],[date paiement]]="","",registreGarantie[[#This Row],[MO
Demandé]]-registreGarantie[[#This Row],[MO
Remboursé]])</f>
        <v/>
      </c>
      <c r="S651" s="69"/>
      <c r="T651" s="70" t="str">
        <f>IF(registreGarantie[[#This Row],[date paiement]]="","",registreGarantie[[#This Row],[MO
Refusé]]+registreGarantie[[#This Row],[Pièces
Refusés]])</f>
        <v/>
      </c>
      <c r="U651" s="106"/>
      <c r="V651" s="71"/>
      <c r="W651" s="103" t="str">
        <f>IF(registreGarantie[[#This Row],[Pièces 
Demandés]]="","",IF(registreGarantie[[#This Row],[date paiement]]="","",registreGarantie[[#This Row],[date paiement]]+91))</f>
        <v/>
      </c>
      <c r="X65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1" s="74" t="str">
        <f ca="1">IF(registreGarantie[[#This Row],[Colonne1]]=0,"",IF(TODAY()&gt;registreGarantie[[#This Row],[Date rebus]],0,1))</f>
        <v/>
      </c>
      <c r="Z651" s="66"/>
      <c r="AA651" s="73" t="str">
        <f>IF(AND(registreGarantie[[#This Row],[Montant non remboursé]]&gt;1,registreGarantie[[#This Row],[Montant non remboursé]]&lt;&gt;""),1,"")</f>
        <v/>
      </c>
      <c r="AB651" s="66"/>
      <c r="AC651" s="66"/>
      <c r="AD651" s="87">
        <f t="shared" si="10"/>
        <v>651</v>
      </c>
      <c r="AE651" s="109">
        <v>45917</v>
      </c>
    </row>
    <row r="652" spans="1:31" ht="18" customHeight="1" thickBot="1" x14ac:dyDescent="0.4">
      <c r="A652" s="64">
        <v>45297</v>
      </c>
      <c r="B652" s="64">
        <v>44801</v>
      </c>
      <c r="C652" s="106">
        <v>45926</v>
      </c>
      <c r="D652" s="66" t="s">
        <v>1117</v>
      </c>
      <c r="E652" s="66" t="s">
        <v>32</v>
      </c>
      <c r="F652" s="68" t="s">
        <v>2297</v>
      </c>
      <c r="G652" s="66" t="s">
        <v>1987</v>
      </c>
      <c r="H652" s="64">
        <v>465</v>
      </c>
      <c r="I652" s="67" t="s">
        <v>5</v>
      </c>
      <c r="J652" s="97">
        <v>404510011</v>
      </c>
      <c r="K652" s="66"/>
      <c r="L652" s="68"/>
      <c r="M652" s="69">
        <v>80.959999999999994</v>
      </c>
      <c r="N652" s="69">
        <v>80.959999999999994</v>
      </c>
      <c r="O652" s="70" t="str">
        <f>IF(registreGarantie[[#This Row],[date paiement]]="","",registreGarantie[[#This Row],[Pièces 
Demandés]]-registreGarantie[[#This Row],[Pièces 
Remboursés]])</f>
        <v/>
      </c>
      <c r="P652" s="69">
        <v>107.63</v>
      </c>
      <c r="Q652" s="69">
        <v>107.63</v>
      </c>
      <c r="R652" s="70" t="str">
        <f>IF(registreGarantie[[#This Row],[date paiement]]="","",registreGarantie[[#This Row],[MO
Demandé]]-registreGarantie[[#This Row],[MO
Remboursé]])</f>
        <v/>
      </c>
      <c r="S652" s="69"/>
      <c r="T652" s="70" t="str">
        <f>IF(registreGarantie[[#This Row],[date paiement]]="","",registreGarantie[[#This Row],[MO
Refusé]]+registreGarantie[[#This Row],[Pièces
Refusés]])</f>
        <v/>
      </c>
      <c r="U652" s="106"/>
      <c r="V652" s="71"/>
      <c r="W652" s="103" t="str">
        <f>IF(registreGarantie[[#This Row],[Pièces 
Demandés]]="","",IF(registreGarantie[[#This Row],[date paiement]]="","",registreGarantie[[#This Row],[date paiement]]+91))</f>
        <v/>
      </c>
      <c r="X65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2" s="74" t="str">
        <f ca="1">IF(registreGarantie[[#This Row],[Colonne1]]=0,"",IF(TODAY()&gt;registreGarantie[[#This Row],[Date rebus]],0,1))</f>
        <v/>
      </c>
      <c r="Z652" s="66"/>
      <c r="AA652" s="73" t="str">
        <f>IF(AND(registreGarantie[[#This Row],[Montant non remboursé]]&gt;1,registreGarantie[[#This Row],[Montant non remboursé]]&lt;&gt;""),1,"")</f>
        <v/>
      </c>
      <c r="AB652" s="66"/>
      <c r="AC652" s="66"/>
      <c r="AD652" s="87">
        <f t="shared" si="10"/>
        <v>652</v>
      </c>
      <c r="AE652" s="109">
        <v>45917</v>
      </c>
    </row>
    <row r="653" spans="1:31" ht="18" customHeight="1" thickBot="1" x14ac:dyDescent="0.4">
      <c r="A653" s="64">
        <v>45298</v>
      </c>
      <c r="B653" s="64">
        <v>44802</v>
      </c>
      <c r="C653" s="106">
        <v>45926</v>
      </c>
      <c r="D653" s="66" t="s">
        <v>105</v>
      </c>
      <c r="E653" s="66" t="s">
        <v>106</v>
      </c>
      <c r="F653" s="68" t="s">
        <v>2318</v>
      </c>
      <c r="G653" s="66" t="s">
        <v>1987</v>
      </c>
      <c r="H653" s="64">
        <v>435</v>
      </c>
      <c r="I653" s="67" t="s">
        <v>5</v>
      </c>
      <c r="J653" s="97">
        <v>404508876</v>
      </c>
      <c r="K653" s="66"/>
      <c r="L653" s="68"/>
      <c r="M653" s="69">
        <v>80.959999999999994</v>
      </c>
      <c r="N653" s="69">
        <v>80.959999999999994</v>
      </c>
      <c r="O653" s="70" t="str">
        <f>IF(registreGarantie[[#This Row],[date paiement]]="","",registreGarantie[[#This Row],[Pièces 
Demandés]]-registreGarantie[[#This Row],[Pièces 
Remboursés]])</f>
        <v/>
      </c>
      <c r="P653" s="69">
        <v>107.63</v>
      </c>
      <c r="Q653" s="69">
        <v>107.63</v>
      </c>
      <c r="R653" s="70" t="str">
        <f>IF(registreGarantie[[#This Row],[date paiement]]="","",registreGarantie[[#This Row],[MO
Demandé]]-registreGarantie[[#This Row],[MO
Remboursé]])</f>
        <v/>
      </c>
      <c r="S653" s="69"/>
      <c r="T653" s="70" t="str">
        <f>IF(registreGarantie[[#This Row],[date paiement]]="","",registreGarantie[[#This Row],[MO
Refusé]]+registreGarantie[[#This Row],[Pièces
Refusés]])</f>
        <v/>
      </c>
      <c r="U653" s="106"/>
      <c r="V653" s="71"/>
      <c r="W653" s="103" t="str">
        <f>IF(registreGarantie[[#This Row],[Pièces 
Demandés]]="","",IF(registreGarantie[[#This Row],[date paiement]]="","",registreGarantie[[#This Row],[date paiement]]+91))</f>
        <v/>
      </c>
      <c r="X65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3" s="74" t="str">
        <f ca="1">IF(registreGarantie[[#This Row],[Colonne1]]=0,"",IF(TODAY()&gt;registreGarantie[[#This Row],[Date rebus]],0,1))</f>
        <v/>
      </c>
      <c r="Z653" s="66"/>
      <c r="AA653" s="73" t="str">
        <f>IF(AND(registreGarantie[[#This Row],[Montant non remboursé]]&gt;1,registreGarantie[[#This Row],[Montant non remboursé]]&lt;&gt;""),1,"")</f>
        <v/>
      </c>
      <c r="AB653" s="66"/>
      <c r="AC653" s="66"/>
      <c r="AD653" s="87">
        <f t="shared" si="10"/>
        <v>653</v>
      </c>
      <c r="AE653" s="109">
        <v>45917</v>
      </c>
    </row>
    <row r="654" spans="1:31" ht="18" customHeight="1" thickBot="1" x14ac:dyDescent="0.4">
      <c r="A654" s="64">
        <v>45299</v>
      </c>
      <c r="B654" s="64">
        <v>44803</v>
      </c>
      <c r="C654" s="106">
        <v>45926</v>
      </c>
      <c r="D654" s="66" t="s">
        <v>309</v>
      </c>
      <c r="E654" s="66" t="s">
        <v>440</v>
      </c>
      <c r="F654" s="68" t="s">
        <v>2784</v>
      </c>
      <c r="G654" s="66" t="s">
        <v>1987</v>
      </c>
      <c r="H654" s="64">
        <v>1365</v>
      </c>
      <c r="I654" s="67" t="s">
        <v>5</v>
      </c>
      <c r="J654" s="97">
        <v>404508583</v>
      </c>
      <c r="K654" s="66"/>
      <c r="L654" s="68"/>
      <c r="M654" s="69">
        <v>80.959999999999994</v>
      </c>
      <c r="N654" s="69">
        <v>80.959999999999994</v>
      </c>
      <c r="O654" s="70" t="str">
        <f>IF(registreGarantie[[#This Row],[date paiement]]="","",registreGarantie[[#This Row],[Pièces 
Demandés]]-registreGarantie[[#This Row],[Pièces 
Remboursés]])</f>
        <v/>
      </c>
      <c r="P654" s="69">
        <v>107.63</v>
      </c>
      <c r="Q654" s="69">
        <v>107.63</v>
      </c>
      <c r="R654" s="70" t="str">
        <f>IF(registreGarantie[[#This Row],[date paiement]]="","",registreGarantie[[#This Row],[MO
Demandé]]-registreGarantie[[#This Row],[MO
Remboursé]])</f>
        <v/>
      </c>
      <c r="S654" s="69"/>
      <c r="T654" s="70" t="str">
        <f>IF(registreGarantie[[#This Row],[date paiement]]="","",registreGarantie[[#This Row],[MO
Refusé]]+registreGarantie[[#This Row],[Pièces
Refusés]])</f>
        <v/>
      </c>
      <c r="U654" s="106"/>
      <c r="V654" s="71"/>
      <c r="W654" s="103" t="str">
        <f>IF(registreGarantie[[#This Row],[Pièces 
Demandés]]="","",IF(registreGarantie[[#This Row],[date paiement]]="","",registreGarantie[[#This Row],[date paiement]]+91))</f>
        <v/>
      </c>
      <c r="X65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4" s="74" t="str">
        <f ca="1">IF(registreGarantie[[#This Row],[Colonne1]]=0,"",IF(TODAY()&gt;registreGarantie[[#This Row],[Date rebus]],0,1))</f>
        <v/>
      </c>
      <c r="Z654" s="66"/>
      <c r="AA654" s="73" t="str">
        <f>IF(AND(registreGarantie[[#This Row],[Montant non remboursé]]&gt;1,registreGarantie[[#This Row],[Montant non remboursé]]&lt;&gt;""),1,"")</f>
        <v/>
      </c>
      <c r="AB654" s="66"/>
      <c r="AC654" s="66"/>
      <c r="AD654" s="87">
        <f t="shared" si="10"/>
        <v>654</v>
      </c>
      <c r="AE654" s="109">
        <v>45917</v>
      </c>
    </row>
    <row r="655" spans="1:31" ht="18" customHeight="1" thickBot="1" x14ac:dyDescent="0.4">
      <c r="A655" s="64">
        <v>45300</v>
      </c>
      <c r="B655" s="64">
        <v>44804</v>
      </c>
      <c r="C655" s="106">
        <v>45926</v>
      </c>
      <c r="D655" s="66" t="s">
        <v>62</v>
      </c>
      <c r="E655" s="66" t="s">
        <v>63</v>
      </c>
      <c r="F655" s="68" t="s">
        <v>2250</v>
      </c>
      <c r="G655" s="66" t="s">
        <v>1987</v>
      </c>
      <c r="H655" s="64">
        <v>2787</v>
      </c>
      <c r="I655" s="67" t="s">
        <v>5</v>
      </c>
      <c r="J655" s="97">
        <v>404508580</v>
      </c>
      <c r="K655" s="66"/>
      <c r="L655" s="68"/>
      <c r="M655" s="69">
        <v>80.959999999999994</v>
      </c>
      <c r="N655" s="69">
        <v>80.959999999999994</v>
      </c>
      <c r="O655" s="70" t="str">
        <f>IF(registreGarantie[[#This Row],[date paiement]]="","",registreGarantie[[#This Row],[Pièces 
Demandés]]-registreGarantie[[#This Row],[Pièces 
Remboursés]])</f>
        <v/>
      </c>
      <c r="P655" s="69">
        <v>107.63</v>
      </c>
      <c r="Q655" s="69">
        <v>107.63</v>
      </c>
      <c r="R655" s="70" t="str">
        <f>IF(registreGarantie[[#This Row],[date paiement]]="","",registreGarantie[[#This Row],[MO
Demandé]]-registreGarantie[[#This Row],[MO
Remboursé]])</f>
        <v/>
      </c>
      <c r="S655" s="69"/>
      <c r="T655" s="70" t="str">
        <f>IF(registreGarantie[[#This Row],[date paiement]]="","",registreGarantie[[#This Row],[MO
Refusé]]+registreGarantie[[#This Row],[Pièces
Refusés]])</f>
        <v/>
      </c>
      <c r="U655" s="106"/>
      <c r="V655" s="71"/>
      <c r="W655" s="103" t="str">
        <f>IF(registreGarantie[[#This Row],[Pièces 
Demandés]]="","",IF(registreGarantie[[#This Row],[date paiement]]="","",registreGarantie[[#This Row],[date paiement]]+91))</f>
        <v/>
      </c>
      <c r="X65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5" s="74" t="str">
        <f ca="1">IF(registreGarantie[[#This Row],[Colonne1]]=0,"",IF(TODAY()&gt;registreGarantie[[#This Row],[Date rebus]],0,1))</f>
        <v/>
      </c>
      <c r="Z655" s="66"/>
      <c r="AA655" s="73" t="str">
        <f>IF(AND(registreGarantie[[#This Row],[Montant non remboursé]]&gt;1,registreGarantie[[#This Row],[Montant non remboursé]]&lt;&gt;""),1,"")</f>
        <v/>
      </c>
      <c r="AB655" s="66"/>
      <c r="AC655" s="66"/>
      <c r="AD655" s="87">
        <f t="shared" si="10"/>
        <v>655</v>
      </c>
      <c r="AE655" s="109">
        <v>45917</v>
      </c>
    </row>
    <row r="656" spans="1:31" ht="18" customHeight="1" thickBot="1" x14ac:dyDescent="0.4">
      <c r="A656" s="64">
        <v>45301</v>
      </c>
      <c r="B656" s="64">
        <v>44805</v>
      </c>
      <c r="C656" s="106">
        <v>45926</v>
      </c>
      <c r="D656" s="66" t="s">
        <v>205</v>
      </c>
      <c r="E656" s="66" t="s">
        <v>106</v>
      </c>
      <c r="F656" s="68" t="s">
        <v>2356</v>
      </c>
      <c r="G656" s="66" t="s">
        <v>1987</v>
      </c>
      <c r="H656" s="64">
        <v>1131</v>
      </c>
      <c r="I656" s="67" t="s">
        <v>5</v>
      </c>
      <c r="J656" s="97">
        <v>404508888</v>
      </c>
      <c r="K656" s="66"/>
      <c r="L656" s="68"/>
      <c r="M656" s="69">
        <v>80.959999999999994</v>
      </c>
      <c r="N656" s="69">
        <v>80.959999999999994</v>
      </c>
      <c r="O656" s="70" t="str">
        <f>IF(registreGarantie[[#This Row],[date paiement]]="","",registreGarantie[[#This Row],[Pièces 
Demandés]]-registreGarantie[[#This Row],[Pièces 
Remboursés]])</f>
        <v/>
      </c>
      <c r="P656" s="69">
        <v>107.63</v>
      </c>
      <c r="Q656" s="69">
        <v>107.63</v>
      </c>
      <c r="R656" s="70" t="str">
        <f>IF(registreGarantie[[#This Row],[date paiement]]="","",registreGarantie[[#This Row],[MO
Demandé]]-registreGarantie[[#This Row],[MO
Remboursé]])</f>
        <v/>
      </c>
      <c r="S656" s="69"/>
      <c r="T656" s="70" t="str">
        <f>IF(registreGarantie[[#This Row],[date paiement]]="","",registreGarantie[[#This Row],[MO
Refusé]]+registreGarantie[[#This Row],[Pièces
Refusés]])</f>
        <v/>
      </c>
      <c r="U656" s="106"/>
      <c r="V656" s="71"/>
      <c r="W656" s="103" t="str">
        <f>IF(registreGarantie[[#This Row],[Pièces 
Demandés]]="","",IF(registreGarantie[[#This Row],[date paiement]]="","",registreGarantie[[#This Row],[date paiement]]+91))</f>
        <v/>
      </c>
      <c r="X65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6" s="74" t="str">
        <f ca="1">IF(registreGarantie[[#This Row],[Colonne1]]=0,"",IF(TODAY()&gt;registreGarantie[[#This Row],[Date rebus]],0,1))</f>
        <v/>
      </c>
      <c r="Z656" s="66"/>
      <c r="AA656" s="73" t="str">
        <f>IF(AND(registreGarantie[[#This Row],[Montant non remboursé]]&gt;1,registreGarantie[[#This Row],[Montant non remboursé]]&lt;&gt;""),1,"")</f>
        <v/>
      </c>
      <c r="AB656" s="66"/>
      <c r="AC656" s="66"/>
      <c r="AD656" s="87">
        <f t="shared" si="10"/>
        <v>656</v>
      </c>
      <c r="AE656" s="109">
        <v>45917</v>
      </c>
    </row>
    <row r="657" spans="1:31" ht="18" customHeight="1" thickBot="1" x14ac:dyDescent="0.4">
      <c r="A657" s="64">
        <v>45302</v>
      </c>
      <c r="B657" s="64">
        <v>44481</v>
      </c>
      <c r="C657" s="106">
        <v>45917</v>
      </c>
      <c r="D657" s="66" t="s">
        <v>325</v>
      </c>
      <c r="E657" s="66" t="s">
        <v>367</v>
      </c>
      <c r="F657" s="68" t="s">
        <v>2785</v>
      </c>
      <c r="G657" s="66" t="s">
        <v>58</v>
      </c>
      <c r="H657" s="64">
        <v>93</v>
      </c>
      <c r="I657" s="67" t="s">
        <v>18</v>
      </c>
      <c r="J657" s="97">
        <v>404869254</v>
      </c>
      <c r="K657" s="66"/>
      <c r="L657" s="68"/>
      <c r="M657" s="69"/>
      <c r="N657" s="69"/>
      <c r="O657" s="70" t="str">
        <f>IF(registreGarantie[[#This Row],[date paiement]]="","",registreGarantie[[#This Row],[Pièces 
Demandés]]-registreGarantie[[#This Row],[Pièces 
Remboursés]])</f>
        <v/>
      </c>
      <c r="P657" s="69"/>
      <c r="Q657" s="69"/>
      <c r="R657" s="70" t="str">
        <f>IF(registreGarantie[[#This Row],[date paiement]]="","",registreGarantie[[#This Row],[MO
Demandé]]-registreGarantie[[#This Row],[MO
Remboursé]])</f>
        <v/>
      </c>
      <c r="S657" s="69"/>
      <c r="T657" s="70" t="str">
        <f>IF(registreGarantie[[#This Row],[date paiement]]="","",registreGarantie[[#This Row],[MO
Refusé]]+registreGarantie[[#This Row],[Pièces
Refusés]])</f>
        <v/>
      </c>
      <c r="U657" s="106"/>
      <c r="V657" s="71"/>
      <c r="W657" s="103" t="str">
        <f>IF(registreGarantie[[#This Row],[Pièces 
Demandés]]="","",IF(registreGarantie[[#This Row],[date paiement]]="","",registreGarantie[[#This Row],[date paiement]]+91))</f>
        <v/>
      </c>
      <c r="X65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7" s="74" t="str">
        <f ca="1">IF(registreGarantie[[#This Row],[Colonne1]]=0,"",IF(TODAY()&gt;registreGarantie[[#This Row],[Date rebus]],0,1))</f>
        <v/>
      </c>
      <c r="Z657" s="66"/>
      <c r="AA657" s="73" t="str">
        <f>IF(AND(registreGarantie[[#This Row],[Montant non remboursé]]&gt;1,registreGarantie[[#This Row],[Montant non remboursé]]&lt;&gt;""),1,"")</f>
        <v/>
      </c>
      <c r="AB657" s="66"/>
      <c r="AC657" s="66"/>
      <c r="AD657" s="87">
        <f t="shared" si="10"/>
        <v>657</v>
      </c>
      <c r="AE657" s="109">
        <v>45825</v>
      </c>
    </row>
    <row r="658" spans="1:31" ht="18" customHeight="1" thickBot="1" x14ac:dyDescent="0.4">
      <c r="A658" s="64">
        <v>45303</v>
      </c>
      <c r="B658" s="64">
        <v>44698</v>
      </c>
      <c r="C658" s="106">
        <v>45918</v>
      </c>
      <c r="D658" s="66" t="s">
        <v>486</v>
      </c>
      <c r="E658" s="66" t="s">
        <v>487</v>
      </c>
      <c r="F658" s="68" t="s">
        <v>2262</v>
      </c>
      <c r="G658" s="66" t="s">
        <v>615</v>
      </c>
      <c r="H658" s="64">
        <v>2661</v>
      </c>
      <c r="I658" s="67" t="s">
        <v>3</v>
      </c>
      <c r="J658" s="97">
        <v>404870490</v>
      </c>
      <c r="K658" s="66"/>
      <c r="L658" s="68"/>
      <c r="M658" s="69"/>
      <c r="N658" s="69"/>
      <c r="O658" s="70" t="str">
        <f>IF(registreGarantie[[#This Row],[date paiement]]="","",registreGarantie[[#This Row],[Pièces 
Demandés]]-registreGarantie[[#This Row],[Pièces 
Remboursés]])</f>
        <v/>
      </c>
      <c r="P658" s="69">
        <v>262</v>
      </c>
      <c r="Q658" s="69"/>
      <c r="R658" s="70" t="str">
        <f>IF(registreGarantie[[#This Row],[date paiement]]="","",registreGarantie[[#This Row],[MO
Demandé]]-registreGarantie[[#This Row],[MO
Remboursé]])</f>
        <v/>
      </c>
      <c r="S658" s="69">
        <v>150</v>
      </c>
      <c r="T658" s="70" t="str">
        <f>IF(registreGarantie[[#This Row],[date paiement]]="","",registreGarantie[[#This Row],[MO
Refusé]]+registreGarantie[[#This Row],[Pièces
Refusés]])</f>
        <v/>
      </c>
      <c r="U658" s="106"/>
      <c r="V658" s="71"/>
      <c r="W658" s="103" t="str">
        <f>IF(registreGarantie[[#This Row],[Pièces 
Demandés]]="","",IF(registreGarantie[[#This Row],[date paiement]]="","",registreGarantie[[#This Row],[date paiement]]+91))</f>
        <v/>
      </c>
      <c r="X65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8" s="74" t="str">
        <f ca="1">IF(registreGarantie[[#This Row],[Colonne1]]=0,"",IF(TODAY()&gt;registreGarantie[[#This Row],[Date rebus]],0,1))</f>
        <v/>
      </c>
      <c r="Z658" s="66"/>
      <c r="AA658" s="73" t="str">
        <f>IF(AND(registreGarantie[[#This Row],[Montant non remboursé]]&gt;1,registreGarantie[[#This Row],[Montant non remboursé]]&lt;&gt;""),1,"")</f>
        <v/>
      </c>
      <c r="AB658" s="66"/>
      <c r="AC658" s="66"/>
      <c r="AD658" s="87">
        <f t="shared" si="10"/>
        <v>658</v>
      </c>
      <c r="AE658" s="109">
        <v>45890</v>
      </c>
    </row>
    <row r="659" spans="1:31" ht="18" customHeight="1" thickBot="1" x14ac:dyDescent="0.4">
      <c r="A659" s="64">
        <v>45304</v>
      </c>
      <c r="B659" s="64">
        <v>44678</v>
      </c>
      <c r="C659" s="106">
        <v>45918</v>
      </c>
      <c r="D659" s="66" t="s">
        <v>486</v>
      </c>
      <c r="E659" s="66" t="s">
        <v>487</v>
      </c>
      <c r="F659" s="68" t="s">
        <v>2262</v>
      </c>
      <c r="G659" s="66" t="s">
        <v>2787</v>
      </c>
      <c r="H659" s="64">
        <v>2656</v>
      </c>
      <c r="I659" s="67" t="s">
        <v>18</v>
      </c>
      <c r="J659" s="97">
        <v>404870717</v>
      </c>
      <c r="K659" s="66"/>
      <c r="L659" s="68"/>
      <c r="M659" s="69"/>
      <c r="N659" s="69"/>
      <c r="O659" s="70" t="str">
        <f>IF(registreGarantie[[#This Row],[date paiement]]="","",registreGarantie[[#This Row],[Pièces 
Demandés]]-registreGarantie[[#This Row],[Pièces 
Remboursés]])</f>
        <v/>
      </c>
      <c r="P659" s="69"/>
      <c r="Q659" s="69"/>
      <c r="R659" s="70" t="str">
        <f>IF(registreGarantie[[#This Row],[date paiement]]="","",registreGarantie[[#This Row],[MO
Demandé]]-registreGarantie[[#This Row],[MO
Remboursé]])</f>
        <v/>
      </c>
      <c r="S659" s="69"/>
      <c r="T659" s="70" t="str">
        <f>IF(registreGarantie[[#This Row],[date paiement]]="","",registreGarantie[[#This Row],[MO
Refusé]]+registreGarantie[[#This Row],[Pièces
Refusés]])</f>
        <v/>
      </c>
      <c r="U659" s="106"/>
      <c r="V659" s="71"/>
      <c r="W659" s="103" t="str">
        <f>IF(registreGarantie[[#This Row],[Pièces 
Demandés]]="","",IF(registreGarantie[[#This Row],[date paiement]]="","",registreGarantie[[#This Row],[date paiement]]+91))</f>
        <v/>
      </c>
      <c r="X65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59" s="74" t="str">
        <f ca="1">IF(registreGarantie[[#This Row],[Colonne1]]=0,"",IF(TODAY()&gt;registreGarantie[[#This Row],[Date rebus]],0,1))</f>
        <v/>
      </c>
      <c r="Z659" s="66"/>
      <c r="AA659" s="73" t="str">
        <f>IF(AND(registreGarantie[[#This Row],[Montant non remboursé]]&gt;1,registreGarantie[[#This Row],[Montant non remboursé]]&lt;&gt;""),1,"")</f>
        <v/>
      </c>
      <c r="AB659" s="66"/>
      <c r="AC659" s="66"/>
      <c r="AD659" s="87">
        <f t="shared" si="10"/>
        <v>659</v>
      </c>
      <c r="AE659" s="109">
        <v>45874</v>
      </c>
    </row>
    <row r="660" spans="1:31" ht="18" customHeight="1" thickBot="1" x14ac:dyDescent="0.4">
      <c r="A660" s="64">
        <v>45304</v>
      </c>
      <c r="B660" s="64">
        <v>44678</v>
      </c>
      <c r="C660" s="106">
        <v>45918</v>
      </c>
      <c r="D660" s="66" t="s">
        <v>486</v>
      </c>
      <c r="E660" s="66" t="s">
        <v>487</v>
      </c>
      <c r="F660" s="68" t="s">
        <v>2262</v>
      </c>
      <c r="G660" s="66" t="s">
        <v>2787</v>
      </c>
      <c r="H660" s="64">
        <v>2656</v>
      </c>
      <c r="I660" s="67" t="s">
        <v>19</v>
      </c>
      <c r="J660" s="97">
        <v>404870726</v>
      </c>
      <c r="K660" s="66"/>
      <c r="L660" s="68"/>
      <c r="M660" s="69"/>
      <c r="N660" s="69"/>
      <c r="O660" s="69" t="str">
        <f>IF(registreGarantie[[#This Row],[date paiement]]="","",registreGarantie[[#This Row],[Pièces 
Demandés]]-registreGarantie[[#This Row],[Pièces 
Remboursés]])</f>
        <v/>
      </c>
      <c r="P660" s="69"/>
      <c r="Q660" s="69"/>
      <c r="R660" s="70" t="str">
        <f>IF(registreGarantie[[#This Row],[date paiement]]="","",registreGarantie[[#This Row],[MO
Demandé]]-registreGarantie[[#This Row],[MO
Remboursé]])</f>
        <v/>
      </c>
      <c r="S660" s="69"/>
      <c r="T660" s="70" t="str">
        <f>IF(registreGarantie[[#This Row],[date paiement]]="","",registreGarantie[[#This Row],[MO
Refusé]]+registreGarantie[[#This Row],[Pièces
Refusés]])</f>
        <v/>
      </c>
      <c r="U660" s="106"/>
      <c r="V660" s="71" t="str">
        <f>IF(registreGarantie[[#This Row],[Pièces 
Demandés]]="","",registreGarantie[[#This Row],[Date]])</f>
        <v/>
      </c>
      <c r="W660" s="103" t="str">
        <f>IF(registreGarantie[[#This Row],[Pièces 
Demandés]]="","",IF(registreGarantie[[#This Row],[date paiement]]="","",registreGarantie[[#This Row],[date paiement]]+91))</f>
        <v/>
      </c>
      <c r="X66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0" s="74" t="str">
        <f ca="1">IF(registreGarantie[[#This Row],[Colonne1]]=0,"",IF(TODAY()&gt;registreGarantie[[#This Row],[Date rebus]],0,1))</f>
        <v/>
      </c>
      <c r="Z660" s="66"/>
      <c r="AA660" s="73" t="str">
        <f>IF(AND(registreGarantie[[#This Row],[Montant non remboursé]]&gt;1,registreGarantie[[#This Row],[Montant non remboursé]]&lt;&gt;""),1,"")</f>
        <v/>
      </c>
      <c r="AB660" s="66"/>
      <c r="AC660" s="66"/>
      <c r="AD660" s="87">
        <f>ROW(AD660)</f>
        <v>660</v>
      </c>
      <c r="AE660" s="109">
        <v>45874</v>
      </c>
    </row>
    <row r="661" spans="1:31" ht="18" customHeight="1" thickBot="1" x14ac:dyDescent="0.4">
      <c r="A661" s="64">
        <v>45305</v>
      </c>
      <c r="B661" s="64">
        <v>6324</v>
      </c>
      <c r="C661" s="106">
        <v>45918</v>
      </c>
      <c r="D661" s="66" t="s">
        <v>509</v>
      </c>
      <c r="E661" s="66" t="s">
        <v>440</v>
      </c>
      <c r="F661" s="68" t="s">
        <v>2300</v>
      </c>
      <c r="G661" s="66" t="s">
        <v>2788</v>
      </c>
      <c r="H661" s="64">
        <v>2457</v>
      </c>
      <c r="I661" s="67" t="s">
        <v>3</v>
      </c>
      <c r="J661" s="97">
        <v>404870782</v>
      </c>
      <c r="K661" s="66"/>
      <c r="L661" s="68"/>
      <c r="M661" s="69">
        <v>68.739999999999995</v>
      </c>
      <c r="N661" s="69"/>
      <c r="O661" s="70" t="str">
        <f>IF(registreGarantie[[#This Row],[date paiement]]="","",registreGarantie[[#This Row],[Pièces 
Demandés]]-registreGarantie[[#This Row],[Pièces 
Remboursés]])</f>
        <v/>
      </c>
      <c r="P661" s="69">
        <v>131</v>
      </c>
      <c r="Q661" s="69"/>
      <c r="R661" s="70" t="str">
        <f>IF(registreGarantie[[#This Row],[date paiement]]="","",registreGarantie[[#This Row],[MO
Demandé]]-registreGarantie[[#This Row],[MO
Remboursé]])</f>
        <v/>
      </c>
      <c r="S661" s="69">
        <v>150</v>
      </c>
      <c r="T661" s="70" t="str">
        <f>IF(registreGarantie[[#This Row],[date paiement]]="","",registreGarantie[[#This Row],[MO
Refusé]]+registreGarantie[[#This Row],[Pièces
Refusés]])</f>
        <v/>
      </c>
      <c r="U661" s="106"/>
      <c r="V661" s="71"/>
      <c r="W661" s="103" t="str">
        <f>IF(registreGarantie[[#This Row],[Pièces 
Demandés]]="","",IF(registreGarantie[[#This Row],[date paiement]]="","",registreGarantie[[#This Row],[date paiement]]+91))</f>
        <v/>
      </c>
      <c r="X66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1" s="74" t="str">
        <f ca="1">IF(registreGarantie[[#This Row],[Colonne1]]=0,"",IF(TODAY()&gt;registreGarantie[[#This Row],[Date rebus]],0,1))</f>
        <v/>
      </c>
      <c r="Z661" s="66"/>
      <c r="AA661" s="73" t="str">
        <f>IF(AND(registreGarantie[[#This Row],[Montant non remboursé]]&gt;1,registreGarantie[[#This Row],[Montant non remboursé]]&lt;&gt;""),1,"")</f>
        <v/>
      </c>
      <c r="AB661" s="66"/>
      <c r="AC661" s="66"/>
      <c r="AD661" s="87">
        <f t="shared" si="10"/>
        <v>661</v>
      </c>
      <c r="AE661" s="109">
        <v>45909</v>
      </c>
    </row>
    <row r="662" spans="1:31" ht="18" customHeight="1" thickBot="1" x14ac:dyDescent="0.4">
      <c r="A662" s="64">
        <v>45306</v>
      </c>
      <c r="B662" s="64">
        <v>44697</v>
      </c>
      <c r="C662" s="106">
        <v>45918</v>
      </c>
      <c r="D662" s="66" t="s">
        <v>325</v>
      </c>
      <c r="E662" s="66" t="s">
        <v>367</v>
      </c>
      <c r="F662" s="68" t="s">
        <v>2785</v>
      </c>
      <c r="G662" s="66" t="s">
        <v>2796</v>
      </c>
      <c r="H662" s="64" t="s">
        <v>2797</v>
      </c>
      <c r="I662" s="67" t="s">
        <v>2</v>
      </c>
      <c r="J662" s="97">
        <v>404871329</v>
      </c>
      <c r="K662" s="66"/>
      <c r="L662" s="68"/>
      <c r="M662" s="69">
        <v>151.58000000000001</v>
      </c>
      <c r="N662" s="69"/>
      <c r="O662" s="70" t="str">
        <f>IF(registreGarantie[[#This Row],[date paiement]]="","",registreGarantie[[#This Row],[Pièces 
Demandés]]-registreGarantie[[#This Row],[Pièces 
Remboursés]])</f>
        <v/>
      </c>
      <c r="P662" s="69">
        <v>131</v>
      </c>
      <c r="Q662" s="69"/>
      <c r="R662" s="70" t="str">
        <f>IF(registreGarantie[[#This Row],[date paiement]]="","",registreGarantie[[#This Row],[MO
Demandé]]-registreGarantie[[#This Row],[MO
Remboursé]])</f>
        <v/>
      </c>
      <c r="S662" s="69"/>
      <c r="T662" s="70" t="str">
        <f>IF(registreGarantie[[#This Row],[date paiement]]="","",registreGarantie[[#This Row],[MO
Refusé]]+registreGarantie[[#This Row],[Pièces
Refusés]])</f>
        <v/>
      </c>
      <c r="U662" s="106"/>
      <c r="V662" s="71"/>
      <c r="W662" s="103" t="str">
        <f>IF(registreGarantie[[#This Row],[Pièces 
Demandés]]="","",IF(registreGarantie[[#This Row],[date paiement]]="","",registreGarantie[[#This Row],[date paiement]]+91))</f>
        <v/>
      </c>
      <c r="X66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2" s="74" t="str">
        <f ca="1">IF(registreGarantie[[#This Row],[Colonne1]]=0,"",IF(TODAY()&gt;registreGarantie[[#This Row],[Date rebus]],0,1))</f>
        <v/>
      </c>
      <c r="Z662" s="66"/>
      <c r="AA662" s="73" t="str">
        <f>IF(AND(registreGarantie[[#This Row],[Montant non remboursé]]&gt;1,registreGarantie[[#This Row],[Montant non remboursé]]&lt;&gt;""),1,"")</f>
        <v/>
      </c>
      <c r="AB662" s="66"/>
      <c r="AC662" s="66"/>
      <c r="AD662" s="87">
        <f t="shared" si="10"/>
        <v>662</v>
      </c>
      <c r="AE662" s="109">
        <v>45890</v>
      </c>
    </row>
    <row r="663" spans="1:31" ht="18" customHeight="1" thickBot="1" x14ac:dyDescent="0.4">
      <c r="A663" s="64">
        <v>45307</v>
      </c>
      <c r="B663" s="64">
        <v>44681</v>
      </c>
      <c r="C663" s="106">
        <v>45919</v>
      </c>
      <c r="D663" s="66" t="s">
        <v>86</v>
      </c>
      <c r="E663" s="66" t="s">
        <v>148</v>
      </c>
      <c r="F663" s="68" t="s">
        <v>2240</v>
      </c>
      <c r="G663" s="66" t="s">
        <v>2798</v>
      </c>
      <c r="H663" s="64">
        <v>2615</v>
      </c>
      <c r="I663" s="67" t="s">
        <v>18</v>
      </c>
      <c r="J663" s="97">
        <v>404873285</v>
      </c>
      <c r="K663" s="66"/>
      <c r="L663" s="68"/>
      <c r="M663" s="69">
        <v>320.95999999999998</v>
      </c>
      <c r="N663" s="69"/>
      <c r="O663" s="70" t="str">
        <f>IF(registreGarantie[[#This Row],[date paiement]]="","",registreGarantie[[#This Row],[Pièces 
Demandés]]-registreGarantie[[#This Row],[Pièces 
Remboursés]])</f>
        <v/>
      </c>
      <c r="P663" s="69">
        <v>320.95</v>
      </c>
      <c r="Q663" s="69"/>
      <c r="R663" s="70" t="str">
        <f>IF(registreGarantie[[#This Row],[date paiement]]="","",registreGarantie[[#This Row],[MO
Demandé]]-registreGarantie[[#This Row],[MO
Remboursé]])</f>
        <v/>
      </c>
      <c r="S663" s="69"/>
      <c r="T663" s="70" t="str">
        <f>IF(registreGarantie[[#This Row],[date paiement]]="","",registreGarantie[[#This Row],[MO
Refusé]]+registreGarantie[[#This Row],[Pièces
Refusés]])</f>
        <v/>
      </c>
      <c r="U663" s="106"/>
      <c r="V663" s="71"/>
      <c r="W663" s="103" t="str">
        <f>IF(registreGarantie[[#This Row],[Pièces 
Demandés]]="","",IF(registreGarantie[[#This Row],[date paiement]]="","",registreGarantie[[#This Row],[date paiement]]+91))</f>
        <v/>
      </c>
      <c r="X66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3" s="74" t="str">
        <f ca="1">IF(registreGarantie[[#This Row],[Colonne1]]=0,"",IF(TODAY()&gt;registreGarantie[[#This Row],[Date rebus]],0,1))</f>
        <v/>
      </c>
      <c r="Z663" s="66"/>
      <c r="AA663" s="73" t="str">
        <f>IF(AND(registreGarantie[[#This Row],[Montant non remboursé]]&gt;1,registreGarantie[[#This Row],[Montant non remboursé]]&lt;&gt;""),1,"")</f>
        <v/>
      </c>
      <c r="AB663" s="66"/>
      <c r="AC663" s="66"/>
      <c r="AD663" s="87">
        <f t="shared" si="10"/>
        <v>663</v>
      </c>
      <c r="AE663" s="109">
        <v>45876</v>
      </c>
    </row>
    <row r="664" spans="1:31" ht="18" customHeight="1" thickBot="1" x14ac:dyDescent="0.4">
      <c r="A664" s="64">
        <v>45307</v>
      </c>
      <c r="B664" s="64">
        <v>44681</v>
      </c>
      <c r="C664" s="106">
        <v>45919</v>
      </c>
      <c r="D664" s="66" t="s">
        <v>86</v>
      </c>
      <c r="E664" s="66" t="s">
        <v>148</v>
      </c>
      <c r="F664" s="68" t="s">
        <v>2240</v>
      </c>
      <c r="G664" s="66" t="s">
        <v>2798</v>
      </c>
      <c r="H664" s="64">
        <v>2615</v>
      </c>
      <c r="I664" s="67" t="s">
        <v>19</v>
      </c>
      <c r="J664" s="97">
        <v>404873286</v>
      </c>
      <c r="K664" s="66"/>
      <c r="L664" s="68"/>
      <c r="M664" s="69">
        <v>552.77</v>
      </c>
      <c r="N664" s="69"/>
      <c r="O664" s="69" t="str">
        <f>IF(registreGarantie[[#This Row],[date paiement]]="","",registreGarantie[[#This Row],[Pièces 
Demandés]]-registreGarantie[[#This Row],[Pièces 
Remboursés]])</f>
        <v/>
      </c>
      <c r="P664" s="69">
        <v>131</v>
      </c>
      <c r="Q664" s="69"/>
      <c r="R664" s="70" t="str">
        <f>IF(registreGarantie[[#This Row],[date paiement]]="","",registreGarantie[[#This Row],[MO
Demandé]]-registreGarantie[[#This Row],[MO
Remboursé]])</f>
        <v/>
      </c>
      <c r="S664" s="69"/>
      <c r="T664" s="70" t="str">
        <f>IF(registreGarantie[[#This Row],[date paiement]]="","",registreGarantie[[#This Row],[MO
Refusé]]+registreGarantie[[#This Row],[Pièces
Refusés]])</f>
        <v/>
      </c>
      <c r="U664" s="106"/>
      <c r="V664" s="71">
        <f>IF(registreGarantie[[#This Row],[Pièces 
Demandés]]="","",registreGarantie[[#This Row],[Date]])</f>
        <v>45919</v>
      </c>
      <c r="W664" s="103" t="str">
        <f>IF(registreGarantie[[#This Row],[Pièces 
Demandés]]="","",IF(registreGarantie[[#This Row],[date paiement]]="","",registreGarantie[[#This Row],[date paiement]]+91))</f>
        <v/>
      </c>
      <c r="X66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4" s="74" t="str">
        <f ca="1">IF(registreGarantie[[#This Row],[Colonne1]]=0,"",IF(TODAY()&gt;registreGarantie[[#This Row],[Date rebus]],0,1))</f>
        <v/>
      </c>
      <c r="Z664" s="66"/>
      <c r="AA664" s="73" t="str">
        <f>IF(AND(registreGarantie[[#This Row],[Montant non remboursé]]&gt;1,registreGarantie[[#This Row],[Montant non remboursé]]&lt;&gt;""),1,"")</f>
        <v/>
      </c>
      <c r="AB664" s="66"/>
      <c r="AC664" s="66"/>
      <c r="AD664" s="87">
        <f>ROW(AD664)</f>
        <v>664</v>
      </c>
      <c r="AE664" s="109"/>
    </row>
    <row r="665" spans="1:31" ht="18" customHeight="1" thickBot="1" x14ac:dyDescent="0.4">
      <c r="A665" s="64">
        <v>45308</v>
      </c>
      <c r="B665" s="64">
        <v>6333</v>
      </c>
      <c r="C665" s="106">
        <v>45923</v>
      </c>
      <c r="D665" s="66" t="s">
        <v>2813</v>
      </c>
      <c r="E665" s="66" t="s">
        <v>408</v>
      </c>
      <c r="F665" s="68" t="s">
        <v>2814</v>
      </c>
      <c r="G665" s="66" t="s">
        <v>615</v>
      </c>
      <c r="H665" s="64">
        <v>6829</v>
      </c>
      <c r="I665" s="67" t="s">
        <v>15</v>
      </c>
      <c r="J665" s="97"/>
      <c r="K665" s="66"/>
      <c r="L665" s="68"/>
      <c r="M665" s="69" t="s">
        <v>2815</v>
      </c>
      <c r="N665" s="69"/>
      <c r="O665" s="70" t="str">
        <f>IF(registreGarantie[[#This Row],[date paiement]]="","",registreGarantie[[#This Row],[Pièces 
Demandés]]-registreGarantie[[#This Row],[Pièces 
Remboursés]])</f>
        <v/>
      </c>
      <c r="P665" s="69">
        <v>163.75</v>
      </c>
      <c r="Q665" s="69"/>
      <c r="R665" s="70" t="str">
        <f>IF(registreGarantie[[#This Row],[date paiement]]="","",registreGarantie[[#This Row],[MO
Demandé]]-registreGarantie[[#This Row],[MO
Remboursé]])</f>
        <v/>
      </c>
      <c r="S665" s="69"/>
      <c r="T665" s="70" t="str">
        <f>IF(registreGarantie[[#This Row],[date paiement]]="","",registreGarantie[[#This Row],[MO
Refusé]]+registreGarantie[[#This Row],[Pièces
Refusés]])</f>
        <v/>
      </c>
      <c r="U665" s="106"/>
      <c r="V665" s="71"/>
      <c r="W665" s="103" t="str">
        <f>IF(registreGarantie[[#This Row],[Pièces 
Demandés]]="","",IF(registreGarantie[[#This Row],[date paiement]]="","",registreGarantie[[#This Row],[date paiement]]+91))</f>
        <v/>
      </c>
      <c r="X66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5" s="74" t="str">
        <f ca="1">IF(registreGarantie[[#This Row],[Colonne1]]=0,"",IF(TODAY()&gt;registreGarantie[[#This Row],[Date rebus]],0,1))</f>
        <v/>
      </c>
      <c r="Z665" s="66"/>
      <c r="AA665" s="73" t="str">
        <f>IF(AND(registreGarantie[[#This Row],[Montant non remboursé]]&gt;1,registreGarantie[[#This Row],[Montant non remboursé]]&lt;&gt;""),1,"")</f>
        <v/>
      </c>
      <c r="AB665" s="66"/>
      <c r="AC665" s="66"/>
      <c r="AD665" s="87">
        <f t="shared" si="10"/>
        <v>665</v>
      </c>
      <c r="AE665" s="109">
        <v>45917</v>
      </c>
    </row>
    <row r="666" spans="1:31" ht="18" customHeight="1" thickBot="1" x14ac:dyDescent="0.4">
      <c r="A666" s="64">
        <v>45309</v>
      </c>
      <c r="B666" s="64">
        <v>44717</v>
      </c>
      <c r="C666" s="106">
        <v>45923</v>
      </c>
      <c r="D666" s="66" t="s">
        <v>1716</v>
      </c>
      <c r="E666" s="66" t="s">
        <v>2829</v>
      </c>
      <c r="F666" s="68" t="s">
        <v>2830</v>
      </c>
      <c r="G666" s="66" t="s">
        <v>807</v>
      </c>
      <c r="H666" s="64" t="s">
        <v>2831</v>
      </c>
      <c r="I666" s="67" t="s">
        <v>21</v>
      </c>
      <c r="J666" s="97" t="s">
        <v>2832</v>
      </c>
      <c r="K666" s="66"/>
      <c r="L666" s="68"/>
      <c r="M666" s="69"/>
      <c r="N666" s="69"/>
      <c r="O666" s="70" t="str">
        <f>IF(registreGarantie[[#This Row],[date paiement]]="","",registreGarantie[[#This Row],[Pièces 
Demandés]]-registreGarantie[[#This Row],[Pièces 
Remboursés]])</f>
        <v/>
      </c>
      <c r="P666" s="69">
        <v>118</v>
      </c>
      <c r="Q666" s="69"/>
      <c r="R666" s="70" t="str">
        <f>IF(registreGarantie[[#This Row],[date paiement]]="","",registreGarantie[[#This Row],[MO
Demandé]]-registreGarantie[[#This Row],[MO
Remboursé]])</f>
        <v/>
      </c>
      <c r="S666" s="69"/>
      <c r="T666" s="70" t="str">
        <f>IF(registreGarantie[[#This Row],[date paiement]]="","",registreGarantie[[#This Row],[MO
Refusé]]+registreGarantie[[#This Row],[Pièces
Refusés]])</f>
        <v/>
      </c>
      <c r="U666" s="106"/>
      <c r="V666" s="71"/>
      <c r="W666" s="103" t="str">
        <f>IF(registreGarantie[[#This Row],[Pièces 
Demandés]]="","",IF(registreGarantie[[#This Row],[date paiement]]="","",registreGarantie[[#This Row],[date paiement]]+91))</f>
        <v/>
      </c>
      <c r="X66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6" s="74" t="str">
        <f ca="1">IF(registreGarantie[[#This Row],[Colonne1]]=0,"",IF(TODAY()&gt;registreGarantie[[#This Row],[Date rebus]],0,1))</f>
        <v/>
      </c>
      <c r="Z666" s="66"/>
      <c r="AA666" s="73" t="str">
        <f>IF(AND(registreGarantie[[#This Row],[Montant non remboursé]]&gt;1,registreGarantie[[#This Row],[Montant non remboursé]]&lt;&gt;""),1,"")</f>
        <v/>
      </c>
      <c r="AB666" s="66"/>
      <c r="AC666" s="66"/>
      <c r="AD666" s="87">
        <f t="shared" si="10"/>
        <v>666</v>
      </c>
      <c r="AE666" s="109">
        <v>45901</v>
      </c>
    </row>
    <row r="667" spans="1:31" ht="18" customHeight="1" thickBot="1" x14ac:dyDescent="0.4">
      <c r="A667" s="64">
        <v>45310</v>
      </c>
      <c r="B667" s="64">
        <v>44724</v>
      </c>
      <c r="C667" s="106">
        <v>45923</v>
      </c>
      <c r="D667" s="66" t="s">
        <v>2791</v>
      </c>
      <c r="E667" s="66" t="s">
        <v>1107</v>
      </c>
      <c r="F667" s="68" t="s">
        <v>2833</v>
      </c>
      <c r="G667" s="66" t="s">
        <v>2834</v>
      </c>
      <c r="H667" s="64">
        <v>13</v>
      </c>
      <c r="I667" s="67" t="s">
        <v>2</v>
      </c>
      <c r="J667" s="97">
        <v>404891971</v>
      </c>
      <c r="K667" s="66"/>
      <c r="L667" s="68"/>
      <c r="M667" s="69">
        <v>55.69</v>
      </c>
      <c r="N667" s="69">
        <v>55.69</v>
      </c>
      <c r="O667" s="70" t="str">
        <f>IF(registreGarantie[[#This Row],[date paiement]]="","",registreGarantie[[#This Row],[Pièces 
Demandés]]-registreGarantie[[#This Row],[Pièces 
Remboursés]])</f>
        <v/>
      </c>
      <c r="P667" s="69">
        <v>65.5</v>
      </c>
      <c r="Q667" s="69">
        <v>65.5</v>
      </c>
      <c r="R667" s="70" t="str">
        <f>IF(registreGarantie[[#This Row],[date paiement]]="","",registreGarantie[[#This Row],[MO
Demandé]]-registreGarantie[[#This Row],[MO
Remboursé]])</f>
        <v/>
      </c>
      <c r="S667" s="69"/>
      <c r="T667" s="70" t="str">
        <f>IF(registreGarantie[[#This Row],[date paiement]]="","",registreGarantie[[#This Row],[MO
Refusé]]+registreGarantie[[#This Row],[Pièces
Refusés]])</f>
        <v/>
      </c>
      <c r="U667" s="106"/>
      <c r="V667" s="71"/>
      <c r="W667" s="103" t="str">
        <f>IF(registreGarantie[[#This Row],[Pièces 
Demandés]]="","",IF(registreGarantie[[#This Row],[date paiement]]="","",registreGarantie[[#This Row],[date paiement]]+91))</f>
        <v/>
      </c>
      <c r="X66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7" s="74" t="str">
        <f ca="1">IF(registreGarantie[[#This Row],[Colonne1]]=0,"",IF(TODAY()&gt;registreGarantie[[#This Row],[Date rebus]],0,1))</f>
        <v/>
      </c>
      <c r="Z667" s="66"/>
      <c r="AA667" s="73" t="str">
        <f>IF(AND(registreGarantie[[#This Row],[Montant non remboursé]]&gt;1,registreGarantie[[#This Row],[Montant non remboursé]]&lt;&gt;""),1,"")</f>
        <v/>
      </c>
      <c r="AB667" s="66"/>
      <c r="AC667" s="66"/>
      <c r="AD667" s="87">
        <f t="shared" si="10"/>
        <v>667</v>
      </c>
      <c r="AE667" s="109">
        <v>45902</v>
      </c>
    </row>
    <row r="668" spans="1:31" ht="18" customHeight="1" thickBot="1" x14ac:dyDescent="0.4">
      <c r="A668" s="64">
        <v>45311</v>
      </c>
      <c r="B668" s="64">
        <v>44773</v>
      </c>
      <c r="C668" s="106">
        <v>45924</v>
      </c>
      <c r="D668" s="66" t="s">
        <v>79</v>
      </c>
      <c r="E668" s="66" t="s">
        <v>75</v>
      </c>
      <c r="F668" s="68" t="s">
        <v>2338</v>
      </c>
      <c r="G668" s="66" t="s">
        <v>1008</v>
      </c>
      <c r="H668" s="64">
        <v>825</v>
      </c>
      <c r="I668" s="67" t="s">
        <v>18</v>
      </c>
      <c r="J668" s="97">
        <v>404879860</v>
      </c>
      <c r="K668" s="66"/>
      <c r="L668" s="68"/>
      <c r="M668" s="69"/>
      <c r="N668" s="69"/>
      <c r="O668" s="70" t="str">
        <f>IF(registreGarantie[[#This Row],[date paiement]]="","",registreGarantie[[#This Row],[Pièces 
Demandés]]-registreGarantie[[#This Row],[Pièces 
Remboursés]])</f>
        <v/>
      </c>
      <c r="P668" s="69"/>
      <c r="Q668" s="69"/>
      <c r="R668" s="70" t="str">
        <f>IF(registreGarantie[[#This Row],[date paiement]]="","",registreGarantie[[#This Row],[MO
Demandé]]-registreGarantie[[#This Row],[MO
Remboursé]])</f>
        <v/>
      </c>
      <c r="S668" s="69"/>
      <c r="T668" s="70" t="str">
        <f>IF(registreGarantie[[#This Row],[date paiement]]="","",registreGarantie[[#This Row],[MO
Refusé]]+registreGarantie[[#This Row],[Pièces
Refusés]])</f>
        <v/>
      </c>
      <c r="U668" s="106"/>
      <c r="V668" s="71"/>
      <c r="W668" s="103" t="str">
        <f>IF(registreGarantie[[#This Row],[Pièces 
Demandés]]="","",IF(registreGarantie[[#This Row],[date paiement]]="","",registreGarantie[[#This Row],[date paiement]]+91))</f>
        <v/>
      </c>
      <c r="X66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8" s="74" t="str">
        <f ca="1">IF(registreGarantie[[#This Row],[Colonne1]]=0,"",IF(TODAY()&gt;registreGarantie[[#This Row],[Date rebus]],0,1))</f>
        <v/>
      </c>
      <c r="Z668" s="66"/>
      <c r="AA668" s="73" t="str">
        <f>IF(AND(registreGarantie[[#This Row],[Montant non remboursé]]&gt;1,registreGarantie[[#This Row],[Montant non remboursé]]&lt;&gt;""),1,"")</f>
        <v/>
      </c>
      <c r="AB668" s="66"/>
      <c r="AC668" s="66"/>
      <c r="AD668" s="87">
        <f t="shared" si="10"/>
        <v>668</v>
      </c>
      <c r="AE668" s="109">
        <v>45912</v>
      </c>
    </row>
    <row r="669" spans="1:31" ht="18" customHeight="1" thickBot="1" x14ac:dyDescent="0.4">
      <c r="A669" s="64">
        <v>45312</v>
      </c>
      <c r="B669" s="64">
        <v>44730</v>
      </c>
      <c r="C669" s="106">
        <v>45925</v>
      </c>
      <c r="D669" s="66" t="s">
        <v>259</v>
      </c>
      <c r="E669" s="66" t="s">
        <v>167</v>
      </c>
      <c r="F669" s="68" t="s">
        <v>2838</v>
      </c>
      <c r="G669" s="66" t="s">
        <v>1531</v>
      </c>
      <c r="H669" s="64" t="s">
        <v>2839</v>
      </c>
      <c r="I669" s="67" t="s">
        <v>15</v>
      </c>
      <c r="J669" s="97">
        <v>404882526</v>
      </c>
      <c r="K669" s="66"/>
      <c r="L669" s="68"/>
      <c r="M669" s="69"/>
      <c r="N669" s="69"/>
      <c r="O669" s="70" t="str">
        <f>IF(registreGarantie[[#This Row],[date paiement]]="","",registreGarantie[[#This Row],[Pièces 
Demandés]]-registreGarantie[[#This Row],[Pièces 
Remboursés]])</f>
        <v/>
      </c>
      <c r="P669" s="69"/>
      <c r="Q669" s="69"/>
      <c r="R669" s="70" t="str">
        <f>IF(registreGarantie[[#This Row],[date paiement]]="","",registreGarantie[[#This Row],[MO
Demandé]]-registreGarantie[[#This Row],[MO
Remboursé]])</f>
        <v/>
      </c>
      <c r="S669" s="69"/>
      <c r="T669" s="70" t="str">
        <f>IF(registreGarantie[[#This Row],[date paiement]]="","",registreGarantie[[#This Row],[MO
Refusé]]+registreGarantie[[#This Row],[Pièces
Refusés]])</f>
        <v/>
      </c>
      <c r="U669" s="106"/>
      <c r="V669" s="71"/>
      <c r="W669" s="103" t="str">
        <f>IF(registreGarantie[[#This Row],[Pièces 
Demandés]]="","",IF(registreGarantie[[#This Row],[date paiement]]="","",registreGarantie[[#This Row],[date paiement]]+91))</f>
        <v/>
      </c>
      <c r="X66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69" s="74" t="str">
        <f ca="1">IF(registreGarantie[[#This Row],[Colonne1]]=0,"",IF(TODAY()&gt;registreGarantie[[#This Row],[Date rebus]],0,1))</f>
        <v/>
      </c>
      <c r="Z669" s="66"/>
      <c r="AA669" s="73" t="str">
        <f>IF(AND(registreGarantie[[#This Row],[Montant non remboursé]]&gt;1,registreGarantie[[#This Row],[Montant non remboursé]]&lt;&gt;""),1,"")</f>
        <v/>
      </c>
      <c r="AB669" s="66"/>
      <c r="AC669" s="66"/>
      <c r="AD669" s="87">
        <f t="shared" si="10"/>
        <v>669</v>
      </c>
      <c r="AE669" s="109">
        <v>45903</v>
      </c>
    </row>
    <row r="670" spans="1:31" ht="18" customHeight="1" thickBot="1" x14ac:dyDescent="0.4">
      <c r="A670" s="64">
        <v>45313</v>
      </c>
      <c r="B670" s="64">
        <v>44784</v>
      </c>
      <c r="C670" s="106">
        <v>45926</v>
      </c>
      <c r="D670" s="66" t="s">
        <v>559</v>
      </c>
      <c r="E670" s="66" t="s">
        <v>45</v>
      </c>
      <c r="F670" s="68" t="s">
        <v>2278</v>
      </c>
      <c r="G670" s="66" t="s">
        <v>2842</v>
      </c>
      <c r="H670" s="64" t="s">
        <v>2843</v>
      </c>
      <c r="I670" s="67" t="s">
        <v>23</v>
      </c>
      <c r="J670" s="97">
        <v>404887126</v>
      </c>
      <c r="K670" s="66"/>
      <c r="L670" s="68"/>
      <c r="M670" s="69">
        <v>925.61</v>
      </c>
      <c r="N670" s="69"/>
      <c r="O670" s="70" t="str">
        <f>IF(registreGarantie[[#This Row],[date paiement]]="","",registreGarantie[[#This Row],[Pièces 
Demandés]]-registreGarantie[[#This Row],[Pièces 
Remboursés]])</f>
        <v/>
      </c>
      <c r="P670" s="69">
        <v>422.48</v>
      </c>
      <c r="Q670" s="69"/>
      <c r="R670" s="70" t="str">
        <f>IF(registreGarantie[[#This Row],[date paiement]]="","",registreGarantie[[#This Row],[MO
Demandé]]-registreGarantie[[#This Row],[MO
Remboursé]])</f>
        <v/>
      </c>
      <c r="S670" s="69"/>
      <c r="T670" s="70" t="str">
        <f>IF(registreGarantie[[#This Row],[date paiement]]="","",registreGarantie[[#This Row],[MO
Refusé]]+registreGarantie[[#This Row],[Pièces
Refusés]])</f>
        <v/>
      </c>
      <c r="U670" s="106"/>
      <c r="V670" s="71">
        <f>IF(registreGarantie[[#This Row],[Pièces 
Demandés]]="","",registreGarantie[[#This Row],[Date]])</f>
        <v>45926</v>
      </c>
      <c r="W670" s="103" t="str">
        <f>IF(registreGarantie[[#This Row],[Pièces 
Demandés]]="","",IF(registreGarantie[[#This Row],[date paiement]]="","",registreGarantie[[#This Row],[date paiement]]+91))</f>
        <v/>
      </c>
      <c r="X670"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0" s="74" t="str">
        <f ca="1">IF(registreGarantie[[#This Row],[Colonne1]]=0,"",IF(TODAY()&gt;registreGarantie[[#This Row],[Date rebus]],0,1))</f>
        <v/>
      </c>
      <c r="Z670" s="66"/>
      <c r="AA670" s="73" t="str">
        <f>IF(AND(registreGarantie[[#This Row],[Montant non remboursé]]&gt;1,registreGarantie[[#This Row],[Montant non remboursé]]&lt;&gt;""),1,"")</f>
        <v/>
      </c>
      <c r="AB670" s="66"/>
      <c r="AC670" s="66"/>
      <c r="AD670" s="87">
        <f t="shared" si="10"/>
        <v>670</v>
      </c>
      <c r="AE670" s="109">
        <v>45916</v>
      </c>
    </row>
    <row r="671" spans="1:31" ht="18" customHeight="1" thickBot="1" x14ac:dyDescent="0.4">
      <c r="A671" s="64">
        <v>45313</v>
      </c>
      <c r="B671" s="64">
        <v>44784</v>
      </c>
      <c r="C671" s="106">
        <v>45926</v>
      </c>
      <c r="D671" s="66" t="s">
        <v>559</v>
      </c>
      <c r="E671" s="66" t="s">
        <v>45</v>
      </c>
      <c r="F671" s="68" t="s">
        <v>2278</v>
      </c>
      <c r="G671" s="66" t="s">
        <v>2842</v>
      </c>
      <c r="H671" s="64" t="s">
        <v>2843</v>
      </c>
      <c r="I671" s="67" t="s">
        <v>24</v>
      </c>
      <c r="J671" s="97">
        <v>404887170</v>
      </c>
      <c r="K671" s="66"/>
      <c r="L671" s="68"/>
      <c r="M671" s="69">
        <v>928.56</v>
      </c>
      <c r="N671" s="69"/>
      <c r="O671" s="69" t="str">
        <f>IF(registreGarantie[[#This Row],[date paiement]]="","",registreGarantie[[#This Row],[Pièces 
Demandés]]-registreGarantie[[#This Row],[Pièces 
Remboursés]])</f>
        <v/>
      </c>
      <c r="P671" s="69">
        <v>458.5</v>
      </c>
      <c r="Q671" s="69"/>
      <c r="R671" s="70" t="str">
        <f>IF(registreGarantie[[#This Row],[date paiement]]="","",registreGarantie[[#This Row],[MO
Demandé]]-registreGarantie[[#This Row],[MO
Remboursé]])</f>
        <v/>
      </c>
      <c r="S671" s="69"/>
      <c r="T671" s="70" t="str">
        <f>IF(registreGarantie[[#This Row],[date paiement]]="","",registreGarantie[[#This Row],[MO
Refusé]]+registreGarantie[[#This Row],[Pièces
Refusés]])</f>
        <v/>
      </c>
      <c r="U671" s="106"/>
      <c r="V671" s="71">
        <f>IF(registreGarantie[[#This Row],[Pièces 
Demandés]]="","",registreGarantie[[#This Row],[Date]])</f>
        <v>45926</v>
      </c>
      <c r="W671" s="103" t="str">
        <f>IF(registreGarantie[[#This Row],[Pièces 
Demandés]]="","",IF(registreGarantie[[#This Row],[date paiement]]="","",registreGarantie[[#This Row],[date paiement]]+91))</f>
        <v/>
      </c>
      <c r="X671"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1" s="74" t="str">
        <f ca="1">IF(registreGarantie[[#This Row],[Colonne1]]=0,"",IF(TODAY()&gt;registreGarantie[[#This Row],[Date rebus]],0,1))</f>
        <v/>
      </c>
      <c r="Z671" s="66"/>
      <c r="AA671" s="73" t="str">
        <f>IF(AND(registreGarantie[[#This Row],[Montant non remboursé]]&gt;1,registreGarantie[[#This Row],[Montant non remboursé]]&lt;&gt;""),1,"")</f>
        <v/>
      </c>
      <c r="AB671" s="66"/>
      <c r="AC671" s="66"/>
      <c r="AD671" s="87">
        <f>ROW(AD671)</f>
        <v>671</v>
      </c>
      <c r="AE671" s="109"/>
    </row>
    <row r="672" spans="1:31" ht="18" customHeight="1" thickBot="1" x14ac:dyDescent="0.4">
      <c r="A672" s="64">
        <v>45314</v>
      </c>
      <c r="B672" s="64">
        <v>44786</v>
      </c>
      <c r="C672" s="106">
        <v>45926</v>
      </c>
      <c r="D672" s="66" t="s">
        <v>446</v>
      </c>
      <c r="E672" s="66" t="s">
        <v>75</v>
      </c>
      <c r="F672" s="68" t="s">
        <v>2324</v>
      </c>
      <c r="G672" s="66" t="s">
        <v>2844</v>
      </c>
      <c r="H672" s="64">
        <v>1156</v>
      </c>
      <c r="I672" s="67" t="s">
        <v>2</v>
      </c>
      <c r="J672" s="97">
        <v>404887256</v>
      </c>
      <c r="K672" s="66"/>
      <c r="L672" s="68"/>
      <c r="M672" s="69"/>
      <c r="N672" s="69"/>
      <c r="O672" s="70" t="str">
        <f>IF(registreGarantie[[#This Row],[date paiement]]="","",registreGarantie[[#This Row],[Pièces 
Demandés]]-registreGarantie[[#This Row],[Pièces 
Remboursés]])</f>
        <v/>
      </c>
      <c r="P672" s="69">
        <v>131</v>
      </c>
      <c r="Q672" s="69"/>
      <c r="R672" s="70" t="str">
        <f>IF(registreGarantie[[#This Row],[date paiement]]="","",registreGarantie[[#This Row],[MO
Demandé]]-registreGarantie[[#This Row],[MO
Remboursé]])</f>
        <v/>
      </c>
      <c r="S672" s="69"/>
      <c r="T672" s="70" t="str">
        <f>IF(registreGarantie[[#This Row],[date paiement]]="","",registreGarantie[[#This Row],[MO
Refusé]]+registreGarantie[[#This Row],[Pièces
Refusés]])</f>
        <v/>
      </c>
      <c r="U672" s="106"/>
      <c r="V672" s="71"/>
      <c r="W672" s="103" t="str">
        <f>IF(registreGarantie[[#This Row],[Pièces 
Demandés]]="","",IF(registreGarantie[[#This Row],[date paiement]]="","",registreGarantie[[#This Row],[date paiement]]+91))</f>
        <v/>
      </c>
      <c r="X672"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2" s="74" t="str">
        <f ca="1">IF(registreGarantie[[#This Row],[Colonne1]]=0,"",IF(TODAY()&gt;registreGarantie[[#This Row],[Date rebus]],0,1))</f>
        <v/>
      </c>
      <c r="Z672" s="66"/>
      <c r="AA672" s="73" t="str">
        <f>IF(AND(registreGarantie[[#This Row],[Montant non remboursé]]&gt;1,registreGarantie[[#This Row],[Montant non remboursé]]&lt;&gt;""),1,"")</f>
        <v/>
      </c>
      <c r="AB672" s="66"/>
      <c r="AC672" s="66"/>
      <c r="AD672" s="87">
        <f t="shared" si="10"/>
        <v>672</v>
      </c>
      <c r="AE672" s="109">
        <v>45916</v>
      </c>
    </row>
    <row r="673" spans="1:31" ht="18" customHeight="1" thickBot="1" x14ac:dyDescent="0.4">
      <c r="A673" s="64">
        <v>45315</v>
      </c>
      <c r="B673" s="64">
        <v>44741</v>
      </c>
      <c r="C673" s="106">
        <v>45923</v>
      </c>
      <c r="D673" s="66" t="s">
        <v>2791</v>
      </c>
      <c r="E673" s="66" t="s">
        <v>1107</v>
      </c>
      <c r="F673" s="68" t="s">
        <v>2833</v>
      </c>
      <c r="G673" s="66" t="s">
        <v>880</v>
      </c>
      <c r="H673" s="64">
        <v>13</v>
      </c>
      <c r="I673" s="67" t="s">
        <v>2</v>
      </c>
      <c r="J673" s="97">
        <v>404891976</v>
      </c>
      <c r="K673" s="66"/>
      <c r="L673" s="68"/>
      <c r="M673" s="69">
        <v>169.33</v>
      </c>
      <c r="N673" s="69">
        <v>169.33</v>
      </c>
      <c r="O673" s="70" t="str">
        <f>IF(registreGarantie[[#This Row],[date paiement]]="","",registreGarantie[[#This Row],[Pièces 
Demandés]]-registreGarantie[[#This Row],[Pièces 
Remboursés]])</f>
        <v/>
      </c>
      <c r="P673" s="69">
        <v>32.75</v>
      </c>
      <c r="Q673" s="69">
        <v>32.75</v>
      </c>
      <c r="R673" s="70" t="str">
        <f>IF(registreGarantie[[#This Row],[date paiement]]="","",registreGarantie[[#This Row],[MO
Demandé]]-registreGarantie[[#This Row],[MO
Remboursé]])</f>
        <v/>
      </c>
      <c r="S673" s="69"/>
      <c r="T673" s="70" t="str">
        <f>IF(registreGarantie[[#This Row],[date paiement]]="","",registreGarantie[[#This Row],[MO
Refusé]]+registreGarantie[[#This Row],[Pièces
Refusés]])</f>
        <v/>
      </c>
      <c r="U673" s="106"/>
      <c r="V673" s="71"/>
      <c r="W673" s="103" t="str">
        <f>IF(registreGarantie[[#This Row],[Pièces 
Demandés]]="","",IF(registreGarantie[[#This Row],[date paiement]]="","",registreGarantie[[#This Row],[date paiement]]+91))</f>
        <v/>
      </c>
      <c r="X673"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3" s="74" t="str">
        <f ca="1">IF(registreGarantie[[#This Row],[Colonne1]]=0,"",IF(TODAY()&gt;registreGarantie[[#This Row],[Date rebus]],0,1))</f>
        <v/>
      </c>
      <c r="Z673" s="66"/>
      <c r="AA673" s="73" t="str">
        <f>IF(AND(registreGarantie[[#This Row],[Montant non remboursé]]&gt;1,registreGarantie[[#This Row],[Montant non remboursé]]&lt;&gt;""),1,"")</f>
        <v/>
      </c>
      <c r="AB673" s="66"/>
      <c r="AC673" s="66"/>
      <c r="AD673" s="87">
        <f t="shared" si="10"/>
        <v>673</v>
      </c>
      <c r="AE673" s="109">
        <v>45902</v>
      </c>
    </row>
    <row r="674" spans="1:31" ht="18" customHeight="1" thickBot="1" x14ac:dyDescent="0.4">
      <c r="A674" s="64">
        <v>45316</v>
      </c>
      <c r="B674" s="64">
        <v>44759</v>
      </c>
      <c r="C674" s="106">
        <v>45929</v>
      </c>
      <c r="D674" s="66" t="s">
        <v>1081</v>
      </c>
      <c r="E674" s="66" t="s">
        <v>718</v>
      </c>
      <c r="F674" s="68" t="s">
        <v>2307</v>
      </c>
      <c r="G674" s="66" t="s">
        <v>2852</v>
      </c>
      <c r="H674" s="64">
        <v>1158</v>
      </c>
      <c r="I674" s="67" t="s">
        <v>3</v>
      </c>
      <c r="J674" s="97">
        <v>404892247</v>
      </c>
      <c r="K674" s="66"/>
      <c r="L674" s="68"/>
      <c r="M674" s="69">
        <v>105.66</v>
      </c>
      <c r="N674" s="69"/>
      <c r="O674" s="70" t="str">
        <f>IF(registreGarantie[[#This Row],[date paiement]]="","",registreGarantie[[#This Row],[Pièces 
Demandés]]-registreGarantie[[#This Row],[Pièces 
Remboursés]])</f>
        <v/>
      </c>
      <c r="P674" s="69">
        <v>104.8</v>
      </c>
      <c r="Q674" s="69"/>
      <c r="R674" s="70" t="str">
        <f>IF(registreGarantie[[#This Row],[date paiement]]="","",registreGarantie[[#This Row],[MO
Demandé]]-registreGarantie[[#This Row],[MO
Remboursé]])</f>
        <v/>
      </c>
      <c r="S674" s="69"/>
      <c r="T674" s="70" t="str">
        <f>IF(registreGarantie[[#This Row],[date paiement]]="","",registreGarantie[[#This Row],[MO
Refusé]]+registreGarantie[[#This Row],[Pièces
Refusés]])</f>
        <v/>
      </c>
      <c r="U674" s="106"/>
      <c r="V674" s="71"/>
      <c r="W674" s="103" t="str">
        <f>IF(registreGarantie[[#This Row],[Pièces 
Demandés]]="","",IF(registreGarantie[[#This Row],[date paiement]]="","",registreGarantie[[#This Row],[date paiement]]+91))</f>
        <v/>
      </c>
      <c r="X674"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4" s="74" t="str">
        <f ca="1">IF(registreGarantie[[#This Row],[Colonne1]]=0,"",IF(TODAY()&gt;registreGarantie[[#This Row],[Date rebus]],0,1))</f>
        <v/>
      </c>
      <c r="Z674" s="66"/>
      <c r="AA674" s="73" t="str">
        <f>IF(AND(registreGarantie[[#This Row],[Montant non remboursé]]&gt;1,registreGarantie[[#This Row],[Montant non remboursé]]&lt;&gt;""),1,"")</f>
        <v/>
      </c>
      <c r="AB674" s="66"/>
      <c r="AC674" s="66"/>
      <c r="AD674" s="87">
        <f t="shared" si="10"/>
        <v>674</v>
      </c>
      <c r="AE674" s="109">
        <v>45909</v>
      </c>
    </row>
    <row r="675" spans="1:31" ht="18" customHeight="1" thickBot="1" x14ac:dyDescent="0.4">
      <c r="A675" s="64">
        <v>45317</v>
      </c>
      <c r="B675" s="64">
        <v>44825</v>
      </c>
      <c r="C675" s="106">
        <v>45930</v>
      </c>
      <c r="D675" s="66" t="s">
        <v>205</v>
      </c>
      <c r="E675" s="66" t="s">
        <v>2607</v>
      </c>
      <c r="F675" s="68" t="s">
        <v>2609</v>
      </c>
      <c r="G675" s="66" t="s">
        <v>58</v>
      </c>
      <c r="H675" s="64">
        <v>275</v>
      </c>
      <c r="I675" s="67" t="s">
        <v>18</v>
      </c>
      <c r="J675" s="97">
        <v>404894767</v>
      </c>
      <c r="K675" s="66"/>
      <c r="L675" s="68"/>
      <c r="M675" s="69"/>
      <c r="N675" s="69"/>
      <c r="O675" s="70" t="str">
        <f>IF(registreGarantie[[#This Row],[date paiement]]="","",registreGarantie[[#This Row],[Pièces 
Demandés]]-registreGarantie[[#This Row],[Pièces 
Remboursés]])</f>
        <v/>
      </c>
      <c r="P675" s="69"/>
      <c r="Q675" s="69"/>
      <c r="R675" s="70" t="str">
        <f>IF(registreGarantie[[#This Row],[date paiement]]="","",registreGarantie[[#This Row],[MO
Demandé]]-registreGarantie[[#This Row],[MO
Remboursé]])</f>
        <v/>
      </c>
      <c r="S675" s="69"/>
      <c r="T675" s="70" t="str">
        <f>IF(registreGarantie[[#This Row],[date paiement]]="","",registreGarantie[[#This Row],[MO
Refusé]]+registreGarantie[[#This Row],[Pièces
Refusés]])</f>
        <v/>
      </c>
      <c r="U675" s="106"/>
      <c r="V675" s="71"/>
      <c r="W675" s="103" t="str">
        <f>IF(registreGarantie[[#This Row],[Pièces 
Demandés]]="","",IF(registreGarantie[[#This Row],[date paiement]]="","",registreGarantie[[#This Row],[date paiement]]+91))</f>
        <v/>
      </c>
      <c r="X675"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5" s="74" t="str">
        <f ca="1">IF(registreGarantie[[#This Row],[Colonne1]]=0,"",IF(TODAY()&gt;registreGarantie[[#This Row],[Date rebus]],0,1))</f>
        <v/>
      </c>
      <c r="Z675" s="66"/>
      <c r="AA675" s="73" t="str">
        <f>IF(AND(registreGarantie[[#This Row],[Montant non remboursé]]&gt;1,registreGarantie[[#This Row],[Montant non remboursé]]&lt;&gt;""),1,"")</f>
        <v/>
      </c>
      <c r="AB675" s="66"/>
      <c r="AC675" s="66"/>
      <c r="AD675" s="87">
        <f t="shared" si="10"/>
        <v>675</v>
      </c>
      <c r="AE675" s="109">
        <v>45924</v>
      </c>
    </row>
    <row r="676" spans="1:31" ht="18" customHeight="1" thickBot="1" x14ac:dyDescent="0.4">
      <c r="A676" s="64">
        <v>45318</v>
      </c>
      <c r="B676" s="64">
        <v>6339</v>
      </c>
      <c r="C676" s="106">
        <v>45932</v>
      </c>
      <c r="D676" s="66" t="s">
        <v>41</v>
      </c>
      <c r="E676" s="66" t="s">
        <v>75</v>
      </c>
      <c r="F676" s="68" t="s">
        <v>2268</v>
      </c>
      <c r="G676" s="66" t="s">
        <v>2862</v>
      </c>
      <c r="H676" s="64">
        <v>4304</v>
      </c>
      <c r="I676" s="67" t="s">
        <v>18</v>
      </c>
      <c r="J676" s="97">
        <v>404898054</v>
      </c>
      <c r="K676" s="66"/>
      <c r="L676" s="68"/>
      <c r="M676" s="69"/>
      <c r="N676" s="69"/>
      <c r="O676" s="70" t="str">
        <f>IF(registreGarantie[[#This Row],[date paiement]]="","",registreGarantie[[#This Row],[Pièces 
Demandés]]-registreGarantie[[#This Row],[Pièces 
Remboursés]])</f>
        <v/>
      </c>
      <c r="P676" s="69"/>
      <c r="Q676" s="69"/>
      <c r="R676" s="70" t="str">
        <f>IF(registreGarantie[[#This Row],[date paiement]]="","",registreGarantie[[#This Row],[MO
Demandé]]-registreGarantie[[#This Row],[MO
Remboursé]])</f>
        <v/>
      </c>
      <c r="S676" s="69"/>
      <c r="T676" s="70" t="str">
        <f>IF(registreGarantie[[#This Row],[date paiement]]="","",registreGarantie[[#This Row],[MO
Refusé]]+registreGarantie[[#This Row],[Pièces
Refusés]])</f>
        <v/>
      </c>
      <c r="U676" s="106"/>
      <c r="V676" s="71"/>
      <c r="W676" s="103" t="str">
        <f>IF(registreGarantie[[#This Row],[Pièces 
Demandés]]="","",IF(registreGarantie[[#This Row],[date paiement]]="","",registreGarantie[[#This Row],[date paiement]]+91))</f>
        <v/>
      </c>
      <c r="X676"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6" s="74" t="str">
        <f ca="1">IF(registreGarantie[[#This Row],[Colonne1]]=0,"",IF(TODAY()&gt;registreGarantie[[#This Row],[Date rebus]],0,1))</f>
        <v/>
      </c>
      <c r="Z676" s="66"/>
      <c r="AA676" s="73" t="str">
        <f>IF(AND(registreGarantie[[#This Row],[Montant non remboursé]]&gt;1,registreGarantie[[#This Row],[Montant non remboursé]]&lt;&gt;""),1,"")</f>
        <v/>
      </c>
      <c r="AB676" s="66"/>
      <c r="AC676" s="66"/>
      <c r="AD676" s="87">
        <f t="shared" si="10"/>
        <v>676</v>
      </c>
      <c r="AE676" s="109">
        <v>45924</v>
      </c>
    </row>
    <row r="677" spans="1:31" ht="18" customHeight="1" thickBot="1" x14ac:dyDescent="0.4">
      <c r="A677" s="64">
        <v>45319</v>
      </c>
      <c r="B677" s="64">
        <v>44767</v>
      </c>
      <c r="C677" s="106">
        <v>45932</v>
      </c>
      <c r="D677" s="66" t="s">
        <v>36</v>
      </c>
      <c r="E677" s="66" t="s">
        <v>2865</v>
      </c>
      <c r="F677" s="68" t="s">
        <v>2867</v>
      </c>
      <c r="G677" s="66" t="s">
        <v>2866</v>
      </c>
      <c r="H677" s="64">
        <v>0</v>
      </c>
      <c r="I677" s="67" t="s">
        <v>21</v>
      </c>
      <c r="J677" s="97" t="s">
        <v>2868</v>
      </c>
      <c r="K677" s="66"/>
      <c r="L677" s="68"/>
      <c r="M677" s="69">
        <v>386.07</v>
      </c>
      <c r="N677" s="69"/>
      <c r="O677" s="70" t="str">
        <f>IF(registreGarantie[[#This Row],[date paiement]]="","",registreGarantie[[#This Row],[Pièces 
Demandés]]-registreGarantie[[#This Row],[Pièces 
Remboursés]])</f>
        <v/>
      </c>
      <c r="P677" s="69">
        <v>118</v>
      </c>
      <c r="Q677" s="69"/>
      <c r="R677" s="70" t="str">
        <f>IF(registreGarantie[[#This Row],[date paiement]]="","",registreGarantie[[#This Row],[MO
Demandé]]-registreGarantie[[#This Row],[MO
Remboursé]])</f>
        <v/>
      </c>
      <c r="S677" s="69"/>
      <c r="T677" s="70" t="str">
        <f>IF(registreGarantie[[#This Row],[date paiement]]="","",registreGarantie[[#This Row],[MO
Refusé]]+registreGarantie[[#This Row],[Pièces
Refusés]])</f>
        <v/>
      </c>
      <c r="U677" s="106"/>
      <c r="V677" s="71"/>
      <c r="W677" s="103" t="str">
        <f>IF(registreGarantie[[#This Row],[Pièces 
Demandés]]="","",IF(registreGarantie[[#This Row],[date paiement]]="","",registreGarantie[[#This Row],[date paiement]]+91))</f>
        <v/>
      </c>
      <c r="X677"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7" s="74" t="str">
        <f ca="1">IF(registreGarantie[[#This Row],[Colonne1]]=0,"",IF(TODAY()&gt;registreGarantie[[#This Row],[Date rebus]],0,1))</f>
        <v/>
      </c>
      <c r="Z677" s="66"/>
      <c r="AA677" s="73" t="str">
        <f>IF(AND(registreGarantie[[#This Row],[Montant non remboursé]]&gt;1,registreGarantie[[#This Row],[Montant non remboursé]]&lt;&gt;""),1,"")</f>
        <v/>
      </c>
      <c r="AB677" s="66"/>
      <c r="AC677" s="66"/>
      <c r="AD677" s="87">
        <f t="shared" si="10"/>
        <v>677</v>
      </c>
      <c r="AE677" s="109">
        <v>45911</v>
      </c>
    </row>
    <row r="678" spans="1:31" ht="18" customHeight="1" thickBot="1" x14ac:dyDescent="0.4">
      <c r="A678" s="64">
        <v>45320</v>
      </c>
      <c r="B678" s="64">
        <v>44814</v>
      </c>
      <c r="C678" s="106">
        <v>45932</v>
      </c>
      <c r="D678" s="66" t="s">
        <v>86</v>
      </c>
      <c r="E678" s="66" t="s">
        <v>45</v>
      </c>
      <c r="F678" s="68" t="s">
        <v>2239</v>
      </c>
      <c r="G678" s="66" t="s">
        <v>1532</v>
      </c>
      <c r="H678" s="64">
        <v>1425</v>
      </c>
      <c r="I678" s="67" t="s">
        <v>3</v>
      </c>
      <c r="J678" s="97">
        <v>404898619</v>
      </c>
      <c r="K678" s="66"/>
      <c r="L678" s="68"/>
      <c r="M678" s="69">
        <v>1685.15</v>
      </c>
      <c r="N678" s="69"/>
      <c r="O678" s="70" t="str">
        <f>IF(registreGarantie[[#This Row],[date paiement]]="","",registreGarantie[[#This Row],[Pièces 
Demandés]]-registreGarantie[[#This Row],[Pièces 
Remboursés]])</f>
        <v/>
      </c>
      <c r="P678" s="69">
        <v>255.45</v>
      </c>
      <c r="Q678" s="69"/>
      <c r="R678" s="70" t="str">
        <f>IF(registreGarantie[[#This Row],[date paiement]]="","",registreGarantie[[#This Row],[MO
Demandé]]-registreGarantie[[#This Row],[MO
Remboursé]])</f>
        <v/>
      </c>
      <c r="S678" s="69">
        <v>150</v>
      </c>
      <c r="T678" s="70" t="str">
        <f>IF(registreGarantie[[#This Row],[date paiement]]="","",registreGarantie[[#This Row],[MO
Refusé]]+registreGarantie[[#This Row],[Pièces
Refusés]])</f>
        <v/>
      </c>
      <c r="U678" s="106"/>
      <c r="V678" s="71"/>
      <c r="W678" s="103" t="str">
        <f>IF(registreGarantie[[#This Row],[Pièces 
Demandés]]="","",IF(registreGarantie[[#This Row],[date paiement]]="","",registreGarantie[[#This Row],[date paiement]]+91))</f>
        <v/>
      </c>
      <c r="X678"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8" s="74" t="str">
        <f ca="1">IF(registreGarantie[[#This Row],[Colonne1]]=0,"",IF(TODAY()&gt;registreGarantie[[#This Row],[Date rebus]],0,1))</f>
        <v/>
      </c>
      <c r="Z678" s="66"/>
      <c r="AA678" s="73" t="str">
        <f>IF(AND(registreGarantie[[#This Row],[Montant non remboursé]]&gt;1,registreGarantie[[#This Row],[Montant non remboursé]]&lt;&gt;""),1,"")</f>
        <v/>
      </c>
      <c r="AB678" s="66"/>
      <c r="AC678" s="66"/>
      <c r="AD678" s="87">
        <f t="shared" si="10"/>
        <v>678</v>
      </c>
      <c r="AE678" s="109">
        <v>45918</v>
      </c>
    </row>
    <row r="679" spans="1:31" ht="18" customHeight="1" thickBot="1" x14ac:dyDescent="0.4">
      <c r="A679" s="64">
        <v>45321</v>
      </c>
      <c r="B679" s="64">
        <v>6345</v>
      </c>
      <c r="C679" s="106">
        <v>45933</v>
      </c>
      <c r="D679" s="66" t="s">
        <v>439</v>
      </c>
      <c r="E679" s="66" t="s">
        <v>148</v>
      </c>
      <c r="F679" s="68" t="s">
        <v>2289</v>
      </c>
      <c r="G679" s="66" t="s">
        <v>2870</v>
      </c>
      <c r="H679" s="64">
        <v>2009</v>
      </c>
      <c r="I679" s="67" t="s">
        <v>20</v>
      </c>
      <c r="J679" s="97">
        <v>404899287</v>
      </c>
      <c r="K679" s="66"/>
      <c r="L679" s="68"/>
      <c r="M679" s="69"/>
      <c r="N679" s="69"/>
      <c r="O679" s="70" t="str">
        <f>IF(registreGarantie[[#This Row],[date paiement]]="","",registreGarantie[[#This Row],[Pièces 
Demandés]]-registreGarantie[[#This Row],[Pièces 
Remboursés]])</f>
        <v/>
      </c>
      <c r="P679" s="69"/>
      <c r="Q679" s="69"/>
      <c r="R679" s="70" t="str">
        <f>IF(registreGarantie[[#This Row],[date paiement]]="","",registreGarantie[[#This Row],[MO
Demandé]]-registreGarantie[[#This Row],[MO
Remboursé]])</f>
        <v/>
      </c>
      <c r="S679" s="69"/>
      <c r="T679" s="70" t="str">
        <f>IF(registreGarantie[[#This Row],[date paiement]]="","",registreGarantie[[#This Row],[MO
Refusé]]+registreGarantie[[#This Row],[Pièces
Refusés]])</f>
        <v/>
      </c>
      <c r="U679" s="106"/>
      <c r="V679" s="71"/>
      <c r="W679" s="103" t="str">
        <f>IF(registreGarantie[[#This Row],[Pièces 
Demandés]]="","",IF(registreGarantie[[#This Row],[date paiement]]="","",registreGarantie[[#This Row],[date paiement]]+91))</f>
        <v/>
      </c>
      <c r="X679" s="73">
        <f>IF(AND(registreGarantie[[#This Row],[Type]]&lt;&gt;"OS",registreGarantie[[#This Row],[Type]]&lt;&gt;"MOL",registreGarantie[[#This Row],[Type]]&lt;&gt;"MOL CLAAS LOCATION",registreGarantie[[#This Row],[Type]]&lt;&gt;"SOL",registreGarantie[[#This Row],[Type]]&lt;&gt;"SOL CLAAS LOCATION",registreGarantie[[#This Row],[Type]]&lt;&gt;"",registreGarantie[[#This Row],[Type]]&lt;&gt;"GARANTIE AMAZONE",registreGarantie[[#This Row],[Type]]&lt;&gt;"GARANTIE MASHIO",registreGarantie[[#This Row],[Type]]&lt;&gt;"INCIDENT",registreGarantie[[#This Row],[Pièces 
Demandés]]&lt;&gt;"",registreGarantie[[#This Row],[date paiement]]&lt;&gt;""),1,0)</f>
        <v>0</v>
      </c>
      <c r="Y679" s="74" t="str">
        <f ca="1">IF(registreGarantie[[#This Row],[Colonne1]]=0,"",IF(TODAY()&gt;registreGarantie[[#This Row],[Date rebus]],0,1))</f>
        <v/>
      </c>
      <c r="Z679" s="66"/>
      <c r="AA679" s="73" t="str">
        <f>IF(AND(registreGarantie[[#This Row],[Montant non remboursé]]&gt;1,registreGarantie[[#This Row],[Montant non remboursé]]&lt;&gt;""),1,"")</f>
        <v/>
      </c>
      <c r="AB679" s="66"/>
      <c r="AC679" s="66"/>
      <c r="AD679" s="87">
        <f t="shared" si="10"/>
        <v>679</v>
      </c>
      <c r="AE679" s="109">
        <v>45926</v>
      </c>
    </row>
  </sheetData>
  <conditionalFormatting sqref="A2:AC679">
    <cfRule type="expression" dxfId="73" priority="1">
      <formula>AND(IF(ISNUMBER($T2),$T2&gt;1))</formula>
    </cfRule>
  </conditionalFormatting>
  <dataValidations disablePrompts="1" count="1">
    <dataValidation type="list" allowBlank="1" showInputMessage="1" showErrorMessage="1" sqref="I2 I333:I464" xr:uid="{0D6CD332-E7BB-4E62-B74D-ADB8946D1369}">
      <formula1>Etat_RG</formula1>
    </dataValidation>
  </dataValidations>
  <pageMargins left="0.25" right="0.25" top="0.75" bottom="0.75" header="0.3" footer="0.3"/>
  <pageSetup paperSize="9" scale="21" fitToHeight="0" orientation="landscape" horizontalDpi="0" verticalDpi="0"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2" stopIfTrue="1" id="{7261EB87-68F3-46C4-8AA4-F7C2D2035E42}">
            <xm:f>MATCH($I2,LISTE!$C$1:$C$20,0)=20</xm:f>
            <x14:dxf>
              <font>
                <b val="0"/>
                <i val="0"/>
                <color rgb="FF000000"/>
              </font>
              <fill>
                <patternFill>
                  <fgColor indexed="64"/>
                  <bgColor rgb="FFA9D08E"/>
                </patternFill>
              </fill>
            </x14:dxf>
          </x14:cfRule>
          <x14:cfRule type="expression" priority="3" stopIfTrue="1" id="{461FF63E-5E95-41A4-9DD1-BA54BA3D09E2}">
            <xm:f>MATCH($I2,LISTE!$C$1:$C$20,0)=19</xm:f>
            <x14:dxf>
              <font>
                <b val="0"/>
                <i val="0"/>
                <color rgb="FF000000"/>
              </font>
              <fill>
                <patternFill>
                  <fgColor indexed="64"/>
                  <bgColor rgb="FFD9E1F2"/>
                </patternFill>
              </fill>
            </x14:dxf>
          </x14:cfRule>
          <x14:cfRule type="expression" priority="4" stopIfTrue="1" id="{551CEF30-6978-4E8E-8942-48021CEAB6A1}">
            <xm:f>MATCH($I2,LISTE!$C$1:$C$20,0)=18</xm:f>
            <x14:dxf>
              <font>
                <b val="0"/>
                <i val="0"/>
                <color rgb="FF000000"/>
              </font>
              <fill>
                <patternFill>
                  <fgColor indexed="64"/>
                  <bgColor rgb="FFA9D08E"/>
                </patternFill>
              </fill>
            </x14:dxf>
          </x14:cfRule>
          <x14:cfRule type="expression" priority="5" stopIfTrue="1" id="{71CFE77C-F359-4A63-AD9B-5088C35DA422}">
            <xm:f>MATCH($I2,LISTE!$C$1:$C$20,0)=17</xm:f>
            <x14:dxf>
              <font>
                <b val="0"/>
                <i val="0"/>
                <color rgb="FF000000"/>
              </font>
              <fill>
                <patternFill>
                  <fgColor indexed="64"/>
                  <bgColor rgb="FFA9D08E"/>
                </patternFill>
              </fill>
            </x14:dxf>
          </x14:cfRule>
          <x14:cfRule type="expression" priority="6" stopIfTrue="1" id="{4F499B70-2981-4602-B0D5-E494355A56F2}">
            <xm:f>MATCH($I2,LISTE!$C$1:$C$20,0)=16</xm:f>
            <x14:dxf>
              <font>
                <b val="0"/>
                <i val="0"/>
                <color rgb="FFE7E6E6"/>
              </font>
              <fill>
                <patternFill>
                  <fgColor indexed="64"/>
                  <bgColor rgb="FF375623"/>
                </patternFill>
              </fill>
            </x14:dxf>
          </x14:cfRule>
          <x14:cfRule type="expression" priority="7" stopIfTrue="1" id="{0B5331B4-4665-4D6B-998B-41BDCEBD00DC}">
            <xm:f>MATCH($I2,LISTE!$C$1:$C$20,0)=15</xm:f>
            <x14:dxf>
              <font>
                <b val="0"/>
                <i val="0"/>
                <color rgb="FFE7E6E6"/>
              </font>
              <fill>
                <patternFill>
                  <fgColor indexed="64"/>
                  <bgColor rgb="FF375623"/>
                </patternFill>
              </fill>
            </x14:dxf>
          </x14:cfRule>
          <x14:cfRule type="expression" priority="8" stopIfTrue="1" id="{75664C0E-340A-4460-8A91-69AADD8220BA}">
            <xm:f>MATCH($I2,LISTE!$C$1:$C$20,0)=14</xm:f>
            <x14:dxf>
              <font>
                <b val="0"/>
                <i val="0"/>
                <color rgb="FFE7E6E6"/>
              </font>
              <fill>
                <patternFill>
                  <fgColor indexed="64"/>
                  <bgColor rgb="FF548235"/>
                </patternFill>
              </fill>
            </x14:dxf>
          </x14:cfRule>
          <x14:cfRule type="expression" priority="9" stopIfTrue="1" id="{3E5A09AD-9F1C-40DF-B0D2-A01C3E5003CD}">
            <xm:f>MATCH($I2,LISTE!$C$1:$C$20,0)=13</xm:f>
            <x14:dxf>
              <font>
                <b val="0"/>
                <i val="0"/>
                <color rgb="FF000000"/>
              </font>
              <fill>
                <patternFill>
                  <fgColor indexed="64"/>
                  <bgColor rgb="FFA9D08E"/>
                </patternFill>
              </fill>
            </x14:dxf>
          </x14:cfRule>
          <x14:cfRule type="expression" priority="10" stopIfTrue="1" id="{D390D63C-78FE-44D8-B2BB-BEEF44CA3AAD}">
            <xm:f>MATCH($I2,LISTE!$C$1:$C$20,0)=12</xm:f>
            <x14:dxf>
              <font>
                <b val="0"/>
                <i val="0"/>
                <color rgb="FF000000"/>
              </font>
              <fill>
                <patternFill>
                  <fgColor indexed="64"/>
                  <bgColor rgb="FFA9D08E"/>
                </patternFill>
              </fill>
            </x14:dxf>
          </x14:cfRule>
          <x14:cfRule type="expression" priority="11" stopIfTrue="1" id="{A29C1B16-3E8E-4D18-BCEC-E0C51C244F1B}">
            <xm:f>MATCH($I2,LISTE!$C$1:$C$20,0)=11</xm:f>
            <x14:dxf>
              <font>
                <b val="0"/>
                <i val="0"/>
                <color rgb="FF000000"/>
              </font>
              <fill>
                <patternFill>
                  <fgColor indexed="64"/>
                  <bgColor rgb="FFA9D08E"/>
                </patternFill>
              </fill>
            </x14:dxf>
          </x14:cfRule>
          <x14:cfRule type="expression" priority="12" stopIfTrue="1" id="{00391ACB-BA33-469D-B7BE-90F728C32C08}">
            <xm:f>MATCH($I2,LISTE!$C$1:$C$20,0)=10</xm:f>
            <x14:dxf>
              <font>
                <b val="0"/>
                <i val="0"/>
                <color rgb="FF000000"/>
              </font>
              <fill>
                <patternFill>
                  <fgColor indexed="64"/>
                  <bgColor rgb="FFE2EFDA"/>
                </patternFill>
              </fill>
            </x14:dxf>
          </x14:cfRule>
          <x14:cfRule type="expression" priority="13" stopIfTrue="1" id="{62B7D0DE-8266-49BD-8DB0-5CACCFEC061A}">
            <xm:f>MATCH($I2,LISTE!$C$1:$C$20,0)=9</xm:f>
            <x14:dxf>
              <font>
                <b val="0"/>
                <i val="0"/>
                <color rgb="FF000000"/>
              </font>
              <fill>
                <patternFill>
                  <fgColor indexed="64"/>
                  <bgColor rgb="FFA9D08E"/>
                </patternFill>
              </fill>
            </x14:dxf>
          </x14:cfRule>
          <x14:cfRule type="expression" priority="14" stopIfTrue="1" id="{DC37B60C-8BAC-4C35-BBC2-2EBD91D2DA2C}">
            <xm:f>MATCH($I2,LISTE!$C$1:$C$20,0)=8</xm:f>
            <x14:dxf>
              <font>
                <b val="0"/>
                <i val="0"/>
                <color rgb="FF000000"/>
              </font>
              <fill>
                <patternFill>
                  <fgColor indexed="64"/>
                  <bgColor rgb="FFD9E1F2"/>
                </patternFill>
              </fill>
            </x14:dxf>
          </x14:cfRule>
          <x14:cfRule type="expression" priority="15" stopIfTrue="1" id="{BBB0EA63-7CF8-4FA8-B008-223ECA8AF90B}">
            <xm:f>MATCH($I2,LISTE!$C$1:$C$20,0)=7</xm:f>
            <x14:dxf>
              <font>
                <b val="0"/>
                <i val="0"/>
                <color rgb="FF000000"/>
              </font>
              <fill>
                <patternFill>
                  <fgColor indexed="64"/>
                  <bgColor rgb="FFD9D9D9"/>
                </patternFill>
              </fill>
            </x14:dxf>
          </x14:cfRule>
          <x14:cfRule type="expression" priority="16" stopIfTrue="1" id="{6040DEFC-DEED-42DA-AEB1-CF57D399ED47}">
            <xm:f>MATCH($I2,LISTE!$C$1:$C$20,0)=6</xm:f>
            <x14:dxf>
              <font>
                <b val="0"/>
                <i val="0"/>
                <color rgb="FF000000"/>
              </font>
              <fill>
                <patternFill>
                  <fgColor indexed="64"/>
                  <bgColor rgb="FFD9D9D9"/>
                </patternFill>
              </fill>
            </x14:dxf>
          </x14:cfRule>
          <x14:cfRule type="expression" priority="17" stopIfTrue="1" id="{8AF3D741-46C1-4F54-A756-CEFD648D3610}">
            <xm:f>MATCH($I2,LISTE!$C$1:$C$20,0)=5</xm:f>
            <x14:dxf>
              <font>
                <b val="0"/>
                <i val="0"/>
                <color rgb="FF000000"/>
              </font>
              <fill>
                <patternFill>
                  <fgColor indexed="64"/>
                  <bgColor rgb="FFA9D08E"/>
                </patternFill>
              </fill>
            </x14:dxf>
          </x14:cfRule>
          <x14:cfRule type="expression" priority="18" stopIfTrue="1" id="{8F3E3209-67FD-4579-928D-F00C5DFF28BF}">
            <xm:f>MATCH($I2,LISTE!$C$1:$C$20,0)=4</xm:f>
            <x14:dxf>
              <font>
                <b val="0"/>
                <i val="0"/>
                <color rgb="FF000000"/>
              </font>
              <fill>
                <patternFill>
                  <fgColor indexed="64"/>
                  <bgColor rgb="FFFFE699"/>
                </patternFill>
              </fill>
            </x14:dxf>
          </x14:cfRule>
          <x14:cfRule type="expression" priority="19" stopIfTrue="1" id="{8C64B205-BFA0-453B-B7E8-250D3A793FF9}">
            <xm:f>MATCH($I2,LISTE!$C$1:$C$20,0)=3</xm:f>
            <x14:dxf>
              <font>
                <b val="0"/>
                <i val="0"/>
                <color rgb="FF000000"/>
              </font>
              <fill>
                <patternFill>
                  <fgColor indexed="64"/>
                  <bgColor rgb="FFA9D08E"/>
                </patternFill>
              </fill>
            </x14:dxf>
          </x14:cfRule>
          <x14:cfRule type="expression" priority="20" id="{DF5220E2-3C0C-462B-8549-15668571787D}">
            <xm:f>MATCH($I2,LISTE!$C$1:$C$20,0)=2</xm:f>
            <x14:dxf>
              <font>
                <b val="0"/>
                <i val="0"/>
                <color rgb="FF000000"/>
              </font>
              <fill>
                <patternFill>
                  <fgColor indexed="64"/>
                  <bgColor rgb="FFA9D08E"/>
                </patternFill>
              </fill>
            </x14:dxf>
          </x14:cfRule>
          <xm:sqref>A2:AC679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7FB6D-894C-42F0-A509-93ED99E6E7A4}">
  <sheetPr codeName="Feuil7">
    <pageSetUpPr fitToPage="1"/>
  </sheetPr>
  <dimension ref="A1:L19"/>
  <sheetViews>
    <sheetView topLeftCell="A16" workbookViewId="0">
      <selection activeCell="A7" sqref="A7:XFD7"/>
    </sheetView>
  </sheetViews>
  <sheetFormatPr baseColWidth="10" defaultRowHeight="14.4" x14ac:dyDescent="0.3"/>
  <cols>
    <col min="4" max="4" width="17.77734375" customWidth="1"/>
    <col min="5" max="5" width="12.77734375" customWidth="1"/>
    <col min="7" max="7" width="25" customWidth="1"/>
    <col min="8" max="8" width="14.44140625" style="98" customWidth="1"/>
  </cols>
  <sheetData>
    <row r="1" spans="1:12" ht="36.6" thickBot="1" x14ac:dyDescent="0.35">
      <c r="A1" s="63" t="s">
        <v>1475</v>
      </c>
      <c r="B1" s="63" t="s">
        <v>1476</v>
      </c>
      <c r="C1" s="63" t="s">
        <v>1477</v>
      </c>
      <c r="D1" s="63" t="s">
        <v>1478</v>
      </c>
      <c r="E1" s="63" t="s">
        <v>1155</v>
      </c>
      <c r="F1" s="63" t="s">
        <v>2235</v>
      </c>
      <c r="G1" s="63" t="s">
        <v>1479</v>
      </c>
      <c r="H1" s="96" t="s">
        <v>1481</v>
      </c>
      <c r="I1" s="63" t="s">
        <v>1483</v>
      </c>
      <c r="J1" s="63" t="s">
        <v>1492</v>
      </c>
      <c r="K1" s="63" t="s">
        <v>1493</v>
      </c>
      <c r="L1" s="63" t="s">
        <v>1494</v>
      </c>
    </row>
    <row r="2" spans="1:12" ht="36.6" thickBot="1" x14ac:dyDescent="0.35">
      <c r="A2" s="64">
        <v>45082</v>
      </c>
      <c r="B2" s="64">
        <v>43899</v>
      </c>
      <c r="C2" s="65">
        <v>45719</v>
      </c>
      <c r="D2" s="66" t="s">
        <v>74</v>
      </c>
      <c r="E2" s="66" t="s">
        <v>217</v>
      </c>
      <c r="F2" s="66"/>
      <c r="G2" s="66" t="s">
        <v>1973</v>
      </c>
      <c r="H2" s="97" t="s">
        <v>2178</v>
      </c>
      <c r="I2" s="68"/>
      <c r="J2" s="65"/>
      <c r="K2" s="71">
        <v>45719</v>
      </c>
      <c r="L2" s="72" t="s">
        <v>2650</v>
      </c>
    </row>
    <row r="3" spans="1:12" ht="54.6" thickBot="1" x14ac:dyDescent="0.35">
      <c r="A3" s="64">
        <v>45199</v>
      </c>
      <c r="B3" s="64">
        <v>44309</v>
      </c>
      <c r="C3" s="65">
        <v>45819</v>
      </c>
      <c r="D3" s="66" t="s">
        <v>1097</v>
      </c>
      <c r="E3" s="66" t="s">
        <v>106</v>
      </c>
      <c r="F3" s="66" t="s">
        <v>2316</v>
      </c>
      <c r="G3" s="66" t="s">
        <v>2413</v>
      </c>
      <c r="H3" s="97">
        <v>404717218</v>
      </c>
      <c r="I3" s="68"/>
      <c r="J3" s="65"/>
      <c r="K3" s="71">
        <v>45819</v>
      </c>
      <c r="L3" s="72" t="s">
        <v>2650</v>
      </c>
    </row>
    <row r="4" spans="1:12" ht="36.6" thickBot="1" x14ac:dyDescent="0.35">
      <c r="A4" s="64">
        <v>45203</v>
      </c>
      <c r="B4" s="64">
        <v>44315</v>
      </c>
      <c r="C4" s="65">
        <v>45820</v>
      </c>
      <c r="D4" s="66" t="s">
        <v>482</v>
      </c>
      <c r="E4" s="66" t="s">
        <v>181</v>
      </c>
      <c r="F4" s="66" t="s">
        <v>2304</v>
      </c>
      <c r="G4" s="66" t="s">
        <v>2428</v>
      </c>
      <c r="H4" s="97">
        <v>404719787</v>
      </c>
      <c r="I4" s="68"/>
      <c r="J4" s="65"/>
      <c r="K4" s="71">
        <v>45820</v>
      </c>
      <c r="L4" s="72" t="s">
        <v>2650</v>
      </c>
    </row>
    <row r="5" spans="1:12" ht="36.6" thickBot="1" x14ac:dyDescent="0.35">
      <c r="A5" s="64">
        <v>45214</v>
      </c>
      <c r="B5" s="64">
        <v>6209</v>
      </c>
      <c r="C5" s="65">
        <v>45826</v>
      </c>
      <c r="D5" s="66" t="s">
        <v>2464</v>
      </c>
      <c r="E5" s="66" t="s">
        <v>161</v>
      </c>
      <c r="F5" s="66">
        <v>76007283</v>
      </c>
      <c r="G5" s="66" t="s">
        <v>2466</v>
      </c>
      <c r="H5" s="97">
        <v>404727412</v>
      </c>
      <c r="I5" s="68"/>
      <c r="J5" s="65"/>
      <c r="K5" s="71">
        <v>45826</v>
      </c>
      <c r="L5" s="72" t="s">
        <v>2650</v>
      </c>
    </row>
    <row r="6" spans="1:12" ht="36.6" thickBot="1" x14ac:dyDescent="0.35">
      <c r="A6" s="64">
        <v>45216</v>
      </c>
      <c r="B6" s="64">
        <v>6212</v>
      </c>
      <c r="C6" s="65">
        <v>45826</v>
      </c>
      <c r="D6" s="66" t="s">
        <v>2450</v>
      </c>
      <c r="E6" s="66" t="s">
        <v>2451</v>
      </c>
      <c r="F6" s="66" t="s">
        <v>2452</v>
      </c>
      <c r="G6" s="66" t="s">
        <v>27</v>
      </c>
      <c r="H6" s="97">
        <v>404727630</v>
      </c>
      <c r="I6" s="68"/>
      <c r="J6" s="65"/>
      <c r="K6" s="71">
        <v>45826</v>
      </c>
      <c r="L6" s="72" t="s">
        <v>2650</v>
      </c>
    </row>
    <row r="7" spans="1:12" ht="54.6" thickBot="1" x14ac:dyDescent="0.35">
      <c r="A7" s="64">
        <v>45218</v>
      </c>
      <c r="B7" s="64">
        <v>6221</v>
      </c>
      <c r="C7" s="65">
        <v>45827</v>
      </c>
      <c r="D7" s="66" t="s">
        <v>36</v>
      </c>
      <c r="E7" s="66" t="s">
        <v>930</v>
      </c>
      <c r="F7" s="66" t="s">
        <v>2252</v>
      </c>
      <c r="G7" s="66" t="s">
        <v>1088</v>
      </c>
      <c r="H7" s="97">
        <v>404728562</v>
      </c>
      <c r="I7" s="68" t="s">
        <v>2474</v>
      </c>
      <c r="J7" s="65"/>
      <c r="K7" s="71">
        <v>45827</v>
      </c>
      <c r="L7" s="72" t="s">
        <v>2650</v>
      </c>
    </row>
    <row r="8" spans="1:12" ht="54.6" thickBot="1" x14ac:dyDescent="0.35">
      <c r="A8" s="64">
        <v>45222</v>
      </c>
      <c r="B8" s="64">
        <v>6226</v>
      </c>
      <c r="C8" s="65">
        <v>45832</v>
      </c>
      <c r="D8" s="66" t="s">
        <v>36</v>
      </c>
      <c r="E8" s="66" t="s">
        <v>930</v>
      </c>
      <c r="F8" s="66" t="s">
        <v>2252</v>
      </c>
      <c r="G8" s="66" t="s">
        <v>2493</v>
      </c>
      <c r="H8" s="97">
        <v>404734838</v>
      </c>
      <c r="I8" s="68"/>
      <c r="J8" s="65"/>
      <c r="K8" s="71">
        <v>45832</v>
      </c>
      <c r="L8" s="72" t="s">
        <v>2650</v>
      </c>
    </row>
    <row r="9" spans="1:12" ht="54.6" thickBot="1" x14ac:dyDescent="0.35">
      <c r="A9" s="64">
        <v>45224</v>
      </c>
      <c r="B9" s="64">
        <v>6223</v>
      </c>
      <c r="C9" s="65">
        <v>45832</v>
      </c>
      <c r="D9" s="66" t="s">
        <v>36</v>
      </c>
      <c r="E9" s="66" t="s">
        <v>930</v>
      </c>
      <c r="F9" s="66" t="s">
        <v>2252</v>
      </c>
      <c r="G9" s="66" t="s">
        <v>186</v>
      </c>
      <c r="H9" s="97">
        <v>404734949</v>
      </c>
      <c r="I9" s="68"/>
      <c r="J9" s="65"/>
      <c r="K9" s="71">
        <v>45832</v>
      </c>
      <c r="L9" s="72" t="s">
        <v>2650</v>
      </c>
    </row>
    <row r="10" spans="1:12" ht="36.6" thickBot="1" x14ac:dyDescent="0.35">
      <c r="A10" s="64">
        <v>45236</v>
      </c>
      <c r="B10" s="64">
        <v>6231</v>
      </c>
      <c r="C10" s="65">
        <v>45839</v>
      </c>
      <c r="D10" s="66" t="s">
        <v>2450</v>
      </c>
      <c r="E10" s="66" t="s">
        <v>2451</v>
      </c>
      <c r="F10" s="66" t="s">
        <v>2452</v>
      </c>
      <c r="G10" s="66" t="s">
        <v>1373</v>
      </c>
      <c r="H10" s="97">
        <v>404753936</v>
      </c>
      <c r="I10" s="68"/>
      <c r="J10" s="65"/>
      <c r="K10" s="71">
        <v>45839</v>
      </c>
      <c r="L10" s="72" t="s">
        <v>2650</v>
      </c>
    </row>
    <row r="11" spans="1:12" ht="36.6" thickBot="1" x14ac:dyDescent="0.35">
      <c r="A11" s="64">
        <v>45238</v>
      </c>
      <c r="B11" s="64">
        <v>44396</v>
      </c>
      <c r="C11" s="65">
        <v>45845</v>
      </c>
      <c r="D11" s="66" t="s">
        <v>325</v>
      </c>
      <c r="E11" s="66" t="s">
        <v>367</v>
      </c>
      <c r="F11" s="66" t="s">
        <v>2311</v>
      </c>
      <c r="G11" s="66" t="s">
        <v>2520</v>
      </c>
      <c r="H11" s="97">
        <v>404761658</v>
      </c>
      <c r="I11" s="68"/>
      <c r="J11" s="65"/>
      <c r="K11" s="71">
        <v>45845</v>
      </c>
      <c r="L11" s="72" t="s">
        <v>2650</v>
      </c>
    </row>
    <row r="12" spans="1:12" ht="36.6" thickBot="1" x14ac:dyDescent="0.35">
      <c r="A12" s="64">
        <v>45244</v>
      </c>
      <c r="B12" s="64">
        <v>6246</v>
      </c>
      <c r="C12" s="65">
        <v>45845</v>
      </c>
      <c r="D12" s="66" t="s">
        <v>41</v>
      </c>
      <c r="E12" s="66" t="s">
        <v>181</v>
      </c>
      <c r="F12" s="66" t="s">
        <v>2526</v>
      </c>
      <c r="G12" s="66" t="s">
        <v>2527</v>
      </c>
      <c r="H12" s="97">
        <v>404762286</v>
      </c>
      <c r="I12" s="68"/>
      <c r="J12" s="65"/>
      <c r="K12" s="71">
        <v>45845</v>
      </c>
      <c r="L12" s="72" t="s">
        <v>2650</v>
      </c>
    </row>
    <row r="13" spans="1:12" ht="36.6" thickBot="1" x14ac:dyDescent="0.35">
      <c r="A13" s="64">
        <v>45246</v>
      </c>
      <c r="B13" s="64">
        <v>6254</v>
      </c>
      <c r="C13" s="65">
        <v>45866</v>
      </c>
      <c r="D13" s="66" t="s">
        <v>239</v>
      </c>
      <c r="E13" s="66" t="s">
        <v>546</v>
      </c>
      <c r="F13" s="66">
        <v>78410241</v>
      </c>
      <c r="G13" s="66" t="s">
        <v>2528</v>
      </c>
      <c r="H13" s="97">
        <v>404796049</v>
      </c>
      <c r="I13" s="68"/>
      <c r="J13" s="65"/>
      <c r="K13" s="71">
        <v>45866</v>
      </c>
      <c r="L13" s="72" t="s">
        <v>2650</v>
      </c>
    </row>
    <row r="14" spans="1:12" ht="36.6" thickBot="1" x14ac:dyDescent="0.35">
      <c r="A14" s="64">
        <v>45255</v>
      </c>
      <c r="B14" s="64">
        <v>44581</v>
      </c>
      <c r="C14" s="65">
        <v>45848</v>
      </c>
      <c r="D14" s="66" t="s">
        <v>309</v>
      </c>
      <c r="E14" s="66" t="s">
        <v>2607</v>
      </c>
      <c r="F14" s="66" t="s">
        <v>2609</v>
      </c>
      <c r="G14" s="66" t="s">
        <v>2608</v>
      </c>
      <c r="H14" s="97">
        <v>404769404</v>
      </c>
      <c r="I14" s="68"/>
      <c r="J14" s="65">
        <v>45855</v>
      </c>
      <c r="K14" s="71">
        <v>45848</v>
      </c>
      <c r="L14" s="72">
        <v>45946</v>
      </c>
    </row>
    <row r="15" spans="1:12" ht="36.6" thickBot="1" x14ac:dyDescent="0.35">
      <c r="A15" s="64">
        <v>45256</v>
      </c>
      <c r="B15" s="64">
        <v>6251</v>
      </c>
      <c r="C15" s="65">
        <v>45848</v>
      </c>
      <c r="D15" s="66" t="s">
        <v>2464</v>
      </c>
      <c r="E15" s="66" t="s">
        <v>2610</v>
      </c>
      <c r="F15" s="66">
        <v>76007283</v>
      </c>
      <c r="G15" s="66" t="s">
        <v>2613</v>
      </c>
      <c r="H15" s="97">
        <v>404769516</v>
      </c>
      <c r="I15" s="68"/>
      <c r="J15" s="65"/>
      <c r="K15" s="71">
        <v>45848</v>
      </c>
      <c r="L15" s="72" t="s">
        <v>2650</v>
      </c>
    </row>
    <row r="16" spans="1:12" ht="36.6" thickBot="1" x14ac:dyDescent="0.35">
      <c r="A16" s="64">
        <v>45257</v>
      </c>
      <c r="B16" s="64">
        <v>6264</v>
      </c>
      <c r="C16" s="65">
        <v>45853</v>
      </c>
      <c r="D16" s="66" t="s">
        <v>509</v>
      </c>
      <c r="E16" s="66" t="s">
        <v>440</v>
      </c>
      <c r="F16" s="66" t="s">
        <v>2300</v>
      </c>
      <c r="G16" s="66" t="s">
        <v>823</v>
      </c>
      <c r="H16" s="97">
        <v>404775451</v>
      </c>
      <c r="I16" s="68"/>
      <c r="J16" s="65"/>
      <c r="K16" s="71">
        <v>45853</v>
      </c>
      <c r="L16" s="72" t="s">
        <v>2650</v>
      </c>
    </row>
    <row r="17" spans="1:12" ht="36.6" thickBot="1" x14ac:dyDescent="0.35">
      <c r="A17" s="64">
        <v>45264</v>
      </c>
      <c r="B17" s="64">
        <v>44547</v>
      </c>
      <c r="C17" s="65">
        <v>45866</v>
      </c>
      <c r="D17" s="66" t="s">
        <v>1536</v>
      </c>
      <c r="E17" s="66" t="s">
        <v>75</v>
      </c>
      <c r="F17" s="66" t="s">
        <v>2280</v>
      </c>
      <c r="G17" s="66" t="s">
        <v>2634</v>
      </c>
      <c r="H17" s="97">
        <v>404797355</v>
      </c>
      <c r="I17" s="68"/>
      <c r="J17" s="65"/>
      <c r="K17" s="71">
        <v>45866</v>
      </c>
      <c r="L17" s="72" t="s">
        <v>2650</v>
      </c>
    </row>
    <row r="18" spans="1:12" ht="54.6" thickBot="1" x14ac:dyDescent="0.35">
      <c r="A18" s="64">
        <v>45265</v>
      </c>
      <c r="B18" s="64">
        <v>44566</v>
      </c>
      <c r="C18" s="65">
        <v>45867</v>
      </c>
      <c r="D18" s="66" t="s">
        <v>1097</v>
      </c>
      <c r="E18" s="66" t="s">
        <v>106</v>
      </c>
      <c r="F18" s="66" t="s">
        <v>2316</v>
      </c>
      <c r="G18" s="66" t="s">
        <v>2635</v>
      </c>
      <c r="H18" s="97">
        <v>404798284</v>
      </c>
      <c r="I18" s="68"/>
      <c r="J18" s="65"/>
      <c r="K18" s="71">
        <v>45867</v>
      </c>
      <c r="L18" s="72" t="s">
        <v>2650</v>
      </c>
    </row>
    <row r="19" spans="1:12" ht="36.6" thickBot="1" x14ac:dyDescent="0.35">
      <c r="A19" s="64">
        <v>45266</v>
      </c>
      <c r="B19" s="64">
        <v>6280</v>
      </c>
      <c r="C19" s="65">
        <v>45866</v>
      </c>
      <c r="D19" s="66" t="s">
        <v>239</v>
      </c>
      <c r="E19" s="66" t="s">
        <v>546</v>
      </c>
      <c r="F19" s="66">
        <v>78410241</v>
      </c>
      <c r="G19" s="66" t="s">
        <v>2033</v>
      </c>
      <c r="H19" s="97">
        <v>404796111</v>
      </c>
      <c r="I19" s="68"/>
      <c r="J19" s="65"/>
      <c r="K19" s="71">
        <v>45866</v>
      </c>
      <c r="L19" s="72" t="s">
        <v>2650</v>
      </c>
    </row>
  </sheetData>
  <conditionalFormatting sqref="A2:L19">
    <cfRule type="expression" dxfId="22" priority="1">
      <formula>AND(IF(ISNUMBER($T2),$T2&gt;1))</formula>
    </cfRule>
  </conditionalFormatting>
  <pageMargins left="0.7" right="0.7" top="0.75" bottom="0.75" header="0.3" footer="0.3"/>
  <pageSetup paperSize="9" scale="80" fitToHeight="0" orientation="landscape" horizontalDpi="0" verticalDpi="0" r:id="rId1"/>
  <extLst>
    <ext xmlns:x14="http://schemas.microsoft.com/office/spreadsheetml/2009/9/main" uri="{78C0D931-6437-407d-A8EE-F0AAD7539E65}">
      <x14:conditionalFormattings>
        <x14:conditionalFormatting xmlns:xm="http://schemas.microsoft.com/office/excel/2006/main">
          <x14:cfRule type="expression" priority="2" stopIfTrue="1" id="{2931D5B7-EBF5-495C-A9CC-96F3B3474675}">
            <xm:f>MATCH($I2,LISTE!$C$1:$C$20,0)=20</xm:f>
            <x14:dxf>
              <font>
                <b val="0"/>
                <i val="0"/>
                <color rgb="FF000000"/>
              </font>
              <fill>
                <patternFill>
                  <fgColor indexed="64"/>
                  <bgColor rgb="FFA9D08E"/>
                </patternFill>
              </fill>
            </x14:dxf>
          </x14:cfRule>
          <x14:cfRule type="expression" priority="3" stopIfTrue="1" id="{7DACDB42-5710-4EAB-96E2-3D506C9CB65F}">
            <xm:f>MATCH($I2,LISTE!$C$1:$C$20,0)=19</xm:f>
            <x14:dxf>
              <font>
                <b val="0"/>
                <i val="0"/>
                <color rgb="FF000000"/>
              </font>
              <fill>
                <patternFill>
                  <fgColor indexed="64"/>
                  <bgColor rgb="FFD9E1F2"/>
                </patternFill>
              </fill>
            </x14:dxf>
          </x14:cfRule>
          <x14:cfRule type="expression" priority="4" stopIfTrue="1" id="{D5BF9E13-DA2C-4840-8E47-7F7A8C262CBD}">
            <xm:f>MATCH($I2,LISTE!$C$1:$C$20,0)=18</xm:f>
            <x14:dxf>
              <font>
                <b val="0"/>
                <i val="0"/>
                <color rgb="FF000000"/>
              </font>
              <fill>
                <patternFill>
                  <fgColor indexed="64"/>
                  <bgColor rgb="FFA9D08E"/>
                </patternFill>
              </fill>
            </x14:dxf>
          </x14:cfRule>
          <x14:cfRule type="expression" priority="5" stopIfTrue="1" id="{B6EF3FE8-67AC-4E61-9288-B49EE54C581F}">
            <xm:f>MATCH($I2,LISTE!$C$1:$C$20,0)=17</xm:f>
            <x14:dxf>
              <font>
                <b val="0"/>
                <i val="0"/>
                <color rgb="FF000000"/>
              </font>
              <fill>
                <patternFill>
                  <fgColor indexed="64"/>
                  <bgColor rgb="FFA9D08E"/>
                </patternFill>
              </fill>
            </x14:dxf>
          </x14:cfRule>
          <x14:cfRule type="expression" priority="6" stopIfTrue="1" id="{829513DD-2B9A-47F8-80DF-9AA3DB8D726D}">
            <xm:f>MATCH($I2,LISTE!$C$1:$C$20,0)=16</xm:f>
            <x14:dxf>
              <font>
                <b val="0"/>
                <i val="0"/>
                <color rgb="FFE7E6E6"/>
              </font>
              <fill>
                <patternFill>
                  <fgColor indexed="64"/>
                  <bgColor rgb="FF375623"/>
                </patternFill>
              </fill>
            </x14:dxf>
          </x14:cfRule>
          <x14:cfRule type="expression" priority="7" stopIfTrue="1" id="{B112C24F-0144-434D-AACA-BB7EDAB5C274}">
            <xm:f>MATCH($I2,LISTE!$C$1:$C$20,0)=15</xm:f>
            <x14:dxf>
              <font>
                <b val="0"/>
                <i val="0"/>
                <color rgb="FFE7E6E6"/>
              </font>
              <fill>
                <patternFill>
                  <fgColor indexed="64"/>
                  <bgColor rgb="FF375623"/>
                </patternFill>
              </fill>
            </x14:dxf>
          </x14:cfRule>
          <x14:cfRule type="expression" priority="8" stopIfTrue="1" id="{E2359190-1F48-4726-B447-1457E1625567}">
            <xm:f>MATCH($I2,LISTE!$C$1:$C$20,0)=14</xm:f>
            <x14:dxf>
              <font>
                <b val="0"/>
                <i val="0"/>
                <color rgb="FFE7E6E6"/>
              </font>
              <fill>
                <patternFill>
                  <fgColor indexed="64"/>
                  <bgColor rgb="FF548235"/>
                </patternFill>
              </fill>
            </x14:dxf>
          </x14:cfRule>
          <x14:cfRule type="expression" priority="9" stopIfTrue="1" id="{63A00C92-ABFE-4EC9-8C83-1BF7541A4858}">
            <xm:f>MATCH($I2,LISTE!$C$1:$C$20,0)=13</xm:f>
            <x14:dxf>
              <font>
                <b val="0"/>
                <i val="0"/>
                <color rgb="FF000000"/>
              </font>
              <fill>
                <patternFill>
                  <fgColor indexed="64"/>
                  <bgColor rgb="FFA9D08E"/>
                </patternFill>
              </fill>
            </x14:dxf>
          </x14:cfRule>
          <x14:cfRule type="expression" priority="10" stopIfTrue="1" id="{1535911B-E63F-4624-B0D1-B2600BBCA61A}">
            <xm:f>MATCH($I2,LISTE!$C$1:$C$20,0)=12</xm:f>
            <x14:dxf>
              <font>
                <b val="0"/>
                <i val="0"/>
                <color rgb="FF000000"/>
              </font>
              <fill>
                <patternFill>
                  <fgColor indexed="64"/>
                  <bgColor rgb="FFA9D08E"/>
                </patternFill>
              </fill>
            </x14:dxf>
          </x14:cfRule>
          <x14:cfRule type="expression" priority="11" stopIfTrue="1" id="{43A7D94E-F22E-473A-B28D-F07F8BD1467A}">
            <xm:f>MATCH($I2,LISTE!$C$1:$C$20,0)=11</xm:f>
            <x14:dxf>
              <font>
                <b val="0"/>
                <i val="0"/>
                <color rgb="FF000000"/>
              </font>
              <fill>
                <patternFill>
                  <fgColor indexed="64"/>
                  <bgColor rgb="FFA9D08E"/>
                </patternFill>
              </fill>
            </x14:dxf>
          </x14:cfRule>
          <x14:cfRule type="expression" priority="12" stopIfTrue="1" id="{75F94A4D-1D7A-430A-82D9-731CC5F69523}">
            <xm:f>MATCH($I2,LISTE!$C$1:$C$20,0)=10</xm:f>
            <x14:dxf>
              <font>
                <b val="0"/>
                <i val="0"/>
                <color rgb="FF000000"/>
              </font>
              <fill>
                <patternFill>
                  <fgColor indexed="64"/>
                  <bgColor rgb="FFE2EFDA"/>
                </patternFill>
              </fill>
            </x14:dxf>
          </x14:cfRule>
          <x14:cfRule type="expression" priority="13" stopIfTrue="1" id="{E9D4CC05-E3E7-4A25-BDE3-189E833B4F4C}">
            <xm:f>MATCH($I2,LISTE!$C$1:$C$20,0)=9</xm:f>
            <x14:dxf>
              <font>
                <b val="0"/>
                <i val="0"/>
                <color rgb="FF000000"/>
              </font>
              <fill>
                <patternFill>
                  <fgColor indexed="64"/>
                  <bgColor rgb="FFA9D08E"/>
                </patternFill>
              </fill>
            </x14:dxf>
          </x14:cfRule>
          <x14:cfRule type="expression" priority="14" stopIfTrue="1" id="{FB29CD04-F7DF-44C8-8CC5-04BEBDF5DB99}">
            <xm:f>MATCH($I2,LISTE!$C$1:$C$20,0)=8</xm:f>
            <x14:dxf>
              <font>
                <b val="0"/>
                <i val="0"/>
                <color rgb="FF000000"/>
              </font>
              <fill>
                <patternFill>
                  <fgColor indexed="64"/>
                  <bgColor rgb="FFD9E1F2"/>
                </patternFill>
              </fill>
            </x14:dxf>
          </x14:cfRule>
          <x14:cfRule type="expression" priority="15" stopIfTrue="1" id="{208A9C62-D68B-4CD3-96A3-C396441F1168}">
            <xm:f>MATCH($I2,LISTE!$C$1:$C$20,0)=7</xm:f>
            <x14:dxf>
              <font>
                <b val="0"/>
                <i val="0"/>
                <color rgb="FF000000"/>
              </font>
              <fill>
                <patternFill>
                  <fgColor indexed="64"/>
                  <bgColor rgb="FFD9D9D9"/>
                </patternFill>
              </fill>
            </x14:dxf>
          </x14:cfRule>
          <x14:cfRule type="expression" priority="16" stopIfTrue="1" id="{18A2D5EA-568D-43B1-BD6E-55E85425127E}">
            <xm:f>MATCH($I2,LISTE!$C$1:$C$20,0)=6</xm:f>
            <x14:dxf>
              <font>
                <b val="0"/>
                <i val="0"/>
                <color rgb="FF000000"/>
              </font>
              <fill>
                <patternFill>
                  <fgColor indexed="64"/>
                  <bgColor rgb="FFD9D9D9"/>
                </patternFill>
              </fill>
            </x14:dxf>
          </x14:cfRule>
          <x14:cfRule type="expression" priority="17" stopIfTrue="1" id="{24521DF8-539E-4FDB-87BF-6D22BEFD17D0}">
            <xm:f>MATCH($I2,LISTE!$C$1:$C$20,0)=5</xm:f>
            <x14:dxf>
              <font>
                <b val="0"/>
                <i val="0"/>
                <color rgb="FF000000"/>
              </font>
              <fill>
                <patternFill>
                  <fgColor indexed="64"/>
                  <bgColor rgb="FFA9D08E"/>
                </patternFill>
              </fill>
            </x14:dxf>
          </x14:cfRule>
          <x14:cfRule type="expression" priority="18" stopIfTrue="1" id="{3F6E0E79-21E0-4AFC-BDD6-8B4717F8BAE0}">
            <xm:f>MATCH($I2,LISTE!$C$1:$C$20,0)=4</xm:f>
            <x14:dxf>
              <font>
                <b val="0"/>
                <i val="0"/>
                <color rgb="FF000000"/>
              </font>
              <fill>
                <patternFill>
                  <fgColor indexed="64"/>
                  <bgColor rgb="FFFFE699"/>
                </patternFill>
              </fill>
            </x14:dxf>
          </x14:cfRule>
          <x14:cfRule type="expression" priority="19" stopIfTrue="1" id="{1AC54ACC-DDEE-448B-B04A-E28EB4687B67}">
            <xm:f>MATCH($I2,LISTE!$C$1:$C$20,0)=3</xm:f>
            <x14:dxf>
              <font>
                <b val="0"/>
                <i val="0"/>
                <color rgb="FF000000"/>
              </font>
              <fill>
                <patternFill>
                  <fgColor indexed="64"/>
                  <bgColor rgb="FFA9D08E"/>
                </patternFill>
              </fill>
            </x14:dxf>
          </x14:cfRule>
          <x14:cfRule type="expression" priority="20" id="{EF771FCF-0159-4249-A323-C19D0D84811F}">
            <xm:f>MATCH($I2,LISTE!$C$1:$C$20,0)=2</xm:f>
            <x14:dxf>
              <font>
                <b val="0"/>
                <i val="0"/>
                <color rgb="FF000000"/>
              </font>
              <fill>
                <patternFill>
                  <fgColor indexed="64"/>
                  <bgColor rgb="FFA9D08E"/>
                </patternFill>
              </fill>
            </x14:dxf>
          </x14:cfRule>
          <xm:sqref>A2:L19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6658-6BA7-4654-8BB7-E49779D6DE5C}">
  <sheetPr codeName="Feuil5"/>
  <dimension ref="A1:B5"/>
  <sheetViews>
    <sheetView workbookViewId="0">
      <selection activeCell="B5" sqref="B5"/>
    </sheetView>
  </sheetViews>
  <sheetFormatPr baseColWidth="10" defaultRowHeight="14.4" x14ac:dyDescent="0.3"/>
  <cols>
    <col min="1" max="1" width="34.33203125" customWidth="1"/>
  </cols>
  <sheetData>
    <row r="1" spans="1:2" x14ac:dyDescent="0.3">
      <c r="A1" t="s">
        <v>1940</v>
      </c>
      <c r="B1" s="51">
        <v>45553</v>
      </c>
    </row>
    <row r="2" spans="1:2" x14ac:dyDescent="0.3">
      <c r="A2" t="s">
        <v>1941</v>
      </c>
      <c r="B2" s="51">
        <v>45583</v>
      </c>
    </row>
    <row r="4" spans="1:2" x14ac:dyDescent="0.3">
      <c r="A4" t="s">
        <v>1942</v>
      </c>
      <c r="B4">
        <f>DATEDIF(B1,B2,"D")+1</f>
        <v>31</v>
      </c>
    </row>
    <row r="5" spans="1:2" x14ac:dyDescent="0.3">
      <c r="B5">
        <f>B2-B1+1</f>
        <v>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00D28A-1EA9-444A-983A-CFA24125B2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vt:i4>
      </vt:variant>
    </vt:vector>
  </HeadingPairs>
  <TitlesOfParts>
    <vt:vector size="12" baseType="lpstr">
      <vt:lpstr>LISTE</vt:lpstr>
      <vt:lpstr>Synthese</vt:lpstr>
      <vt:lpstr>LISTEOR</vt:lpstr>
      <vt:lpstr>Synthèse</vt:lpstr>
      <vt:lpstr>Historique OR Narrosse</vt:lpstr>
      <vt:lpstr>Historique OR Peyrehorade</vt:lpstr>
      <vt:lpstr>Registre_Garantie</vt:lpstr>
      <vt:lpstr>Feuil1</vt:lpstr>
      <vt:lpstr>Calcul date</vt:lpstr>
      <vt:lpstr>Etat</vt:lpstr>
      <vt:lpstr>EtatRG</vt:lpstr>
      <vt:lpstr>NumDG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AtelierAdour</dc:creator>
  <cp:lastModifiedBy>Magliulo Cyril</cp:lastModifiedBy>
  <cp:lastPrinted>2025-07-29T13:37:57Z</cp:lastPrinted>
  <dcterms:created xsi:type="dcterms:W3CDTF">2025-02-07T09:05:49Z</dcterms:created>
  <dcterms:modified xsi:type="dcterms:W3CDTF">2025-10-05T13:50:23Z</dcterms:modified>
</cp:coreProperties>
</file>